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workbook>
</file>

<file path=xl/sharedStrings.xml><?xml version="1.0" encoding="utf-8"?>
<sst xmlns="http://schemas.openxmlformats.org/spreadsheetml/2006/main" count="65647" uniqueCount="9893">
  <si>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</si>
  <si>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</si>
  <si>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</si>
  <si>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</si>
  <si>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</si>
  <si>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</si>
  <si>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</si>
  <si>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</si>
  <si>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</si>
  <si>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</si>
  <si>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</si>
  <si>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</si>
  <si>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</si>
  <si>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</si>
  <si>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</si>
  <si>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</si>
  <si>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</si>
  <si>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</si>
  <si>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</si>
  <si>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</si>
  <si>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</si>
  <si>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</si>
  <si>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</si>
  <si>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</si>
  <si>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</si>
  <si>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</si>
  <si>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</si>
  <si>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</si>
  <si>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</si>
  <si>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</si>
  <si>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</si>
  <si>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</si>
  <si>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</si>
  <si>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</si>
  <si>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</si>
  <si>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</si>
  <si>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</si>
  <si>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</si>
  <si>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</si>
  <si>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</si>
  <si>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</si>
  <si>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</si>
  <si>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</si>
  <si>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</si>
  <si>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</si>
  <si>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</si>
  <si>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</si>
  <si>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</si>
  <si>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</si>
  <si>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</si>
  <si>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</si>
  <si>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</si>
  <si>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</si>
  <si>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</si>
  <si>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</si>
  <si>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</si>
  <si>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</si>
  <si>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</si>
  <si>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</si>
  <si>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</si>
  <si>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</si>
  <si>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</si>
  <si>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</si>
  <si>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</si>
  <si>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</si>
  <si>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</si>
  <si>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</si>
  <si>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</si>
  <si>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</si>
  <si>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</si>
  <si>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</si>
  <si>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</si>
  <si>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</si>
  <si>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Retamal-Soto, K; Arias-Yurisch, K; Ramos-Fuenzalida, C</t>
  </si>
  <si>
    <t/>
  </si>
  <si>
    <t>Retamal-Soto, Karina; Arias-Yurisch, Karina; Ramos-Fuenzalida, Camila</t>
  </si>
  <si>
    <t>Inter-municipal governance networks: application of exponential random graph models in Los Lagos, Chile</t>
  </si>
  <si>
    <t>REVISTA DE ADMINISTRACAO PUBLICA</t>
  </si>
  <si>
    <t>The idea of governance has permeated the debates on the state's transformation at the regional level since the 1990s. However, operationalization difficulties have limited our knowledge of the phenomenon. This article contributes to filling this gap by examining the inter-jurisdictional dimension of regional governance. From a network perspective, the article studies the emergence of inter-municipal networks from different local collaborative mechanisms. Based on the institutional collective action framework, the study analyzes the prevalence of network structures associated with different types of social capital (bonding/bridging) in three inter-municipal networks in the Los Lagos Region in Chile. The application of exponential random graph models (ERGM) revealed evidence supporting the consistent prevalence of bonding in the three networks studied. The findings also showed the networks' coexistence with structures decentralized in more complex regional networks.</t>
  </si>
  <si>
    <t>Retamal Soto, Karina/CAF-8671-2022; Arias-Yurisch, Karina/LYP-0383-2024</t>
  </si>
  <si>
    <t>Retamal-Soto, Karina/0000-0001-8663-6744; Ramos-Fuenzalida, Camila/0000-0002-7974-4891; Arias-Yurisch, Karina/0000-0001-9820-6581</t>
  </si>
  <si>
    <t>0034-7612</t>
  </si>
  <si>
    <t>1982-3134</t>
  </si>
  <si>
    <t>MAR-APR</t>
  </si>
  <si>
    <t>e2022-0271</t>
  </si>
  <si>
    <t>10.1590/0034-761220220271x</t>
  </si>
  <si>
    <t>WOS:001047482600006</t>
  </si>
  <si>
    <t>Pérez, ATE; Rossit, DA; Tohmé, F; Vásquez, OC</t>
  </si>
  <si>
    <t>Perez, Andrea Teresa Espinoza; Rossit, Daniel Alejandro; Tohme, Fernando; Vasquez, Oscar C.</t>
  </si>
  <si>
    <t>Mass customized/personalized manufacturing in Industry 4.0 and blockchain: Research challenges, main problems, and the design of an information architecture</t>
  </si>
  <si>
    <t>INFORMATION FUSION</t>
  </si>
  <si>
    <t>Mass customized and mass personalized production has become facilitated by the fourth industrial revolution. The resulting industrial environments require the development of information systems able to take the specifications of customers and convey them to the production system in such a way as to contribute to the coordination of all the stakeholders and activities required to fulfill the orders of the customers. This is beyond the capabilities of traditional systems based on MRP and ERP, since the information should be managed in a flexible and decentralized way to exploit the Smart Manufacturing facilities of Industry 4.0. Blockchain, instead, is a technology that provides those features constituting a sound information supporting basis for mass customized/personalized production. Consequently, we explore the potential of blockchain as an information technology able to support industries that base their business models on mass customized/personalized production processes. This survey allows us to identify important challenges for further developments, highlighting three issues in the production setting: (i) to deepen the interoperability of systems, (ii) to generate more implementations, and (iii) to develop efficient consensus protocols. As a response to these insights we provide a conceptual design of how blockchain contributes to managing efficiently mass customized production systems. In our design the information of customer specifications can be fused with data from the production process to generate a plan to fulfill the demand. This design arises as a solution approach to three stated problem, which are faced by mass customized production systems.</t>
  </si>
  <si>
    <t>Rossit, Daniel/AAV-7371-2021; Tohme, Fernando/O-5646-2019; Espinoza Perez, Andrea Teresa/M-4426-2014</t>
  </si>
  <si>
    <t>Tohme, Fernando/0000-0003-2988-4519; Espinoza Perez, Andrea Teresa/0000-0002-6362-9100; Rossit, Daniel/0000-0002-2381-4352; Vasquez, Oscar C./0000-0002-1393-4692</t>
  </si>
  <si>
    <t>1566-2535</t>
  </si>
  <si>
    <t>1872-6305</t>
  </si>
  <si>
    <t>MAR</t>
  </si>
  <si>
    <t>10.1016/j.inffus.2021.09.021</t>
  </si>
  <si>
    <t>OCT 2021</t>
  </si>
  <si>
    <t>WOS:000716752300001</t>
  </si>
  <si>
    <t>Mardones, W; Villarroel, CA; Abarca, V; Urbina, K; Pena, TA; Molinet, J; Nespolo, RF; Cubillos, FA</t>
  </si>
  <si>
    <t>Mardones, Wladimir; Villarroel, Carlos A.; Abarca, Valentina; Urbina, Kamila; Pena, Tomas A.; Molinet, Jennifer; Nespolo, Roberto F.; Cubillos, Francisco A.</t>
  </si>
  <si>
    <t>Rapid selection response to ethanol in Saccharomyces eubayanus emulates the domestication process under brewing conditions</t>
  </si>
  <si>
    <t>MICROBIAL BIOTECHNOLOGY</t>
  </si>
  <si>
    <t>Although the typical genomic and phenotypic changes that characterize the evolution of organisms under the human domestication syndrome represent textbook examples of rapid evolution, the molecular processes that underpin such changes are still poorly understood. Domesticated yeasts for brewing, where short generation times and large phenotypic and genomic plasticity were attained in a few generations under selection, are prime examples. To experimentally emulate the lager yeast domestication process, we created a genetically complex (panmictic) artificial population of multiple Saccharomyces eubayanus genotypes, one of the parents of lager yeast. Then, we imposed a constant selection regime under a high ethanol concentration in 10 replicated populations during 260 generations (6 months) and compared them with propagated controls exposed solely to glucose. Propagated populations exhibited a selection differential of 60% in growth rate in ethanol, mostly explained by the proliferation of a single lineage (CL248.1) that competitively displaced all other clones. Interestingly, the outcome does not require the entire time-course of adaptation, as four lineages monopolized the culture at generation 120. Sequencing demonstrated that de novo genetic variants were produced in all propagated lines, including SNPs, aneuploidies, INDELs and translocations. In addition, the different propagated populations showed correlated responses resembling the domestication syndrome: genomic rearrangements, faster fermentation rates, lower production of phenolic off-flavours and lower volatile compound complexity. Expression profiling in beer wort revealed altered expression levels of genes related to methionine metabolism, flocculation, stress tolerance and diauxic shift, likely contributing to higher ethanol and fermentation stress tolerance in the evolved populations. Our study shows that experimental evolution can rebuild the brewing domestication process in 'fast motion' in wild yeast, and also provides a powerful tool for studying the genetics of the adaptation process in complex populations.</t>
  </si>
  <si>
    <t>Cubillos, Francisco/MIT-2389-2025; Molinet, Jennifer/AAI-3636-2020; Cubillos, Francisco/G-5195-2019; Nespolo, Roberto/D-5601-2015</t>
  </si>
  <si>
    <t>Cubillos, Francisco/0000-0003-3022-469X; Villarroel, Carlos/0000-0002-6089-3088; Nespolo, Roberto/0000-0003-0825-9618; Molinet, Jennifer/0000-0001-9716-4455</t>
  </si>
  <si>
    <t>1751-7915</t>
  </si>
  <si>
    <t>10.1111/1751-7915.13803</t>
  </si>
  <si>
    <t>MAR 2021</t>
  </si>
  <si>
    <t>WOS:000631511300001</t>
  </si>
  <si>
    <t>Velasco, L; Llanos, L; Levín, P; Vega, A; Yu, J; Zhang, XY; Lemus, L; Aravena, D; Moonshiram, D</t>
  </si>
  <si>
    <t>Velasco, Lucia; Llanos, Leonel; Levin, Pedro; Vega, Andres; Yu, Jin; Zhang, Xiaoyi; Lemus, Luis; Aravena, Daniel; Moonshiram, Dooshaye</t>
  </si>
  <si>
    <t>Structure and excited-state dynamics of dimeric copper(i) photosensitizers investigated by time-resolved X-ray and optical transient absorption spectroscopy</t>
  </si>
  <si>
    <t>PHYSICAL CHEMISTRY CHEMICAL PHYSICS</t>
  </si>
  <si>
    <t>Time-resolved X-ray (tr-XAS) and optical transient absorption (OTA) spectroscopy in the picosecond time scale coupled with Density Functional theory (DFT) and X-ray absorption near-edge structure (XANES) calculations are applied to study three homoleptic Cu(i) dimeric chromophores with ethyl and longer propyl spacers, denoted as [Cu-2(mphenet)(2)]Cl-2 (C1), [Cu-2(mphenet)(2)](ClO4)(2) (C2) and [Cu-2(mphenpr)(2)](ClO4)(2) (C3) (where mphenet = 1,2-bis(9-methyl-1,10-phenanthrolin-2-yl)ethane and mphenpr = 1,3-bis(9-methyl-1,10-phenanthrolin-2-yl)propane). Tr-XAS analysis after light illumination at similar to 100 ps illustrate the formation of a flattened triplet excited state in all 3 complexes. Optical transient absorption (OTA) analysis for C1 monitored in water and C2 and C3 measured in acetonitrile reveals distinct excited-state lifetimes of 169 ps, 670 ps and 1600 ps respectively. These differences are associated to changes in the solvent (comparing C1 and C2) and the flexibility of the ligand to adapt after Cu flattening upon excitation (C2 and C3). Our results are important for the improved structural dynamics of these types of Cu-based dimeric compounds, and can guide the integration of these chromophores into more complex solar energy conversion schemes.</t>
  </si>
  <si>
    <t>Moonshiram, Dooshaye/JCE-0818-2023; Levín, Pedro/ABG-4500-2020; Vega, Andres/B-2122-2010; Moonshiram, Dooshaye/J-5138-2014; Aravena, Daniel/F-2174-2011</t>
  </si>
  <si>
    <t>Vega, Andres/0000-0001-6501-4161; Moonshiram, Dooshaye/0000-0002-9075-3035; LEMUS, LUIS/0000-0002-5499-8115; Aravena, Daniel/0000-0003-3140-4852; llanos silva, leonel/0000-0001-6494-1908; Levin, Pedro/0000-0001-5932-9001</t>
  </si>
  <si>
    <t>1463-9076</t>
  </si>
  <si>
    <t>1463-9084</t>
  </si>
  <si>
    <t>FEB 7</t>
  </si>
  <si>
    <t>10.1039/d0cp06080a</t>
  </si>
  <si>
    <t>WOS:000617431500047</t>
  </si>
  <si>
    <t>González, R; Correa, P; Orchard, F; Sumonte, R; Vial, MT; Bitar, P; Haye, MT; Germain, A; Pons, A; Leiva, JL; Salas, A; Reyes, F; Escobar, JJ; Muñoz, H; Díaz, C; Aguilera, S; Barrera, C; Quiroz, L</t>
  </si>
  <si>
    <t>Gonzalez, Rogelio; Correa, Paula; Orchard, Francisca; Sumonte, Romina; Teresa Vial, Maria; Bitar, Patricia; Teresa Haye, Maria; Germain, Alfredo; Pons, Andres; Luis Leiva, Juan; Salas, Alberto; Reyes, Francisco; Jose Escobar, Juan; Munoz, Hernan; Diaz, Carlos; Aguilera, Susana; Barrera, Carlos; Quiroz, Lorena</t>
  </si>
  <si>
    <t>COVID-19 and pregnancy: Clinical case of critical presentation, placental inflammation and demonstrated fetal vertical transmission</t>
  </si>
  <si>
    <t>REVISTA MEDICA CLINICA LAS CONDES</t>
  </si>
  <si>
    <t>Background: The global COVID-19 pandemic reaches the American continent in March 2020 and in less than two months it brings together more than half of the cases globally. Objective: The clinical case of a 25-week pregnant woman with a critical presentation of COVID-19 and pregnancy at 25 weeks of gestation, is presented in the context of the peak of the pandemic in Chile in the fall of 2020. Clinical case: On June 20, 2020, a 34-year-old woman, 25 weeks pregnant, is transferred from Hospital de San Bernardo to Clinica Las Condes in Santiago, Chile, with a ten-day evolution of a COVID-19 that evolves to critical with severe respiratory failure. She is admitted to the intensive care unit for mechanical ventilation. Chest computerized axial tomography images demonstrate bilateral pneumopathy with characteristic images of ground-glass opacities, associated with interstitial thickening, images previously described as characteristics for COVID-19. The patient remains in the intensive care unit on mechanical ventilation for seven days, with subsequent favorable evolution, improvement of the septic condition, and discharge after 22 days of hospitalization. Delivery occurs at 38 weeks, the mother and the newborn evolve in good general condition. The placental histopathological examination demonstrates villous inflammatory involvement, and the newborn's blood tests show the presence of IgG and IgM antibodies. It is one of the few reported cases of transplacental transmission of SARS-CoV-2 from the mother to the newborn.</t>
  </si>
  <si>
    <t>0716-8640</t>
  </si>
  <si>
    <t>JAN-FEB</t>
  </si>
  <si>
    <t>10.1016/j.rmclc.2020.12.011</t>
  </si>
  <si>
    <t>FEB 2021</t>
  </si>
  <si>
    <t>WOS:000647287800012</t>
  </si>
  <si>
    <t>Figueroa, F; Figueroa, D; Calvo-Mena, R; Narvaez, F; Medina, N; Prieto, J</t>
  </si>
  <si>
    <t>Figueroa, Francisco; Figueroa, David; Calvo-Mena, Rafael; Narvaez, Felipe; Medina, Natalia; Prieto, Juan</t>
  </si>
  <si>
    <t>Orthopedic surgery residents' perception of online education in their programs during the COVID-19 pandemic: should it be maintained after the crisis?</t>
  </si>
  <si>
    <t>ACTA ORTHOPAEDICA</t>
  </si>
  <si>
    <t>Background and purpose - During the COVID-19 pandemic, most of the teaching centers in Chile have shifted to online resources. We decided to do a survey on orthopedic residents regarding this type of education to assess for strengths and weaknesses of digital education in orthopedic programs. Methods - A survey was performed targeting 110 orthopedic residents belonging to different training programs around the country. 100 residents completed the survey. Results - 86% stated that their programs are using online education. When asked in detail, 86% had been involved in webinars, 28% had received online presentations, 12% had participated in online tests, and 7% had evaluated patients. Webinars were rated (1 = very unsatisfactory, 10 = very satisfactory) with a mean grade of 8.1 (1-10), online presentations 7.3 (1-10), online tests 3.8 (1-8), and online patient evaluations 2.9 (1-9). When asked if, after the end of the pandemic, they would continue using the online modalities, 82% would continue attending webinars, 72% would continue watching online presentations, 27% would continue performing online tests, and 33% of the residents would continue performing online evaluations of patients. Interpretation - Even though resident evaluation of online activities is positive, face-to-face theoretical activities are still valued as a necessary complement for orthopedic residency education.</t>
  </si>
  <si>
    <t>Prieto, Juan/E-3762-2017; Figueroa, Francisco/KUY-2629-2024</t>
  </si>
  <si>
    <t>Figueroa, Francisco/0000-0002-6628-9332</t>
  </si>
  <si>
    <t>1745-3674</t>
  </si>
  <si>
    <t>1745-3682</t>
  </si>
  <si>
    <t>SEP 2</t>
  </si>
  <si>
    <t>10.1080/17453674.2020.1776461</t>
  </si>
  <si>
    <t>JUN 2020</t>
  </si>
  <si>
    <t>WOS:000544047800001</t>
  </si>
  <si>
    <t>Atalah, J; Blamey, L; Köhler, H; Alfaro-Valdés, HM; Galarce, C; Alvarado, C; Sancy, M; Páez, M; Blamey, JM</t>
  </si>
  <si>
    <t>Atalah, Joaquin; Blamey, Lotse; Kohler, Hans; Alfaro-Valdes, Hilda M.; Galarce, Carlos; Alvarado, Claudia; Sancy, Mamie; Paez, Maritza; Blamey, Jenny M.</t>
  </si>
  <si>
    <t>Study of an Antarctic thermophilic consortium and its influence on the electrochemical behavior of aluminum alloy 7075-T6</t>
  </si>
  <si>
    <t>BIOELECTROCHEMISTRY</t>
  </si>
  <si>
    <t>Common alloys used for the manufacture of aircrafts are subject to different forms of environmental deterioration. A major one is corrosion, and there is a strong body of evidence suggesting that environmental microorganisms initiate and accelerate it. The development of an appropriate strategy to reduce this process depends on the knowledge concerning the factors involved in corrosion. In this work, a biofilm forming bacterial consortium was extracted in situ from the corrosion products formed in an aircraft exposed to Antarctic media. Two thermophilic bacteria, an Anoxybacillus and a Staphylococcus strain, were successfully isolated from this consortium. Two extracellular enzymes previously speculated to participate in corrosion, catalase and peroxidase, were detected in the extracellular fraction of the consortium. Additionally, we assessed the individual contribution of those thermophilic microorganisms on the corrosion process of 7075-T6 aluminum alloy, which is widely used in aeronautical industry, through electrochemical methods and surface analysis techniques. (C) 2019 Published by Elsevier B.V.</t>
  </si>
  <si>
    <t>Blamey, Jenny/M-2637-2014; Galarce, Carlos/AAR-9405-2021; Alvarado, Claudia/ECH-1671-2022; Paez, Maritza/M-2010-2014; Sancy, Mamie/L-6270-2014</t>
  </si>
  <si>
    <t>paez, maritza/0000-0001-5881-884X; Sancy, Mamie/0000-0001-9523-2629; GALARCE GUTIERREZ, CARLOS/0000-0002-4250-3998</t>
  </si>
  <si>
    <t>1567-5394</t>
  </si>
  <si>
    <t>1878-562X</t>
  </si>
  <si>
    <t>JUN</t>
  </si>
  <si>
    <t>10.1016/j.bioelechem.2019.107450</t>
  </si>
  <si>
    <t>WOS:000531827700031</t>
  </si>
  <si>
    <t>Elorrieta, F; Eyheramendy, S; Palma, W</t>
  </si>
  <si>
    <t>Elorrieta, Felipe; Eyheramendy, Susana; Palma, Wilfredo</t>
  </si>
  <si>
    <t>Discrete-time autoregressive model for unequally spaced time-series observations</t>
  </si>
  <si>
    <t>ASTRONOMY &amp; ASTROPHYSICS</t>
  </si>
  <si>
    <t>Most time-series models assume that the data come from observations that are equally spaced in time. However, this assumption does not hold in many diverse scientific fields, such as astronomy, finance, and climatology, among others. There are some techniques that fit unequally spaced time series, such as the continuous-time autoregressive moving average (CARMA) processes. These models are defined as the solution of a stochastic differential equation. It is not uncommon in astronomical time series, that the time gaps between observations are large. Therefore, an alternative suitable approach to modeling astronomical time series with large gaps between observations should be based on the solution of a difference equation of a discrete process. In this work we propose a novel model to fit irregular time series called the complex irregular autoregressive (CIAR) model that is represented directly as a discrete-time process. We show that the model is weakly stationary and that it can be represented as a state-space system, allowing efficient maximum likelihood estimation based on the Kalman recursions. Furthermore, we show via Monte Carlo simulations that the finite sample performance of the parameter estimation is accurate. The proposed methodology is applied to light curves from periodic variable stars, illustrating how the model can be implemented to detect poor adjustment of the harmonic model. This can occur when the period has not been accurately estimated or when the variable stars are multiperiodic. Last, we show how the CIAR model, through its state space representation, allows unobserved measurements to be forecast.</t>
  </si>
  <si>
    <t>Elorrieta, Felipe/AAX-2057-2020</t>
  </si>
  <si>
    <t>Eyheramendy, Susana/0000-0003-4723-9660; Elorrieta, Felipe/0000-0002-1835-7433; , Wilfredo/0000-0002-7814-2653</t>
  </si>
  <si>
    <t>0004-6361</t>
  </si>
  <si>
    <t>1432-0746</t>
  </si>
  <si>
    <t>JUL 12</t>
  </si>
  <si>
    <t>A120</t>
  </si>
  <si>
    <t>10.1051/0004-6361/201935560</t>
  </si>
  <si>
    <t>WOS:000475288300001</t>
  </si>
  <si>
    <t>Chacón, M; Jara, JL; Miranda, R; Katsogridakis, E; Panerai, RB</t>
  </si>
  <si>
    <t>Chacon, Max; Luis Jara, Jose; Miranda, Rodrigo; Katsogridakis, Emmanuel; Panerai, Ronney B.</t>
  </si>
  <si>
    <t>Non-linear models for the detection of impaired cerebral blood flow autoregulation</t>
  </si>
  <si>
    <t>PLOS ONE</t>
  </si>
  <si>
    <t>The ability to discriminate between normal and impaired dynamic cerebral autoregulation (CA), based on measurements of spontaneous fluctuations in arterial blood pressure (BP) and cerebral blood flow (CBF), has considerable clinical relevance. We studied 45 normal subjects at rest and under hypercapnia induced by breathing a mixture of carbon dioxide and air. Non-linear models with BP as input and CBF velocity (CBFV) as output, were implemented with support vector machines (SVM) using separate recordings for learning and validation. Dynamic SVM implementations used either moving average or autoregressive structures. The efficiency of dynamic CA was estimated from the model's derived CBFV response to a step change in BP as an autoregulation index for both linear and non-linear models. Non-linear models with recurrences (autoregressive) showed the best results, with CA indexes of 5.9 +/- 1.5 in normocapnia, and 2.5 +/- 1.2 for hypercapnia with an area under the receiver-operator curve of 0.955. The high performance achieved by non-linear SVM models to detect deterioration of dynamic CA should encourage further assessment of its applicability to clinical conditions where CA might be impaired.</t>
  </si>
  <si>
    <t>; Jara, JL/J-7254-2015</t>
  </si>
  <si>
    <t>Katsogridakis, Emmanuel/0000-0001-8551-3910; Jara, JL/0000-0002-3348-7017</t>
  </si>
  <si>
    <t>1932-6203</t>
  </si>
  <si>
    <t>JAN 30</t>
  </si>
  <si>
    <t>e0191825</t>
  </si>
  <si>
    <t>10.1371/journal.pone.0191825</t>
  </si>
  <si>
    <t>WOS:000423617800037</t>
  </si>
  <si>
    <t>Kyaw, TH; Allende, S; Kwek, LC; Romero, G</t>
  </si>
  <si>
    <t>Thi Ha Kyaw; Allende, Sebastian; Kwek, Leong-Chuan; Romero, Guillermo</t>
  </si>
  <si>
    <t>Parity-preserving light-matter system mediates effective two-body interactions</t>
  </si>
  <si>
    <t>QUANTUM SCIENCE AND TECHNOLOGY</t>
  </si>
  <si>
    <t>We study the equilibrium and non-equilibrium physics of two qubits interacting through an ultrastrong coupled qubit-cavity system. By tuning the qubits energy gap while keeping the ultrastrong coupling system to its ground state, we demonstrate a strong two-qubit interaction as well as an enhanced excitation transfer between the two qubits. Our proposal has twofold implications: a means to attain multipurpose parity-protected quantum information tasks in superconducting circuits and a building block for ultrastrong coupled cavity-enhanced exciton transport in disordered media.</t>
  </si>
  <si>
    <t>Kyaw, Thi Ha/AAI-2983-2020; Kwek, Leong-Chuan/P-2303-2014; , Thi Ha Kyaw/C-5127-2015</t>
  </si>
  <si>
    <t>Kwek, Leong-Chuan/0000-0002-0879-0591; , Thi Ha Kyaw/0000-0002-3557-2709</t>
  </si>
  <si>
    <t>2058-9565</t>
  </si>
  <si>
    <t>JUN 1</t>
  </si>
  <si>
    <t>10.1088/2058-9565/aa701c</t>
  </si>
  <si>
    <t>WOS:000419250000007</t>
  </si>
  <si>
    <t>Zenteno, A; Lieberwirth, I; Catalina, F; Corrales, T; Guerrero, S; Vasco, DA; Zapata, PA</t>
  </si>
  <si>
    <t>Zenteno, Andres; Lieberwirth, Ingo; Catalina, Fernando; Corrales, Teresa; Guerrero, Sichem; Vasco, Diego A.; Zapata, Paula A.</t>
  </si>
  <si>
    <t>Study of the effect of the incorporation of TiO2 nanotubes on the mechanical and photodegradation properties of polyethylenes</t>
  </si>
  <si>
    <t>COMPOSITES PART B-ENGINEERING</t>
  </si>
  <si>
    <t>TiO2 nanotubes (TiO2-Ntbs) synthesized by a hydrothermal method with a diameter of ca. 5 nm were used as filler to prepare polyethylene (PE) and linear low density polyethylene (LLDPE) composites by melt blending. Nanotubes were used either as synthesized or organically modified with hexadecyltrimethoxysilane (Mod-TiO2-Ntbs). In some cases nanoparticles form secondary structures with sizes around 100 nm and agglomerates larger than 2 mu m are also seen by transmission electron microscopy (TEM). In terms of mechanical properties, the addition of TiO2-Ntbs resulted in a composite, LLDPE/TiO2-Ntbs, with improved properties. Compared with the pure polymer, Young's modulus increased by ca. 50%, while yield stress increased by ca. 35%. On the other hand, PE/Mod-TiO2-Ntbs and LLDPE/Mod-TiO2-Ntbs with 5 wt% filler loading showed higher E' values in the storage modulus at low temperatures than either neat PE and LLDPE. The photodegradation properties of the PE/Mod-TiO2-Ntbs and LLDPE/Mod-TiO2-Ntbs composites were studied. The largest increase of chemiluminescence emission (CL) and carbonyl index (CI) was found for LLDPE/Mod-TiO2-Ntbs during photoaging. That behavior may be due to large branching of the polymer, and to the presence of the nanotubes incorporated into the LLDPE, which promoted and accelerated its photodegradation due to reactive species generated during irradiation. (C) 2016 Elsevier Ltd. All rights reserved.</t>
  </si>
  <si>
    <t>corrales, teresa/AAN-5978-2020; Lieberwirth, Ingo/Q-5862-2017; Catalina, Fernando/AAF-2569-2019; Vasco, Diego/Y-2934-2019</t>
  </si>
  <si>
    <t>Zapata, Paula Andrea/0000-0003-3361-6226; Corrales, Teresa/0000-0002-0171-2283; Vasco, Diego Andres/0000-0001-7456-4683; Catalina, Fernando/0000-0002-4620-8582</t>
  </si>
  <si>
    <t>1359-8368</t>
  </si>
  <si>
    <t>1879-1069</t>
  </si>
  <si>
    <t>MAR 1</t>
  </si>
  <si>
    <t>10.1016/j.compositesb.2016.12.007</t>
  </si>
  <si>
    <t>WOS:000399517300009</t>
  </si>
  <si>
    <t>Arancibia-Miranda, N; Baltazar, SE; García, A; Muñoz-Lira, D; Sepúlveda, P; Rubio, MA; Altbir, D</t>
  </si>
  <si>
    <t>Arancibia-Miranda, Nicolas; Baltazar, Samuel E.; Garcia, Alejandra; Munoz-Lira, Daniela; Sepulveda, Pamela; Rubio, Maria A.; Altbir, Dora</t>
  </si>
  <si>
    <t>Nanoscale zero valent supported by Zeolite and Montmorillonite: Template effect of the removal of lead ion from an aqueous solution</t>
  </si>
  <si>
    <t>JOURNAL OF HAZARDOUS MATERIALS</t>
  </si>
  <si>
    <t>In this work, we have studied the Pb2+ sorption capacity of Zeolite (Z) and Montmorillonite (Mt) functionalized with nanoscale zero-valent iron (nZVI), at 50% w/w, obtained by means of an impregnating process with a solvent excess. The composites were characterized by several techniques including X-ray diffraction; scanning electron microscopy (SEM); BET area; isoelectric point (IEP); and, finally a magnetic response. Comparatively significant differences in terms of electrophoretic and magnetic characteristics were found between the pristine materials and the composites. Both structures show a high efficiency and velocity in the removal of Pb2+ up to 99.0% (200.0 ppm) after 40 min of reaction time. The removal kinetics of Pb2+ is adequately described by the pseudo second-order kinetic model, and the maximum adsorbed amounts (q(e)) of this analyte are in close accordance with the experimental results. The intra-particle diffusion model shows that this is not the only rate-limiting step, this being the Langmuir model which was well adjusted to our experimental data. Therefore, maximum sorption capacities were found to be 115.1 +/- 11.0, 105.5 +/- 9.0, 68.3 +/- 1.3, 54.2 +/- 1.3, and 50.3 +/- 4.2 mg g(-1), for Mt-nZVI, Z-nZVI, Zeolite, Mt, and nZVI, respectively. The higher sorption capacities can be attributed to the synergetic behavior between the clay and iron nanoparticles, as a consequence of the clay coating process with nZVI. These results suggest that both composites could be used as an efficient adsorbent for the removal of lead from contaminated water sources. (C) 2015 Elsevier B.V. All rights reserved.</t>
  </si>
  <si>
    <t>Sepulvedaor, Pamela/GRO-3516-2022; Bajo, Maria/ABF-6991-2020; Garcia, Alejandra/IQT-2699-2023; Baltazar, Samuel/E-1814-2011; Arancibia-Miranda, Nicolás/I-6743-2013; Altbir, Dora/R-6781-2018; Garcia-Garcia, A./B-1478-2012</t>
  </si>
  <si>
    <t>Altbir, Dora/0000-0002-2945-4909; Garcia-Garcia, A./0000-0001-7794-135X; Arancibia-Miranda, Nicolas/0000-0002-0142-6922; Baltazar, Samuel/0000-0001-9826-9400</t>
  </si>
  <si>
    <t>0304-3894</t>
  </si>
  <si>
    <t>1873-3336</t>
  </si>
  <si>
    <t>JAN 15</t>
  </si>
  <si>
    <t>10.1016/j.jhazmat.2015.09.007</t>
  </si>
  <si>
    <t>WOS:000367407200041</t>
  </si>
  <si>
    <t>Vilos, C; Velasquez, LA; Rodas, PI; Zepeda, K; Bong, SJ; Herrera, N; Cantin, M; Simon, F; Constandil, L</t>
  </si>
  <si>
    <t>Vilos, Cristian; Velasquez, Luis A.; Rodas, Paula I.; Zepeda, Katherine; Bong, Soung-Jae; Herrera, Natalia; Cantin, Mario; Simon, Felipe; Constandil, Luis</t>
  </si>
  <si>
    <t>Preclinical Development and In Vivo Efficacy of Ceftiofur-PLGA Microparticles</t>
  </si>
  <si>
    <t>Drug delivery systems based on polymeric microparticles represent an interesting field of development for the treatment of several infectious diseases for humans and animals. In this work, we developed PLGA microparticles loaded with ceftiofur (PLGA-cef), a third-generation cephalosporin that is used exclusively used in animals. PLGA-cef was prepared by the double emulsion w/o/w method, and exhibited a diameter in the range of 1.5-2.2 mu m, and a negative zeta potential in the range of -35 to -55 mV. The loading yield of PLGA-cef was similar to 7% and encapsulation efficiency was approximately 40%. The pharmacokinetic study demonstrated a sustained release profile of ceftiofur for 20 days. PLGA-cef administrated in a single dose was more effective than ceftiofur non-encapsulated in rats challenged with S. Typhimurium. The in vivo toxicological evaluation showed that PLGA-cef did not affect the blood biochemical, hematological and hemostasis parameters. Overall, the PLGA-cef showed slow in vivo release profile, high antibacterial efficacy, and low toxicity. The results obtained supports the safe application of PLGA-cef as sustained release platform in the veterinary industry.</t>
  </si>
  <si>
    <t>Ortiz, Cristian/F-9162-2014; Rodas, Paula I./I-3631-2013; Cantin, Mario/L-9054-2013</t>
  </si>
  <si>
    <t>Rodas, Paula I./0000-0002-8071-1229; Simon, Felipe/0000-0002-2653-9798; Vilos, Cristian/0000-0001-5619-3348; Cantin, Mario/0000-0002-1749-8672; Constandil, Luis/0000-0002-2504-0119; Velasquez, Luis/0000-0002-9479-1792</t>
  </si>
  <si>
    <t>APR 27</t>
  </si>
  <si>
    <t>e0123335</t>
  </si>
  <si>
    <t>10.1371/journal.pone.0123335</t>
  </si>
  <si>
    <t>WOS:000353659100021</t>
  </si>
  <si>
    <t>Vilas-Boas, PSC; Elias, RG; Altbir, D; Fonseca, JM; Carvalho-Santos, VL</t>
  </si>
  <si>
    <t>Vilas-Boas, Priscila S. C.; Elias, Ricardo G.; Altbir, Dora; Fonseca, Jakson M.; Carvalho-Santos, Vagson L.</t>
  </si>
  <si>
    <t>Topological magnetic solitons on a paraboloidal shell</t>
  </si>
  <si>
    <t>PHYSICS LETTERS A</t>
  </si>
  <si>
    <t>We study the influence of curvature on the exchange energy of skyrmions and vortices on a paraboloidal surface. It is shown that such structures appear as excitations of the Heisenberg model, presenting topological stability, unlike what happens on other simply-connected geometries such as pseudospheres. We also show that the skyrmion width depends on the geometrical parameters of the paraboloid. The presence of a magnetic field leads to the appearance of 2 pi-skyrmions, introducing a new characteristic length into the system. Regarding vortices, the geometrical parameters of the paraboloid play an important role in the exchange energy of this excitation. (C) 2014 Elsevier B.V. All rights reserved.</t>
  </si>
  <si>
    <t>Elias, Ricardo/F-2608-2012; Carvalho-Santos, Vagson/E-8806-2013; Fonseca, Jakson/N-7354-2013; Altbir, Dora/R-6781-2018</t>
  </si>
  <si>
    <t>Carvalho-Santos, Vagson/0000-0002-2759-2152; Fonseca, Jakson/0000-0001-9441-026X; Altbir, Dora/0000-0002-2945-4909</t>
  </si>
  <si>
    <t>0375-9601</t>
  </si>
  <si>
    <t>1873-2429</t>
  </si>
  <si>
    <t>JAN 2</t>
  </si>
  <si>
    <t>1-2</t>
  </si>
  <si>
    <t>10.1016/j.physleta.2014.10.025</t>
  </si>
  <si>
    <t>WOS:000346460500009</t>
  </si>
  <si>
    <t>Baltazar, SE; García, A; Romero, AH; Rubio, MA; Arancibia-Miranda, N; Altbir, D</t>
  </si>
  <si>
    <t>Baltazar, Samuel E.; Garcia, Alejandra; Romero, Aldo H.; Rubio, Maria A.; Arancibia-Miranda, Nicolas; Altbir, Dora</t>
  </si>
  <si>
    <t>Surface rearrangement of nanoscale zerovalent iron: the role of pH and its implications in the kinetics of arsenate sorption</t>
  </si>
  <si>
    <t>ENVIRONMENTAL TECHNOLOGY</t>
  </si>
  <si>
    <t>We consider the use of metallic iron nanoparticles for cleaning contaminated water, focusing our study in the sorption of arsenic compounds. In particular, we discuss the results of their sorption process on the surface of zerovalent iron nanoparticles (nZVI) by performing a complete characterization of the surface modifications. Using scanning electron microscopy, X-ray diffraction analysis and high-resolution transmission electron microscopy, spectroscopy diffraction measurements and elemental mapping, we typify the surface reconstruction during the sorption process of As(V) from aqueous solutions using nZVI when it goes into a crystalline parasymplesite structure. The experimental results were correlated to the Freundlich isotherm sorption where the sorption capacity is depleted by the increase in the pH from 4 to 7 and associated with the surface passivation of nZVI. These techniques confirm the dependence of the sorption of arsenic as a function of pH and describe the specific details on the modification of the surface area of the nanoparticles.</t>
  </si>
  <si>
    <t>Garcia, Alejandra/IQT-2699-2023; Baltazar, Samuel/E-1814-2011; Arancibia-Miranda, Nicolás/I-6743-2013; Bajo, Maria/ABF-6991-2020; romero, aldo/B-2344-2016; Altbir, Dora/R-6781-2018; Garcia-Garcia, A./B-1478-2012</t>
  </si>
  <si>
    <t>romero, aldo/0000-0001-5968-0571; Altbir, Dora/0000-0002-2945-4909; Baltazar, Samuel/0000-0001-9826-9400; Garcia-Garcia, A./0000-0001-7794-135X</t>
  </si>
  <si>
    <t>0959-3330</t>
  </si>
  <si>
    <t>1479-487X</t>
  </si>
  <si>
    <t>SEP</t>
  </si>
  <si>
    <t>10.1080/09593330.2014.904932</t>
  </si>
  <si>
    <t>WOS:000336432700012</t>
  </si>
  <si>
    <t>Vega, A; Baldo, B; Paredes-García, V; Spodine, E; Venegas-Yazigi, D</t>
  </si>
  <si>
    <t>Vega, A.; Baldo, B.; Paredes-Garcia, V.; Spodine, E.; Venegas-Yazigi, D.</t>
  </si>
  <si>
    <t>General Synthetic Route and Structural Characterization of New 3d-4f Materials</t>
  </si>
  <si>
    <t>ACTA CRYSTALLOGRAPHICA A-FOUNDATION AND ADVANCES</t>
  </si>
  <si>
    <t>Paredes-Garcia, Veronica/C-4415-2011; Vega, Andres/B-2122-2010; Venegas-Yazigi, Diego/C-5022-2009</t>
  </si>
  <si>
    <t>2053-2733</t>
  </si>
  <si>
    <t>AUG</t>
  </si>
  <si>
    <t>S</t>
  </si>
  <si>
    <t>MM.P14</t>
  </si>
  <si>
    <t>C1775</t>
  </si>
  <si>
    <t>10.1107/S2053273314082242</t>
  </si>
  <si>
    <t>WOS:000519606301778</t>
  </si>
  <si>
    <t>Barbarino, S; Flores, EIS; Ajaj, RM; Dayyani, I; Friswell, MI</t>
  </si>
  <si>
    <t>Barbarino, S.; Flores, E. I. Saavedra; Ajaj, R. M.; Dayyani, I.; Friswell, M. I.</t>
  </si>
  <si>
    <t>A review on shape memory alloys with applications to morphing aircraft</t>
  </si>
  <si>
    <t>SMART MATERIALS AND STRUCTURES</t>
  </si>
  <si>
    <t>Shape memory alloys (SMAs) are a unique class of metallic materials with the ability to recover their original shape at certain characteristic temperatures (shape memory effect), even under high applied loads and large inelastic deformations, or to undergo large strains without plastic deformation or failure (super-elasticity). In this review, we describe the main features of SMAs, their constitutive models and their properties. We also review the fatigue behavior of SMAs and some methods adopted to remove or reduce its undesirable effects. SMAs have been used in a wide variety of applications in different fields. In this review, we focus on the use of shape memory alloys in the context of morphing aircraft, with particular emphasis on variable twist and camber, and also on actuation bandwidth and reduction of power consumption. These applications prove particularly challenging because novel configurations are adopted to maximize integration and effectiveness of SMAs, which play the role of an actuator (using the shape memory effect), often combined with structural, load-carrying capabilities. Iterative and multi-disciplinary modeling is therefore necessary due to the fluid-structure interaction combined with the nonlinear behavior of SMAs.</t>
  </si>
  <si>
    <t>Ajaj, Rafic/P-6314-2016; Flores, Erick/I-7646-2012; Friswell, Michael/B-5581-2009</t>
  </si>
  <si>
    <t>Dayyani, Iman/0000-0001-8956-2090; Friswell, Michael/0000-0003-4677-7395</t>
  </si>
  <si>
    <t>0964-1726</t>
  </si>
  <si>
    <t>1361-665X</t>
  </si>
  <si>
    <t>10.1088/0964-1726/23/6/063001</t>
  </si>
  <si>
    <t>WOS:000336277600001</t>
  </si>
  <si>
    <t>Leal, D; De Borggraeve, W; Encinas, MV; Matsuhiro, B; Müller, R</t>
  </si>
  <si>
    <t>Leal, David; De Borggraeve, Wim; Encinas, Maria V.; Matsuhiro, Betty; Muller, Robert</t>
  </si>
  <si>
    <t>Preparation and characterization of hydrogels based on homopolymeric fractions of sodium alginate and PNIPAAm</t>
  </si>
  <si>
    <t>CARBOHYDRATE POLYMERS</t>
  </si>
  <si>
    <t>Graft copolymers were prepared by formation of an amide bond between poly-alpha-L-guluronic acid (MW 24,000), isolated from sodium alginate and the free amino group of PNIPAAm-NH2. SEM micrographs revealed the formation of a macroscopic network on the surface of the grafted hydrogels with a porosity diameter of 10-20 mu m. Semi-IPN hydrogels were prepared using different proportions of sodium poly-beta-D-mannuronate (MW 21,000), isolated from sodium alginate and cross-linked PNIPAAm-NH2 polymers. SEM micrographs showed porosities of minor size (similar to 5 mu m) Though both types of hydrogels are good water containers, the water retention capacity of graft copolymers is more than 50% higher than that of semi-IPN hydrogels. Both hydrogel types showed significant changes in swelling ratios between 20 and 45 degrees C: the swelling ratio decreases near the LCST of PNIPAAm. The water absorption and retention capacity of graft hydrogels increases with pH, reaching a maximum value at pH 7.0. (C) 2012 Elsevier Ltd. All rights reserved.</t>
  </si>
  <si>
    <t>Encinas, Maria/L-9686-2014; De Borggraeve, Wim/C-5179-2008; Mueller, Robert/KBQ-0958-2024</t>
  </si>
  <si>
    <t>De Borggraeve, Wim/0000-0001-7813-6192</t>
  </si>
  <si>
    <t>0144-8617</t>
  </si>
  <si>
    <t>1879-1344</t>
  </si>
  <si>
    <t>10.1016/j.carbpol.2012.09.031</t>
  </si>
  <si>
    <t>WOS:000313146900021</t>
  </si>
  <si>
    <t>Arias-Cavieres, A; Rozas, C; Reyes-Parada, M; Barrera, N; Pancetti, F; Loyola, S; Lorca, RA; Zeise, ML; Morales, B</t>
  </si>
  <si>
    <t>Arias-Cavieres, Alejandra; Rozas, Carlos; Reyes-Parada, Miguel; Barrera, Nelson; Pancetti, Floria; Loyola, Sebastian; Lorca, Ramon A.; Zeise, Marc L.; Morales, Bernardo</t>
  </si>
  <si>
    <t>MDMA (ecstasy) impairs learning in the Morris Water Maze and reduces hippocampal LTP in young rats</t>
  </si>
  <si>
    <t>NEUROSCIENCE LETTERS</t>
  </si>
  <si>
    <t>3,4-Methylenedioxymethamphetamine (MDMA), an important recreational psychostimulant drug, was examined for its ability to alter visuo-spatial learning and synaptic plasticity. Young rats received MDMA (0.2 and 2 mg/kg s.c.) twice per day for 6 days while their visuo-spatial learning was tested using the Morris Water Maze. After this, animals were sacrificed and LTP induced in hippocampal slices. Visuospatial learning was impaired and LTP reduced, both dose-dependently, without changes in serotonin levels or paired-pulse facilitation. We conclude that low, nontoxic doses of MDMA, applied during several days, slow learning by impairing postsynaptic plasticity. (C) 2009 Elsevier Ireland Ltd. All rights reserved.</t>
  </si>
  <si>
    <t>Morales Castañeda, Bernardo/GPP-1642-2022; Pancetti, Floria/A-2491-2013; Loyola Arroyo, Sebastian/IAO-1254-2023</t>
  </si>
  <si>
    <t>Rozas, Carlos/0000-0002-6422-9600; Loyola Arroyo, Sebastian/0000-0002-6029-2274; Pancetti, Floria/0000-0002-6990-9832; Barrera, Nelson/0000-0001-7825-1406; Lorca, Ramon/0000-0001-9159-1739</t>
  </si>
  <si>
    <t>0304-3940</t>
  </si>
  <si>
    <t>1872-7972</t>
  </si>
  <si>
    <t>JAN 29</t>
  </si>
  <si>
    <t>10.1016/j.neulet.2009.12.031</t>
  </si>
  <si>
    <t>WOS:000274722100020</t>
  </si>
  <si>
    <t>Urtubia, C; Devia, J; Castro, A; Zamora, P; Aguirre, C; Tapia, E; Barba, P; Dell'Orto, P; Moynihan, MR; Petri, C; Scorza, R; Prieto, H</t>
  </si>
  <si>
    <t>Urtubia, Carolina; Devia, Jessica; Castro, Alvaro; Zamora, Pablo; Aguirre, Carlos; Tapia, Eduardo; Barba, Paola; Dell'Orto, Paola; Moynihan, Michael R.; Petri, Cesar; Scorza, Ralph; Prieto, Humberto</t>
  </si>
  <si>
    <t>Agrobacterium-mediated genetic transformation of Prunus salicina</t>
  </si>
  <si>
    <t>PLANT CELL REPORTS</t>
  </si>
  <si>
    <t>We report Agrobacterium tumefaciens-mediated transformation of two Prunus salicina varieties, 'Angeleno' and 'Larry Anne', using a modification of the hypocotyl slice technique previously described for P. domestica. Regeneration rates on thidiazuron (TDZ) and indole-3-butyric acid (IBA) supplemented Murashige and Skoog (MS) media reached 11% for 'Angeleno' and 19% for 'Larry Anne' hypocotyl slices. Transformation using Agrobacterium tumefaciens GV3101 harboring a plasmid with the neomycin phosphotransferase II (nptII) and the green fluorescent protein (gfp) genes produced ten independent lines, six from 'Angeleno' and four from 'Larry Anne', representing transformation efficiencies of 0.8 and 0.3%, respectively, relative to the initial number of hypocotyl slices. Plants of six lines were found to produce the transgene encoded mRNAs. DNA blotting demonstrated the presence of transgene sequences in trees from five lines after 18 months of growth in the greenhouse.</t>
  </si>
  <si>
    <t>Prieto, H./B-4400-2008; Aguirre, Carlos/H-9886-2013; Tapia, Eduardo/AAA-4295-2022; Zamora, Pablo/D-1612-2012; Petri, Cesar/AAP-7409-2021</t>
  </si>
  <si>
    <t>Prieto, Humberto/0000-0002-9013-1906; Petri, Cesar/0000-0003-0773-929X; Tapia, Eduardo/0000-0001-5705-098X; Barba, Paola/0000-0001-9485-4733</t>
  </si>
  <si>
    <t>0721-7714</t>
  </si>
  <si>
    <t>1432-203X</t>
  </si>
  <si>
    <t>10.1007/s00299-008-0559-0</t>
  </si>
  <si>
    <t>WOS:000257382800007</t>
  </si>
  <si>
    <t>Aguirre, P; Moya, SA; Sariego, R; Le Bozec, H; Pardey, AJ</t>
  </si>
  <si>
    <t>Water-gas shift reaction catalyzed by mononuclear ruthenium complexes containing bipyridine and phenanthroline derivatives</t>
  </si>
  <si>
    <t>APPLIED ORGANOMETALLIC CHEMISTRY</t>
  </si>
  <si>
    <t>Ruthenium complexes of the type [RuL(CO)(2)Cl-2], [RuL2Cl2], [RuL2(CO)(H2O)](PF6)(2), [RuL2Cl](2)(PF6)(2), [RuL2(CO)Cl](PF6), and [RuL2(CO3)].3H(2)O (where L is a bipyridine or phenanthroline derivative) dissolved in aqueous 2-ethoxyethanol, and in a basic medium of KOH, triethylamine, or trimethylamine, catalyze the water-gas shift reaction under mild conditions (P-CO = 0.9 atm at 100degreesC). Copyright (C) 2002 John Wiley Sons, Ltd.</t>
  </si>
  <si>
    <t>0268-2605</t>
  </si>
  <si>
    <t>1099-0739</t>
  </si>
  <si>
    <t>OCT</t>
  </si>
  <si>
    <t>10.1002/aoc.353</t>
  </si>
  <si>
    <t>WOS:000178135700007</t>
  </si>
  <si>
    <t>Aros, R; Contreras, M; Olea, R; Troncoso, R; Zanelli, J</t>
  </si>
  <si>
    <t>Conserved charges for even dimensional asymptotically AdS gravity theories</t>
  </si>
  <si>
    <t>PHYSICAL REVIEW D</t>
  </si>
  <si>
    <t>Mass and other conserved Noether charges are discussed for solutions of gravity theories with locally anti-de Sitter (AdS) asymptotics in 2n dimensions. The action is supplemented with a boundary term whose purpose is to guarantee that it reaches an extremum on the classical solutions, provided the space-time is locally AdS space-time at the boundary. It is also shown that if space-time is locally AdS at spatial infinity, the conserved charges are finite and properly normalized without requiring subtraction of a reference background, In this approach, Noether charges associated with Lorentz and diffeomorphism invariance vanish identically for constant curvature space-times. The case of a zero cosmological constant is obtained as a limit of AdS space-time, where Lambda plays the role of a regulator.</t>
  </si>
  <si>
    <t>Troncoso, Ricardo/H-5051-2013; Olea, Rodrigo/C-6250-2009</t>
  </si>
  <si>
    <t>Contreras, Mauricio/0000-0001-6132-8032; Troncoso, Ricardo/0000-0003-3659-1140; Olea, Rodrigo/0000-0003-4996-5877; Aros, Rod/0000-0001-5337-1153</t>
  </si>
  <si>
    <t>2470-0010</t>
  </si>
  <si>
    <t>2470-0029</t>
  </si>
  <si>
    <t>AUG 15</t>
  </si>
  <si>
    <t>10.1103/PhysRevD.62.044002</t>
  </si>
  <si>
    <t>WOS:000088793100044</t>
  </si>
  <si>
    <t>Ríos, E; Nguyen-Cong, N; Marco, JF; Gancedo, JR; Chartier, P; Gautier, JL</t>
  </si>
  <si>
    <t>Indirect oxidation of ethylene glycol by peroxide ions at Ni0.3Co2.7O4 spinel oxide thin film electrodes</t>
  </si>
  <si>
    <t>ELECTROCHIMICA ACTA</t>
  </si>
  <si>
    <t>Films of mixed valency oxides NixCo3-xO4 (1 greater than or equal to x greater than or equal to 0.1) were studied in alkaline solutions for the indirect oxidation of ethylene glycol (EG) by peroxide anions HO2- resulting from the cathodic reduction of O-2. It was found that the electrocatalytical activity of the oxides correlated to nominal Co3+/Co2+ content ratio in the spinel structure and that the oxide Ni0.3Co2.7O4, which presents the highest Co3+/Co2+ ratio, was the most effective in the series. (C) 2000 Elsevier Science Ltd. All rights reserved.</t>
  </si>
  <si>
    <t>Marco, JF/N-3176-2014</t>
  </si>
  <si>
    <t>Marco, JF/0000-0002-5147-1449</t>
  </si>
  <si>
    <t>0013-4686</t>
  </si>
  <si>
    <t>1873-3859</t>
  </si>
  <si>
    <t>10.1016/S0013-4686(00)00498-9</t>
  </si>
  <si>
    <t>WOS:000089538300005</t>
  </si>
  <si>
    <t>Cabrejos, ME; Zhao, HL; Guacucano, M; Bueno, S; Levican, G; Garcia, E; Jedlicki, E; Holmes, DS</t>
  </si>
  <si>
    <t>IST1 insertional inactivation of the resB gene:: implications for phenotypic switching in Thiobacillus ferrooxidans</t>
  </si>
  <si>
    <t>FEMS MICROBIOLOGY LETTERS</t>
  </si>
  <si>
    <t>Thiobacillus ferrooxidans ATCC 19859 undergoes rapid phenotypic switching between a wild-type stare characterized by the ability to oxidize ferrous iron (FeII) and reduced sulfur compounds and a mutant state where it has lost the capacity to oxidize FeII but retains the ability to oxidize sulfur. The mutant has also gained the capacity to swarm. It is proposed that loss of FeII oxidation is due to the reversible transposition of the insertion sequence IST1 into resB encoding a putative cytochrome c-type biogenesis protein. Downstream from resB and co-transcribed with it is resC, encoding another putative cytochrome biogenesis protein. IST1 insertional inactivation of resB could result in the loss of activity of its target c-type cytochrome(s). This putative target cytochrome(s) is proposed to be essential for FeII oxidation but not for sulfur oxidation. Curiously, resB and I resC pertain to the proposed system II cytochrome biogenesis pathway whereas gamma Proteobacteria, of which T. ferrooxidans is a member, normally use system I. This could represent an example of lateral gene transfer. (C) 1999 Published by Elsevier Science B.V, All rights reserved.</t>
  </si>
  <si>
    <t>Levican, Gloria/R-5191-2019; Bueno, Susan/KSL-5357-2024</t>
  </si>
  <si>
    <t>Bueno, Susan M./0000-0002-7551-8088; Levican, Gloria/0000-0002-1275-7399; Holmes, David/0000-0001-9555-138X</t>
  </si>
  <si>
    <t>0378-1097</t>
  </si>
  <si>
    <t>1574-6968</t>
  </si>
  <si>
    <t>JUN 15</t>
  </si>
  <si>
    <t>10.1111/j.1574-6968.1999.tb13624.x</t>
  </si>
  <si>
    <t>WOS:000080920200011</t>
  </si>
  <si>
    <t>Krautwurst, H; Bazaes, S; González, FD; Jabalquinto, AM; Frey, PA; Cardemil, E</t>
  </si>
  <si>
    <t>The strongly conserved lysine 256 of Saccharomyces cerevisiae phosphoenolpyruvate carboxykinase is essential for phosphoryl transfer</t>
  </si>
  <si>
    <t>BIOCHEMISTRY</t>
  </si>
  <si>
    <t>Lysine 256, a conserved amino acid of Saccharomyces cerevisiae phosphoenolpyruvate (PEP) carboxykinase located in the consensus kinase la sequence of the enzyme, was changed to alanine, arginine, or glutamine by site-directed mutagenesis. These substitutions did not result in gross changes in the protein structure, as indicated by circular dichroism, tryptophan fluorescence spectroscopy, and gel-exclusion chromatography. The three variant enzymes showed almost unaltered K-m for MnADP but about a 20 000-fold decrease in V-max for the PEP carboxylation reaction, as compared to wild-type PEP carboxykinase. The variant enzymes presented oxaloacetate decarboxylase activity at levels similar to those of the native protein; however, they lacked pyruvate kinase-like activity. The dissociation constant for the enzyme-MnATP complex was 1.3 +/- 0.3 mu M for wild-type S. cerevisiae PEP carboxykinase, and the corresponding values for the Lys256Arg, Lys256Gln, and Lys256Ala mutants were 2.0 +/- 0.6 mu M, 17 +/- 2 mu M, and 20 +/- 6 mu M, respectively. These results collectively show that a positively charged residue is required for proper binding of MnATP and that Lys(256) plays an essential role in transition state stabilization during phosphoryl transfer for S. cerevisiae PEP carboxykinase.</t>
  </si>
  <si>
    <t>Gonzalez Nilo, Fernando Danilo/M-5671-2016</t>
  </si>
  <si>
    <t>Gonzalez Nilo, Fernando Danilo/0000-0001-6857-3575</t>
  </si>
  <si>
    <t>0006-2960</t>
  </si>
  <si>
    <t>MAY 5</t>
  </si>
  <si>
    <t>10.1021/bi971515e</t>
  </si>
  <si>
    <t>WOS:000073585600010</t>
  </si>
  <si>
    <t>Neumann, MG; Gehlen, MH; Encinas, MV; Allen, NS; Corrales, T; Peinado, C; Catalina, F</t>
  </si>
  <si>
    <t>Photophysics and photoreactivity of substituted thioxanthones</t>
  </si>
  <si>
    <t>JOURNAL OF THE CHEMICAL SOCIETY-FARADAY TRANSACTIONS</t>
  </si>
  <si>
    <t>The photophysics and the interaction of the excited states of substituted thioxanthones have been studied in order to be able to predict their behaviour as photoinitiators in photopolymerization systems. Electron-donor groups in position 2 in the thioxanthone ring lead to high fluorescence quantum yields, red-shifts in the emission spectra and long singlet lifetimes, explained by the separation of the n pi* and pi pi* excited states induced by the higher electron density of the aromatic system. For some of the derivatives a biexponential decay due to slow relaxation of the solvent has been observed. Rate constants for the quenching of the singlet state by amines are near the diffusional limit and are not modified by substituents. On the other hand, substitution of electron-donor groups on the thioxanthone ring in position 2 decreases the triplet reactivity towards amines and alkenes. The incorporation of double bonds on the side chains of the compounds does not affect the lifetimes and reactivity of the thioxanthones.</t>
  </si>
  <si>
    <t>Encinas, Maria/L-9686-2014; Catalina, Fernando/AAF-2569-2019; Gehlen, Marcelo/I-7311-2013; corrales, teresa/AAN-5978-2020; Neumann, Miguel/AAM-1395-2021</t>
  </si>
  <si>
    <t>Corrales, Teresa/0000-0002-0171-2283; Gehlen, Marcelo/0000-0001-9698-8284; Catalina, Fernando/0000-0002-4620-8582</t>
  </si>
  <si>
    <t>0956-5000</t>
  </si>
  <si>
    <t>APR 21</t>
  </si>
  <si>
    <t>10.1039/a607264j</t>
  </si>
  <si>
    <t>WOS:A1997WW48000008</t>
  </si>
  <si>
    <t>TORRES, R; VILLARROEL, L; URZUA, A; DELLEMONACHE, F; DELLEMONACHE, G; GACSBAITZ, E</t>
  </si>
  <si>
    <t>FILIFOLINOL, A REARRANGED GERANYL AROMATIC DERIVATIVE FROM THE RESINOUS EXUDATE OF HELIOTROPIUM-FILIFOLIUM</t>
  </si>
  <si>
    <t>PHYTOCHEMISTRY</t>
  </si>
  <si>
    <t>The resinous exudate of Heliotropium filifolium has yielded a new rearranged geranyl aromatic derivative. This result is in agreement with the botanical affinity of some members of the Cochranea section of Heliotropium.</t>
  </si>
  <si>
    <t>Urzua, Alejandro/0000-0003-2638-0921</t>
  </si>
  <si>
    <t>0031-9422</t>
  </si>
  <si>
    <t>MAY</t>
  </si>
  <si>
    <t>10.1016/S0031-9422(00)97048-1</t>
  </si>
  <si>
    <t>WOS:A1994NL39100048</t>
  </si>
  <si>
    <t>Brito, E; Rivera, E; Bezmalinovic, A; García-Herrera, C; Godoy-Guzmán, C; Celentano, DJ; Gonzalez-Candia, A; Herrera, EA</t>
  </si>
  <si>
    <t>Brito, Enzo; Rivera, Eugenio; Bezmalinovic, Alejandro; Garcia-Herrera, Claudio; Godoy-Guzman, Carlos; Celentano, Diego J.; Gonzalez-Candia, Alejandro; Herrera, Emilio A.</t>
  </si>
  <si>
    <t>Effect of melatonin on passive, ex-vivo biomechanical behavior of lamb esophagus</t>
  </si>
  <si>
    <t>SCIENTIFIC REPORTS</t>
  </si>
  <si>
    <t>One of the purposes of tissue engineering is to offer therapeutic alternatives to treat various esophagus-related diseases. To develop viable esophageal replacements that are both mechanically and biologically compatible and to assess the impact of pharmacological treatments on esophageal tissue at the macro- and micro-structural levels, it is crucial to understand the biomechanical properties of the esophagus. In this study, we analyzed esophageal tissue samples from nine newborn lambs. Subjects were randomly separated into a control group (n = 5) and a melatonin-treated group (n = 4). The passive mechanical response of the esophagus was studied by performing in-vitro uniaxial tensile tests along longitudinal and circumferential directions. Samples were classified into three types: internal tissue (mucosa and submucosa layers), external tissue (external muscular layer), and integrated tissue (comprising all layers). Uniaxial stress versus stretch curves of each classification were used to determine mechanical properties that were statistically analyzed. Moreover, average experimental results were used to calibrate an anisotropic hyperelastic model. Stress-stretch curves from uniaxial tests showed a highly anisotropic behavior, with a higher stiffness along the longitudinal direction and internal tissue exhibiting the highest stiffness. To contrast the results obtained from mechanical testing, histological analysis of esophagus samples was carried out. Microstructural components were quantified and morphological measurements of the main zones were performed. No significant differences were found at the macro- and microstructural levels of the tissue, indicating that the supply of low doses of melatonin does not alter the biomechanical properties of the esophagus.</t>
  </si>
  <si>
    <t>Rivera, Eugenio/LEN-3594-2024; Celentano, Diego/JQW-5027-2023; Herrera, Emilio/H-5992-2018; Gonzalez-Candia, Alejandro/GOV-6045-2022; Godoy-Guzman, Carlos Ignacio/IUO-1065-2023; García-Herrera, Claudio/ABE-8991-2020</t>
  </si>
  <si>
    <t>Godoy-Guzman, Carlos/0000-0001-8451-7047</t>
  </si>
  <si>
    <t>2045-2322</t>
  </si>
  <si>
    <t>APR 3</t>
  </si>
  <si>
    <t>10.1038/s41598-025-96288-w</t>
  </si>
  <si>
    <t>WOS:001459337000015</t>
  </si>
  <si>
    <t>Gamez, P; Lemus, L</t>
  </si>
  <si>
    <t>Gamez, Patrick; Lemus, Luis</t>
  </si>
  <si>
    <t>Collaborations in the Spanish-Speaking Bioinorganic Community</t>
  </si>
  <si>
    <t>JOURNAL OF BIOLOGICAL INORGANIC CHEMISTRY</t>
  </si>
  <si>
    <t>Patrick Gamez, FRSC/B-3610-2012</t>
  </si>
  <si>
    <t>0949-8257</t>
  </si>
  <si>
    <t>1432-1327</t>
  </si>
  <si>
    <t>FEB</t>
  </si>
  <si>
    <t>SI</t>
  </si>
  <si>
    <t>10.1007/s00775-024-02047-z</t>
  </si>
  <si>
    <t>MAR 2024</t>
  </si>
  <si>
    <t>WOS:001190290700001</t>
  </si>
  <si>
    <t>Zambra, C; Clausen, B; Vasco, D; Lemus-Mondaca, R</t>
  </si>
  <si>
    <t>Zambra, Carlos; Clausen, Benjamin; Vasco, Diego; Lemus-Mondaca, Roberto</t>
  </si>
  <si>
    <t>Geomorphological changes in young soils with sparse vegetation: Mathematical modeling and numerical simulation</t>
  </si>
  <si>
    <t>HELIYON</t>
  </si>
  <si>
    <t>This article presents an improved mathematical model and numerical simulation for weathering of large areas with complex topography. It uses the equations of momentum, temperature, and humidity in turbulent air and for heat and water infiltration into soils. A mathematical model is also presented to calculate the soil porosity fraction produced by physical rock weathering in areas where soil is produced from intrusive rocks (batholiths). An algorithm based on air velocity, humidity (rainfall), temperature variation, and soil topography was developed to quantify soil erosion and change of relief at each point and time step in air, at the ground surface, and within the soil. This results in a complete air-soil model based on conservation laws that have not previously been applied to large areas of the earth's surface. The mathematical model is solved using large-scale numerical simulations applied to an area of 6.6 km2 in the Sierra Nevada batholith of California, USA. The results show that the wind velocity and resulting erosion is greater in areas with steeper slopes and that moisture accumulates mainly in low and flat areas; therefore, erosion is not uniform throughout the study area. In addition, computer simulations localized calculations to discrete grid cells within the porous (saprolite) fraction of the soil produced by freezing and thawing of water in rock. Results indicate that this physical mechanism is the primary contributor to weathering of rock at the study area.</t>
  </si>
  <si>
    <t>Lemus-Mondaca, Roberto/E-8348-2017; Vasco, Diego/Y-2934-2019; Clausen, Ben/MIN-7130-2025</t>
  </si>
  <si>
    <t>Clausen, Benjamin Leroy/0000-0001-9894-7830; Vasco, Diego Andres/0000-0001-7456-4683</t>
  </si>
  <si>
    <t>2405-8440</t>
  </si>
  <si>
    <t>NOV</t>
  </si>
  <si>
    <t>e21044</t>
  </si>
  <si>
    <t>10.1016/j.heliyon.2023.e21044</t>
  </si>
  <si>
    <t>OCT 2023</t>
  </si>
  <si>
    <t>WOS:001110508000001</t>
  </si>
  <si>
    <t>Cáceres-Jensen, L; Rodríguez-Becerra, J; Jorquera-Moreno, B; Escudey, M; Druker-Ibañez, S; Hernández-Ramos, J; Díaz-Arce, T; Pernaa, J; Aksela, M</t>
  </si>
  <si>
    <t>Caceres-Jensen, Lizethly; Rodriguez-Becerra, Jorge; Jorquera-Moreno, Barbara; Escudey, Mauricio; Druker-Ibanez, Sofia; Hernandez-Ramos, Jose; Diaz-Arce, Tatiana; Pernaa, Johannes; Aksela, Maija</t>
  </si>
  <si>
    <t>Learning Reaction Kinetics through Sustainable Chemistry of Herbicides: A Case Study of Preservice Chemistry Teachers' Perceptions of Problem-Based Technology Enhanced Learning</t>
  </si>
  <si>
    <t>JOURNAL OF CHEMICAL EDUCATION</t>
  </si>
  <si>
    <t>Teaching the fundamentals of chemical kinetics on the college level is challenging to teachers and students alike due to its abstract nature of concepts and limited connection with real context applications. This study consisted of two phases starting with designing a chemistry education for the sustainable development-based learning environment of reaction kinetics, followed by a case study in which students' perceptions toward learning chemistry by solving a real environmental problem using digital resources, spreadsheets, and an active learning environment, were explored. First, we designed a Socio-Scientific Environmental Chemistry module centered on the sorption kinetic processes of herbicides in volcanic ash derived soils (VADS) and their potential to pollute groundwater. The objective of the learning module was to contribute to the development of sustainability skills, to promote learning of contextualized chemistry knowledge, and to develop scientific skills. This module employs spreadsheets as computational tools in chemistry to model real sorption kinetic data of herbicides in VADS. The learning module was designed for one section of two Analytical Chemistry courses and one Physical Chemistry course of an undergraduate chemistry teacher-training program. After the design phase, the learning module was implemented in each course, and students' perceptions were gathered using the focus group technique. The sample was of 22 students distributed into three focus groups. The data collected were analyzed and categorized through qualitative content analysis using the Technological Pedagogical Science Knowledge (TPASK) framework. On the basis of our findings, the students acquired contextualized chemistry knowledge and develop skills and knowledge related to using digital resources and spreadsheets in a scientific context. Besides, the preservice chemistry teachers' knowledge of pedagogy allowed them to develop some elements of their pedagogical science knowledge and TPASK. This case study shows that the problem-based learning approach offers great potential in supporting a learning environment suitable to working with spreadsheets to solve real-environment problems in chemistry education.</t>
  </si>
  <si>
    <t>hernandez-ramos, jose/KCY-3868-2024; Cáceres-Jensen, Lizethly/AAC-8527-2020; Druker-Ibáñez, Sofia/X-2824-2019; Pernaa, Johannes/AAD-1593-2020; Rodriguez-Becerra, Jorge/F-8714-2017</t>
  </si>
  <si>
    <t>Hernandez Ramos, Jose/0000-0001-8871-8495; Pernaa, Johannes/0000-0003-1735-5767; Aksela, Maija Katariina/0000-0002-9552-248X; Druker Ibanez, Sofia/0000-0002-0934-4825; Rodriguez-Becerra, Jorge/0000-0003-1496-8410; Caceres-Jensen, Lizethly/0000-0002-5903-7356</t>
  </si>
  <si>
    <t>0021-9584</t>
  </si>
  <si>
    <t>1938-1328</t>
  </si>
  <si>
    <t>MAY 11</t>
  </si>
  <si>
    <t>10.1021/acs.jchemed.0c00557</t>
  </si>
  <si>
    <t>APR 2021</t>
  </si>
  <si>
    <t>WOS:000651525900011</t>
  </si>
  <si>
    <t>Encina, C; Giménez, B; Márquez-Ruiz, G; Holgado, F; Vergara, C; Romero-Hasler, P; Soto-Bustamante, E; Robert, P</t>
  </si>
  <si>
    <t>Encina, Cristian; Gimenez, Begona; Marquez-Ruiz, Gloria; Holgado, Francisca; Vergara, Cristina; Romero-Hasler, Patricio; Soto-Bustamante, Eduardo; Robert, Paz</t>
  </si>
  <si>
    <t>Hydroxypropyl-inulin as a novel encapsulating agent of fish oil by conventional and water-free spray drying</t>
  </si>
  <si>
    <t>FOOD HYDROCOLLOIDS</t>
  </si>
  <si>
    <t>Hydroxypropyl-inulin (HPI) was synthetized from inulin by etherification. The hydroxypropylation of inulin (degree of substitution 0.7) was confirmed by H-1 NMR. The replacement of hydroxyl groups in inulin by an ether linkage increased its hydrophobicity, making HPI suitable as a novel encapsulating agent of fish oil (FO) by both conventional and water-free spray drying. FO microparticles were designed according to a composite central plus star statistical design. A FO-in-water emulsion was prepared as infeed for encapsulation by conventional spray drying (FO-csd), whereas FO was dispersed in methanol for encapsulation by water-free spray drying (FO-wfsd). The encapsulation efficiency of FO was similar in both FO-csd and FO-wfsd microparticles (80.5% and 82.6%, respectively), despite the different encapsulation mechanism. FO-wfsd microparticles showed lower glass transition temperature (Tg), hygroscopicity, moisture and water activity (a(w)) than FO-csd microparticles. Only the superficial FO was released from FO-wfsd microparticles (at pH 4.6 and 6.5) and FO-csd (at pH 6.5), which is desirable in the design of healthy food liquid matrices. Furthermore, FO-csd microparticles showed lower oxidative stability than FO-wfsd microparticles evaluated by the formation and distribution of polar compounds, suggesting that water had a higher plasticizing effect than methanol and provided FO microparticles with poor film-forming properties. The type of solvent determined the FO encapsulation mechanism but slightly affected the physico-chemical properties of the microparticles, the oxidative stability and the FO released pattern.</t>
  </si>
  <si>
    <t>Holgado, Francisca/AAC-1822-2020; Romero-Hasler, Patricio/T-7993-2019; Vergara, Cristina/AAT-9575-2021; Robert, Paz/G-8198-2014; Marquez-Ruiz, Gloria/B-6925-2013; Romero-Hasler, Patricio/P-6631-2018</t>
  </si>
  <si>
    <t>Marquez-Ruiz, Gloria/0000-0002-8548-837X; HOLGADO, FRANCISCA/0000-0003-4950-5950; Romero-Hasler, Patricio/0000-0002-9211-2514; Encina, Cristian/0000-0003-4324-6302; Soto-Bustamante, Eduardo/0000-0002-0735-5715</t>
  </si>
  <si>
    <t>0268-005X</t>
  </si>
  <si>
    <t>1873-7137</t>
  </si>
  <si>
    <t>APR</t>
  </si>
  <si>
    <t>10.1016/j.foodhyd.2020.106518</t>
  </si>
  <si>
    <t>WOS:000618066100003</t>
  </si>
  <si>
    <t>Valdés, E; González, C; Díaz, K; Vásquez-Martínez, Y; Mascayano, C; Torrent, C; Cabezas, F; Mejias, S; Montoya, M; Cortez-San Martín, M; Muñoz, MA; Joseph-Nathan, P; Osorio, M; Taborga, L</t>
  </si>
  <si>
    <t>Valdes, Ernesto; Gonzalez, Cesar; Diaz, Katy; Vasquez-Martinez, Yesseny; Mascayano, Carolina; Torrent, Claudia; Cabezas, Francisco; Mejias, Sophia; Montoya, Margarita; Cortez-San Martin, Marcelo; Munoz, Marcelo A.; Joseph-Nathan, Pedro; Osorio, Mauricio; Taborga, Lautaro</t>
  </si>
  <si>
    <t>Biological Properties and Absolute Configuration of Flavanones FromCalceolariathyrsifloraGraham</t>
  </si>
  <si>
    <t>FRONTIERS IN PHARMACOLOGY</t>
  </si>
  <si>
    <t>Flavanones (-)-(2S)-5,4'-dihydroxy-7-methoxyflavanone (1) and (-)-(2S)-5,3',4'-trihydroxy-7-methoxyflavanone (2) were isolated from the extracts ofCalceolariathyrsifloraGraham, an endemic perennial small shrub growing in the central zone of Chile. The absolute configuration of these compounds was resolved by optical rotation experiments andin silicocalculations. Three analogs (3, 4, and 5) were synthesized to do structure-activity relationships with the biological assays studied. Biological tests revealed that only flavanone 2 exhibited a moderate inhibitory activity against the methicillin-resistant strainS.aureusMRSA 97-77 (MIC value of 50 mu g/ml). In addition, flavanone 2 showed a potent, selective, and competitive inhibition of 5-hLOX, which supports the traditional use of this plant as an anti-inflammatory in diseases of the respiratory tract. Also, 2 exhibited cytotoxic and selective effects against B16-F10 (8.07 +/- 1.61 mu M) but 4.6- and 17-fold lesser activity than etoposide and taxol.</t>
  </si>
  <si>
    <t>mejias, sophia/ABD-3938-2020; Muñoz, Marcelo/S-7373-2019</t>
  </si>
  <si>
    <t>Mascayano Collado, Carolina Lorena/0000-0002-3488-9309; Munoz, Marcelo A./0000-0003-2691-572X; Osorio-Olivares, Mauricio/0000-0003-4391-1739; Vasquez Martinez, Yesseny Amneris/0000-0002-4184-9815</t>
  </si>
  <si>
    <t>1663-9812</t>
  </si>
  <si>
    <t>JUL 28</t>
  </si>
  <si>
    <t>10.3389/fphar.2020.01125</t>
  </si>
  <si>
    <t>WOS:000561214200001</t>
  </si>
  <si>
    <t>Atalah, J; Blamey, L; Munoz-Ibacache, S; Gutierrez, F; Urzua, M; Encinas, MV; Paez, M; Sun, JS; Blamey, JM</t>
  </si>
  <si>
    <t>Atalah, Joaquin; Blamey, Lotse; Munoz-Ibacache, Sebastian; Gutierrez, Felipe; Urzua, Marcela; Encinas, Maria Victoria; Paez, Maritza; Sun, Junsong; Blamey, Jenny M.</t>
  </si>
  <si>
    <t>Isolation and characterization of violacein from an Antarctic Iodobacter: a non-pathogenic psychrotolerant microorganism</t>
  </si>
  <si>
    <t>EXTREMOPHILES</t>
  </si>
  <si>
    <t>12th International Congress of Extremophiles (Extremophiles)</t>
  </si>
  <si>
    <t>SEP 16-20, 2018</t>
  </si>
  <si>
    <t>Naples, ITALY</t>
  </si>
  <si>
    <t>Violacein is an intensely purple pigment synthesized by various genera of bacteria that has been discovered to have a wide range of interesting biological activities which range from anticarcinogenic to antibacterial. One of the hindrances for its real-life application is that the first microorganisms found to produce the compound may act as opportunistic pathogens. Here, we report the isolation and characterization of violacein from a non-pathogenic Antarctic Iodobacter strain. Its anti-microbial properties were also tested. The method proposed here for the purification of violacein shows high yields, indicating that this Antarctic microorganism could be a valuable source for this important pigment. This is the first characterization of violacein from an Antarctic Iodobacter strain and here we also present a viable method to obtain this pigment for potential biotechnological applications.</t>
  </si>
  <si>
    <t>Paez, Maritza/M-2010-2014; Blamey, Jenny/M-2637-2014; Urzúa, Marcela/E-1429-2014; Muñoz, Sebastian/JDD-7351-2023; Encinas, Maria/L-9686-2014</t>
  </si>
  <si>
    <t>Urzua Acevedo, Marcela Del Pilar/0000-0002-2371-620X; paez, maritza/0000-0001-5881-884X</t>
  </si>
  <si>
    <t>1431-0651</t>
  </si>
  <si>
    <t>1433-4909</t>
  </si>
  <si>
    <t>JAN</t>
  </si>
  <si>
    <t>10.1007/s00792-019-01111-w</t>
  </si>
  <si>
    <t>WOS:000511855700004</t>
  </si>
  <si>
    <t>Espina, E; Llanos, J; Burgos-Mellado, C; Cárdenas-Dobson, R; Martínez-Gómez, M; Sáez, D</t>
  </si>
  <si>
    <t>Espina, Enrique; Llanos, Jacqueline; Burgos-Mellado, Claudio; Cardenas-Dobson, Roberto; Martinez-Gomez, Manuel; Saez, Doris</t>
  </si>
  <si>
    <t>Distributed Control Strategies for Microgrids: An Overview</t>
  </si>
  <si>
    <t>IEEE ACCESS</t>
  </si>
  <si>
    <t>There is an increasing interest and research effort focused on the analysis, design and implementation of distributed control systems for AC, DC and hybrid AC / DC microgrids. It is claimed that distributed controllers have several advantages over centralised control schemes, e.g., improved reliability, flexibility, controllability, black start operation, robustness to failure in the communication links, etc. In this work, an overview of the state-of-the-art of distributed cooperative control systems for isolated microgrids is presented. Protocols for cooperative control such as linear consensus, heterogeneous consensus and finite-time consensus are discussed and reviewed in this paper. Distributed cooperative algorithms for primary and secondary control systems, including (among others issues) virtual impedance, synthetic inertia, droop-free control, stability analysis, imbalance sharing, total harmonic distortion regulation, are also reviewed and discussed in this survey. Tertiary control systems, e.g., for economic dispatch of electric energy, based on cooperative control approaches, are also addressed in this work. This review also highlights existing issues, research challenges and future trends in distributed cooperative control of microgrids and their future applications.</t>
  </si>
  <si>
    <t>Llanos, Jacqueline/KZU-6934-2024; Burgos-Mellado, Claudio/X-6305-2019; Espina, Enrique/AGZ-7297-2022; Saez, Doris/JBJ-6880-2023; Martinez Gomez, Manuel/W-3713-2017; Cardenas, Roberto/C-6395-2011</t>
  </si>
  <si>
    <t>Espina, Enrique/0000-0002-2075-2010; Llanos, Jacqueline/0000-0002-6708-3897; Martinez Gomez, Manuel/0000-0002-4337-7866; Cardenas, Roberto/0000-0003-3853-7703; Burgos-Mellado, Claudio/0000-0003-1990-0191</t>
  </si>
  <si>
    <t>2169-3536</t>
  </si>
  <si>
    <t>10.1109/ACCESS.2020.3032378</t>
  </si>
  <si>
    <t>WOS:000589751900001</t>
  </si>
  <si>
    <t>Zúñiga, C; Candia-Onfray, C; Venegas, R; Muñoz, K; Urra, J; Sánchez-Arenillas, M; Marco, JF; Zagal, JH; Recio, FJ</t>
  </si>
  <si>
    <t>Zuniga, Cesar; Candia-Onfray, Christian; Venegas, Ricardo; Munoz, Karina; Urra, Jonathan; Sanchez-Arenillas, Maria; Marco, Jose F.; Zagal, Jose H.; Recio, Francisco J.</t>
  </si>
  <si>
    <t>Elucidating the mechanism of the oxygen reduction reaction for pyrolyzed Fe-N-C catalysts in basic media</t>
  </si>
  <si>
    <t>ELECTROCHEMISTRY COMMUNICATIONS</t>
  </si>
  <si>
    <t>The study of non-precious metal catalysts (NPMCs) as alternatives to platinum for oxygen reduction is crucial if the use of fuel cells is to become more widespread. Among NPMCs, pyrolyzed catalysts (Fe-N-C) are particularly promising in both basic and acid media. The characterization of active sites and the understanding of the oxygen reduction reaction (ORR) mechanism are crucial for the design of active Fe-N-C catalysts. In this study, we have tested the involvement of the metal centre in the ORR process at pH 13 for two pyrolyzed iron porphyrins. The pyrolyzed catalysts present a FeN4 active site structure similar to that of the porphyrin precursors. Regarding the mechanism, we have found evidence for the crucial role of the Fe(II) centres. There is a direct relation between the Fe(III)/(II) redox transition of the catalysts and the onset potential of the ORR, showing that the electrogeneration of Fe(II) from Fe(III) OH- controls the catalysis. The poisoning of iron centres with CN- induces a decrease in the ORR activity. However, the onset potential for H2O2 generation remains unchanged. The Tafel plots show two different slopes at high and low overpotentials. Based on these results, we propose two different mechanisms, both dependent on the redox potential of the catalysts and the Fe-O-2 binding energy.</t>
  </si>
  <si>
    <t>Recio, Francisco/AAB-2148-2020; zagal, jose/L-9648-2014; Candia-Onfray, Christian/AHB-7261-2022; Sanchez-Arenillas, Maria/AAA-8867-2020; Muñoz-Becerra, Karina/GPP-1386-2022; Zúñiga-Loyola, César/AAN-5621-2021; Venegas, Ricardo/U-6376-2019; Marco, JF/N-3176-2014</t>
  </si>
  <si>
    <t>Sanchez-Arenillas, Maria/0000-0001-9706-768X; Recio, Francisco/0000-0002-5181-3197; Munoz-Becerra, Karina/0000-0001-9882-6342; Venegas, Ricardo/0000-0001-7440-484X; Onfray, Christian/0000-0001-5485-9169; Zuniga-Loyola, Cesar/0000-0002-0894-3383; Marco, JF/0000-0002-5147-1449</t>
  </si>
  <si>
    <t>1388-2481</t>
  </si>
  <si>
    <t>1873-1902</t>
  </si>
  <si>
    <t>10.1016/j.elecom.2019.04.005</t>
  </si>
  <si>
    <t>WOS:000465448100015</t>
  </si>
  <si>
    <t>Clay, A; Maim, K; Rivas, C</t>
  </si>
  <si>
    <t>Clay, Adam; Maim, Kathryn; Rivas, Cristobal</t>
  </si>
  <si>
    <t>On the number of circular orders on a group</t>
  </si>
  <si>
    <t>JOURNAL OF ALGEBRA</t>
  </si>
  <si>
    <t>We give a classification and complete algebraic description of groups allowing only finitely many (left multiplication invariant) circular orders. In particular, they are all solvable groups with a specific semi-direct product decomposition. This allows us to also show that the space of circular orders of any group is either finite or uncountable. As a special case and first step, we show that the space of circular orders of an infinite Abelian group has no isolated points, hence is homeomorphic to a Cantor set. (C) 2018 Elsevier Inc. All rights reserved.</t>
  </si>
  <si>
    <t>Rivas, Cristobal/0000-0003-4021-2705; Clay, Adam/0000-0002-3918-1692; Mann, Kathryn/0009-0006-9006-5239</t>
  </si>
  <si>
    <t>0021-8693</t>
  </si>
  <si>
    <t>1090-266X</t>
  </si>
  <si>
    <t>10.1016/j.jalgebra.2018.01.049</t>
  </si>
  <si>
    <t>WOS:000431284200010</t>
  </si>
  <si>
    <t>Cornejo, F; Vruwink, M; Metz, C; Muñoz, P; Salgado, N; Poblete, J; Andrés, ME; Eugenín, J; von Bernhardi, R</t>
  </si>
  <si>
    <t>Cornejo, Francisca; Vruwink, Marianne; Metz, Claudia; Munoz, Paola; Salgado, Nicole; Poblete, Joaquin; Estela Andres, Maria; Eugenin, Jaime; von Bernhardi, Rommy</t>
  </si>
  <si>
    <t>Scavenger Receptor-A deficiency impairs immune response of microglia and astrocytes potentiating Alzheimer's disease pathophysiology</t>
  </si>
  <si>
    <t>BRAIN BEHAVIOR AND IMMUNITY</t>
  </si>
  <si>
    <t>Late onset Alzheimer disease's (LOAD) main risk factor is aging. Although it is not well known which age related factors are involved in its development, evidence points out to the involvement of an impaired amyloid-beta (A beta) clearance in the aged brain among possible causes. Glial cells are the main scavengers of the brain, where Scavenger Receptor class A (SR-A) emerges as a relevant player in AD because of its participation in AD uptake and in the modulation of glial cell inflammatory response. Here, we show that SR-A expression is reduced in the hippocampus of aged animals and APP/PS1 mice. Given that AD deposition increases in the aging brain, we generated a triple transgenic mouse, which accumulates AD and is knockout for SR-A (APP/PS1/SR-A(-/-)) to evaluate AD accumulation and the inflammatory outcome of SR-A depletion in the aged brain. The lifespan of APP/PS1/SR-A(-/-) mice was greatly reduced, accompanied by a 3-fold increase in plasmatic pro-inflammatory cytokines, and reduced performance in a working memory behavioral assessment. Microglia and astrocytes lacking SR-A displayed impaired oxidative response and nitric oxide production, produced up to 7-fold more pro-inflammatory cytokines and showed a 12-fold reduction in anti-inflammatory cytokines release, with conspicuous changes in lipopolysaccharide-induced glial activation. Isolated microglia from young and adult mice lacking SR-A showed a 50% reduction in phagocytic activity. Our results indicate that reduced expression of SR-A can deregulate glial inflammatory response and potentiate AD accumulation, two mechanisms that could contribute to AD progression. (C) 2017 Elsevier Inc. All rights reserved.</t>
  </si>
  <si>
    <t>Cornejo, Francisca/HGF-1026-2022; von Bernhardi, Rommy/IAO-3764-2023</t>
  </si>
  <si>
    <t>Metz, Claudia/0000-0002-5093-3066; Salgado, Nicole/0000-0003-1658-9641; Andres, Maria Estela/0000-0002-2078-2770; von Bernhardi, Rommy/0000-0002-9022-7676; Cornejo, Francisca/0000-0001-9280-3430</t>
  </si>
  <si>
    <t>0889-1591</t>
  </si>
  <si>
    <t>1090-2139</t>
  </si>
  <si>
    <t>10.1016/j.bbi.2017.12.007</t>
  </si>
  <si>
    <t>WOS:000432905200031</t>
  </si>
  <si>
    <t>Ramírez-Vélez, R; Peña-Ibagon, JC; Martínez-Torres, J; Tordecilla-Sanders, A; Correa-Bautista, JE; Lobelo, F; García-Hermoso, A</t>
  </si>
  <si>
    <t>Ramirez-Velez, Robinson; Camilo Pena-Ibagon, Jhonatan; Martinez-Torres, Javier; Tordecilla-Sanders, Alejandra; Enrique Correa-Bautista, Jorge; Lobelo, Felipe; Garcia-Hermoso, Antonio</t>
  </si>
  <si>
    <t>Handgrip strength cutoff for cardiometabolic risk index among Colombian children and adolescents: The FUPRECOL Study</t>
  </si>
  <si>
    <t>Evidence shows an association between muscular strength (MS) and health among young people, however low muscular strength cut points for the detection of high metabolic risk in Latin-American populations are scarce. The aim of this study was twofold: to explore potential age-and sex-specific thresholds of MS, for optimal cardiometabolic risk categorization among Colombian children and adolescents; and to investigate whether cardiometabolic risk differed by MS group by applying the receiver operating characteristic curve (ROC) cut point. MS was estimated by using a handle dynamometer on 1,950 children and adolescents from Colombia, using MS relative to weight (handgrip strength/body mass). A metabolic risk score was computed from the following components: waist circumference, triglycerides, HDL-c, glucose, and systolic and diastolic blood pressure. ROC analysis showed a significant discriminatory accuracy of MS in identifying the low/high metabolic risk in children and adolescents and in both genders. In children, the handgrip strength/body mass levels for a low metabolic risk were 0.359 and 0.376 in girls and boys, respectively. In adolescents, these points were 0.440 and 0.447 in girls and boys, respectively. In conclusion, the results suggest an MS level relative to weight for having a low metabolic risk, which could be used to identify youths at risk.</t>
  </si>
  <si>
    <t>Peña, Jhonatan/X-2294-2018; Correa-Bautista, Jorge Enrique/JDD-3131-2023; García-Hermoso, Antonio/ADU-2591-2022; Lobelo, Felipe/AAB-2264-2021; Tordecilla-Sanders, Alejandra/O-6276-2017; Ramirez-Velez, Robinson/D-5311-2016; Garcia-Hermoso, Antonio/P-1857-2017; Correa-Bautista, Jorge Enrique/N-2741-2015</t>
  </si>
  <si>
    <t>pena, Jhonatan/0000-0002-0580-8151; Martinez Torres, Javier/0000-0001-8991-5079; Lobelo, Felipe/0000-0003-4185-7193; Tordecilla-Sanders, Alejandra/0000-0002-7461-8124; Ramirez-Velez, Robinson/0000-0003-3075-6960; Garcia-Hermoso, Antonio/0000-0002-1397-7182; Correa-Bautista, Jorge Enrique/0000-0002-0646-2316</t>
  </si>
  <si>
    <t>FEB 14</t>
  </si>
  <si>
    <t>10.1038/srep42622</t>
  </si>
  <si>
    <t>WOS:000393868200001</t>
  </si>
  <si>
    <t>Durán, AI; Signorelli, JW; Celentano, DJ; Cruchaga, MA; François, M</t>
  </si>
  <si>
    <t>Duran, Alicia I.; Signorelli, Javier W.; Celentano, Diego J.; Cruchaga, Marcela A.; Francois, Manuel</t>
  </si>
  <si>
    <t>Experimental and Numerical Analysis on the Formability of a Heat-Treated AA1100 Aluminum Alloy Sheet</t>
  </si>
  <si>
    <t>JOURNAL OF MATERIALS ENGINEERING AND PERFORMANCE</t>
  </si>
  <si>
    <t>The objective of this work is to experimentally and numerically determine the influence of plastic anisotropy on the forming limit curve (FLC) for a heat-treated (300 A degrees C-1 h) AA1100 aluminum alloy sheet. The FLCs were obtained by the Nakajima test, where the anisotropy effect on the FLC was evaluated using hourglass-type samples taken at 0A degrees, 45A degrees, and 90A degrees with respect to the sheet rolling direction. The effect of crystal orientations on the FLC is investigated using three micro-macro averaging schemes coupled to a Marciniak and Kuczynski (MK) analysis: the tangent viscoplastic self-consistent (VPSC), the tuned strength alpha VPSC, and the full-constraint Taylor model. The predicted limit strains in the left-hand side of the FLC agree well with experimental measurements along the three testing directions, while differences are found under biaxial stretching modes. Particularly, MK-VPSC predicts an unexpected limit strain profile in the right-hand side of the FLC for samples tested along the transverse direction. Only MK-alpha VPSC, with a tuning factor of 0.2, predicts satisfactorily the set of FLC measurements. Finally, the correlation of the predicted limit strains with the predicted yield surface by each model was also discussed.</t>
  </si>
  <si>
    <t>Celentano, Diego/JQW-5027-2023; Duran, Alicia/IUN-6439-2023; Francois, Manuel/E-7339-2012; Cruchaga, Marcela/M-7522-2014</t>
  </si>
  <si>
    <t>Francois, Manuel/0000-0002-6312-8568; Cruchaga, Marcela/0000-0002-8708-2402</t>
  </si>
  <si>
    <t>1059-9495</t>
  </si>
  <si>
    <t>1544-1024</t>
  </si>
  <si>
    <t>10.1007/s11665-015-1684-x</t>
  </si>
  <si>
    <t>WOS:000362296000050</t>
  </si>
  <si>
    <t>Sáez-Briones, P; Soto-Moyano, R; Burgos, H; Castillo, A; Valladares, L; Morgan, C; Pérez, H; Barra, R; Constandil, L; Laurido, C; Hernández, A</t>
  </si>
  <si>
    <t>Saez-Briones, Patricio; Soto-Moyano, Ruben; Burgos, Hector; Castillo, Amparo; Valladares, Luis; Morgan, Carlos; Perez, Hernan; Barra, Rafael; Constandil, Luis; Laurido, Claudio; Hernandez, Alejandro</t>
  </si>
  <si>
    <t>β2-Adrenoceptor stimulation restores frontal cortex plasticity and improves visuospatial performance in hidden-prenatally-malnourished young-adult rats</t>
  </si>
  <si>
    <t>NEUROBIOLOGY OF LEARNING AND MEMORY</t>
  </si>
  <si>
    <t>Moderate reduction in dietary protein composition of pregnant rats from 25% to 8% casein, calorically compensated by carbohydrates, has been described as a hidden malnutrition because it does not alter body and brain weights of pups at birth. However, this dietary treatment leads to altered central noradrenergic systems, impaired cortical long-term potentiation (LTP) and worsened visuo-spatial memory performance. Given the increasing interest on the role played by beta(2)-adrenoceptors (beta(2)-ARs) on brain plasticity, the present study aimed to address the following in hidden-malnourished and eutrophic control rats: (i) the expression levels of beta(2)-ARs in the frontal cortex determined by immunohistochemistry, and (ii) the effect of the beta(2) selective agonist clenbuterol on both LTP elicited in vivo in the prefrontal cortex and visuospatial performance measured in an eight-arm radial maze. Our results showed that, prenatally malnourished rats exhibited a significant reduction of neocortical beta(2)-AR expression in adulthood. Concomitantly, they were unable to elicit and maintain prefrontal cortex LTP and exhibited lower visuospatial learning performance. Administration of clenbuterol (0.019, 0.038 and 0.075 mg/kg i.p.) enhanced LIP in malnourished and control animals and restored visuospatial learning performance in malnourished but not in normal rats, in a dose-dependent manner. The results suggest that decreased density of neocortical beta(2)-ARs during postnatal life, subsequent to hidden prenatal malnutrition might affect some synaptic networks required to elicit neocortical LIP and form visuospatial memory, since those neuroplastic deficits were counteracted by beta(2)-AR stimulation. (C) 2014 Elsevier Inc. All rights reserved.</t>
  </si>
  <si>
    <t>Hernandez, Alejandro/M-4796-2019; BURGOS, HECTOR/ABA-6821-2020</t>
  </si>
  <si>
    <t>Constandil, Luis/0000-0002-2504-0119; BURGOS, HECTOR/0000-0001-7705-4347; Hernandez, Alejandro/0000-0001-9222-6522</t>
  </si>
  <si>
    <t>1074-7427</t>
  </si>
  <si>
    <t>1095-9564</t>
  </si>
  <si>
    <t>10.1016/j.nlm.2014.11.003</t>
  </si>
  <si>
    <t>WOS:000352826000001</t>
  </si>
  <si>
    <t>Elías, A; Díaz-Vásquez, W; Abarca-Lagunas, MJ; Chasteen, TG; Arenas, F; Vásquez, CC</t>
  </si>
  <si>
    <t>Elias, Alex; Diaz-Vasquez, Waldo; Jose Abarca-Lagunas, Maria; Chasteen, Thomas G.; Arenas, Felipe; Vasquez, Claudio C.</t>
  </si>
  <si>
    <t>The ActP acetate transporter acts prior to the PitA phosphate carrier in tellurite uptake by Escherichia coli</t>
  </si>
  <si>
    <t>MICROBIOLOGICAL RESEARCH</t>
  </si>
  <si>
    <t>The tellurium oxyanion tellurite is harmful for most microorganisms. Since its toxicity occurs chiefly once the toxicant reaches the intracellular compartment, unveiling the toxicant uptake process is crucial for understanding the whole phenomenon of tellurium toxicity. While the Pith phosphate transporter is thought to be one of the main paths responsible for toxicant entry into Escherichia coli, genetic and physiological evidence have identified the ActP acetate carrier as the main tellurite importer in Rhodobacter capsulatus. In this work, new background on the role of these transporters in tellurite uptake by E. coli is presented. It was found that, similar to what occurs in R. capsulatus, ActP is able to mediate toxicant entry to this bacterium. Lower reactive oxygen species levels were observed in E. coli lacking the actP gene. Antioxidant enzyme catalase and fumarase C activity was almost unchanged after short exposure of E. coli Delta actP to sublethal tellurite concentrations, suggesting a low antioxidant response. In this strain, tellurite uptake decreased significantly during the first 5 min of exposure and inductively coupled plasma optical emission spectroscopy assays using an actP-overexpressing strain confirmed that this carrier mediates toxicant uptake. Relative gene expression experiments by qPCR showed that actP expression is enhanced at short times of tellurite exposure, while pitA and pitB genes are induced later. Summarizing, the results show that ActP is involved in tellurite entry to E. coli and that its participation occurs mainly at early stages of toxicant exposure. (C) 2015 Elsevier GmbH. All rights reserved.</t>
  </si>
  <si>
    <t>Chasteen, Thomas/B-6601-2009</t>
  </si>
  <si>
    <t>0944-5013</t>
  </si>
  <si>
    <t>1618-0623</t>
  </si>
  <si>
    <t>10.1016/j.micres.2015.04.010</t>
  </si>
  <si>
    <t>WOS:000359963900003</t>
  </si>
  <si>
    <t>Martínez-Coronado, R; Aguadero, A; Pérez-Coll, D; Troncoso, L; Alonso, JA; Fernández-Díaz, MT</t>
  </si>
  <si>
    <t>Martinez-Coronado, R.; Aguadero, A.; Perez-Coll, D.; Troncoso, L.; Alonso, J. A.; Fernandez-Diaz, M. T.</t>
  </si>
  <si>
    <t>Characterization of La0.5Sr0.5Co0.5Ti0.5O3-δ as symmetrical electrode material for intermediate-temperature solid-oxide fuel cells</t>
  </si>
  <si>
    <t>INTERNATIONAL JOURNAL OF HYDROGEN ENERGY</t>
  </si>
  <si>
    <t>La0.5Sr0.5Co0.5Ti0.5O3-delta perovskite oxide has been prepared as polycrystalline powder, characterized and tested as cathode and anode material for solid-oxide fuel cells. The oxidized material is suggested to present mixed ionic-electronic conductivity (MIEC) from in-situ neutron powder diffraction (NPD) experiments, complemented with transport measurements; the presence of a sufficiently high oxygen deficiency, with large displacement factors for oxygen atoms suggest a large lability and mobility combined with a semiconductor-like behaviour with a maximum conductivity of 29 S cm(-1) at T = 850 degrees C. A complete reversibility towards reduction-oxidation processes has been observed, where the reduced Pm-3m perovskite with La0.5Sr0.5Co0.5Ti0.5O2.64 composition has been obtained by topotactical oxygen removal without abrupt changes in the thermal expansion. The oxidized material shows good performance working as a cathode with LSGM electrolyte, yielding output power densities close to 500 mW/cm(2) at 850 degrees C. At intermediate temperatures (800 degrees C) it may be used as a cathode or as an anode, yielding power densities of 220 and 170 mW/cm(2), respectively. When used simultaneously as cathode and anode a maximum power density of 110 mW/cm(2) was obtained. Therefore, we propose the La0.5Sr0.5Co0.5Ti0.5O3-delta composition as a promising candidate for symmetrical electrode in intermediate-temperature SOFC. Copyright (c) 2012, Hydrogen Energy Publications, LLC. Published by Elsevier Ltd. All rights reserved.</t>
  </si>
  <si>
    <t>Fernandez-Diaz, Maria Teresa/D-7373-2014; Aguadero, Ainara/HTO-8930-2023; Alonso, Jose Antonio/A-5245-2011; Perez-Coll, Domingo/I-2663-2015; Aguadero, Ainara/Q-1724-2018</t>
  </si>
  <si>
    <t>Alonso, Jose Antonio/0000-0001-5329-1225; Fernandez-Diaz, Maria Teresa/0009-0009-0524-0787; Perez-Coll, Domingo/0000-0001-5331-2516; Aguadero, Ainara/0000-0001-7098-1033; Troncoso, Loreto/0000-0003-1621-3310</t>
  </si>
  <si>
    <t>0360-3199</t>
  </si>
  <si>
    <t>1879-3487</t>
  </si>
  <si>
    <t>DEC</t>
  </si>
  <si>
    <t>10.1016/j.ijhydene.2012.09.033</t>
  </si>
  <si>
    <t>WOS:000311865700066</t>
  </si>
  <si>
    <t>Barra, R; Soto-Moyano, R; Valladares, L; Morgan, C; Pérez, H; Burgos, H; Olivares, R; Sáez-Briones, P; Laurido, C; Hernández, A</t>
  </si>
  <si>
    <t>Barra, Rafael; Soto-Moyano, Ruben; Valladares, Luis; Morgan, Carlos; Perez, Hernan; Burgos, Hector; Olivares, Ricardo; Saez-Briones, Patricio; Laurido, Claudio; Hernandez, Alejandro</t>
  </si>
  <si>
    <t>Knockdown of α2C-adrenoceptors in the occipital cortex rescued long-term potentiation in hidden prenatally malnourished rats</t>
  </si>
  <si>
    <t>Moderate reduction in the protein content of the mother's diet calorically compensated by carbohydrates (the so-called hidden prenatal malnutrition) leads to increased neocortical expression of the alpha(2C)-adrenoceptor subtype, together with decreased cortical release of noradrenaline and impaired long-term potentiation (LTP) and visuospatial memory performance during the rat postnatal life. In order to study whether overexpression of the alpha(2C)-adrenoceptor subtype is causally related to the decreased indices of neocortical plasticity found in prenatally malnourished rats, we evaluated the effect of intracortical (occipital cortex) administration of an antisense oligodeoxynucleotide (ODN) raised against the alpha(2C)-adrenoceptor mRNA on the LTP elicited in vivo in the occipital cortex of hidden prenatally malnourished rats. In addition, we compare the effect of the antisense ODN to that produced by systemical administration of the subtype-nonselective alpha(2C)-adrenoceptor antagonist atipamezole. Prenatal protein malnutrition led to impaired occipital cortex LTP together with increased expression of alpha(2C)-adrenoceptors (about twice Bmax) in the same cortical region. [H-3]-rauwolscine binding assay showed that a 7-day intracortical antisense ODN treatment in the malnourished rats resulted in 50% knockdown of alpha(2C)-adrenoceptor expression and, in addition, completely rescued the ability of the occipital cortex to develop and maintain long-term potentiation. Atipamezole (0.3 mg/kg i.p.) also led to full recovery of neocortical LTP in malnourished rats. The present results argue in favor of our original hypothesis that the deleterious effect of prenatal malnutrition on neocortical plasticity in the adult progeny is in part consequence of increased neocortical alpha(2C)-adrenoceptor expression. This receptor subtype is known to be involved in the presynaptic control of noradrenaline release from central neurons, a neurotransmitter that critically influences LTP and memory formation. (C) 2012 Elsevier Inc. All rights reserved.</t>
  </si>
  <si>
    <t>BURGOS, HECTOR/0000-0001-7705-4347; Hernandez, Alejandro/0000-0001-9222-6522</t>
  </si>
  <si>
    <t>10.1016/j.nlm.2012.07.006</t>
  </si>
  <si>
    <t>WOS:000311768800004</t>
  </si>
  <si>
    <t>de Figueiredo, DG; Gossez, JP; Ubilla, P</t>
  </si>
  <si>
    <t>de Figueiredo, Djairo G.; Gossez, Jean-Pierre; Ubilla, Pedro</t>
  </si>
  <si>
    <t>Local superlinearity and sublinearity for the p-Laplacian</t>
  </si>
  <si>
    <t>JOURNAL OF FUNCTIONAL ANALYSIS</t>
  </si>
  <si>
    <t>We study the existence, nonexistence and multiplicity of positive solutions for a family of problems -Delta(p)u = f(lambda)(x, u), u is an element of W-0(1,p)(Omega), where Omega is a bounded domain n R-N, N &gt; p, and lambda &gt; 0 is a parameter. The family we consider includes the well-known nonlinearities of Ambrosetti-Brezis-Cerami type in a more general form, namely lambda a(x)u(q) + b(x)u(r), where 0 &lt;= q &lt; p - 1 &lt; r &lt;= p* - 1. Here the coefficient a(x) is assumed to be nonnegative but b(x) is allowed to change sign, even in the critical case. Preliminary results of independent interest include the extension to the p-Laplacian context of the Brezis-Nirenberg results on local minimization in W-0(1,p) and C-0(1), a C-1,C-alpha estimate for equations of the form -Delta(p)u = h(x, u) which h of critical growth, a strong comparison result for the p-Laplacian, and a variational approach to the method of upper-lower solutions for the p-Laplacian. (C) 2009 Elsevier Inc. All rights reserved.</t>
  </si>
  <si>
    <t>de Figueiredo, Djairo/HII-8077-2022</t>
  </si>
  <si>
    <t>0022-1236</t>
  </si>
  <si>
    <t>1096-0783</t>
  </si>
  <si>
    <t>AUG 1</t>
  </si>
  <si>
    <t>10.1016/j.jfa.2009.04.001</t>
  </si>
  <si>
    <t>WOS:000266889100004</t>
  </si>
  <si>
    <t>Altbir, D; Vargas, P; Castro, JDE</t>
  </si>
  <si>
    <t>Magnetic behavior of small magnetic particles</t>
  </si>
  <si>
    <t>PHYSICAL REVIEW B</t>
  </si>
  <si>
    <t>The magnetism of nanosized three-dimensional clusters of ferromagnetic atoms is studied as a function of temperature. Numerical simulations are used to investigate the evolution of the magnetic structure within the clusters along different thermalization processes. The occurrence of vortexlike excitations is observed when the system is cooled from a high-energy configuration. For a wide range of temperature T, the relaxation time of the cluster is found to scale with 1/T-n, with n = 1.55 +/- 0.05.</t>
  </si>
  <si>
    <t>Vargas, Patricio/AAL-2633-2020; Altbir, Dora/R-6781-2018</t>
  </si>
  <si>
    <t>Altbir, Dora/0000-0002-2945-4909; vargas, patricio/0000-0001-9235-9747</t>
  </si>
  <si>
    <t>2469-9950</t>
  </si>
  <si>
    <t>2469-9969</t>
  </si>
  <si>
    <t>JUL 1</t>
  </si>
  <si>
    <t>10.1103/PhysRevB.64.012410</t>
  </si>
  <si>
    <t>WOS:000169711900017</t>
  </si>
  <si>
    <t>Peters, K; Peters, EM; von Schnering, HG; Hönle, W; Schmidt, R; Binder, H</t>
  </si>
  <si>
    <t>Crystal structure of pyridinogold(III) bromide, [AuBr2( C5H5N)2]+[AuBr4]-[AuBr3(C5H5N)]2, a frozen-in autoionization system</t>
  </si>
  <si>
    <t>ZEITSCHRIFT FUR KRISTALLOGRAPHIE-NEW CRYSTAL STRUCTURES</t>
  </si>
  <si>
    <t>C10H10Au2Br6N2, monoclinic, P12(1)/n1 (No. 14), a = 11.395(2) Angstrom, b = 15.437(2) Angstrom, c = 11.091(2) Angstrom, beta = 99.44(1)degrees, V = 1924.5 Angstrom(3), Z = 4, R-gt(F) = 0.063, wR(F)= 0.050, T = 293 K.</t>
  </si>
  <si>
    <t>1433-7266</t>
  </si>
  <si>
    <t>WOS:000088244800052</t>
  </si>
  <si>
    <t>CARDEMIL, E; ENCINAS, MV; OLSEN, LR; DIAZ, JF; ANDREU, JM; GOLDIE, H</t>
  </si>
  <si>
    <t>CIRCULAR-DICHROISM AND FOURIER-TRANSFORM INFRARED SPECTROSCOPIC STUDIES ON THE SECONDARY STRUCTURE OF SACCHAROMYCES-CEREVISIAE AND ESCHERICHIA-COLI PHOSPHOENOLPYRUVATE CARBOXYKINASES</t>
  </si>
  <si>
    <t>FASEB JOURNAL</t>
  </si>
  <si>
    <t>Andreu, Joel/K-7759-2014; Encinas, Maria/L-9686-2014</t>
  </si>
  <si>
    <t>0892-6638</t>
  </si>
  <si>
    <t>1530-6860</t>
  </si>
  <si>
    <t>APR 24</t>
  </si>
  <si>
    <t>A1466</t>
  </si>
  <si>
    <t>WOS:A1995QV27401302</t>
  </si>
  <si>
    <t>Ponce, M; Gómez, F; Ojeda, S; Rodríguez-Gómez, GB; Orellana, JI; Fontúrbel, FE</t>
  </si>
  <si>
    <t>Ponce, Macarena; Gomez, Flor; Ojeda, Susan; Rodriguez-Gomez, Gloria B.; Orellana, Jose I.; Fonturbel, Francisco E.</t>
  </si>
  <si>
    <t>The relative importance of local versus regional habitat structure variation on the abundance of two generalist mutualists along a forest disturbance gradient</t>
  </si>
  <si>
    <t>GLOBAL ECOLOGY AND CONSERVATION</t>
  </si>
  <si>
    <t>Mutualistic interactions are key to biodiversity generation and maintenance, being pollination and seed dispersal interactions essential for plant reproduction. However, anthropogenic habitat disturbance can alter these interactions. We studied the regional and local effects of habitat disturbance on two generalist mutualist animals of southern Chile temperate rainforests: the hummingbird Sephanoides sephaniodes and the marsupial Dromiciops gliroides, , which perform key roles as pollinator and seed disperser, respectively. We sampled 12 sites corresponding to four disturbance conditions (mature native forest, secondary forest, native forest under selective logging, and exotic forest plantations) in which we estimated the number of S. sephaniodes and D. gliroides records (as a proxy of relative abundance) using camera traps. We measured seven habitat structure variables at each site, known to influence their occurrence. Specifically, we examined S. sephaniodes and D. gliroides abundance variation at (i) a regional scale (among disturbance conditions) and (ii) at a local scale (among sampling sites). Dromiciops gliroides abundance decreased as disturbance increased, but S. sephaniodes abundance was highly variable. At the local scale, S. sephaniodes and D. gliroides abundances were largely variable among sites, influenced by habitat structural features, such as bamboo and shrub cover and woody debris. Our results show that although habitat disturbance may influence mutualist abundances, they can tolerate disturbance if minimum structure and resource requirements are met, but respond idiosyncratically to local conditions. Examining local-scale variability may provide valuable information on ecological processes, which often goes unnoticed when local sites are considered as replicates in landscape-level studies.</t>
  </si>
  <si>
    <t>Rodriguez, Gloria/HCI-4779-2022; Fonturbel, Francisco/C-7756-2009</t>
  </si>
  <si>
    <t>Fonturbel, Francisco/0000-0001-8585-2816</t>
  </si>
  <si>
    <t>2351-9894</t>
  </si>
  <si>
    <t>e03160</t>
  </si>
  <si>
    <t>10.1016/j.gecco.2024.e03160</t>
  </si>
  <si>
    <t>WOS:001306998900001</t>
  </si>
  <si>
    <t>Saavedra, A; Valdés, H; Velásquez, J; Hernández, S</t>
  </si>
  <si>
    <t>Saavedra, Aldo; Valdes, Hugo; Velasquez, Juan; Hernandez, Sebastian</t>
  </si>
  <si>
    <t>Comparative Analysis of Donnan Steric Partitioning Pore Model and Dielectric Exclusion Applied to the Fractionation of Aqueous Saline Solutions through Nanofiltration</t>
  </si>
  <si>
    <t>CHEMENGINEERING</t>
  </si>
  <si>
    <t>The aim of this study was to analyze, both theoretically and experimentally, the material transport mechanisms governing the separation of ionic species in aqueous solutions using nanofiltration membranes. To interpret the experimental results, the Donnan Steric Partitioning Model (DSPM) and the Dielectric Exclusion Model (DSPM-DE) were applied and computationally simulated in Matlab. Experimental tests were conducted using a pilot-scale system with commercial NF90 membranes. The results indicate that the DSPM better describes the rejection of monovalent ions (sodium and chloride), while the DSPM-DE is more suitable for divalent ions (sulfate and magnesium). Additionally, both models were sensitized to explore the impact of hindrance factors on the rejection of different ionic species. For neutral molecules present in the solution, it was observed that the DSPM and DSPM-DE do not adequately interpret selectivity, suggesting that under such conditions, the electrostatic exclusion mechanism loses significance, with the steric mechanism prevailing.</t>
  </si>
  <si>
    <t>Valdés, Hugo/L-2657-2019; Valdes, Hugo/H-2019-2017; Hernandez Sierra, Sebastian/I-7374-2017</t>
  </si>
  <si>
    <t>Valdes, Hugo/0000-0002-2486-5872; Hernandez Sierra, Sebastian/0000-0002-7513-5511</t>
  </si>
  <si>
    <t>2305-7084</t>
  </si>
  <si>
    <t>10.3390/chemengineering8020039</t>
  </si>
  <si>
    <t>WOS:001210152300001</t>
  </si>
  <si>
    <t>Daza-Badilla, L; Gómez, R; Díaz-Noriega, R; Avudaiappan, S; Skrzypkowski, K; Saavedra-Flores, EI; Korzeniowski, W</t>
  </si>
  <si>
    <t>Daza-Badilla, Lucas; Gomez, Rene; Diaz-Noriega, Ramon; Avudaiappan, Siva; Skrzypkowski, Krzysztof; Saavedra-Flores, Erick I.; Korzeniowski, Waldemar</t>
  </si>
  <si>
    <t>Thermal Conductivity in Concrete Samples with Natural and Synthetic Fibers</t>
  </si>
  <si>
    <t>MATERIALS</t>
  </si>
  <si>
    <t>One crucial property of concrete, particularly in construction, is its thermal conductivity, which impacts heat transfer through conduction. For example, reducing the thermal conductivity of concrete can lead to energy savings in buildings. Various techniques exist for measuring the thermal conductivity of materials, but there is limited discussion in the literature about suitable methods for concrete. In this study, the transient line source method is employed to evaluate the thermal conductivity of concrete samples with natural and synthetic fibers after 7 and 28 days of curing. The results indicate that concrete with hemp fiber generally exhibits higher thermal conductivity values, increasing by 48% after 28 days of curing, while synthetic fibers have a minimal effect. In conclusion, this research opens the door to using natural alternatives like hemp fiber to improve concrete's thermal properties, providing alternatives for thermo-active foundations and geothermal energy piles which require high thermal conductivities.</t>
  </si>
  <si>
    <t>Avudaiappan, Siva/AAV-7579-2021; Korzeniowski, Waldemar/F-8384-2014; Skrzypkowski, Krzysztof/A-7200-2018</t>
  </si>
  <si>
    <t>Daza Badilla, Lucas/0009-0007-8446-9437; Diaz Noriega, Ramon/0000-0002-8993-8980; Korzeniowski, Waldemar/0000-0002-7246-247X; Skrzypkowski, Krzysztof/0000-0003-0819-2345; Gomez, Rene/0000-0003-4273-0522</t>
  </si>
  <si>
    <t>1996-1944</t>
  </si>
  <si>
    <t>10.3390/ma17040817</t>
  </si>
  <si>
    <t>WOS:001170043500001</t>
  </si>
  <si>
    <t>Quezada, F; Gicquel, C; Kedad-Sidhoum, S</t>
  </si>
  <si>
    <t>Quezada, Franco; Gicquel, Celine; Kedad-Sidhoum, Safia</t>
  </si>
  <si>
    <t>A stochastic dual dynamic integer programming based approach for remanufacturing planning under uncertainty</t>
  </si>
  <si>
    <t>INTERNATIONAL JOURNAL OF PRODUCTION RESEARCH</t>
  </si>
  <si>
    <t>We seek to optimize the production planning of a three-echelon remanufacturing system under uncertain input data. We consider a multi-stage stochastic integer programming approach and use scenario trees to represent the uncertain information structure. We introduce a new dynamic programming formulation that relies on a partial nested decomposition of the scenario tree. We then propose a new approximate stochastic dual dynamic integer programming algorithm based on this partial decomposition. Our numerical results show that the proposed solution approach is able to provide near-optimal solutions for large-size instances with a reasonable computational effort.</t>
  </si>
  <si>
    <t>0020-7543</t>
  </si>
  <si>
    <t>1366-588X</t>
  </si>
  <si>
    <t>10.1080/00207543.2022.2120924</t>
  </si>
  <si>
    <t>SEP 2022</t>
  </si>
  <si>
    <t>WOS:000855304100001</t>
  </si>
  <si>
    <t>C</t>
  </si>
  <si>
    <t>Pereira-Mendoza, J; Chibey, F; Fuentealba-Cid, D; Soto, I; Gutiérrez, S; Gatica, G</t>
  </si>
  <si>
    <t>IEEE</t>
  </si>
  <si>
    <t>Pereira-Mendoza, Jonathan; Chibey, Felipe; Fuentealba-Cid, Diego; Soto, Ismael; Gutierrez, Sebastian; Gatica, Gustavo</t>
  </si>
  <si>
    <t>Assignment Model for LEDs and Photodetectors in a VLC System</t>
  </si>
  <si>
    <t>2020 SECOND SOUTH AMERICAN COLLOQUIUM ON VISIBLE LIGHT COMMUNICATIONS (IEEE SACVC 2020)</t>
  </si>
  <si>
    <t>2nd South American Colloquium on Visible Light Communications (IEEE SACVLC)</t>
  </si>
  <si>
    <t>JUN 04-05, 2020</t>
  </si>
  <si>
    <t>Santiago, CHILE</t>
  </si>
  <si>
    <t>IEEE Chile Sect,Univ Santiago Chile,IEEE,IEEE Commun,Gobierno Chile, Minist Educ, Fondo Nacl Desarrollo Cientifico Tecnologico,Gobierno Chile, Minist Educ, Fondo Fomento Desarrollo Cientifico Tecnologico,Gobierno Chile, Minist Educ, Programa Cooperac Int</t>
  </si>
  <si>
    <t>The localization of people has been problem widely studied with several communication technologies such as RFID and WiFi. However, the particular behavior of systems based on Visible Light Communication (VLC) needs an adjustment or proposition of new forms of localization, considering the features of the system such as the range of transmission and covering of the communication. This work proposes a covering algorithm for the localization of people using VLC, which was validated with a simulation, using as a case the communication in a tunnel. The proposed model solves the problem of assigning LEDs, using a Set Covering algorithm. Thus, it optimizes the capacity of the canal and complies with the restrictions of trilateration and efficiency.</t>
  </si>
  <si>
    <t>gatica, gustavo/KXR-7308-2024; Fuentealba, Diego/AAM-8509-2020</t>
  </si>
  <si>
    <t>Fuentealba, Diego/0000-0001-5284-0448; Pereira-Mendoza, Jonathan/0009-0006-9752-7555; Gutierrez Lillo, Sebastian/0000-0003-3714-0632</t>
  </si>
  <si>
    <t>978-1-7281-6341-3</t>
  </si>
  <si>
    <t>+</t>
  </si>
  <si>
    <t>10.1109/sacvlc50805.2020.9129860</t>
  </si>
  <si>
    <t>WOS:000856038700017</t>
  </si>
  <si>
    <t>Junca, MAV; Valencia, C; López, EF; Delgado-Ospina, J; Zapata, PA; Solano, M; Tovar, CDG</t>
  </si>
  <si>
    <t>Valencia Junca, Mayra Alejandra; Valencia, Cesar; Florez Lopez, Edwin; Delgado-Ospina, Johannes; Zapata, Paula A.; Solano, Moises; Grande Tovar, Carlos David</t>
  </si>
  <si>
    <t>Chitosan Beads Incorporated with Essential Oil of Thymus capitatus: Stability Studies on Red Tilapia Fillets</t>
  </si>
  <si>
    <t>BIOMOLECULES</t>
  </si>
  <si>
    <t>Red Tilapia is one of the most consumed but perishable fish in the world. As a result, it requires preservation methods for safe consumption without affecting its organoleptic characteristics. Chitosan encapsulating essential oils have shown to be an excellent food conservation method. For that reason, we carried out the study of the protective effect on red Tilapia fillets with chitosan beads (CB) incorporated with Thymus capitatus (TCEO) essential oil at 500, 1000, and 2000 mg/L to assess the conservation of the fillets. The TCEO composition was characterized by gas chromatography-mass spectrometry (CG-MS). For the other side, CB was characterized by Fourier transform infrared spectroscopy (FTIR), X-ray diffraction spectroscopy (XRD), thermogravimetric analysis (TGA), and Scanning electron microscopy (SEM). The protective effect of the beads was tested against the Gram-positive and Gram-negative bacteria growth for four weeks. The results showed an inhibition effect in Gram-positive bacteria at higher TCEO concentration (1000 and 2000 mg/L). Besides that, the pH, total volatile basic nitrogen (T-BNV-N), color, and fillet texture were evaluated as quality attributes. The results suggested that the incorporation of the CB-TCEO allowed a higher contact of the active compounds with the food surface, which reflected more excellent stability. The quality attributes of the fillets were preserved for 26 days, suggesting its uses for the treatment for perishable food.</t>
  </si>
  <si>
    <t>Delgado, Johannes/ADH-0147-2022; Tovar, Carlos/J-9638-2019; Valencia Llano, Carlos Humberto/KZU-6023-2024</t>
  </si>
  <si>
    <t>Zapata, Paula Andrea/0000-0003-3361-6226; Valencia Llano, Carlos Humberto/0000-0003-4892-9786; Delgado Ospina, Johannes/0000-0001-8095-4741; Florez Lopez, Edwin/0000-0001-6312-7568; Grande Tovar, Carlos David/0000-0002-6243-4571; Valencia, Cesar/0000-0002-7032-556X</t>
  </si>
  <si>
    <t>2218-273X</t>
  </si>
  <si>
    <t>10.3390/biom9090458</t>
  </si>
  <si>
    <t>WOS:000489102800070</t>
  </si>
  <si>
    <t>Zúñiga-Núñez, D; Zamora, RA; Barrias, P; Tirapegui, C; Poblete, H; Cárdenas-Jirón, G; Alarcon, EI; Aspée, A</t>
  </si>
  <si>
    <t>Zuniga-Nunez, Daniel; Zamora, Ricardo A.; Barrias, Pablo; Tirapegui, Cristian; Poblete, Horacio; Cardenas-Jiron, Gloria; Alarcon, Emilio I.; Aspee, Alexis</t>
  </si>
  <si>
    <t>Theoretical rationalisation of the photophysics of a TICT excited state of cinnamoyl-coumarin derivatives in homogeneous and biological membrane models</t>
  </si>
  <si>
    <t>A new hybrid cinnamoyl-coumarin probe was synthesised to study the formation and dynamics of a twisted internal charge transfer (TICT) excited state in homogeneous and biological membrane models. This probe showed a large bathochromic shift of the fluorescence band with the solvent polarity, which is associated with the decrease in the fluorescence intensity due to fast non-radiative deactivation pathways, ascribed to TICT excited state formation in polar solvents. The calculated potential energy surfaces using density functional theory (DFT) and time dependent-DFT (TD-DFT) along with the energetic barriers calculated using the ABF methodology established the energy requirements for a rotational twisting of the cinnamoyl-coumarin bond for TICT excited state formation. This strategy has allowed estimating the role of the ground state conformation and excited state distribution that, concomitant with fluorescence lifetime measurements, describes in detail dual fluorescence emission from TICT and ICT excited states. Moreover, the high sensitivity of fluorescence lifetimes of the TICT excited state in liposomes allows us to propose the use of this type of probes as a powerful tool for the study of gel and crystalline liquid phases in lipid membrane models. The development of this new approach will allow rationalizing and understanding the photochemical behavior of fluorescent TICT-based probes in constrained biological environments.</t>
  </si>
  <si>
    <t>Poblete, Horacio/J-9781-2012; Poblete, Horacio/E-4974-2012; Barrias, Pablo/V-7218-2018; Tirapegui, Cristian/U-3748-2018; Cardenas-Jiron, Gloria/H-9508-2012; Zamora, Ricardo/O-8717-2018</t>
  </si>
  <si>
    <t>Zuniga, Daniel/0000-0001-9967-1653; Poblete, Horacio/0000-0003-2650-3565; Barrias, Pablo/0000-0003-4072-4436; Tirapegui, Cristian/0000-0002-2895-3204; Alarcon, Emilio/0000-0001-5100-6179; Cardenas-Jiron, Gloria/0000-0003-4305-8088; Zamora, Ricardo/0000-0002-7707-7482</t>
  </si>
  <si>
    <t>NOV 21</t>
  </si>
  <si>
    <t>10.1039/c8cp04963g</t>
  </si>
  <si>
    <t>WOS:000449499100035</t>
  </si>
  <si>
    <t>Fuentes-Lemus, E; Silva, E; Barrias, P; Aspée, A; Lorentzen, L; Carroll, L; Leinisch, F; Davies, MJ; López-Alarcón, C</t>
  </si>
  <si>
    <t>Fuentes-Lemus, Eduardo; Silva, Eduardo; Barrias, Pablo; Aspee, Alexis; Lorentzen, Lasse; Carroll, Luke; Leinisch, Fabian; Davies, Michael Jonathan; Lopez-Alarcon, Camilo</t>
  </si>
  <si>
    <t>Role of di-tyrosine and di-tryptophan in α- and β-casein cross-linking triggered by riboflavin-induced photo oxidation and peroxyl radicals</t>
  </si>
  <si>
    <t>FREE RADICAL BIOLOGY AND MEDICINE</t>
  </si>
  <si>
    <t>19th Biennial Meeting of the Society-for-Free-Radical-Research-International (SFRRI)</t>
  </si>
  <si>
    <t>JUN 04-07, 2018</t>
  </si>
  <si>
    <t>Lisbon, PORTUGAL</t>
  </si>
  <si>
    <t>Soc Free Rad Res Int</t>
  </si>
  <si>
    <t>Fuentes Lemus, Eduardo/X-4292-2019; Lopez, Camilo/J-5770-2013; Davies, Michael/AGX-9184-2022; Barrias, Pablo/V-7218-2018; Silva, Eduardo/KUC-8055-2024; Carroll, Luke/E-9366-2015; Davies, Michael/H-4939-2011</t>
  </si>
  <si>
    <t>Carroll, Luke/0000-0002-8600-4023; Davies, Michael/0000-0002-5196-6919; SILVA, Eduardo/0000-0003-1395-2978</t>
  </si>
  <si>
    <t>0891-5849</t>
  </si>
  <si>
    <t>1873-4596</t>
  </si>
  <si>
    <t>MAY 20</t>
  </si>
  <si>
    <t>P-50</t>
  </si>
  <si>
    <t>S60</t>
  </si>
  <si>
    <t>10.1016/j.freeradbiomed.2018.04.197</t>
  </si>
  <si>
    <t>WOS:000432836500182</t>
  </si>
  <si>
    <t>Diaz, OP; Arcos, R; Tapia, Y; Pastene, R; Velez, D; Devesa, V; Montoro, R; Aguilera, V; Becerra, M</t>
  </si>
  <si>
    <t>Pablo Diaz, Oscar; Arcos, Rafael; Tapia, Yasna; Pastene, Ruben; Velez, Dinoraz; Devesa, Vicenta; Montoro, Rosa; Aguilera, Valeska; Becerra, Miriam</t>
  </si>
  <si>
    <t>Estimation of Arsenic Intake from Drinking Water and Food (Raw and Cooked) in a Rural Village of Northern Chile. Urine as a Biomarker of Recent Exposure</t>
  </si>
  <si>
    <t>INTERNATIONAL JOURNAL OF ENVIRONMENTAL RESEARCH AND PUBLIC HEALTH</t>
  </si>
  <si>
    <t>The aim of this study was to estimate both the contribution of drinking water and food (raw and cooked) to the total (t-As) and inorganic (i-As) arsenic intake and the exposure of inhabitants of Socaire, a rural village in Chile ' s Antofagasta Region, by using urine as biomarker. The i-As intake from food and water was estimated using samples collected between November 2008 and September 2009. A 24-hour dietary recall questionnaire was given to 20 participants. Drinking water, food (raw and cooked) and urine samples were collected directly from the homes where the interviewees lived. The percentage of i-As/t-As in the drinking water that contributed to the total intake was variable (26.8-92.9). Cereals and vegetables are the food groups that contain higher concentrations of i-As. All of the participants interviewed exceeded the reference intake FAO/OMS (149.8 mu g.i-Asday(-1)) by approximately nine times. The concentration of t-As in urine in each individual ranged from 78 to 459 ngmL(-1). Estimated As intake from drinking water and food was not associated with total urinary As concentration. The results show that both drinking water and food substantially contribute to i-As intake and an increased exposure risk to adult residents in contaminated areas.</t>
  </si>
  <si>
    <t>Velez, Dinoraz/H-4255-2012; Devesa, Vicenta/I-2102-2012; Tapia Fernandez, Yasna/K-4650-2017</t>
  </si>
  <si>
    <t>Devesa, Vicenta/0000-0002-1988-2985; Velez Pacios, Dinoraz/0000-0001-8679-5622; Tapia Fernandez, Yasna/0000-0003-4197-4410; PASTENE OLIVARES, RUBEN/0000-0002-7137-0303</t>
  </si>
  <si>
    <t>1660-4601</t>
  </si>
  <si>
    <t>10.3390/ijerph120505614</t>
  </si>
  <si>
    <t>WOS:000359190300068</t>
  </si>
  <si>
    <t>Antonova, EE; Kirpichev, IP; Vovchenko, VV; Stepanova, MV; Riazantseva, MO; Pulinets, MS; Ovchinnikov, IL; Znatkova, SS</t>
  </si>
  <si>
    <t>Antonova, E. E.; Kirpichev, I. P.; Vovchenko, V. V.; Stepanova, M. V.; Riazantseva, M. O.; Pulinets, M. S.; Ovchinnikov, I. L.; Znatkova, S. S.</t>
  </si>
  <si>
    <t>Characteristics of plasma ring, surrounding the Earth at geocentric distances ∼7-10RE, and magnetospheric current systems</t>
  </si>
  <si>
    <t>JOURNAL OF ATMOSPHERIC AND SOLAR-TERRESTRIAL PHYSICS</t>
  </si>
  <si>
    <t>There are strong experimental evidences of the existence of plasma domain forming a closed plasma ring around the Earth at geocentric distances similar to 7-10R(E). In this work, we analyze the main properties of this ring, using the data of the THEMIS satellite mission, acquired between April 2007 and September 2011. We also analyze the contribution of this ring to the storm dynamics. In particular, it is shown that the distribution of plasma pressure at similar to 7-10R(E) is nearly azimuthally symmetric. However, the daytime compression of the magnetic field lines and the shift of the minimal value of the magnetic field to higher latitudes lead to the spreading of the transverse current along field lines and splitting of the daytime integral transverse current into two branches in Z direction. The CRC is the high latitude continuation of the ordinary ring current (RC), generated by plasma pressure gradients, directed to the Earth. We evaluated the contribution of the azimuthally symmetric part of the plasma ring to the Dst index for strong geomagnetic storms using the AMPTE/CCE radial profiles of plasma pressure published before, and showed that the contribution of the ring current including both RC and CRC is sufficient to obtain the observed Dst variation without the necessity to include the tail current system. (C) 2012 Elsevier Ltd. All rights reserved.</t>
  </si>
  <si>
    <t>Riazantseva, Maria/G-9066-2014; Kirpichev, Igor/HHM-2487-2022; Stepanova, Marina/D-6329-2011; Antonova, Elizaveta/A-2716-2012; Ovchinnikov, Ilya/B-1467-2014</t>
  </si>
  <si>
    <t>Stepanova, Marina/0000-0002-1053-3375; Antonova, Elizaveta/0000-0001-6980-3993; Ovchinnikov, Ilya/0000-0003-2509-8166</t>
  </si>
  <si>
    <t>1364-6826</t>
  </si>
  <si>
    <t>1879-1824</t>
  </si>
  <si>
    <t>JUL</t>
  </si>
  <si>
    <t>10.1016/j.jastp.2012.08.013</t>
  </si>
  <si>
    <t>WOS:000320493800013</t>
  </si>
  <si>
    <t>Vilos, C; Constandil, L; Herrera, N; Solar, P; Escobar-Fica, J; Velásquez, LA</t>
  </si>
  <si>
    <t>Vilos, Cristian; Constandil, Luis; Herrera, Natalia; Solar, Paula; Escobar-Fica, Jorge; Alberto Velasquez, Luis</t>
  </si>
  <si>
    <t>Ceftiofur-loaded PHBV microparticles: A potential formulation for a long-acting antibiotic to treat animal infections</t>
  </si>
  <si>
    <t>ELECTRONIC JOURNAL OF BIOTECHNOLOGY</t>
  </si>
  <si>
    <t>The infectious diseases in the livestock breeding industry represent a significant drawback that generates substantial economic loss and have led to the indiscriminate use of antibiotics. The formulation of polymeric microparticles loaded with antibiotics for veterinary use can: reduce the number of required doses; protect the drug from inactivation; and maintain a sustained-release of the antibiotic drug at effective levels. Accomplishing all of these goals would have a significant economic and animal health impact on the livestock breeding industry. Results: In this work, we formulated ceftiofur-loaded PHBV microparticles (PHBV-CEF) with a spherical shape, a smooth surface and diameter sizes between 1.65 and 2.37 mu m. The encapsulation efficiency was 39.5 +/- 1.1% w/w, and we obtained a sustained release of ceftiofur in PBS-buffer (pH 7.4) over 7 days. The antibacterial activity of ceftiofur was preserved after the encapsulation procedure, and toxicity of PHBV-CEF microparticles evaluated by MTS was represented by an IC50 &gt; 10 mg/mL. Conclusions: Our results suggest that PHBV-CEF particles have a potential application for improving the treatment of infectious diseases in the livestock breeding industry.</t>
  </si>
  <si>
    <t>Ortiz, Cristian/F-9162-2014</t>
  </si>
  <si>
    <t>Vilos, Cristian/0000-0001-5619-3348; Solar, Paula/0000-0002-7035-7270</t>
  </si>
  <si>
    <t>0717-3458</t>
  </si>
  <si>
    <t>JUL 15</t>
  </si>
  <si>
    <t>10.2225/vol15-issue4-fulltext-2</t>
  </si>
  <si>
    <t>WOS:000307004700002</t>
  </si>
  <si>
    <t>B</t>
  </si>
  <si>
    <t>Antonova, EE; Pulinets, MS; Riazantseva, MO; Znatkova, SS; Kirpichev, IP; Stepanova, MV</t>
  </si>
  <si>
    <t>Lazar, M</t>
  </si>
  <si>
    <t>Antonova, Elizaveta E.; Pulinets, Maria S.; Riazantseva, Maria O.; Znatkova, Svetlana S.; Kirpichev, Igor P.; Stepanova, Marina V.</t>
  </si>
  <si>
    <t>Turbulence in the Magnetosheath and the Problem of Plasma Penetration Inside the Magnetosphere</t>
  </si>
  <si>
    <t>EXPLORING THE SOLAR WIND</t>
  </si>
  <si>
    <t>Riazantseva, Maria/G-9066-2014; Kirpichev, Igor/HHM-2487-2022; Antonova, Elizaveta/A-2716-2012; Stepanova, Marina/D-6329-2011</t>
  </si>
  <si>
    <t>Antonova, Elizaveta/0000-0001-6980-3993; Stepanova, Marina/0000-0002-1053-3375</t>
  </si>
  <si>
    <t>978-953-51-0339-4</t>
  </si>
  <si>
    <t>10.5772/2079</t>
  </si>
  <si>
    <t>WOS:000356532100019</t>
  </si>
  <si>
    <t>Walsh, L; Meza, R; Hamm, E</t>
  </si>
  <si>
    <t>Walsh, Lee; Meza, Ruben; Hamm, Eugenio</t>
  </si>
  <si>
    <t>Weakening of a thin shell structure by annihilating singularities</t>
  </si>
  <si>
    <t>JOURNAL OF PHYSICS D-APPLIED PHYSICS</t>
  </si>
  <si>
    <t>The strong deformation of a thin sheet or shell is characterized by the formation of sharp structures. In a shell that is forced to collapse, these features develop folds that make the process more efficient. On the other hand, in the crumpling of a membrane, the same features tend to stiffen the structure. We experimentally investigated a mechanism relevant in the collapse of shells and the early stages of crumpling, namely the mutual annihilation of vertex singularities. We show that the annihilation of two vertices in a displacement-controlled experiment is accompanied by a decrease of the forces at equilibrium. We propose a simple theoretical interpretation for this instability based on the near inextensibility of thin elastic sheets.</t>
  </si>
  <si>
    <t>Walsh, Lee/J-9542-2017; Hamm, Eugenio/A-7927-2013</t>
  </si>
  <si>
    <t>Walsh, Lee/0000-0002-1896-2473</t>
  </si>
  <si>
    <t>0022-3727</t>
  </si>
  <si>
    <t>1361-6463</t>
  </si>
  <si>
    <t>10.1088/0022-3727/44/23/232002</t>
  </si>
  <si>
    <t>WOS:000290911400002</t>
  </si>
  <si>
    <t>Parada-Bustamante, A; Orihuela, PA; Rios, M; Cuevas, CA; Oróstica, ML; Velásquez, LA; Villalón, MJ; Croxatto, HB</t>
  </si>
  <si>
    <t>Parada-Bustamante, Alexis; Orihuela, Pedro A.; Rios, Mariana; Cuevas, Catherina A.; Orostica, Maria Lorena; Velasquez, Luis A.; Villalon, Manuel J.; Croxatto, Horacio B.</t>
  </si>
  <si>
    <t>A non-genomic signaling pathway shut down by mating changes the estradiol-induced gene expression profile in the rat oviduct</t>
  </si>
  <si>
    <t>REPRODUCTION</t>
  </si>
  <si>
    <t>Estradiol (E-2) accelerates oviductal egg transport through intraoviductal non-genomic pathways in unmated rats and through genomic pathways in mated rats. This shift in pathways has been designated as intracellular path shifting (IPS), and represents a novel and hitherto unrecognized effect of mating on the female reproductive tract. We had reported previously that IPS involves shutting down the E, non-genomic pathway up- and downstream of 2-methoxyestradiol. Here, we evaluated whether IPS involves changes in the genomic pathway too. Using microarray analysis, we found that a common group of genes changed its expression in response to E-2 in unmated and mated rats, indicating that an E-2 genomic signaling pathway is present before and after mating; however, a group of genes decreased its expression only in mated rats and another group of genes increased its expression only in unmated rats. We evaluated the possibility that this difference is a consequence of an E-2 non-genomic signaling pathway present in unmated rats, but not in mated rats. Mating shuts down this E-2 non-genomic signaling pathway up- and downstream of cAMP production. The Star level is increased by E-2 in unmated rats, but not in mated rats. This is blocked by the antagonist of estrogen receptor ICI 182 780, the adenylyl cyclase inhibitor SQ 22536, and the catechol-O-methyltransferase inhibitor, OR 486. These results indicate that the E-2-induced gene expression profile in the rat oviduct differs before and after mating, and this difference is probably mediated by an E-2 non-genomic signaling pathway operating on gene expression only in unmated rats. Reproduction (2010) 139 631-644</t>
  </si>
  <si>
    <t>Parada-Bustamante, Alexis/I-1127-2013</t>
  </si>
  <si>
    <t>Parada Bustamante, Alexis/0000-0002-3240-4961; Cuevas, Catherina/0000-0002-6511-4020; Velasquez, Luis/0000-0002-9479-1792</t>
  </si>
  <si>
    <t>1470-1626</t>
  </si>
  <si>
    <t>10.1530/REP-09-0218</t>
  </si>
  <si>
    <t>WOS:000275144500015</t>
  </si>
  <si>
    <t>Ferrarotti, FA; Paoletti, AL; Torres, JMT</t>
  </si>
  <si>
    <t>Antonio Ferrarotti, Flavio; Paoletti, Alejandra Lorena; Torres, Jose Maria Turull</t>
  </si>
  <si>
    <t>Redundant Relations in Relational Databases: A Model Theoretic Perspective</t>
  </si>
  <si>
    <t>JOURNAL OF UNIVERSAL COMPUTER SCIENCE</t>
  </si>
  <si>
    <t>We initiate in this work the study of a sort of redundancy problem revealed by what we call redundant relations. Roughly, we define a redundant relation in a database instance (dbi) as a k-ary relation R such that there is a first-order query which evaluated in the reduced dbi, (i.e., the dbi without the redundant relation R) gives us R. So, given that first-order types are isomorphism types on finite structures, we can eliminate that relation R as long as the equivalence classes of the relation of equality of the first-order types for all k-tuples in the dbi are not altered. It turns out that in a fixed dbi, the problem of deciding whether a given relation in the dbi is redundant is decidable, though intractable, as well as the problem of deciding whether there is any relation symbol in the schema which is a redundant relation in the given dbi. We then study redundant relations with a restricted notion of equivalence so that the problem becomes tractable.</t>
  </si>
  <si>
    <t>Ferrarotti, Flavio/0000-0003-2278-8233</t>
  </si>
  <si>
    <t>0948-695X</t>
  </si>
  <si>
    <t>WOS:000289720600003</t>
  </si>
  <si>
    <t>Celedón, G; González, G; Lissi, E; Cerda, T; Martinez, D; Soto, C; Pupo, M; Pazos, F; Lanio, ME; Alvarez, C</t>
  </si>
  <si>
    <t>Celedon, Gloria; Gonzalez, Gustavo; Lissi, Eduardo; Cerda, Tania; Martinez, Diana; Soto, Carmen; Pupo, Mario; Pazos, Fabiola; Lanio, Maria E.; Alvarez, Carlos</t>
  </si>
  <si>
    <t>Effect of calcium on the hemolytic activity of Stichodactyla helianthus toxin sticholysin II on human erythrocytes</t>
  </si>
  <si>
    <t>TOXICON</t>
  </si>
  <si>
    <t>Sticholysin II (St II) is a toxin from the sea anemona Stichodactyla helianthus that produces erythrocytes lysis at low concentration and its activity depends on the presence of calcium. Calcium may act modifying toxin interaction with erythrocyte membranes or activating cellular processes which may result in a modified St II lytic action. In this study we are reporting that, in the presence of external K+, extracellular calcium decreased St II activity on erythrocytes. On the other hand an increase of intracellular calcium promotes Sty II lytic activity. The effect of intracellular calcium was specifically studied in relation to membrane lipid translocation elicited by scramblases and how this action influence St If lytic activity on erythrocytes. We used 0.5 mmol/L calcium and 10 mmol/L A23187, as calcium ionophore, for scramblases activation and found increased St II activity associated to increase of intracellular calcium. N-ethyl maleimide (activator) and 4,4'-diisothiocyanatostilbene-2,2'-disulfonate (inhibitor) were used as scramblases modulators in the assays which produced an increase and a decrease of the calcium effect, respectively. Results reported suggest an improved St II membrane pore-forming capacity promoted by intracellular calcium associated to membrane phospholipids translocation. (C) 2009 Elsevier Ltd. All rights reserved.</t>
  </si>
  <si>
    <t>Pupo, Mario/AAX-4661-2020</t>
  </si>
  <si>
    <t>Pupo, Mario/0000-0001-9130-0620; Fabiola, Isabel/0000-0002-9502-2186</t>
  </si>
  <si>
    <t>0041-0101</t>
  </si>
  <si>
    <t>10.1016/j.toxicon.2009.06.017</t>
  </si>
  <si>
    <t>WOS:000270626900016</t>
  </si>
  <si>
    <t>Paredes-García, V; Venegas-Yazigi, D; Cabrera, A; Valencia-Gálvez, P; Arriagada, M; Ruiz-Leon, D; Pizarro, N; Zanocco, A; Spodine, E</t>
  </si>
  <si>
    <t>Paredes-Garcia, Veronica; Venegas-Yazigi, D.; Cabrera, A.; Valencia-Galvez, P.; Arriagada, M.; Ruiz-Leon, D.; Pizarro, N.; Zanocco, A.; Spodine, Evgenia</t>
  </si>
  <si>
    <t>Optical properties of binuclear zinc (II) macrocyclic complexes derived from 4-methyl-2,6-diformylphenol and 1,2-diaminobenzene</t>
  </si>
  <si>
    <t>POLYHEDRON</t>
  </si>
  <si>
    <t>In this work, we present the synthesis and optical study of the binuclear zinc(II) macrocyclic complexes, derived from 4-methyl-2,6-diformyl phenol and 1,2-diaminobenzene (H2L). Two zinc macrocyclic complexes with different anions were prepared and characterized: [Zn2LCl2]center dot H2O (1) and [Zn2L](NO3)(2) (2). The complexes are emissive, both in the solid state and in solution at room temperature. Spectroscopic properties of the macrocyclic complexes were investigated using stationary and time resolved methods in solutions of dimethylsulfoxide (DMSO), and in solid state. DMSO solutions show two emission bands centered at 480 and 521 nm for complex (1), and at 527 nm with a shoulder at 480 nm for (2). The emission spectra of these compounds in solid state show a red shifted band, presenting the maxima at 565 nm for (1) and 575 nm for (2). The emission lifetimes for these compounds are very short, viz. 650 and 480 ps for macrocycles (1) and (2), respectively. (C) 2009 Elsevier Ltd. All rights reserved.</t>
  </si>
  <si>
    <t>Pizarro, Nancy/E-1131-2015; Ruiz, Domingo/H-3818-2011; Paredes-Garcia, Veronica/C-4415-2011; Venegas-Yazigi, Diego/C-5022-2009</t>
  </si>
  <si>
    <t>Valencia Galvez, Paulina/0000-0002-7283-064X; ZANOCCO, ANTONIO/0000-0002-6521-5382; Venegas-Yazigi, Diego/0000-0001-7816-2841; Ruiz Leon, Domingo/0000-0002-0950-6919; Pizarro, Nancy/0000-0002-4688-0889; Cabrera, Alan R./0000-0002-4620-6974</t>
  </si>
  <si>
    <t>0277-5387</t>
  </si>
  <si>
    <t>AUG 5</t>
  </si>
  <si>
    <t>10.1016/j.poly.2009.04.027</t>
  </si>
  <si>
    <t>WOS:000268994200005</t>
  </si>
  <si>
    <t>Courteix, C; Privat, AM; Pelissier, T; Hernandez, A; Eschalier, A; Fialip, J</t>
  </si>
  <si>
    <t>Courteix, Christine; Privat, Anne-Marie; Pelissier, Teresa; Hernandez, Alejandro; Eschalier, Alain; Fialip, Joseph</t>
  </si>
  <si>
    <t>Agmatine induces antihyperalgesic effects in diabetic rats and a superadditive interaction with R(-)-3-(2-carboxypiperazine-4-yl)propyl-1-phosphonic acid, a N-methyl-D-aspartate-receptor antagonist</t>
  </si>
  <si>
    <t>JOURNAL OF PHARMACOLOGY AND EXPERIMENTAL THERAPEUTICS</t>
  </si>
  <si>
    <t>Agmatine, an endogenous cationic amine resulting from the decarboxylation of L-arginine, produces antihyperalgesic and antiallodynic effects in animal models of chronic neuropathic and inflammatory pain. We examined the effect of agmatine on tactile and thermal allodynia and on mechanical hyperalgesia in streptozocin- induced diabetic rats. To determine its mechanism of action and the potential interest of some of its combinations, the antihyperalgesic effect of agmatine was challenged with alpha(2)-adrenergic imidazoline and opioid-receptor antagonists, and its interaction with the opioid- receptor agonist morphine, the competitive N-methyl-D-aspartate receptor antagonist D-CPP [R(-)-3( 2-carboxypiperazine-4-yl)-propyl-1-phosphonic acid], and the nitricoxide synthase inhibitor L-NAME (L-NG-nitro-L-arginine methyl ester) were examined. When intrathecally (i.t.) injected (4.4 to 438 nmol/rat), agmatine was ineffective in normal rats but suppressed tactile allodynia (von Frey hair test), thermal allodynia (tail immersion test), and mechanical hyperalgesia (paw-pressure test) in diabetic rats. This spinal antihyperalgesic effect was suppressed by idazoxan (40 mu mol/rat i.t.) but not by yohimbine (40 mu mol/rat i.t.) or naloxone (0.69 mu mol/rat i.v.). In diabetic rats, an isobolographic analysis showed that combinations of i.t. agmatine with i.v. L-NAME or with i.t. morphine resulted in an additive antihyperalgesic effect, whereas the agmatine/D-CPP i.t. combination was superadditive. In summary, the present findings reveal that spinal agmatine produces antiallodynic and antihyperalgesic effects in diabetic neuropathic pain involving, at least for its antihyperalgesic effect, the imidazoline receptors. Moreover, agmatine combined with D-CPP produces an antinociceptive synergy in experimental neuropathy, opening opportunities in the development of new strategies for pain therapy.</t>
  </si>
  <si>
    <t>Hernandez, Alejandro/M-4796-2019; Courteix, Christine/HJI-7642-2023; ESCHALIER, Alain/L-9957-2015</t>
  </si>
  <si>
    <t>Hernandez, Alejandro/0000-0001-9222-6522; Courteix, Christine/0000-0002-2927-2910</t>
  </si>
  <si>
    <t>0022-3565</t>
  </si>
  <si>
    <t>1521-0103</t>
  </si>
  <si>
    <t>10.1124/jpet.107.123018</t>
  </si>
  <si>
    <t>WOS:000248887400039</t>
  </si>
  <si>
    <t>Sepulveda, W; Corral, E; Kottmann, C; Illanes, S; Vasquez, P; Monckeberg, MJ</t>
  </si>
  <si>
    <t>Umbilical artery aneurysm: prenatal identification in three fetuses with trisomy 18</t>
  </si>
  <si>
    <t>ULTRASOUND IN OBSTETRICS &amp; GYNECOLOGY</t>
  </si>
  <si>
    <t>Aneurysm of the umbilical artery is an extremely rare anomaly of the umbilical cord, with only two cases being documented in the English language literature. We report three cases diagnosed prenatally by ultrasound in the third trimester, all associated with single umbilical artery and multiple structural fetal anomalies. Prenatal karyotyping revealed trisomy 18 in all three cases. Umbilical cord anomalies, although rare, are associated with significant fetal morbidity and mortality. This report identifies umbilical artery aneurysm as an additional prenatal feature of trisomy 18. Copyright (C) 2003 ISUOG. Published by John Wiley Sons, Ltd.</t>
  </si>
  <si>
    <t>Illanes, Sebastián/D-6455-2013</t>
  </si>
  <si>
    <t>Illanes, Sebastian/0000-0001-5433-9315</t>
  </si>
  <si>
    <t>0960-7692</t>
  </si>
  <si>
    <t>1469-0705</t>
  </si>
  <si>
    <t>10.1002/uog.69</t>
  </si>
  <si>
    <t>WOS:000182050500016</t>
  </si>
  <si>
    <t>Wang, CS; Marrero-Cruz, M; Baricuatro, JH; Soriaga, MP; Serafini, D; Srinivasan, S</t>
  </si>
  <si>
    <t>Corrosion behaviour of AB5-type hydride electrodes in alkaline electrolyte solution</t>
  </si>
  <si>
    <t>JOURNAL OF APPLIED ELECTROCHEMISTRY</t>
  </si>
  <si>
    <t>The corrosion rates of LaNi5 and LaNi3.55Co0.75Mn0.4Al0.3 hydride electrodes, soaked in alkaline electrolyte and under charge - discharge cycling, were investigated by linear polarization, Tafel polarization and a new method based on the difference between the charge and discharge capacities. The corrosion - inhibition by Ni in LaNi5 and the influence of zincate ions on the corrosion rate of LaNi5 and LaNi3.55Co0.75Mn0.4Al0.3 were also studied. The results showed that the hydride electrode exhibits different corrosion behaviour when immersed in alkaline electrolyte and during charge - discharge cycles. The corrosion rate of LaNi5 was lower than that of LaNi3.55Co0.75Mn0.4Al0.3 when simply soaked in 6 M KOH solution, but higher during the charge - discharge cycles. The corrosion - inhibition afforded by Zn(OH)(4)(2-) ions on LaNi3.55Co0.75Mn0.4Al0.3 is small under quiescent conditions, but increases upon charge - discharge operation; such corrosion - inhibition improves the cycle- life of the hydride electrode.</t>
  </si>
  <si>
    <t>Wang, Chunsheng/H-5767-2011; Soriaga, Manuel/D-5637-2015</t>
  </si>
  <si>
    <t>Serafini, Daniel/0000-0002-1764-5900; Soriaga, Manuel/0000-0002-0077-6226</t>
  </si>
  <si>
    <t>0021-891X</t>
  </si>
  <si>
    <t>3-4</t>
  </si>
  <si>
    <t>10.1023/A:1024120421181</t>
  </si>
  <si>
    <t>WOS:000183441100014</t>
  </si>
  <si>
    <t>Hönle, W; Peters, K; Peters, EM; von Schnering, HG; Schmidt, R; Moya, SA; Pastene, R; Gullpi, M; Binder, H</t>
  </si>
  <si>
    <t>Crystal structure of 3,3′-trimethylene-2,2′-biquinolinium tetrabromoaurate(III), [C21H16N2H]+[AuBr4]-</t>
  </si>
  <si>
    <t>C21H17AuBr4N2, monoclinic, P12(1)/n1(No. 14), a = 13.718(1) Angstrom, b = 16.262(2) Angstrom, c = 10.132(1)Angstrom, beta = 93.80(1)degrees, V = 2255.3 Angstrom(3), Z = 4, R-gt(F) = 0.055, wR(F) = 0.028, T = 293 K.</t>
  </si>
  <si>
    <t>PASTENE OLIVARES, RUBEN/0000-0002-7137-0303</t>
  </si>
  <si>
    <t>WOS:000088244800051</t>
  </si>
  <si>
    <t>Bravo, LA; Zuniga, GE; Corcuera, LJ; Argandona, VH</t>
  </si>
  <si>
    <t>Freezing tolerance of barley seedlings infested by aphids</t>
  </si>
  <si>
    <t>JOURNAL OF PLANT PHYSIOLOGY</t>
  </si>
  <si>
    <t>The effects of the aphids Schizaphis graminum (Rondani) and Rhopalosiphum padi L. infestation on freezing tolerance of barley cv. Aramir and Atlas were studied. Seven day-old plants were infested with two aphids each. After 6 d, the freezing tolerance of the leaves was determined. Non infested leaves of cv. Atlas were significantly more tolerant than leaves of cv. Aramir (LT50 = -6.65 and -5.75 degrees C, respectively). The freezing tolerance of cv. Aramir did not vary when these plants were infested with aphids. However, the Freezing tolerance of cv. Atlas infested by S. graminum and R. padi, decreased in 1.5 and 3.3 degrees C, respectively. Basal ABA content in non infested plants was higher in cv. Aramir than Atlas, 285 and 69 nmol/kg, fresh mass, respectively. When plants were infested with S. graminum or R. padi, ABA content increased to 389 and 364 nmol/kg. Fresh mass respectively, only in Aramir. Sucrose content in cv. Atlas infested with R. padi or with S. graminum decreased to 1.2 and 5.0 mmol/kg, fresh mass respectively. The results show that aphid infestation could affect the capacity of some cultivars of barley to tolerate freezing stress.</t>
  </si>
  <si>
    <t>Zuñiga, Gustavo/P-8306-2015; Corcuera, Luis/G-1714-2014; Bravo, Leon/H-9251-2018</t>
  </si>
  <si>
    <t>Zuniga, Gustavo/0000-0002-8286-9468; Bravo, Leon/0000-0003-4705-4842</t>
  </si>
  <si>
    <t>0176-1617</t>
  </si>
  <si>
    <t>10.1016/S0176-1617(97)80327-6</t>
  </si>
  <si>
    <t>WOS:A1997WZ36300018</t>
  </si>
  <si>
    <t>Marín, JF; Riveros-Avila, R; Coulibaly, S; Taki, M; Gordillo, L; García-Ñustes, MA</t>
  </si>
  <si>
    <t>Marin, Juan F.; Riveros-Avila, Rafael; Coulibaly, Saliya; Taki, Majid; Gordillo, Leonardo; Garcia-Nustes, Monica A.</t>
  </si>
  <si>
    <t>Drifting Faraday patterns under localised driving</t>
  </si>
  <si>
    <t>COMMUNICATIONS PHYSICS</t>
  </si>
  <si>
    <t>Spontaneous pattern formation in physical system is governed by the competition between intrinsic and extrinsic length scales, causing the emergence of complex spatiotemporal profiles. The authors demonstrate that spatial nonuniformity sets Faraday-wave patterns in motion, and clearly identify the zigzag and drift dynamics in their wave crests. Physical systems undergoing spontaneous pattern formation are governed by intrinsic length scales that may compete with extrinsic ones, resulting in exceptional spatiotemporal behaviour. In this work, we report experimental and theoretical evidence that spatial nonuniformity sets Faraday-wave patterns in motion, which are noticeable in the zigzag and drift dynamics exhibited by their wave crests. We provide a minimal theoretical model that succeeds in characterising the growth of localised patterns under nonuniform parametric driving. Furthermore, the derivation accounts for symmetry-breaking nonlinear gradients that we show are the source of the drift mechanism, which comes into play right after the system has crossed a secondary bifurcation point. Numerical solutions of the governing equations match our experimental findings and theoretical predictions. Our results advance the understanding of pattern behaviour induced by nonuniformity in generic nonlinear extended systems far from equilibrium.</t>
  </si>
  <si>
    <t>COULIBALY, Saliya/ABR-8213-2022; Marin, Juan/J-6676-2019; Coulibaly, Saliya/G-1853-2014; GORDILLO, Leonardo/I-8215-2014</t>
  </si>
  <si>
    <t>Riveros Avila, Rafael/0000-0003-3563-6474; Marin, Juan/0000-0003-3756-5016; Coulibaly, Saliya/0000-0003-3943-6939; Garcia Nustes, Monica/0000-0003-2282-7802; GORDILLO, Leonardo/0000-0002-9516-1346</t>
  </si>
  <si>
    <t>2399-3650</t>
  </si>
  <si>
    <t>APR 7</t>
  </si>
  <si>
    <t>10.1038/s42005-023-01170-8</t>
  </si>
  <si>
    <t>WOS:000964154700001</t>
  </si>
  <si>
    <t>Gajardo-Araya, G; Hernández-Jaña, S; Olivares-Arancibia, J; Ferrari, G; Delgado-Floody, P; Cristi-Montero, C</t>
  </si>
  <si>
    <t>Gajardo-Araya, Guillermo; Hernandez-Jana, Sam; Olivares-Arancibia, Jorge; Ferrari, Gerson; Delgado-Floody, Pedro; Cristi-Montero, Carlos</t>
  </si>
  <si>
    <t>Physical fitness mediates the inverse association between fatness indicators and academic achievement, despite the school vulnerability of adolescents-The Cogni-Action Project</t>
  </si>
  <si>
    <t>FRONTIERS IN NUTRITION</t>
  </si>
  <si>
    <t>ObjectiveThis study aims to determine the mediating role of physical fitness in the relationship between fatness indicators and academic achievement, exploring the influence of school vulnerability. MethodsA total of 1,296 Chilean adolescents (aged 10 to 14 years; 50% girls) participated in this study. The global fitness score (GFS) was obtained by adding the three main components of the ALPHA fitness test: cardiorespiratory fitness (CRF), muscular fitness (MF), and speed/agility fitness (SAF). CRF was evaluated through the 20 m shuttle run test; MF by upper and lower limb strength tests; and SAF by the 4 x 10 shuttle run test. BMIz and WHtR were evaluated as general (unspecific) and central (specific) fatness indicators. Academic achievement was established through grades in math, language, and science and their average scores. Multiple mediation analyses were performed according to two models, adjusted for sex, maturity, and schools (model 1), and in model 2, the school vulnerability index (SVI) was added. The SVI is an important proxy of socioeconomic status at the school level, and it was categorized as high-, mid-, or low-SVI. Mediation percentages were calculated, and confidence intervals (bootstrapping) were used to establish significant findings. ResultsCRF, SAF, and GFS mediate the relationship between fatness indicators and academic achievement, both partially and totally (ranging from 12.7 to 59.2%). However, MF did not show any mediation effect. After controlling for SVI, CRF, and GFS, mediation changed from partial to total in the associations between math and science with WHtR. Although SAF contributed to GFS mediation, CRF seems to have the most significant mediation role for all academic achievements, regardless of SVI and the fat indicator studied. ConclusionA higher level of general physical fitness, especially CRF, significantly mediates the detrimental influence of fatness on the academic achievement of schoolchildren. This study suggests that physical fitness plays a relevant role in academic and public health, considering the high prevalence and detrimental influence of obesity and school vulnerability in children and adolescents.</t>
  </si>
  <si>
    <t>Ferrari, Gerson/HHM-6173-2022; Cristi-Montero, Carlos/AAE-4945-2020; Ferrari, Gerson/P-1152-2014</t>
  </si>
  <si>
    <t>Ferrari, Gerson/0000-0003-3177-6576; Hernandez Jana, Sam Steven/0000-0002-1743-4636</t>
  </si>
  <si>
    <t>2296-861X</t>
  </si>
  <si>
    <t>OCT 26</t>
  </si>
  <si>
    <t>10.3389/fnut.2022.904831</t>
  </si>
  <si>
    <t>WOS:000882386500001</t>
  </si>
  <si>
    <t>Bravo, D; Zepeda-Morales, K; Maturana, CJ; Retamal, JS; Hernández, A; Pelissier, T; Barra, R; Sáez-Briones, P; Burgos, H; Constandil, L</t>
  </si>
  <si>
    <t>Bravo, David; Zepeda-Morales, Katherine; Maturana, Carola J.; Retamal, Jeffri S.; Hernandez, Alejandro; Pelissier, Teresa; Barra, Rafael; Saez-Briones, Patricio; Burgos, Hector; Constandil, Luis</t>
  </si>
  <si>
    <t>NMDA and P2X7 Receptors Require Pannexin 1 Activation to Initiate and Maintain Nociceptive Signaling in the Spinal Cord of Neuropathic Rats</t>
  </si>
  <si>
    <t>INTERNATIONAL JOURNAL OF MOLECULAR SCIENCES</t>
  </si>
  <si>
    <t>Pannexin 1 (Panx1) is involved in the spinal central sensitization process in rats with neuropathic pain, but its interaction with well-known, pain-related, ligand-dependent receptors, such as NMDA receptors (NMDAR) and P2X7 purinoceptors (P2X7R), remains largely unexplored. Here, we studied whether NMDAR- and P2X7R-dependent nociceptive signaling in neuropathic rats require the activation of Panx1 channels to generate spinal central sensitization, as assessed by behavioral (mechanical hyperalgesia) and electrophysiological (C-reflex wind-up potentiation) indexes. Administration of either a selective NMDAR agonist i.t. (NMDA, 2 mM) or a P2X7R agonist (BzATP, 150 mu M) significantly increased both the mechanical hyperalgesia and the C-reflex wind-up potentiation, effects that were rapidly reversed (minutes) by i.t. administration of a selective pannexin 1 antagonist (10panx peptide, 300 mu M), with the scores even reaching values of rats without neuropathy. Accordingly, 300 mu M 10panx completely prevented the effects of NMDA and BzATP administered 1 h later, on mechanical hyperalgesia and C-reflex wind-up potentiation. Confocal immunofluorescence imaging revealed coexpression of Panx1 with NeuN protein in intrinsic dorsal horn neurons of neuropathic rats. The results indicate that both NMDAR- and P2X7R-mediated increases in mechanical hyperalgesia and C-reflex wind-up potentiation require neuronal Panx1 channel activation to initiate and maintain nociceptive signaling in neuropathic rats.</t>
  </si>
  <si>
    <t>Maturana, Carola/AAK-5223-2020; Bravo, David/G-5788-2017; BURGOS, HECTOR/ABA-6821-2020</t>
  </si>
  <si>
    <t>Maturana, Carola/0000-0001-8737-300X; Retamal, Jeffri S./0000-0003-4984-4530; Constandil, Luis/0000-0002-2504-0119; Bravo Lopez, David/0009-0008-5143-4278; barra pezo, rafael/0000-0002-2898-3729; BURGOS, HECTOR/0000-0001-7705-4347; Saez-Briones, Patricio/0000-0002-1491-2639</t>
  </si>
  <si>
    <t>1422-0067</t>
  </si>
  <si>
    <t>10.3390/ijms23126705</t>
  </si>
  <si>
    <t>WOS:000819626700001</t>
  </si>
  <si>
    <t>Mallea, M; Acuña, A; Klahn, AH; Artigas, V; Pavan, FR; Demarqui, FM; Lemus, L; Jara, DH; Toro, PM</t>
  </si>
  <si>
    <t>Mallea, Mario; Acuna, Alejandra; Hugo Klahn, A.; Artigas, Vania; Pavan, Fernando Rogerio; Demarqui, Fernanda Manaia; Lemus, Luis; Jara, Danilo H.; Toro, Patricia M.</t>
  </si>
  <si>
    <t>Cyrhetrenyl and cymantrenyl N-acylhydrazone complexes based on isoniazid: Synthesis, characterization, X-ray crystal structures and antitubercular activity evaluation</t>
  </si>
  <si>
    <t>JOURNAL OF ORGANOMETALLIC CHEMISTRY</t>
  </si>
  <si>
    <t>Four organometallic N-acylhydrazones of the general formulae [M{(eta(5)-C5H4)-CH= N -NH -C(O)-(C5H4-N)}(CO)(3)] [(with M = Re ( 5a ) or Mn ( 6a )] and [M{(eta(5)-C5H4)-C(Me)=N -NH -C(O)-(C5H4-N)}(CO)(3)] [(with M = Re ( 5b ) or Mn ( 6b )] were prepared by reaction of aldehyde/methyl ketone organometallic precursors with isoniazid (INH). All compounds were fully characterized using conventional spectroscopic techniques (FT-IR, H-1 and C-13{ H-1} NMR, mass spectrometry, and high-resolution mass spectrometry). The X-ray crystal structures of cyrhetrenyl compounds ( 5a and 5b ) are also reported. This structural analysis indicated that both compounds exhibited an E-configuration of the substituents on the-C(R-1) = N (R-1 = H or Me). The biological activity of the four analogous organometallic compounds ( 5 and 6 ) to INH and their organics counterpart {[(C6H5)-C(R)= N -NH -C(O)-(C5H4-N)] where R = H (NAH -H ) or R = Me (NAH-Me)} were evaluated on Mycobacterium tuberculosis ( M. tuberculosis ) in the standard strain H(37)Rv ATCC 27,294. The replacement of a hydrogen atom by a methyl group on the acylhydrazone moiety led to a significant increase in antitubercular properties. The compounds 5b and 6b (R-1 = Me) were at least 36-and 18-fold more effective than 5a and 6a (R-1 = H ) , respectively. The cyrhetrenyl derivative ( 5b ) was the most active complex against M. tuberculosis . This compound was shown to be about 2-times more effective than its organic analog (NAH-Me) and showed activity comparable to antitubercular drug INH. In vitro toxicity assays against murine macrophage cells J774A.1 (ATCC TIB-67) were also conducted, and selectivity indexes were determined for the most promising compounds. All N-acylhydrazones showed a moderated cytotoxic profile, similar to the isoniazid and rifampicin (RIF) control drugs, while 5b exhibited better selectivity index (SI) concerning the organic counterpart NAH-Me. Based on the anti-TB activity, cytotoxicity, and selectivity index, compound 5b has more potential for evolution as a new antitubercular agent. (c) 2022 Published by Elsevier B.V.</t>
  </si>
  <si>
    <t>Mallea, Mario/LXA-7680-2024; Jara, Danilo/A-6090-2017; Toro, Patricia/IWU-5936-2023; Pavan, Fernando Rogério/MZS-0713-2025; Pavan, Fernando Rogerio/F-6046-2010</t>
  </si>
  <si>
    <t>Pavan, Fernando Rogerio/0000-0002-6969-3963; Toro, Patricia Macarena/0000-0002-2286-5238; LEMUS, LUIS/0000-0002-5499-8115</t>
  </si>
  <si>
    <t>0022-328X</t>
  </si>
  <si>
    <t>1872-8561</t>
  </si>
  <si>
    <t>APR 15</t>
  </si>
  <si>
    <t>10.1016/j.jorganchem.2022.122299</t>
  </si>
  <si>
    <t>MAR 2022</t>
  </si>
  <si>
    <t>WOS:000790302300003</t>
  </si>
  <si>
    <t>Tamayo, L; Santana, P; Forero, JC; Leal, M; González, N; Díaz, M; Guiliani, N; Hamm, E; Urzúa, M</t>
  </si>
  <si>
    <t>Tamayo, Laura; Santana, Paula; Forero, Juan C.; Leal, Matias; Gonzalez, Nicolas; Diaz, Mauricio; Guiliani, Nicolas; Hamm, Eugenio; Urzua, Marcela</t>
  </si>
  <si>
    <t>Coaxial fibers of poly(styrene-co-maleic anhydride)@poly(vinyl alcohol) for wound dressing applications: Dual and sustained delivery of bioactive agents promoting fibroblast proliferation with reduced cell adherence</t>
  </si>
  <si>
    <t>INTERNATIONAL JOURNAL OF PHARMACEUTICS</t>
  </si>
  <si>
    <t>The prevalence of chronic and acute wounds, as well as the complexity of their treatment represent a great challenge for health systems around the world. In this context, the development of bioactive wound dressings that release active agents to prevent infections and promote wound healing, appears as the most promising solution. In this work, we develop an antibacterial and biocompatible wound dressing material made from coaxial electrospun fibers of poly(styrene-co-maleic anhydride) and poly(vinyl alcohol) (PSMA@PVA). The coaxial configuration of the fibers consists of a shell of poly (styrene-co-maleic anhydride) containing a variable concentration of silver nanoparticles (AgNPs) 0.1-0.6 wt% as antibacterial agent, and a core of PVA containing 1 wt % allantoin as healing agent. The fibers present diameters between 0.72 and 1.7 mu m. The release of Ag+ in a physiological medium was studied for 72 h, observing a burst release during the first 14 h and then a sustained and controlled release during the remaining 58 h. Allantoin release curves showed significant release only after 14 h. The meshes showed an antibacterial activity against Pseudomonas aeruginosa and Bacillus subtilis that correlates with the amount of AgNPs incorporated and the release rate of Ag+. Indeed, meshes containing 0.3 and 0.6 wt% of AgNPs showed a 99.99% inhibition against both bacteria. The adherence and cell viability of the meshes were evaluated in mouse embryonic fibroblasts NIH/3T3, observing a significant increase in cell viability after 72 h of incubation accompanied by a reduced adhesion of fibroblasts that decreased in the presence of the active agents. These results show that the material prepared here is capable of significantly promoting fibroblast cell proliferation but without strong adherence, which makes it an ideal material for wound dressings with non-adherent characteristics and with potential for wound healing.</t>
  </si>
  <si>
    <t>Urzúa, Marcela/E-1429-2014; Hamm, Eugenio/A-7927-2013; Forero Oliveros, Juan/ITT-1170-2023; Guiliani, Nicolas/F-6536-2015; Tamayo, Laura/I-8942-2018; Diaz Trombert, Mauricio/JXX-4543-2024</t>
  </si>
  <si>
    <t>Guiliani, Nicolas/0000-0002-9950-7316; Leal, Matias S./0000-0002-7145-1920; Urzua Acevedo, Marcela Del Pilar/0000-0002-2371-620X; Santana Sepulveda, Paula/0000-0002-5742-4926; Tamayo, Laura/0000-0003-1159-5305</t>
  </si>
  <si>
    <t>0378-5173</t>
  </si>
  <si>
    <t>1873-3476</t>
  </si>
  <si>
    <t>JAN 5</t>
  </si>
  <si>
    <t>10.1016/j.ijpharm.2021.121292</t>
  </si>
  <si>
    <t>DEC 2021</t>
  </si>
  <si>
    <t>WOS:000753422100001</t>
  </si>
  <si>
    <t>Salas, N; Castillo, D; Huepe, D; Correa, LET; Kong, F</t>
  </si>
  <si>
    <t>Smith-Castro, V; Sirlopu, D; Eller, A; Cakal, H</t>
  </si>
  <si>
    <t>Salas, Natalia; Castillo, Dante; Huepe, David; Thayer Correa, Luis Eduardo; Kong, Felipe</t>
  </si>
  <si>
    <t>EXPLORING DISCRIMINATION AND PREJUDICE IN EDUCATION Contributions From Social Psychology to the Immigrant Phenomenon in Chile</t>
  </si>
  <si>
    <t>INTRAREGIONAL MIGRATION IN LATIN AMERICA: Psychological Perspectives on Acculturation and Intergroup Relations</t>
  </si>
  <si>
    <t>Psychology in Latin America Series</t>
  </si>
  <si>
    <t>978-1-4338-3380-9; 978-1-4338-3299-4</t>
  </si>
  <si>
    <t>10.1037/0000234-006</t>
  </si>
  <si>
    <t>10.1037/0000234-000</t>
  </si>
  <si>
    <t>WOS:000886265700007</t>
  </si>
  <si>
    <t>Soto, I; Rodrigues, RN; Massuyama, G; Seguel, F; Jativa, PP; Azurdia-Meza, CA; Krommenacker, N</t>
  </si>
  <si>
    <t>Soto, Ismael; Nilson Rodrigues, Rafael; Massuyama, Gabriel; Seguel, Fabian; Palacios Jativa, Pablo; Azurdia-Meza, Cesar A.; Krommenacker, Nicolas</t>
  </si>
  <si>
    <t>A Hybrid VLC-RF Portable Phasor Measurement Unit for Deep Tunnels</t>
  </si>
  <si>
    <t>SENSORS</t>
  </si>
  <si>
    <t>In this manuscript we propose a hybrid Visible Light Communication and Radio Frequency (VLC-RF) scheme for the implementation of a portable Phaser Measurement Unit (PMU) for deep underground tunnels. Through computer simulations and laboratory measurements we are capable of providing Coordinated Universal Time (UTC) to the PMUs, as well as high accuracy positioning in a Global Positioning System (GPS) denied environment. The estimated PMU position, time stamp, and electrical power system measurements are sent to a central monitoring station using a radio frequency uplink with a data rate of hundreds of Kbps. Simulations and experimental measurements show that the proposed scheme can be used to control a large number of VLC-RF PMU devices inside a tunnel. The tests demonstrate the viability of the hybrid prototype, which will improve performance compared to commercial PMUs that lack these features.</t>
  </si>
  <si>
    <t>Meza, Cesar/D-6948-2014; Rodrigues, Rafael/AAR-6041-2020; Seguel, Fabian/ABC-4765-2020; Palacios Játiva, Pablo/AAE-8235-2019; Krommenacker, Nicolas/IAR-4851-2023</t>
  </si>
  <si>
    <t>Seguel, Fabian/0000-0001-6567-8988; Palacios, Pablo/0000-0002-3958-503X; Rodrigues, Rafael Nilson/0000-0003-1778-3884; Azurdia, Cesar/0000-0003-3461-4484; Soto, Ismael/0000-0002-5501-5651</t>
  </si>
  <si>
    <t>1424-8220</t>
  </si>
  <si>
    <t>10.3390/s20030790</t>
  </si>
  <si>
    <t>WOS:000517786200214</t>
  </si>
  <si>
    <t>Parraga-Alava, J; Caicedo, RA; Gómez, JM; Inostroza-Ponta, M</t>
  </si>
  <si>
    <t>Parraga-Alava, Jorge; Acuna Caicedo, Roberto; Manuel Gomez, Jose; Inostroza-Ponta, Mario</t>
  </si>
  <si>
    <t>An Unsupervised Learning Approach for Automatically to Categorize Potential Suicide Messages in Social Media</t>
  </si>
  <si>
    <t>2019 38TH INTERNATIONAL CONFERENCE OF THE CHILEAN COMPUTER SCIENCE SOCIETY (SCCC)</t>
  </si>
  <si>
    <t>Proceedings of the International Conference of the Chilean Computer Science Society</t>
  </si>
  <si>
    <t>38th International Conference of the Chilean-Computer-Science-Society (SCCC)</t>
  </si>
  <si>
    <t>NOV 04-09, 2019</t>
  </si>
  <si>
    <t>Univ Concepcion, Concepcion, CHILE</t>
  </si>
  <si>
    <t>Chilean Comp Sci Soc</t>
  </si>
  <si>
    <t>Univ Concepcion</t>
  </si>
  <si>
    <t>In this paper, we present an approach to categorize potential suicide messages in social media which is based on unsupervised learning. Our approach has five phases: the first two correspond to data acquisition and pre-processing where texts available in a corpus for suicide detection were taken and converted into a structured format; in the third phase, similarity between texts are computed using semantic similarity measures; traditional clustering algorithms were used to identify categories of potential suicide messages in the fourth phase; and, in last phase, using validation metrics we verified the usefulness of our approach to replicate the allocation of text into categories as in the original corpus data. Computational results showed that our approach is able to replicate the grouping of messages labeled as No risk and Risk in average rates of 79% and 87% and rates up 13% and 9% in alert levels for English and Spanish, respectively. Keywords-</t>
  </si>
  <si>
    <t>Párraga-Alava, Jorge/GZA-8759-2022; Acuña, Roberto/AAU-3000-2021; Gómez, José/C-4195-2008; Inostroza-Ponta, Mario/G-7548-2012</t>
  </si>
  <si>
    <t>Acuna, Roberto/0000-0001-9163-9966; Parraga-Alava, Jorge/0000-0001-8558-9122</t>
  </si>
  <si>
    <t>1522-4902</t>
  </si>
  <si>
    <t>978-1-7281-5613-2</t>
  </si>
  <si>
    <t>10.1109/sccc49216.2019.8966443</t>
  </si>
  <si>
    <t>WOS:000540055800051</t>
  </si>
  <si>
    <t>Avila-Salos, F; Pereira, A; Rojas, MA; Saavedra-Torres, M; Montecinos, R; Bonardd, S; Quezada, C; Saldías, S; Díaz, DD; Leivaa, A; Radic, D; Saldías, C</t>
  </si>
  <si>
    <t>Avila-Salos, Fabian; Pereira, Alfredo; Rojas, Moises A.; Saavedra-Torres, Mario; Montecinos, Rodrigo; Bonardd, Sebastian; Quezada, Caterina; Saldias, Soledad; Diaz Diaz, David; Leivaa, Angel; Radic, Deodato; Saldias, Cesar</t>
  </si>
  <si>
    <t>An experimental and theoretical comparative study of the entrapment and release of dexamethasone from micellar and vesicular aggregates of PAMAM-PCL dendrimers</t>
  </si>
  <si>
    <t>EUROPEAN POLYMER JOURNAL</t>
  </si>
  <si>
    <t>Self-assembling dendrimers in aqueous solution have attracted many efforts focused on the rationalization and development of consistent strategies to design carriers that are useful in the field of drug release. In this way, amphiphilic dendrimers with specific structural features and self-assembling behaviors in aqueous media would enable drug entrapment as well as drug release over a determined time period. In this work, we report the synthesis and characterization of poly(amido-amine)-b-poly(epsilon-caprolactone) (PAMAM-PCL) amphiphilic dendrimers and their use in the preparation of micellar and vesicular aggregates. The ability to form suitable carriers of amphiphilic dendrimers using dexamethasone as a model drug was assessed. Using the ultrasonic -assisted precipitation method, PAMAM-PCL 1 and PAMAM-PCL 2 self-assembled into micelles and vesicles were obtained. The critical aggregation concentration (C.A.C.), hydrophilic hydrophobic balance and aggregate sizes were found to mainly depend on the type of dendrimer used. Characterization of PAMAM-PCL aggregates by transmission electron microscopy (TEM), dynamic light scattering (DLS), UV visible, fluorescence and zeta potential (4) was carried out. The standard free energies of solubilization, Delta G(s)degrees, of dexamethasone into PAMAM-PCL aggregates were obtained from the partition coefficient between the aqueous and the aggregate phases. AG; is notoriously dependent on the type of dendrimer and aggregate employed. In addition, by in vitro studies, a combination of diffusion and eroding dendrimeric matrix mechanisms for drug release could be established. Finally, all-atom molecular dynamic simulations helped us to gain insight into the conformational behavior and interactions between the PAMAM-PCL dendrimer and dexamethasone in different solvents and their respective mixtures with water.</t>
  </si>
  <si>
    <t>Bonardd, Sebastian/AAH-9448-2019; Diaz Diaz, David/A-7792-2015</t>
  </si>
  <si>
    <t>Pereira, Alfredo/0000-0002-0258-0948; Saavedra, Mario/0000-0003-2030-2375; Avila-Salas, Fabian/0000-0002-0247-6868; Bonardd, Sebastian/0000-0002-3764-9968; Leiva-Campusano, Angel Rodrigo/0000-0003-3744-1945; Saldias, Cesar/0000-0001-6124-6205; Diaz Diaz, David/0000-0002-0557-3364; Montecinos, Rodrigo/0000-0003-0080-1839</t>
  </si>
  <si>
    <t>0014-3057</t>
  </si>
  <si>
    <t>1873-1945</t>
  </si>
  <si>
    <t>10.1016/j.eurpolymj.2017.06.023</t>
  </si>
  <si>
    <t>WOS:000407186200047</t>
  </si>
  <si>
    <t>Adasme, P; Andrade, R; Leung, J; Lisser, A</t>
  </si>
  <si>
    <t>Liberatore, F; Parlier, GH; Demange, M</t>
  </si>
  <si>
    <t>Adasme, Pablo; Andrade, Rafael; Leung, Janny; Lisser, Abdel</t>
  </si>
  <si>
    <t>On a Traveling Salesman based Bilevel Programming Problem</t>
  </si>
  <si>
    <t>PROCEEDINGS OF THE 6TH INTERNATIONAL CONFERENCE ON OPERATIONS RESEARCH AND ENTERPRISE SYSTEMS (ICORES)</t>
  </si>
  <si>
    <t>6th International Conference on Operations Research and Enterprise Systems (ICORES)</t>
  </si>
  <si>
    <t>FEB 23-25, 2017</t>
  </si>
  <si>
    <t>Porto, PORTUGAL</t>
  </si>
  <si>
    <t>In this paper, we consider a linear bilevel programming problem where both the leader and the follower maximize their profits subject to budget constraints. Additionally, we impose a Hamiltonian cycle topology constraint in the leader problem. In particular, models of this type can be motivated by telecommunication companies when dealing with traffic network flows from one server to another one within a ring topology framework. We transform the bilevel programming problem into an equivalent single level optimization problem that we further linearize in order to derive mixed integer linear programming (MILP) formulations. This is achieved by replacing the follower problem with the equivalent Karush Kuhn Tucker conditions and with a linearization approach to deal with the complementarity constraints. The topology constraint is handled by the means of two compact formulations and an exponential one from the classic traveling salesman problem. Thus, we compute optimal solutions and upper bounds with linear programs. One of the compact models allows to solve instances with up to 250 nodes to optimality. Finally, we propose an iterative procedure that allows to compute optimal solutions in remarkably less computational effort when compared to the compact models.</t>
  </si>
  <si>
    <t>Andrade, Rafael/P-8202-2016; Adasme, Pablo/U-1735-2019; LEUNG, Janny/GMX-4666-2022; Leung, Janny/F-6838-2011</t>
  </si>
  <si>
    <t>Adasme, Pablo/0000-0003-2500-3294; Leung, Janny/0000-0002-9086-6056</t>
  </si>
  <si>
    <t>978-989-758-218-9</t>
  </si>
  <si>
    <t>10.5220/0006190503290336</t>
  </si>
  <si>
    <t>WOS:000413254200035</t>
  </si>
  <si>
    <t>Castro-Triguero, R; Flores, EIS; DiazDelaO, FA; Friswell, MI; Gallego, R</t>
  </si>
  <si>
    <t>Castro-Triguero, R.; Saavedra Flores, E. I.; DiazDelaO, F. A.; Friswell, M. I.; Gallego, R.</t>
  </si>
  <si>
    <t>Optimal sensor placement in timber structures by means of a multi-scale approach with material uncertainty</t>
  </si>
  <si>
    <t>STRUCTURAL CONTROL &amp; HEALTH MONITORING</t>
  </si>
  <si>
    <t>This paper investigates the optimal location of sensors in a timber structure when parametric uncertainty is considered in the microstructure of the material. In order to describe the proposed methodology, a timber beam is chosen for our numerical simulations. A classical sensor location methodology based on the Fisher information matrix is employed. Within a finite element framework, a homogenization-based multi-scale approach is adopted to model the constitutive response of timber, along with stochastic properties in the definition of the material. Nevertheless, by considering uncertainty in the micromechanical properties of wood, a significant computational cost is added to the solution of a large set of realizations represented by expensive multi-scale analyses. In order to tackle this high cost, we build a statistical approximation to the output of the computer model, known as a Bayesian emulator. Following this strategy, three micromechanical parameters are chosen to study their influence on the selection of different configurations of sensor placement. The optimal location of sensors is assessed with three different criteria: the Fisher matrix determinant, the modal assurance criterion error and the condition number. Furthermore, the robustness of this configuration is investigated in the presence of noise. Copyright (c) 2014 John Wiley &amp; Sons, Ltd.</t>
  </si>
  <si>
    <t>Flores, Erick/I-7646-2012; Friswell, Michael/B-5581-2009; Gallego, Rafael/J-7563-2018; Castro Triguero, Rafael/C-2564-2019</t>
  </si>
  <si>
    <t>Friswell, Michael/0000-0003-4677-7395; Gallego, Rafael/0000-0002-7260-0940; Castro Triguero, Rafael/0000-0002-2937-1118</t>
  </si>
  <si>
    <t>1545-2255</t>
  </si>
  <si>
    <t>1545-2263</t>
  </si>
  <si>
    <t>10.1002/stc.1654</t>
  </si>
  <si>
    <t>WOS:000343861800003</t>
  </si>
  <si>
    <t>Cordaro, EG; Olivares, E; Galvez, D; Salazar-Aravena, D; Laroze, D</t>
  </si>
  <si>
    <t>Cordaro, E. G.; Olivares, E.; Galvez, D.; Salazar-Aravena, D.; Laroze, D.</t>
  </si>
  <si>
    <t>New 3He neutron monitor for Chilean Cosmic-Ray Observatories from the Altiplanic zone to the Antarctic zone</t>
  </si>
  <si>
    <t>ADVANCES IN SPACE RESEARCH</t>
  </si>
  <si>
    <t>We present the results of three years of continuous operations and the principal characteristics of our new He-3 neutron monitors installed in the Chilean Network of Cosmic-Ray Observatories. During the years 2004 and 2005, we began the construction of this International Geophysical Year (IGY)-type He-3 neutron monitor, with the intention of replacing the older proportional tubes of the BF3. These new monitors are installed in stations at locations ranging from the near-equatorial zone to the Antarctic zone. As a reference system, we used our own BF3 neutron monitors and previously complemented the collected data with a Monte Carlo simulation for the proton-yield function response of the Putre neutron monitor. Herein, we present for the first time the data obtained from our new high-mountain observatory located in the Altiplanic zone. (C) 2012 COSPAR. Published by Elsevier Ltd. All rights reserved.</t>
  </si>
  <si>
    <t>Laroze, David/Z-2852-2019; Salazar-Aravena, Diego/F-5133-2016; Laroze, David/E-9134-2011</t>
  </si>
  <si>
    <t>Salazar-Aravena, Diego/0000-0002-6250-8358; Laroze, David/0000-0002-6487-8096</t>
  </si>
  <si>
    <t>0273-1177</t>
  </si>
  <si>
    <t>1879-1948</t>
  </si>
  <si>
    <t>10.1016/j.asr.2012.03.015</t>
  </si>
  <si>
    <t>WOS:000304787900004</t>
  </si>
  <si>
    <t>García, GC; Osses, A; Puel, JP</t>
  </si>
  <si>
    <t>Garcia, Galina C.; Osses, Axel; Puel, Jean Pierre</t>
  </si>
  <si>
    <t>A NULL CONTROLLABILITY DATA ASSIMILATION METHODOLOGY APPLIED TO A LARGE SCALE OCEAN CIRCULATION MODEL</t>
  </si>
  <si>
    <t>ESAIM-MATHEMATICAL MODELLING AND NUMERICAL ANALYSIS-MODELISATION MATHEMATIQUE ET ANALYSE NUMERIQUE</t>
  </si>
  <si>
    <t>Data assimilation refers to any methodology that uses partial observational data and the dynamics of a system for estimating the model state or its parameters. We consider here a non classical approach to data assimilation based in null controllability introduced in [Puel, C. R. Math. Acad. Sci. Paris 335 (2002) 161-166] and [Puel, SIAM J. Control Optim. 48 (2009) 1089-1111] and we apply it to oceanography. More precisely, we are interested in developing this methodology to recover the unknown final state value (state value at the end of the measurement period) in a quasi-geostrophic ocean model from satellite altimeter data, which allows in fact to make better predictions of the ocean circulation. The main idea of the method is to solve several null controllability problems for the adjoint system in order to obtain projections of the final state on a reduced basis. Theoretically, we have to prove the well posedness of the involved systems associated to the method and we also need an observability property to show the existence of null controls for the adjoint system. To this aim, we use a global Carleman inequality for the associated velocity-pressure formulation of the problem which was previously proved in [Fernandez-Cara et al., J. Math. Pures Appl. 83 (2004) 1501-1542]. We present numerical simulations using a regularized version of this data assimilation methodology based on null controllability for elements of a reduced spectral basis. After proving the convergence of the regularized solutions, we analyze the incidence of the observatory size and noisy data in the recovery of the initial value for a quality prediction.</t>
  </si>
  <si>
    <t>Garcia, Galina/U-1019-2017; Osses, Axel/AAG-4825-2019; Osses, Axel/I-6366-2016</t>
  </si>
  <si>
    <t>Garcia, Galina C./0000-0003-2188-6368; Osses, Axel/0000-0001-6833-4064</t>
  </si>
  <si>
    <t>0764-583X</t>
  </si>
  <si>
    <t>10.1051/m2an/2010058</t>
  </si>
  <si>
    <t>WOS:000289621800008</t>
  </si>
  <si>
    <t>Guzmán, D; Ordoñez, S; Serafini, D; Rojas, PA; Aguilar, C; Santander, M</t>
  </si>
  <si>
    <t>Guzman, D.; Ordonez, S.; Serafini, D.; Rojas, P. A.; Aguilar, C.; Santander, M.</t>
  </si>
  <si>
    <t>Thermal stability of amorphous Mg50Ni50 alloy produced by mechanical alloying</t>
  </si>
  <si>
    <t>JOURNAL OF NON-CRYSTALLINE SOLIDS</t>
  </si>
  <si>
    <t>Amorphous Mg50Ni50 alloy was produced by mechanical alloying (MA) of the elemental powders Mg and Ni using a SPEX 8000D mill. The alloyed powders were microstructurally characterized by X-ray diffraction (XRD). The thermal transformation of amorphous Mg50Ni50 into stable intermetallics (Mg50Ni50 -&gt; remaining amorphous + Mg2Ni -&gt; Mg2Ni + MgNi2) was analyzed using the Kissinger and iso-conversional methods based on the non-isothermal differential scanning calorimetry (DSC) experiments. The apparent activation energies (Ea) and the transformation diagrams, temperature-time-transformation (T-T-T) and temperature-heating rate-transformation (T-HR-T), were obtained for both processes. A good agreement was observed between the calculated transformation curves and the experimental data, which verifies the reliability of the method utilized. (C) 2009 Elsevier B.V. All rights reserved.</t>
  </si>
  <si>
    <t>Rojas, Paula/AFS-1987-2022; Aguilar, Claudio/B-6774-2011</t>
  </si>
  <si>
    <t>Rojas, Paula/0000-0002-2529-993X; Serafini, Daniel/0000-0002-1764-5900; Aguilar, Claudio/0000-0002-9013-5835; Guzman Mendez, Danny/0000-0002-8020-9247</t>
  </si>
  <si>
    <t>0022-3093</t>
  </si>
  <si>
    <t>10.1016/j.jnoncrysol.2009.10.002</t>
  </si>
  <si>
    <t>WOS:000273836300012</t>
  </si>
  <si>
    <t>Cáceres-Jensen, L; Gan, J; Báez, M; Fuentes, R; Escudey, M</t>
  </si>
  <si>
    <t>Caceres-Jensen, L.; Gan, J.; Baez, M.; Fuentes, R.; Escudey, M.</t>
  </si>
  <si>
    <t>Adsorption of Glyphosate on Variable-Charge, Volcanic Ash-Derived Soils</t>
  </si>
  <si>
    <t>JOURNAL OF ENVIRONMENTAL QUALITY</t>
  </si>
  <si>
    <t>Glyphosate (N-phosphonometylglycine) is widely used due to its broad spectrum of activity and nonselective mode of action. In Chile it is the most used herbicide, but its adsorption behavior in the abundant and widespread variable charge soils is not well understood. In this study, three volcanic ash-derived soils were selected, including Andisols (Nueva Braunau and Diguillin) and Ultisols (Collipulli), to evaluate the adsorption kinetics, equilibrium isotherms, and the effect of pH in glyphosate adsorption. The influence of glyphosate on soil phosphorus retention was also studied. Glyphosate was rapidly and strongly adsorbed on the selected soils, and adsorption isotherms were well described by the Freundlich relationship with strong nonlinearity (n(fads)&amp; &lt; 0-5). The n(fads) values were consistently higher than n(fdes) values, suggesting strong hysteresis. Adsorption (K,,) increased strongly when pH decreased. The presence of glyphosare (3200 mu g mL(-1)) changed the adsorption behavior of phosphate at its maximum adsorption capacity. Andisol soils without the addition of glyphosate had similar mean K(ads) values for Nueva Braunau (5.68) and Diguillin (7.38). Collipulli had a mean K(ads) value of 31.58. During the successive desorption steps, glyphosate at the highest level increased K(ads), values for phosphate in the Andisol soils but I-lad little effect in the Ultisol soil. This different behavior was probably due to the irreversible Occupation of some adsorption sites by glyphosate in the Ultisol soil attributed to the dominant Kaolinite mineral. Results from this study suggest that in the two types of volcanic soils, different mechanisms are involved in glyphosate and phosphate adsorption and that long-term use of glyphosate may impose different effects on the retention and availability of phosphorus. Volcanic ash-derived soils have a particular environmental behavior in relation to the retention of organic contaminants, representing an environmental substrate that may become highly Polluted over time due to intensive agronomic uses.</t>
  </si>
  <si>
    <t>Baez, Mauricio/H-7517-2013; Cáceres-Jensen, Lizethly/AAC-8527-2020</t>
  </si>
  <si>
    <t>Caceres-Jensen, Lizethly/0000-0002-5903-7356</t>
  </si>
  <si>
    <t>0047-2425</t>
  </si>
  <si>
    <t>JUL-AUG</t>
  </si>
  <si>
    <t>10.2134/jeq2008.0146</t>
  </si>
  <si>
    <t>WOS:000267719800011</t>
  </si>
  <si>
    <t>Pedreschi, F; Kaack, K; Granby, K</t>
  </si>
  <si>
    <t>Pedreschi, Franco; Kaack, Karl; Granby, Kit</t>
  </si>
  <si>
    <t>The effect of asparaginase on acrylamide formation in French fries</t>
  </si>
  <si>
    <t>FOOD CHEMISTRY</t>
  </si>
  <si>
    <t>Acrylamide formation in French fries was investigated in relation to blanching and asparaginase soaking treatments before final frying. Par-fried potatoes of Bintje variety were prepared by cutting strips (0.8 x 0.8 x 5 cm) which were blanched at 75 degrees C for 10 min. Unblanched strips were used as the control. Control or blanched strips were then dried at 85 degrees C for 10 min and immediately partially fried at 175 degrees C for I min. Finally, frozen par-fried potatoes were fried at 175 degrees C for 3 min to obtain French fries. Pre-drying of raw or blanched potato strips did not generate acrylamide formation as expected. Partial frying of pre-dried control potato strips generated 370 mu g/kg of acrylamide and the final frying determined French fries with 2075 mu g/kg of acrylamide. When control potato strips were treated with a 10000 ASNU/1 asparaginase solution at 40 degrees C for 20 min, the acrylamide formation in French fries was reduced by 30%. When blanched potato strips were treated in the same way, the produced French fries have 60% less acrylamide content than blanched strips without the enzyme treatment. Soaking of blanched potato strips (75 degrees C, 10 min) in an 10000 ASNU/1 asparaginase solution at 40 degrees C for 20 min is an effective way to reduce acrylamide formation after frying by reducing the amount of one of its important precursors such as asparagine. (C) 2007 Elsevier Ltd. All rights reserved.</t>
  </si>
  <si>
    <t>pedreschi, franco/F-8844-2013; Granby, Kit/J-7271-2016</t>
  </si>
  <si>
    <t>Granby, Kit/0000-0002-5264-1577</t>
  </si>
  <si>
    <t>0308-8146</t>
  </si>
  <si>
    <t>1873-7072</t>
  </si>
  <si>
    <t>10.1016/j.foodchem.2007.12.057</t>
  </si>
  <si>
    <t>WOS:000254789700018</t>
  </si>
  <si>
    <t>Castro-Rodriguez, JA; Mailol, J; Rodriguez, J; Auger, F; Andrade, R</t>
  </si>
  <si>
    <t>Castro-Rodriguez, J. A.; Mailol, J.; Rodriguez, J.; Auger, F.; Andrade, R.</t>
  </si>
  <si>
    <t>Risk factors for x-ray pneumonia in the first year of life and its relation to wheezing: a longitudinal study in a socioeconomic disadvantaged population</t>
  </si>
  <si>
    <t>ALLERGOLOGIA ET IMMUNOPATHOLOGIA</t>
  </si>
  <si>
    <t>Background: Although thousands of infants under the age of 12 months die each year from pneumonia in Latin America, little is known regarding the true occurrence of pneumonia, wheezing and other related respiratory illnesses in this age group. Methods and results: In order to describe the prevalence and risk factors for radiologically confirmed pneumonia during the first year of life, a birth-cohort (n = 188) of infants born in a low-income area in Santiago, Chile was followed up monthly. Results: The prevalence of pneumonia during the first year of life was 13.3 % and there were no fatal events. Exclusive breastfeeding during the first 4 months of life was more prevalent in the non pneumonia group; conversely, wheezing episodes during 0-3 and 3-6 months of age, and hospitalization due to lower respiratory infection during 3-6 and 9-12 months of age were more prevalent in the pneumonia group. After a logistic multivariate analysis, the only risk factor that remained related with pneumonia was wheezing during the first 3 months of life (adjusted OR: 7.7, 95 CI: 1.32-44.92, p = 0.024); while breastfeeding during the first 4 months was an independent protective factor for pneumonia (adjusted OR: 0.11, 95 CI: 0.03-0.44, p = 0.002). Conclusion: The significant protective effect of exclusive breast feeding against pneumonia in this cohort and the evident role of recurrent wheezing as risk factor for pneumonia during the first year of life support the implementation or reinforcement of public policies encouraging exclusive breastfeeding and an adequate management of wheezing since the first months of life.</t>
  </si>
  <si>
    <t>Castro-Rodriguez, Jose/ABA-2760-2021</t>
  </si>
  <si>
    <t>Castro-Rodriguez, Jose A./0000-0002-0708-4281; Mallol, Javier/0000-0003-2528-8672</t>
  </si>
  <si>
    <t>0301-0546</t>
  </si>
  <si>
    <t>1578-1267</t>
  </si>
  <si>
    <t>10.1157/13115664</t>
  </si>
  <si>
    <t>WOS:000254251200002</t>
  </si>
  <si>
    <t>Faini, F; Labbé, C; Torres, R; Rodilla, JM; Silva, L; Delle Monache, F</t>
  </si>
  <si>
    <t>Faini, Francesca; Labbe, Cecilia; Torres, Rene; Rodilla, Jesus M.; Silva, Lucia; Delle Monache, Franco</t>
  </si>
  <si>
    <t>New phenolic esters from the resinous exudate of Haplopappus taeda</t>
  </si>
  <si>
    <t>FITOTERAPIA</t>
  </si>
  <si>
    <t>Two new phenolic esters 9-trans-p-coumaroyloxy-alpha-terpineol (1) and 7-trans-p-coumaroyloxy-taedol (2), both endowed with free radical scavenger activity and cleroda-3,13 (E)-dien-15,18-diol (3) for which a cis stereochemistry at the decalin junction was found, were isolated from the resinous exudate from Haplopappus taeda upper parts. (c) 2007 Elsevier B.V. All rights reserved.</t>
  </si>
  <si>
    <t>Silva, Lucia/A-9543-2015; Rodilla, Jesus/H-8529-2019</t>
  </si>
  <si>
    <t>Lopez Rodilla, Jesus Miguel/0000-0001-6114-3572; Silva, Lucia/0000-0002-7386-0330</t>
  </si>
  <si>
    <t>0367-326X</t>
  </si>
  <si>
    <t>7-8</t>
  </si>
  <si>
    <t>10.1016/j.fitote.2007.06.006</t>
  </si>
  <si>
    <t>WOS:000251302300039</t>
  </si>
  <si>
    <t>Moya, PR; Saez, P; Reyes-Parada, M; Berg, KA; Clarke, WP; Cassels, BK</t>
  </si>
  <si>
    <t>Moya, P. R.; Saez, P.; Reyes-Parada, M.; Berg, K. A.; Clarke, W. P.; Cassels, B. K.</t>
  </si>
  <si>
    <t>Hallucinogenic amphetamines and phenethylamines have different pharmacological profiles: in vitro and in vivo studies</t>
  </si>
  <si>
    <t>FUNDAMENTAL &amp; CLINICAL PHARMACOLOGY</t>
  </si>
  <si>
    <t>Moya, Pablo/HTZ-1393-2023; Clarke, William/L-3999-2019; Cassels, Bruce/H-6937-2013</t>
  </si>
  <si>
    <t>0767-3981</t>
  </si>
  <si>
    <t>WOS:000208663600823</t>
  </si>
  <si>
    <t>ZUNIGA, GE; ALBERDI, M; FERNANDEZ, J; MONTIEL, P; CORCUERA, LJ</t>
  </si>
  <si>
    <t>LIPID-CONTENT IN LEAVES OF DESCHAMPSIA-ANTARCTICA FROM THE MARITIME ANTARCTIC</t>
  </si>
  <si>
    <t>Deschampsia antarctica plants were collected in Robert Island, Maritime Antarctica, and frozen in liquid nitrogen. Polar lipids and the composition of fatty acids in phospholipids and galactolipids were analysed in leaves and roots. Compared to other Gramineae, no unusual contents in polar lipids and in the degree of unsaturation of fatty acids in most lipid fractions were found. The highest unsaturation ratio (unsaturated/saturated fatty acids) of 3.3 was found in the phosphatidylinositol fraction. Although summer environmental temperatures in Robert Island are usually around 0 degrees, leaves often reach higher temperatures, which are near their photosynthetic optimum.</t>
  </si>
  <si>
    <t>Corcuera, Luis/G-1714-2014; Zuñiga, Gustavo/P-8306-2015</t>
  </si>
  <si>
    <t>Zuniga, Gustavo/0000-0002-8286-9468</t>
  </si>
  <si>
    <t>10.1016/S0031-9422(00)90335-2</t>
  </si>
  <si>
    <t>WOS:A1994PQ58500010</t>
  </si>
  <si>
    <t>Raj, S; Paiva, S; Fritz, RA; Herrera, F; Colón, YJ</t>
  </si>
  <si>
    <t>Raj, Sanoj; Paiva, Simon; Fritz, Ruben A.; Herrera, Felipe; Colon, Yamil J.</t>
  </si>
  <si>
    <t>First-principles screening of metal-organic frameworks for entangled photon pair generation</t>
  </si>
  <si>
    <t>MATERIALS FOR QUANTUM TECHNOLOGY</t>
  </si>
  <si>
    <t>The transmission of strong laser light in nonlinear optical materials can generate output photons sources that carry quantum entanglement in multiple degrees of freedom, making this process a fundamentally important tool in optical quantum technology. However, the availability of efficient optical crystals for entangled light generation is severely limited in terms of diversity, thus reducing the prospects for the implementation of next-generation protocols in quantum sensing, communication and computing. To overcome this, we developed and implemented a multi-scale first-principles modeling technique for the computational discovery of novel nonlinear optical devices based on metal-organic framework (MOF) materials that can efficiently generate entangled light via spontaneous parametric down-conversion (SPDC). Using collinear degenerate type-I SPDC as a case study, we computationally screen a database of 114 373 synthesized MOF materials to establish correlations between the structure and chemical composition of MOFs with the brightness and coherence properties of entangled photon pairs. We identify a subset of 49 non-centrosymmetric mono-ligand MOF crystals with high chemical and optical stability that produce entangled photon pairs with intrinsic G(2) correlation times tau c similar to 10-30 fs and pair generation rates in the range 104-1010s-1mW-1mm-1 at 1064 nm. Conditions for optimal type-I phase matching are given for each MOF and relationships between pair brightness, crystal band gap and optical birefringence are discussed. Correlations between the optical properties of crystals and their constituent molecular ligands are also given. Our work paves the way for the computational design of MOF-based devices for optical quantum technology.</t>
  </si>
  <si>
    <t>(FNU Sanoj), Sanoj/IWU-9253-2023; Herrera, Felipe/A-8186-2013</t>
  </si>
  <si>
    <t>Colon, Yamil/0000-0001-5316-9692; , Sanoj/0000-0002-4876-5921; Fritz Fritz, Ruben Alejandro/0000-0002-6691-4740</t>
  </si>
  <si>
    <t>2633-4356</t>
  </si>
  <si>
    <t>10.1088/2633-4356/ad2c96</t>
  </si>
  <si>
    <t>WOS:001183673200001</t>
  </si>
  <si>
    <t>Muñoz, PM; Pérez, DIV; Freire, LD; Cerda-Kohler, H; Muñoz, EA; Oliveira, CLR; Brito, CJ; Miarka, B</t>
  </si>
  <si>
    <t>Munoz, Pablo Merino; Perez, Diego Ignacio Valenzuela; Freire, Lucas de Albuquerque; Cerda-Kohler, Hugo; Munoz, Esteban Aedo; Oliveira, Cinthya Luiza Rezende; Brito, Ciro Jose; Miarka, Bianca</t>
  </si>
  <si>
    <t>COVID-19 affects match running performance in professional soccer players</t>
  </si>
  <si>
    <t>RETOS-NUEVAS TENDENCIAS EN EDUCACION FISICA DEPORTE Y RECREACION</t>
  </si>
  <si>
    <t>Objectives: To compare the match running performance of male soccer players in the Brazilian A series before and after being infected with COVID-19. Methods: The sample consisted of 20 professional soccer players from Rio de Janeiro-based teams during the 2020 and 2021 seasons, pre- and post-COVID-19 infection. Match running performance data were collected using a Global positioning system (GPS), and the analysis includes average data across 1 to 17 games pre-infection and 1 to 13 games post-infection per player. Results: COVID-19-infection induced an unclear effect on the total distance traveled during the match [SWC-Factor =-1.9, 90 % CL (-4.7; 0.9)], the number of sprints at speeds over 24 km/h [SWC-Factor = 1.1, 90 % CL (-1.7; 3.9)], maximum speed reached [SWC-Factor = 0.1, 90 % CL (-2.6; 2.9)], the number of decelerations [SWC-Factor =-2.2, 90 % CL (-5.0; 0.6) ], explosive efforts [SWC-Factor =-2.4, 90 % CL (-5.1; 0.4) ], distance traveled at speeds between 0 and 7 km/h [SWC-Factor = 2.4, 90 % CL (-0.4; 5.2) ], and distance traveled at speeds between 7 and 14 km/h [SWC-Factor =-1.8, 90 % CL (-4.5; 1.0) ]. However there was a moderate and significant decrease in distance covered during high-intensity running, defined as speeds greater than 20 km/h [SWC-Factor =-4.2, 90 % CL (-7.0;-1.5) ], the number of accelerations greater than 3 m/s2 2 [SWC-Factor =-3.6, 90 % CL (-6.4;-0.9) ], and distance traveled at speeds between 14 and 20 km/h [SWCFactor =-3.5, 90 % CL (-6.2;-0.7) ]. The results also showed that COVID-19-infection led to a substantial decrease in minutes played during matches [SWC-Factor =-4.0, 90 % CL (-6.8;-1.3)], affecting the analysis of match variables' absolute values. Conclusion: The results suggest that players infected with COVID-19 experienced changes in match running performance, notably decreases in distance covered during high-intensity running and increases traveled at speeds between 0 and 7 km/h. Further analysis of other player populations (in other leagues) is necessary to verify these findings.</t>
  </si>
  <si>
    <t>Aedo-Muñoz, Esteban/R-5623-2019; Miarka, Bianca/V-7395-2017; Merino Muñoz, Pablo/JGL-6690-2023; Brito, Ciro/ABH-2245-2020</t>
  </si>
  <si>
    <t>1579-1726</t>
  </si>
  <si>
    <t>1988-2041</t>
  </si>
  <si>
    <t>WOS:001330535000001</t>
  </si>
  <si>
    <t>Hidalgo-Hermoso, E; Celis, S; Cabello, J; Kemec, I; Ortiz, C; Lagos, R; Verasay, J; Moreira-Arce, D; Vergara, PM; Vera, F; Esperón, F</t>
  </si>
  <si>
    <t>Hidalgo-Hermoso, Ezequiel; Celis, Sebastian; Cabello, Javier; Kemec, Ignacio; Ortiz, Carolina; Lagos, Rocio; Verasay, Juan; Moreira-Arce, Dario; Vergara, Pablo M.; Vera, Frank; Esperon, Fernando</t>
  </si>
  <si>
    <t>Molecular survey of selected viruses in Pudus (Pudu puda) in Chile revealing first identification of caprine herpesvirus-2 (CpHV-2) in South American ungulates</t>
  </si>
  <si>
    <t>VETERINARY QUARTERLY</t>
  </si>
  <si>
    <t>Viral diseases jeopardize the health of wildlife in Chile. However, this country lacks health surveillance programs that allow for defining preventive measures to tackle such diseases. The objective of this study was to determine the occurrence and the genetic diversity of pestivirus, herpesvirus and adenovirus in pudus from Chile. Blood samples from wild (n=34) and captive (n=32) pudus were collected between 2011 and 2019 and analyzed through consensus PCR. All the samples were negative to pestivirus and adenovirus. Herpesvirus was confirmed in four captive, and one wild pudu. All four zoo animals share the same sequence for both polymerase and glycoprotein genes. Both sequences share a 100% identity with caprine herpesvirus-2, classifying them in the same cluster as the Macavirus group. In turn, novel sequences of the polymerase and glycoprotein B genes were obtained from the wild pudu. Our study reports the first evidence of CpHV-2 infection in Chile and South American ungulate populations. Further research will be necessary to assess the pathogenicity of CpHV-2 in this species. It is also urgently recommended that molecular, serological and pathological screening should be conducted in Chilean wild and captive pudus to understand the impact of the herpesvirus on their populations.</t>
  </si>
  <si>
    <t>Vergara, Pablo/F-2519-2010; Hidalgo-Hermoso, Ezequiel/ABB-6056-2020; Moreira-Arce, Dario/ABG-2898-2021; ESPERON, FERNANDO/T-7538-2017</t>
  </si>
  <si>
    <t>Verasay Caviedes, Sebastian/0000-0003-0995-1227; ESPERON, FERNANDO/0000-0002-8810-5071; Vergara, Pablo/0000-0002-0024-1678</t>
  </si>
  <si>
    <t>0165-2176</t>
  </si>
  <si>
    <t>1875-5941</t>
  </si>
  <si>
    <t>DEC 31</t>
  </si>
  <si>
    <t>10.1080/01652176.2022.2149879</t>
  </si>
  <si>
    <t>WOS:000905318300001</t>
  </si>
  <si>
    <t>Allendes, FJ; Diaz, HS; Ortiz, FC; Marcus, NJ; Quintanilla, R; Inestrosa, NC; Del Rio, R</t>
  </si>
  <si>
    <t>Allendes, Francisca J.; Diaz, Hugo S.; Ortiz, Fernando C.; Marcus, Noah J.; Quintanilla, Rodrigo; Inestrosa, Nibaldo C.; Del Rio, Rodrigo</t>
  </si>
  <si>
    <t>Cardiovascular and autonomic dysfunction in long-COVID syndrome and the potential role of non-invasive therapeutic strategies on cardiovascular outcomes</t>
  </si>
  <si>
    <t>FRONTIERS IN MEDICINE</t>
  </si>
  <si>
    <t>A significant percentage of COVID-19 survivors develop long-lasting cardiovascular sequelae linked to autonomic nervous system dysfunction, including fatigue, arrhythmias, and hypertension. This post-COVID-19 cardiovascular syndrome is one facet of long-COVID, generally defined as long-term health problems persisting/appearing after the typical recovery period of COVID-19. Despite the fact that this syndrome is not fully understood, it is urgent to develop strategies for diagnosing/managing long-COVID due to the immense potential for future disease burden. New diagnostic/therapeutic tools should provide health personnel with the ability to manage the consequences of long-COVID and preserve/improve patient quality of life. It has been shown that cardiovascular rehabilitation programs (CRPs) stimulate the parasympathetic nervous system, improve cardiorespiratory fitness (CRF), and reduce cardiovascular risk factors, hospitalization rates, and cognitive impairment in patients suffering from cardiovascular diseases. Given their efficacy in improving patient outcomes, CRPs may have salutary potential for the treatment of cardiovascular sequelae of long-COVID. Indeed, there are several public and private initiatives testing the potential of CRPs in treating fatigue and dysautonomia in long-COVID subjects. The application of these established rehabilitation techniques to COVID-19 cardiovascular syndrome represents a promising approach to improving functional capacity and quality of life. In this brief review, we will focus on the long-lasting cardiovascular and autonomic sequelae occurring after COVID-19 infection, as well as exploring the potential of classic and novel CRPs for managing COVID-19 cardiovascular syndrome. Finally, we expect this review will encourage health care professionals and private/public health organizations to evaluate/implement non-invasive techniques for the management of COVID-19 cardiovascular sequalae.</t>
  </si>
  <si>
    <t>Marcus, Noah/H-8100-2019; Del Rio, Rodrigo/AAF-8763-2020; QUINTANILLA, RODRIGO/ABG-8829-2021</t>
  </si>
  <si>
    <t>Quintanilla, Rodrigo/0000-0002-9582-6379; Ortiz, Fernando C/0000-0002-4776-4492</t>
  </si>
  <si>
    <t>2296-858X</t>
  </si>
  <si>
    <t>JAN 19</t>
  </si>
  <si>
    <t>10.3389/fmed.2022.1095249</t>
  </si>
  <si>
    <t>WOS:000921909900001</t>
  </si>
  <si>
    <t>Nilson, EAF; Ferrari, G; Louzada, MLDC; Levy, RB; Monteiro, CA; Rezende, LFM</t>
  </si>
  <si>
    <t>Nilson, Eduardo Augusto Fernandes; Ferrari, Gerson; Louzada, Maria Laura Da Costa; Levy, Renata Bertazzi; Monteiro, Carlos Augusto; Rezende, Leandro F. M.</t>
  </si>
  <si>
    <t>The estimated burden of ultra-processed foods on cardiovascular disease outcomes in Brazil: A modeling study</t>
  </si>
  <si>
    <t>Introduction: Ultra-processed foods (UPF) have been associated with an increased risk of cardiovascular diseases (CVD). This study aimed to estimate CVD premature deaths, incident cases, and disability adjusted life-years (DALYs) attributable to the consumption of UPF in Brazilian adults in 2019. Methods: A validated a comparative risk assessment model was adapted to estimate the burden of major CVD outcomes (coronary heart disease and stroke) attributable to the consumption of UPF in Brazilian adults aged 30 to 69 years. The model inputs included nationally representative data of the UPF contribution to the total energy of the diet, national official demographic records, CVD outcomes (incidence, deaths and DALYs) from the Global Burden of Disease study for 2019, and relative risks from meta-analysis studies. Results: We estimated that approximately 19,200 premature deaths (95% uncertainty intervals - UI, 7,097 to 32,353), 74,900 new cases (95% UI, 25,983 to 128,725), and 883,000 DALYs/year (95% UI, 324,279 to 1,492,593) from CVD were attributable to the consumption of UPF in Brazil, corresponding to about 22% of the premature deaths from CVD and to 33% of the total premature all-cause deaths attributable to UPF intake among Brazilian adults. Reducing UPF consumption by 10% in the adult population would avert approximately 11% of the premature CVD deaths, equivalent to 2,100 deaths/year (95% UI, 697 to 4,511). A 20% reduction in UPF intake would avert approximately 21% of the premature CVD deaths or 4,100 deaths (95% UI, 1,413 to 8,047), and a 50% reduction in UPF intake would avert about 52% of the premature CVD deaths, corresponding to 9,900 deaths/year (95% UI, 3,682 to 17,820). If UPF consumption among adults was reduced to that of the first quintile of UPF intake in the baseline scenario, approximately 81% of the premature CVD deaths would be averted, corresponding to some 15,600 deaths/year (95% UI, 5,229 to 27,519). Conclusion: Our study estimated a high burden of premature CVD outcomes attributable to the consumption of UPF in Brazil. Our findings support food policies aimed at reducing the consumption of UPF, such as fiscal and regulatory policies, which are imperative to prevent CVD in Brazil.</t>
  </si>
  <si>
    <t>Nilson, Eduardo/AAW-5074-2021; Monteiro, Carlos/KXQ-9920-2024; Louzada, Maria Laura/G-1851-2012; Ferrari, Gerson/HHM-6173-2022; Ferrari, Gerson/P-1152-2014; Bertazzi Levy, Renata/F-8931-2012; Rezende, Leandro/C-1724-2012</t>
  </si>
  <si>
    <t>Ferrari, Gerson/0000-0003-3177-6576; Bertazzi Levy, Renata/0000-0001-5388-7002; Rezende, Leandro/0000-0002-7469-1399; Louzada, Maria Laura/0000-0002-3756-2301</t>
  </si>
  <si>
    <t>NOV 17</t>
  </si>
  <si>
    <t>10.3389/fnut.2022.1043620</t>
  </si>
  <si>
    <t>WOS:000986601300001</t>
  </si>
  <si>
    <t>Bereg, S; Chacón-Rivera, OP; Flores-Peñaloza, D; Huemer, C; Pérez-Lantero, P; Seara, C</t>
  </si>
  <si>
    <t>Bereg, Sergey; Chacon-Rivera, Oscar P.; Flores-Penaloza, David; Huemer, Clemens; Perez-Lantero, Pablo; Seara, Carlos</t>
  </si>
  <si>
    <t>On maximum-sum matchings of points</t>
  </si>
  <si>
    <t>JOURNAL OF GLOBAL OPTIMIZATION</t>
  </si>
  <si>
    <t>Huemer et al. (Discrete Mathematics, 2019) proved that for any two point sets R and B with vertical bar R vertical bar = vertical bar B vertical bar, the perfect matching that matches points of R with points of B, and maximizes the total squared Euclidean distance of the matched pairs, has the property that all the disks induced by the matching have a common point. Each pair of matched points p is an element of R and q is an element of B induces the disk of smallest diameter that covers p and q. Following this research line, in this paper we consider the perfect matching that maximizes the total Euclidean distance. First, we prove that this new matching for R and B does not always ensure the common intersection property of the disks. Second, we extend the study of this new matching for sets of 2n uncolored points in the plane, where a matching is just a partition of the points into n pairs. As the main result, we prove that in this case all disks of the matching do have a common point.</t>
  </si>
  <si>
    <t>Seara, Carlos/Z-3370-2019; Huemer, Clemens/I-1046-2015</t>
  </si>
  <si>
    <t>Seara, Carlos/0000-0002-0095-1725; Huemer, Clemens/0000-0001-7557-0823; Bereg, Sergey/0000-0002-2866-6766</t>
  </si>
  <si>
    <t>0925-5001</t>
  </si>
  <si>
    <t>1573-2916</t>
  </si>
  <si>
    <t>10.1007/s10898-022-01199-z</t>
  </si>
  <si>
    <t>JUN 2022</t>
  </si>
  <si>
    <t>WOS:000813763200001</t>
  </si>
  <si>
    <t>Travieso-Torres, JC; Contreras-Jara, C; Diaz, M; Aguila-Camacho, N; Duarte-Mermoud, MA</t>
  </si>
  <si>
    <t>Carlos Travieso-Torres, Juan; Contreras-Jara, Camilo; Diaz, Matias; Aguila-Camacho, Norelys; Duarte-Mermoud, Manuel A.</t>
  </si>
  <si>
    <t>New Adaptive Starting Scalar Control Scheme for Induction Motor Variable Speed Drives</t>
  </si>
  <si>
    <t>IEEE TRANSACTIONS ON ENERGY CONVERSION</t>
  </si>
  <si>
    <t>This article proposes a new scalar control scheme for variable speed drives of induction motors with an adaptive starting control. Besides centrifugal pumps, blowers, and fans, it expands the scalar control application field to move, for instance, a class of conveyor belts with nominal torque loading. An adaptive passivity-based controller designed for a class of nonlinear systems encompassing the dynamical machine model keeps a constant stator starting current. The proposed methodology uses information from the motor nameplate. Hence, it keeps a simple control scheme, not needing parameter estimates, neither adjusting controllers nor variable observers depending on them. Experimental results with a 10 HP downscaled laboratory prototype validate the proposed control strategy effectiveness. It shows rated-starting torque capabilities and fast speed response. Moreover, it shows lower stator current consumption than previous scalar control schemes.</t>
  </si>
  <si>
    <t>Duarte-Mermoud, Manuel/I-2693-2013; Travieso Torres, Juan carlos/N-6437-2019; Diaz, Matias/R-7570-2018; Aguila-Camacho, Norelys/J-4449-2015</t>
  </si>
  <si>
    <t>Travieso Torres, Juan carlos/0000-0002-9246-4827; Diaz, Matias/0000-0003-4489-9532; Aguila-Camacho, Norelys/0000-0002-4514-0037</t>
  </si>
  <si>
    <t>0885-8969</t>
  </si>
  <si>
    <t>1558-0059</t>
  </si>
  <si>
    <t>10.1109/TEC.2021.3108664</t>
  </si>
  <si>
    <t>WOS:000761234400071</t>
  </si>
  <si>
    <t>Prada, A; Gonzalez, RI; Camarada, MB; Allende, S; Torres, A; Sepúlveda, J; Rojas-Nunez, J; Baltazar, SE</t>
  </si>
  <si>
    <t>Prada, Alejandro; Gonzalez, Rafael, I; Camarada, Maria B.; Allende, Sebastian; Torres, Alejandra; Sepulveda, Javiera; Rojas-Nunez, Javier; Baltazar, Samuel E.</t>
  </si>
  <si>
    <t>Nanoparticle Shape Influence over Poly(lactic acid) Barrier Properties by Molecular Dynamics Simulations</t>
  </si>
  <si>
    <t>ACS OMEGA</t>
  </si>
  <si>
    <t>Climate change is leading us to search for new materials that allow a more sustainable environmental situation in the long term. Poly(lactic acid) (PLA) has been proposed as a substitute for traditional plastics due to its high biodegradability. Various components have been added to improve their mechanical, thermal, and barrier properties. The modification of the PLA barrier properties by introducing nanoparticles with different shapes is an important aspect to control the molecular diffusion of oxygen and other gas compounds. In this work, we have described changes in oxygen diffusion by introducing nanoparticles of different shapes through molecular dynamics simulations. Our model illustrates that the existence of curved surfaces and the deposition of PLA around them by short chains generate small holes where oxygen accumulates, forming clusters and reducing their mobility. From the several considered shapes, the sphere is the most suitable structure to improve the barrier properties of the PLA.</t>
  </si>
  <si>
    <t>Prada, Alejandro/KMA-4362-2024; Torres, Alejandra/LPQ-5664-2024; Rojas, Javier/JYP-5531-2024; Baltazar, Samuel/E-1814-2011; Sepulveda, Javiera/KFB-2030-2024; Gonzalez, Rafael I./I-8560-2015</t>
  </si>
  <si>
    <t>Baltazar, Samuel/0000-0001-9826-9400; Rojas-Nunez, Javier/0000-0002-2343-3533; Sepulveda Carter, Javiera/0000-0003-3759-8272; Gonzalez, Rafael I./0000-0003-2599-8404; Camarada, Maria/0000-0001-5408-3073</t>
  </si>
  <si>
    <t>2470-1343</t>
  </si>
  <si>
    <t>JAN 25</t>
  </si>
  <si>
    <t>10.1021/acsomega.1c04589</t>
  </si>
  <si>
    <t>JAN 2022</t>
  </si>
  <si>
    <t>WOS:000743615700001</t>
  </si>
  <si>
    <t>Malco, JPR; Zabala-Blanco, D; Ahumada-Garcia, R; Datta, J; Soto, I; Firoozabadi, AD</t>
  </si>
  <si>
    <t>Rivelli Malco, Juan Pablo; Zabala-Blanco, David; Ahumada-Garcia, Roberto; Datta, Jayanta; Soto, Ismael; Dehghan Firoozabadi, Ali</t>
  </si>
  <si>
    <t>UWB-OFDM System Model for Breast Cancer Detection</t>
  </si>
  <si>
    <t>2022 IEEE COLOMBIAN CONFERENCE ON COMMUNICATIONS AND COMPUTING, COLCOM</t>
  </si>
  <si>
    <t>IEEE Colombian Communications Conference</t>
  </si>
  <si>
    <t>IEEE Colombian Conference on Communications and Computing (COLCOM)</t>
  </si>
  <si>
    <t>JUL 27-29, 2022</t>
  </si>
  <si>
    <t>Cali, COLOMBIA</t>
  </si>
  <si>
    <t>This research paper proposes a communication system that can be applied in diagnosis through medical imaging. The objective is to spot abnormalities in breasts with a high level of precision, allowing for diagnostics in the early stages of potential breast cancer. The system was theoretically modeled and simulated with the help of computational calculations. This solution gathers characteristics from different technologies and standards that were combined to model an efficient system which meets the necessary requirements and functions for a feasible and viable proposal for its future implementation. The main contribution of this work is identified in the experimental results through the application of the finite difference method in the time domain (FDTD) where it is shown how a malignant tissue (tumor) reflects to a greater extent the expenditure that falls on said region in compared to healthy tissue made up of fibrous tissue, connective, glandular and adipose tissue. It is also important to highlight the spectral and energy efficiency of OFDM systems, characteristics that directly affect the quality level of the systems. Finally, a simulation of the image formation is performed using an innovative method of spatial filtering under the concept of beamforming.</t>
  </si>
  <si>
    <t>Ahumada García, Roberto Carlos/KBB-2316-2024; Datta, Jayanta/AHA-0867-2022; Dehghan Firoozabadi, Ali/AAD-4858-2019</t>
  </si>
  <si>
    <t>datta, jayanta/0009-0008-3850-303X; Ahumada-Garcia, Roberto/0000-0003-1107-4606</t>
  </si>
  <si>
    <t>2771-5671</t>
  </si>
  <si>
    <t>979-8-3503-2321-4</t>
  </si>
  <si>
    <t>10.1109/Colcom56784.2022.10107839</t>
  </si>
  <si>
    <t>WOS:000990508100002</t>
  </si>
  <si>
    <t>Peña-Jorquera, H; Campos-Núñez, V; Sadarangani, KP; Ferrari, G; Jorquera-Aguilera, C; Cristi-Montero, C</t>
  </si>
  <si>
    <t>Pena-Jorquera, Humberto; Campos-Nunez, Valentina; Sadarangani, Kabir P.; Ferrari, Gerson; Jorquera-Aguilera, Carlos; Cristi-Montero, Carlos</t>
  </si>
  <si>
    <t>Breakfast: A Crucial Meal for Adolescents' Cognitive Performance According to Their Nutritional Status. The Cogni-Action Project</t>
  </si>
  <si>
    <t>NUTRIENTS</t>
  </si>
  <si>
    <t>This study aimed to determine whether pupils who have breakfast just before a cognitive demand, do not regularly skip breakfast, and consume a high-quality breakfast present higher cognitive performance than those who do not; furthermore, to establish differences according to their nutritional status. In this study, 1181 Chilean adolescents aged 10-14 years participated. A global cognitive score was computed through eight tasks, and the body mass index z-score (BMIz) was calculated using a growth reference for school-aged adolescents. The characteristics of breakfast were self-reported. Analyses of covariance were performed to determine differences in cognitive performance according to BMIz groups adjusted to sex, peak height velocity, physical fitness global score, and their schools. A positive association was found in adolescents' cognitive performance when they had breakfast just before cognitive tasks, did not regularly skip breakfast, presented at least two breakfast quality components, and included dairy products. No significant differences were found between breakfast components, including cereal/bread and fruits/fruit juice. Finally, pupils who were overweight/obese who declared that they skipped breakfast regularly presented a lower cognitive performance than their normal-BMIz peers. These findings suggest that adolescents who have breakfast just prior to a cognitive demand and regularly have a high quality breakfast have better cognitive performance than those who do not. Educative nutritional strategies should be prioritized, especially in breakfast skippers adolescents living with overweight/obesity.</t>
  </si>
  <si>
    <t>Cristi-Montero, Carlos/AAE-4945-2020; Ferrari, Gerson/ABG-6635-2021; Ferrari, Gerson/P-1152-2014</t>
  </si>
  <si>
    <t>Ferrari, Gerson/0000-0003-3177-6576; sadarangani, kabir/0000-0002-3757-3799; Cristi-Montero, Carlos/0000-0002-9940-507X</t>
  </si>
  <si>
    <t>2072-6643</t>
  </si>
  <si>
    <t>10.3390/nu13041320</t>
  </si>
  <si>
    <t>WOS:000643359500001</t>
  </si>
  <si>
    <t>Brossard, N; Bordeu, E; Ibanez, RA; Chen, JS; Osorio, F</t>
  </si>
  <si>
    <t>Brossard, Natalia; Bordeu, Edmundo; Ibanez, Rodrigo A.; Chen, Jianshe; Osorio, Fernando</t>
  </si>
  <si>
    <t>Rheological study of tannin and protein interactions based on model systems</t>
  </si>
  <si>
    <t>JOURNAL OF TEXTURE STUDIES</t>
  </si>
  <si>
    <t>The interaction between wine tannins and saliva proteins is responsible for wine astringency perception, producing a depletion of salivary proteins and changes on oral friction. In sensorial terms, astringency is described as a dryness and puckering sensation in the mouth, which is related to the structure or body of red wines. However, these last descriptors, as structure or body, are perceived during wine tasting and commonly related to wine viscosity. To address these differences on sensory response, we hypothesize that tannin-protein interactions could be a key factor involved in the viscosity of red wines/saliva mixtures, just as they are for astringency. We used a rheological method to study the impact of tannin-protein interaction on the viscosity of model wine-saliva systems. Mixtures of model saliva based on mucin and typical astringent compounds, as commercial tannins and gallic acid, were evaluated for their rheological behavior. The viscometric flow of the fluid mixtures was determined, and subsequently, the viscosity was evaluated at a shear rate of 60 s(-1). It was observed that red wines/saliva mixtures exhibit non-Newtonian flow and ascending tannin doses led to an increase in the apparent viscosity. Nephelometric analysis demonstrate that tannin-mucin aggregates were formed, which suggests that these complexes were potentially responsible for the viscosity increases, modifying the rheological behavior of these mixtures. Results from this work propose that tannin-protein interactions are also involved in the underlying mechanism of thickness perception of red wines and rheology could be a complementary instrumental technique for wine mouthfeel characterization.</t>
  </si>
  <si>
    <t>Chen, Jianshe/KXR-9203-2024; Brossard, Natalia/ABH-2990-2021; osorio, fernando/AAY-7304-2021</t>
  </si>
  <si>
    <t>Chen, Jianshe/0000-0002-7000-1469; Brossard, Natalia/0000-0001-7444-8869; osorio, fernando/0000-0001-7206-0924</t>
  </si>
  <si>
    <t>0022-4901</t>
  </si>
  <si>
    <t>1745-4603</t>
  </si>
  <si>
    <t>10.1111/jtxs.12518</t>
  </si>
  <si>
    <t>WOS:000554663000004</t>
  </si>
  <si>
    <t>Castro-Montes, AG; Marín, JF; Teca-Wellmann, D; González, JA; García-Ñustes, MA</t>
  </si>
  <si>
    <t>Castro-Montes, Alicia G.; Marin, Juan F.; Teca-Wellmann, Diego; Gonzalez, Jorge A.; Garcia-Nustes, Monica A.</t>
  </si>
  <si>
    <t>Stability of bubble-like fluxons in disk-shaped Josephson junctions in the presence of a coaxial dipole current</t>
  </si>
  <si>
    <t>CHAOS</t>
  </si>
  <si>
    <t>We investigate analytically and numerically the stability of bubble-like fluxons in disk-shaped heterogeneous Josephson junctions. Using ring solitons as a model of bubble fluxons in the two-dimensional sine-Gordon equation, we show that the insertion of coaxial dipole currents prevents their collapse. We characterize the onset of instability by introducing a single parameter that couples the radius of the bubble fluxon with the properties of the injected current. For different combinations of parameters, we report the formation of stable oscillating bubbles, the emergence of internal modes, and bubble breakup due to internal mode instability. We show that the critical germ depends on the ratio between its radius and the steepness of the wall separating the different phases in the system. If the steepness of the wall is increased (decreased), the critical radius decreases (increases). Our theoretical findings are in good agreement with numerical simulations.</t>
  </si>
  <si>
    <t>Teca, diego/LRT-9797-2024; Marin, Juan/J-6676-2019</t>
  </si>
  <si>
    <t>Teca, Diego/0000-0003-1471-3071; Marin, Juan/0000-0003-3756-5016; Garcia Nustes, Monica/0000-0003-2282-7802</t>
  </si>
  <si>
    <t>1054-1500</t>
  </si>
  <si>
    <t>1089-7682</t>
  </si>
  <si>
    <t>10.1063/5.0006226</t>
  </si>
  <si>
    <t>WOS:000542727700001</t>
  </si>
  <si>
    <t>Martínez, C; Guerra, C; Silva, D; Cubillos, M; Briones, F; Muñoz, L; Páez, MA; Aguilar, C; Sancy, M</t>
  </si>
  <si>
    <t>Martinez, Carola; Guerra, Carolina; Silva, Daniela; Cubillos, Mariela; Briones, Francisco; Munoz, Lisa; Paez, M. A.; Aguilar, Claudio; Sancy, Mamie</t>
  </si>
  <si>
    <t>Effect of porosity on mechanical and electrochemical properties of Ti-6Al-4V alloy</t>
  </si>
  <si>
    <t>In this work, the effect of porosity on Ti-6Al-4V alloy was studied by using the Archimedes method, BET analysis, ultrasound method, micro-hardness, surface analysis, such as scanning electron microscopy, X-ray powder diffraction and X-ray photoelectron spectroscopy, and electrochemical measurements, such as open circuit potential curves, electrochemical impedance spectroscopy and linear swept voltammetry. Apparent porosity of porous electrodes was close to 31% and 42%, which decreased significantly the elastic modulus. BET analysis revealed that the primary porosity for the porous electrodes was macroporosity and that the micro- and meso-porosity was increased slightly by exposure. Surface analysis revealed the presence of alpha-phase and beta-phase prior to exposure for bulk and porous electrodes. The impedance response for bulk and porous electrodes were completely different. For bulk electrodes, two time-constants were observed in high and low frequencies ranges, being associated with the formation of an oxide layer and the oxygen reduction reaction taking place at the electrolyte/oxide interface. Whereas the porous electrodes showed a De Levie behavior that was not influenced by porosity and exposure time. Anodic current was not modified by exposure. (C) 2020 Elsevier Ltd. All rights reserved.</t>
  </si>
  <si>
    <t>Aguilar, Claudio/B-6774-2011; Paez, Maritza/M-2010-2014; Silva, Daniela/HZH-7191-2023; Briones, Francisco/F-9537-2019; Martinez Ugalde, Carola/P-5399-2018; Sancy, Mamie/L-6270-2014</t>
  </si>
  <si>
    <t>paez, maritza/0000-0001-5881-884X; munoz, lisa/0000-0002-4588-2620; Martinez Ugalde, Carola/0000-0001-5247-6703; Briones, Francisco Guillermo/0000-0003-4481-2978; Sancy, Mamie/0000-0001-9523-2629; GUERRA FIGUEROA, CAROLINA/0000-0003-1480-8302</t>
  </si>
  <si>
    <t>APR 1</t>
  </si>
  <si>
    <t>10.1016/j.electacta.2020.135858</t>
  </si>
  <si>
    <t>WOS:000517758800051</t>
  </si>
  <si>
    <t>Dettoni, R; Marra, G; Radice, R</t>
  </si>
  <si>
    <t>Dettoni, Robinson; Marra, Giampiero; Radice, Rosalba</t>
  </si>
  <si>
    <t>Generalized Link-Based Additive Survival Models with Informative Censoring</t>
  </si>
  <si>
    <t>JOURNAL OF COMPUTATIONAL AND GRAPHICAL STATISTICS</t>
  </si>
  <si>
    <t>Time to event data differ from other types of data because they are censored. Most of the related estimation techniques assume that the censoring mechanism is noninformative while in many applications it can actually be informative. The aim of this work is to introduce a class of flexible survival models which account for the information provided by the censoring times. The baseline functions are estimated non-parametrically by monotonic P-splines, whereas covariate effects are flexibly determined using additive predictors. Parameter estimation is reliably carried out within a penalized maximum likelihood framework with integrated automatic multiple smoothing parameter selection. We derive the -consistency and asymptotic normality of the noninformative and informative estimators, and shed light on the efficiency gains produced by the newly introduced informative estimator when compared to its non-informative counterpart. The finite sample properties of the estimators are investigated via a Monte Carlo simulation study which highlights the good empirical performance of the proposal. The modeling framework is illustrated on data about infants hospitalized for pneumonia. The models and methods discussed in the article have been implemented in the R package GJRM to allow for transparent and reproducible research. for this article are available online.</t>
  </si>
  <si>
    <t>Marra, Giampiero/ISA-3777-2023</t>
  </si>
  <si>
    <t>Marra, Giampiero/0000-0002-9010-2646; Radice, Rosalba/0000-0002-6316-3961</t>
  </si>
  <si>
    <t>1061-8600</t>
  </si>
  <si>
    <t>1537-2715</t>
  </si>
  <si>
    <t>JUL 2</t>
  </si>
  <si>
    <t>10.1080/10618600.2020.1724544</t>
  </si>
  <si>
    <t>MAR 2020</t>
  </si>
  <si>
    <t>WOS:000519484200001</t>
  </si>
  <si>
    <t>Zabala-Blanco, D; Azurdia-Meza, CA; Montejo-Sánchez, S; Firoozabadi, AD; Játiva, PP; Soto, I; Kamal, S</t>
  </si>
  <si>
    <t>Zabala-Blanco, David; Azurdia-Meza, Cesar A.; Montejo-Sanchez, Samuel; Dehghan Firoozabadi, Ali; Palacios Jativa, Pablo; Soto, Ismael; Kamal, Shaharyar</t>
  </si>
  <si>
    <t>ICI Reduction by Using the Improved Double-jump 1 Pulse in MQAM-OFDM Schemes</t>
  </si>
  <si>
    <t>2020 12TH INTERNATIONAL SYMPOSIUM ON COMMUNICATION SYSTEMS, NETWORKS AND DIGITAL SIGNAL PROCESSING, CSNDSP</t>
  </si>
  <si>
    <t>12th International Symposium on Communication Systems, Networks and Digital Signal Processing (CSNDSP)</t>
  </si>
  <si>
    <t>JUL 20-22, 2020</t>
  </si>
  <si>
    <t>Orthogonal frequency division multiplexing (OFDM) is sensitive to frequency offset since it causes intercarrier interference (ICI). Frequency offset results from the receiver's crystal oscillator inaccuracy, Doppler spread, or distortion. The pulse shaping function technique has proven its potential to combat ICI. To enhance the OFDM tolerance against the frequency offset, we introduce the improved double-jump 1 filter. The novel filter is then optimized given a representative system configuration. We finally demonstrate the effectiveness of the proposed filter in regard to the other novel pulses. This work serves to increase the wireless traffic demand.</t>
  </si>
  <si>
    <t>Dehghan Firoozabadi, Ali/AAD-4858-2019; Montejo-Sánchez, Samuel/AAX-4151-2020; Meza, Cesar/D-6948-2014</t>
  </si>
  <si>
    <t>978-1-7281-6743-5</t>
  </si>
  <si>
    <t>WOS:001331796100072</t>
  </si>
  <si>
    <t>Fuentes, S; Guzmán-Olivos, F; Barraza, N; Pizarro, H; Padilla-Campos, L</t>
  </si>
  <si>
    <t>Fuentes, S.; Guzman-Olivos, F.; Barraza, N.; Pizarro, H.; Padilla-Campos, L.</t>
  </si>
  <si>
    <t>Effect on the Chemical, Structural and Magnetic Characteristics on Fe-Doped SrTiO3</t>
  </si>
  <si>
    <t>JOURNAL OF NANOSCIENCE AND NANOTECHNOLOGY</t>
  </si>
  <si>
    <t>SrTiO3 nanopowders doped with various percentages of Fe (0, 1, 3, and 5 mol%) was synthesized, determining its chemical and structural properties using X-ray diffraction and X-ray photoelectron spectroscopy. The magnetic properties of the samples were studied using hysteresis curves obtained by an alternating gradient magnetometer. Theoretical calculations within the framework of the density functional theory are also performed to support experimental data. The results indicated that Fe incorporated into de SrTiO3 structure induced intrinsic magnetic properties, which increase as the Fe percentage increase. At 5 mol% of Fe in the sample showed a single-domain state, typical of a ferromagnetic material capable for information storage. This latter result would be due to the reduction of oxygen vacancies as more Fe was added and to the presence of Fe2+ and Fe3+ ions reinforced the magnetic behaviour of the compound.</t>
  </si>
  <si>
    <t>Pizarro, Hector/0000-0002-0023-6027</t>
  </si>
  <si>
    <t>1533-4880</t>
  </si>
  <si>
    <t>1533-4899</t>
  </si>
  <si>
    <t>10.1166/jnn.2019.16766</t>
  </si>
  <si>
    <t>WOS:000473105800080</t>
  </si>
  <si>
    <t>Ramírez-Vélez, R; García-Hermoso, A; Hackney, AC; Izquierdo, M</t>
  </si>
  <si>
    <t>Ramirez-Velez, Robinson; Garcia-Hermoso, Antonio; Hackney, Anthony C.; Izquierdo, Mikel</t>
  </si>
  <si>
    <t>Effects of exercise training on Fetuin-a in obese, type 2 diabetes and cardiovascular disease in adults and elderly: a systematic review and Meta-analysis</t>
  </si>
  <si>
    <t>LIPIDS IN HEALTH AND DISEASE</t>
  </si>
  <si>
    <t>BackgroundElevated levels of fetuin-A are associated with increased risks of metabolic syndrome, type 2 diabetes and nonalcoholic fatty liver disease. This meta-analysis investigated whether exercise interventions can reduce fetuin-A in adults.MethodsWe searched clinical trials that objectively assessed fetuin-A and included study arms with exercise intervention. The pre-intervention and post-intervention data were used for meta-analysis. The effect sizes were calculated as standardized mean differences or changes in fetuin-A and expressed as Hedges' g using random-effects models.ResultsThe overall Hedges' g for fetuin-A in all included interventions was -0.640 (95%CI -1.129 to -0.151; n=9), but this effect was not observed in obese (g=-0.096; 95%CI, -0.328 to 0.135) and type 2 diabetes/dysglycemia (g=-0.56; 95%CI, -1.348 to 0.236) individuals. Additionally, the random-effects meta-regression analysis showed that there was not a greater decrease in fetuin-A in individuals who achieved greater body mass index reductions (regression coefficient=0.065; 95%CI, -0.185 to 0.315).ConclusionSupervised exercise is associated with reductions in fetuin-A levels in adults and elderly. However, the results of the present meta-analysis should be interpreted with caution because of the variety of type of exercises and individual obesity related-disorders involve. Therefore, additional high-quality randomized controlled trials describing the effect of supervised exercise interventions on fetuin-A in adults are still needed.</t>
  </si>
  <si>
    <t>HACKNEY, ANTHONY/D-9521-2013; García-Hermoso, Antonio/ADU-2591-2022; Ramirez-Velez, Robinson/D-5311-2016; Izquierdo, Mikel/A-4894-2010; Garcia-Hermoso, Antonio/P-1857-2017</t>
  </si>
  <si>
    <t>Ramirez-Velez, Robinson/0000-0003-3075-6960; Izquierdo, Mikel/0000-0002-1506-4272; Garcia-Hermoso, Antonio/0000-0002-1397-7182</t>
  </si>
  <si>
    <t>1476-511X</t>
  </si>
  <si>
    <t>JAN 22</t>
  </si>
  <si>
    <t>10.1186/s12944-019-0962-2</t>
  </si>
  <si>
    <t>WOS:000456450500001</t>
  </si>
  <si>
    <t>Bascur, M; Guzmán, F; Mora, S; Espinoza, P; Urzúa, A</t>
  </si>
  <si>
    <t>Bascur, Miguel; Guzman, Fabian; Mora, Sergio; Espinoza, Pepe; Urzua, Angel</t>
  </si>
  <si>
    <t>Temporal variation in the fatty acid composition of ovigerous females and embryos of the squat lobster Pleuroncodes monodon (Decapoda, Munididae)</t>
  </si>
  <si>
    <t>JOURNAL OF THE MARINE BIOLOGICAL ASSOCIATION OF THE UNITED KINGDOM</t>
  </si>
  <si>
    <t>52nd European Marine Biology Symposium (EMBS)</t>
  </si>
  <si>
    <t>SEP 25-29, 2017</t>
  </si>
  <si>
    <t>Portoroz, SLOVENIA</t>
  </si>
  <si>
    <t>Natl Inst Biol, Marine Biol Stat Piran</t>
  </si>
  <si>
    <t>Pleuroncodes monodon, an important fishery resource and key species in the Humboldt Current Large Marine ecosystem, has a prolonged reproductive period from winter until end of summer, and during this time females incubating their embryos are exposed to seasonal variation in food availability and in temperature. Additionally, in order to ensure successful reproduction and survival of embryos, changes occur in the main internal reserves and/or sources of energy of P. monodon. The aim of this study was to determine the extent of seasonal variation (winter vs summer) in the lipid content and fatty acid composition of ovigerous females and their embryos. The results show that a higher percentage of saturated and polyunsaturated fatty acids are found in females in winter. Similarly, the composition of fatty acids in embryos found here indicates that winter embryos have more saturated fatty acids and essential fatty acids (C18:2n6cis, C18:3n6 and C22:6n3) than do summer embryos. According to PCA analysis of fatty acid profile, samples from summer may be distinguished into two isolated groups with conspicuous variations in fatty acids profile of embryo and hepatopancreas. While in winter, the opposite pattern occurs in the fatty acid profile of embryo and hepatopancreas. These variations may be related to relevant physiological processes (reproduction and growth) and of their ontogeny (development and survival of offspring). Seasonal variation in the lipid content and composition of fatty acids of P. monodon could directly impact this species' reproduction and survival and subsequently could have consequences on the food web and fishery exploitation.</t>
  </si>
  <si>
    <t>Bascur, Miguel/AAJ-4426-2021; Urzúa, Ángel/AAA-6095-2019; Rivas, Fabián/AAH-3076-2019</t>
  </si>
  <si>
    <t>Urzua Osorio, Angel Gabriel/0000-0001-7706-5126; Guzman-Rivas, Fabian/0000-0002-8883-2324; ESPINOZA, Pepe/0000-0001-5149-8310; Bascur, Miguel Angel/0000-0002-4076-4262</t>
  </si>
  <si>
    <t>0025-3154</t>
  </si>
  <si>
    <t>1469-7769</t>
  </si>
  <si>
    <t>10.1017/S002531541700145X</t>
  </si>
  <si>
    <t>WOS:000454077300013</t>
  </si>
  <si>
    <t>Antonopoulou, D; Espinoza, CM; Kuiper, L; Andersson, N</t>
  </si>
  <si>
    <t>Antonopoulou, D.; Espinoza, C. M.; Kuiper, L.; Andersson, N.</t>
  </si>
  <si>
    <t>Pulsar spin-down: the glitch-dominated rotation of PSR J0537-6910</t>
  </si>
  <si>
    <t>MONTHLY NOTICES OF THE ROYAL ASTRONOMICAL SOCIETY</t>
  </si>
  <si>
    <t>The young, fast-spinning X-ray pulsar J0537-6910 displays an extreme glitch activity, with large spin-ups interrupting its decelerating rotation every similar to 100 d. We present nearly 13 yr of timing data from this pulsar, obtained with the Rossi X-ray Timing Explorer. We discovered 22 new glitches and performed a consistent analysis of all 45 glitches detected in the complete data span. Our results corroborate the previously reported strong correlation between glitch spin-up size and the time to the next glitch, a relation that has not been observed so far in any other pulsar. The spin evolution is dominated by the glitches, which occur at a rate of similar to 3.5 per year, and the post-glitch recoveries, which prevail the entire interglitch intervals. This distinctive behaviour provides invaluable insights into the physics of glitches. The observations can be explained with a multicomponent model that accounts for the dynamics of the neutron superfluid present in the crust and core of neutron stars. We place limits on the moment of inertia of the component responsible for the spin-up and, ignoring differential rotation, the velocity difference it can sustain with the crust. Contrary to its rapid decrease between glitches, the spin-down rate increased over the 13 yr, and we find the long-term braking index n(l) = -1.22(4), the only negative braking index seen in a young pulsar. We briefly discuss the plausible interpretations of this result, which is in stark contrast to the predictions of standard models of pulsar spin-down.</t>
  </si>
  <si>
    <t>; Espinoza, Cristobal/U-4428-2017</t>
  </si>
  <si>
    <t>Andersson, Nils/0000-0001-8550-3843; Antonopoulou, Danai/0000-0003-0746-5364; Espinoza, Cristobal/0000-0003-2481-2348; Kuiper, Lucien/0000-0002-7889-6586</t>
  </si>
  <si>
    <t>0035-8711</t>
  </si>
  <si>
    <t>1365-2966</t>
  </si>
  <si>
    <t>10.1093/mnras/stx2429</t>
  </si>
  <si>
    <t>WOS:000423731200017</t>
  </si>
  <si>
    <t>Martynov, A; Severinov, K; Ispolatov, I</t>
  </si>
  <si>
    <t>Martynov, Alexander; Severinov, Konstantin; Ispolatov, Iaroslav</t>
  </si>
  <si>
    <t>Optimal number of spacers in CRISPR arrays</t>
  </si>
  <si>
    <t>PLOS COMPUTATIONAL BIOLOGY</t>
  </si>
  <si>
    <t>Prokaryotic organisms survive under constant pressure of viruses. CRISPR-Cas system provides its prokaryotic host with an adaptive immune defense against viruses that have been previously encountered. It consists of two components: Cas-proteins that cleave the foreign DNA and CRISPR array that suits as a virus recognition key. CRISPR array consists of a series of spacers, short pieces of DNA that originate from and match the corresponding parts of viral DNA called protospacers. Here we estimate the number of spacers in a CRISPR array of a prokaryotic cell which maximizes its protection against a viral attack. The optimality follows from a competition between two trends: too few distinct spacers make host vulnerable to an attack by a virus with mutated corresponding protospacers, while an excessive variety of spacers dilutes the number of the CRISPR complexes armed with the most recent and thus most useful spacers. We first evaluate the optimal number of spacers in a simple scenario of an infection by a single viral species and later consider a more general case of multiple viral species. We find that depending on such parameters as the concentration of CRISPR-Cas interference complexes and its preference to arm with more recently acquired spacers, the rate of viral mutation, and the number of viral species, the predicted optimal number of spacers lies within a range that agrees with experimentally-observed values.</t>
  </si>
  <si>
    <t>Ispolatov, Yaroslav/E-8544-2010; Severinov, Konstantin/C-8545-2016; Martynov, Alexander/H-4309-2017</t>
  </si>
  <si>
    <t>Martynov, Alexander/0000-0003-1845-5209</t>
  </si>
  <si>
    <t>1553-7358</t>
  </si>
  <si>
    <t>e1005891</t>
  </si>
  <si>
    <t>10.1371/journal.pcbi.1005891</t>
  </si>
  <si>
    <t>WOS:000418951400025</t>
  </si>
  <si>
    <t>Ramírez-Vélez, R; Gonzalez-Ruiz, K; Correa-Bautista, JE; Garcia-Hermoso, A; Peterson, MD</t>
  </si>
  <si>
    <t>Ramirez-Velez, Robinson; Gonzalez-Ruiz, Katherine; Correa-Bautista, Jorge E.; Garcia-Hermoso, Antonio; Peterson, Mark D.</t>
  </si>
  <si>
    <t>A Meta-analytic Approach To Determine The Effectiveness Of Exercise Interventions On Abdominal Fat And Liver Enzymes In Overweight And Obese Youth.</t>
  </si>
  <si>
    <t>MEDICINE AND SCIENCE IN SPORTS AND EXERCISE</t>
  </si>
  <si>
    <t>Annual Meeting of the American-College-of-Sports-Medicine (ACSM)</t>
  </si>
  <si>
    <t>MAY 30-JUN 03, 2017</t>
  </si>
  <si>
    <t>Denver, CO</t>
  </si>
  <si>
    <t>Amer Coll Sports Med</t>
  </si>
  <si>
    <t>Correa-Bautista, Jorge Enrique/JDD-3131-2023; Ramírez-Vélez, Robinson/D-5311-2016; González-Ruíz, Katherine/CAA-4624-2022; Peterson, Mark/ABD-3853-2020; García-Hermoso, Antonio/ADU-2591-2022; Correa-Bautista, Jorge Enrique/N-2741-2015; Garcia-Hermoso, Antonio/P-1857-2017</t>
  </si>
  <si>
    <t>Correa-Bautista, Jorge Enrique/0000-0002-0646-2316; Garcia-Hermoso, Antonio/0000-0002-1397-7182</t>
  </si>
  <si>
    <t>0195-9131</t>
  </si>
  <si>
    <t>1530-0315</t>
  </si>
  <si>
    <t>10.1249/01.mss.0000519153.99171.a8</t>
  </si>
  <si>
    <t>WOS:000415215700739</t>
  </si>
  <si>
    <t>Zhu, B; Schachenmayer, J; Xu, M; Herrera, F; Restrepo, JG; Holland, MJ; Rey, AM</t>
  </si>
  <si>
    <t>Zhu, B.; Schachenmayer, J.; Xu, M.; Herrera, F.; Restrepo, J. G.; Holland, M. J.; Rey, A. M.</t>
  </si>
  <si>
    <t>Synchronization of interacting quantum dipoles</t>
  </si>
  <si>
    <t>NEW JOURNAL OF PHYSICS</t>
  </si>
  <si>
    <t>Macroscopic ensembles of radiating dipoles are ubiquitous in the physical and natural sciences. In the classical limit the dipoles can be described as damped-driven oscillators, which are able to spontaneously synchronize and collectively lock their phases in the presence of nonlinear coupling. Here we investigate the corresponding phenomenon with arrays of quantized two-level systems coupled via long-range and anisotropic dipolar interactions. Our calculations demonstrate that by incoherently driving dense packed arrays of strongly interacting dipoles, the dipoles can overcome the decoherence induced by quantum fluctuations and inhomogeneous coupling and reach a synchronized steady-state characterized by a macroscopic phase coherence. This steady-state bears much similarity to that observed in classical systems, and yet also exhibits genuine quantum properties such as quantum correlations and quantum phase diffusion (reminiscent of lasing). Our predictions could be relevant for the development of better atomic clocks and a variety of noise tolerant quantum devices.</t>
  </si>
  <si>
    <t>Herrera, Felipe/KHD-8453-2024; Xu, Minghui/D-4701-2017; zhu, bihui/T-6960-2018</t>
  </si>
  <si>
    <t>SCHACHENMAYER, JOHANNES/0000-0001-9420-5768; zhu, bihui/0000-0002-9457-4560; HOLLAND, MURRAY/0000-0002-3778-1352; RESTREPO, JUAN G/0000-0002-2665-2256</t>
  </si>
  <si>
    <t>1367-2630</t>
  </si>
  <si>
    <t>SEP 1</t>
  </si>
  <si>
    <t>10.1088/1367-2630/17/8/083063</t>
  </si>
  <si>
    <t>WOS:000360957900003</t>
  </si>
  <si>
    <t>Pizarro, N; Duque, M; Chamorro, E; Nonell, S; Manzur, J; de la Fuente, JR; Günther, G; Cepeda-Plaza, M; Vega, A</t>
  </si>
  <si>
    <t>Pizarro, Nancy; Duque, Mario; Chamorro, Eduardo; Nonell, Santi; Manzur, Jorge; de la Fuente, Julio R.; Gunther, German; Cepeda-Plaza, Marjorie; Vega, Andres</t>
  </si>
  <si>
    <t>Dual Emission of a Novel (P,N) ReI Complex: A Computational and Experimental Study on [P,N-{(C6H5)2(C5H4N)P}Re(CO)3Br]</t>
  </si>
  <si>
    <t>JOURNAL OF PHYSICAL CHEMISTRY A</t>
  </si>
  <si>
    <t>The spectroscopic, electrochemical, and photophysical properties of the new complex [P,N-{(C6H5)(2)(C5H4N)-P}Re(CO)(3)Br] are reported. The UV-vis spectrum in dichloromethane shows an absorption maximum centered at 315 rim and a shoulder at 350 nm. These absorption bands have been characterized to have MLCT character. Excitation at both wavelengths (maximum and shoulder) leads to an emission band centered at 550 nm. Cyclic voltammetry experiments show two ill-defined irreversible oxidation waves around +1.50 and 1.80 V that are assigned to Re-I/Re-II and Re-II/Re-III couples whereas an irreversible reduction signal centered at 1.80 V is :likewise assigned to a ligand reduction process. These results support the proposal of the MLCT nature of the states implied by the emission of the complex. The luminescent decay fits to a biexponential function, where the lifetimes and emission quantum yields are dependent on the solvent polarity. DFT calculations suggest that d pi -&gt; pi*(pyridine) and d pi -&gt; pi*(phenyl) excited states may account for the existence of two decay lifetimes.</t>
  </si>
  <si>
    <t>Manzur, Jorge/H-3824-2013; Nonell, Santi/AFU-1516-2022; Chamorro, Eduardo/B-4286-2009; Pizarro, Nancy/E-1131-2015; Cepeda Plaza, Marjorie/KDN-5729-2024; Vega, Andres/B-2122-2010; Gunther, German/I-1028-2013</t>
  </si>
  <si>
    <t>Vega, Andres/0000-0001-6501-4161; Cepeda, Marjorie/0000-0002-2702-8981; Pizarro, Nancy/0000-0002-4688-0889; Gunther, German/0000-0002-4733-8426</t>
  </si>
  <si>
    <t>1089-5639</t>
  </si>
  <si>
    <t>1520-5215</t>
  </si>
  <si>
    <t>APR 30</t>
  </si>
  <si>
    <t>10.1021/jp512614w</t>
  </si>
  <si>
    <t>WOS:000353930800007</t>
  </si>
  <si>
    <t>Vera-Villarroel, P; Piqueras, JA; Kuhne, W; Cuijpers, P; van Straten, A</t>
  </si>
  <si>
    <t>Vera-Villarroel, Pablo; Piqueras, Jose A.; Kuhne, Walter; Cuijpers, Pim; van Straten, Annemieke</t>
  </si>
  <si>
    <t>Differences between men and women in self-reported body mass index and its relation to drug use</t>
  </si>
  <si>
    <t>SUBSTANCE ABUSE TREATMENT PREVENTION AND POLICY</t>
  </si>
  <si>
    <t>Background: Obesity is a public health problem of alarming proportions, including among the university population in Latin America. The purpose of this study was to determine the relation between the self-reported body mass index and the associated drug use and health-risk behaviors. Methods: We performed a cross-sectional, descriptive study of 3,311 Chilean university students (17-24 years). The variables weight, height, frequency of physical activity, diet quality index, and drug use were evaluated by way of a self-report questionnaire. Results: 16.7% of students were overweight and 2.1% were obese. Higher rates of overweight and obesity were observed in the men compared to women. There was a significant but moderate association between self-perceived obesity and being men and higher age, and just low with greater use of analgesics and tranquilizers with or without a prescription. Conclusions: The punctual prevalence rates of self-reported obesity, in this sample, are consistent with other Latin American studies. The risk behaviors associated with perceived obesity in terms of gender, particularly the different pattern of drug use, highlight the importance of considering gender when designing strategies to promote health in a university setting.</t>
  </si>
  <si>
    <t>Cuijpers, Pim/G-1703-2013; van Straten, Annemieke/P-8495-2019; Piqueras, Jose A/C-6011-2011; Vera-Villarroel, Pablo/A-1134-2011</t>
  </si>
  <si>
    <t>Cuijpers, Pim/0000-0001-5497-2743; Piqueras, Jose A/0000-0002-3604-5441; van Straten, Annemieke/0000-0001-6875-2215; Vera-Villarroel, Pablo/0000-0001-9187-8414</t>
  </si>
  <si>
    <t>1747-597X</t>
  </si>
  <si>
    <t>10.1186/1747-597X-9-1</t>
  </si>
  <si>
    <t>WOS:000331730000001</t>
  </si>
  <si>
    <t>Amaral, H; Kramer, V; Pruzzo, R; Chana, P; Juri, C; Piel, M; Galaz, R; Coudeu, I; Rösch, F</t>
  </si>
  <si>
    <t>Amaral, H.; Kramer, V.; Pruzzo, R.; Chana, P.; Juri, C.; Piel, M.; Galaz, R.; Coudeu, I.; Roesch, F.</t>
  </si>
  <si>
    <t>[18F]PR04. MZ for Quantification of Striatal and Extrastriatal Dopamine Transporters in Patients with Idiopathic Parkinson's Disease</t>
  </si>
  <si>
    <t>EUROPEAN JOURNAL OF NUCLEAR MEDICINE AND MOLECULAR IMAGING</t>
  </si>
  <si>
    <t>Annual Congress of the European-Association-of-Nuclear-Medicine (EANM)</t>
  </si>
  <si>
    <t>OCT 19-23, 2013</t>
  </si>
  <si>
    <t>Lyon, FRANCE</t>
  </si>
  <si>
    <t>European Assoc Nucl Med</t>
  </si>
  <si>
    <t>Roesch, Frank/AAU-9403-2020; Piel, Markus/L-8787-2016</t>
  </si>
  <si>
    <t>1619-7070</t>
  </si>
  <si>
    <t>1619-7089</t>
  </si>
  <si>
    <t>S231</t>
  </si>
  <si>
    <t>WOS:000325853400459</t>
  </si>
  <si>
    <t>Barreto, ACH; Santiago, VR; Freire, RM; Mazzetto, SE; Sasaki, JM; Vasconcelos, IF; Denardin, JC; Mele, G; Carbone, L; Fechine, PBA</t>
  </si>
  <si>
    <t>Barreto, A. C. H.; Santiago, V. R.; Freire, R. M.; Mazzetto, S. E.; Sasaki, J. M.; Vasconcelos, I. F.; Denardin, J. C.; Mele, Giuseppe; Carbone, Luigi; Fechine, P. B. A.</t>
  </si>
  <si>
    <t>Grain Size Control of the Magnetic Nanoparticles by Solid State Route Modification</t>
  </si>
  <si>
    <t>The CoFe2O4 and NiFe2O4 nanoparticles were synthesized exploiting a co-precipitation method and afterward calcinated at 400 A degrees C through two different experimental apparatus: a conventional muffle and rotatory oven. X-ray diffraction (XRD) analysis revealed that nanocrystalline ferrites grew with a face center cubic structure (fcc) and Fd3m symmetry space group. XRD, transmission electron microscopy, and magnetic measurements confirmed the compositional homogeneity and the narrow size particle distribution (6-8 nm) of the sample thermally treated in a rotary oven, in all likelihood due to the sample's constant turning movement. The size of the magnetic particles is extremely important and influences the choice of a potential technological application. For this reason, our study emerges as a new and simple innovating procedure to control the size of magnetic nanoparticles.</t>
  </si>
  <si>
    <t>Carbone, Luigi/AAY-5320-2020; Denardin, Juliano/S-6407-2019; Mazzetto, Selma/R-5406-2016; Barreto, Antonio/Y-4744-2019; Sasaki, Jose Marcos/J-9634-2013; Frota de Vasconcelos, Igor/G-6800-2012; Mele, Giuseppe/N-9765-2015; Carbone, Luigi/O-2193-2015; Fechine, Pierre/B-7937-2013</t>
  </si>
  <si>
    <t>Denardin, Juliano/0000-0002-1373-6207; Mazzetto, Selma Elaine/0000-0002-6879-3209; Sasaki, Jose Marcos/0000-0003-2305-6114; Frota de Vasconcelos, Igor/0000-0002-6172-805X; Mele, Giuseppe/0000-0002-6684-990X; Honorato Barreto, Antonio Cesar/0000-0002-5757-334X; Carbone, Luigi/0000-0002-1369-6890; Fechine, Pierre/0000-0002-7822-2354</t>
  </si>
  <si>
    <t>10.1007/s11665-013-0480-8</t>
  </si>
  <si>
    <t>WOS:000320671400032</t>
  </si>
  <si>
    <t>Thittai, AK; Galaz, B; Ophir, J</t>
  </si>
  <si>
    <t>Thittai, Arun K.; Galaz, Belfor; Ophir, Jonathan</t>
  </si>
  <si>
    <t>ON THE ADVANTAGES OF IMAGING THE AXIAL-SHEAR STRAIN COMPONENT OF THE TOTAL SHEAR STRAIN IN BREAST TUMORS</t>
  </si>
  <si>
    <t>ULTRASOUND IN MEDICINE AND BIOLOGY</t>
  </si>
  <si>
    <t>Axial-shear strain elastography was described recently as a method to visualize the state of bonding at an inclusion boundary. Although total shear strain elastography was initially proposed for this purpose, it did not evolve beyond the initial reported finite element model (FEM) and simulation studies. One of the major reasons for this was the practical limitation in estimating the tissue motion perpendicular (lateral) to the ultrasound (US) beam as accurately as the motion along the US beam (axial). Nevertheless, there has been a sustained effort in developing methods to improve the lateral motion tracking accuracy and thereby obtain better quality total shear strain elastogram (TSSE). We hypothesize that in some cases, even if good quality TSSE becomes possible, it may still be advantageous to utilize only the axial-shear strain (one of the components of the total shear strain) elastogram (ASSE). Specifically, we show through FEM and corroborating tissue-mimicking gelatin phantom experiments that the unique fill-in discriminant feature that was introduced recently for asymmetric breast lesion classification is depicted only in the ASSE and not in the TSSE. Note that the presence or conspicuous absence of this feature in ASSE was shown to characterize asymmetric inclusions' boundaries as either loosely-bonded or firmly-bonded to the surrounding, respectively. This might be an important observation because the literature suggests that benign breast lesions tend to be loosely-bonded, while malignant tumors are usually firmly-bonded. The results from the current study demonstrate that the use of shear strain lesion fill-in as a discriminant feature in the differentiation between asymmetric malignant and benign breast lesions is only possible when using the ASSEs and not the TSSEs. (E-mail: Arun.K.Thittai@uth.tmc.edu) (C) 2012 World Federation for Ultrasound in Medicine &amp; Biology.</t>
  </si>
  <si>
    <t>0301-5629</t>
  </si>
  <si>
    <t>1879-291X</t>
  </si>
  <si>
    <t>10.1016/j.ultrasmedbio.2012.06.011</t>
  </si>
  <si>
    <t>WOS:000309507600020</t>
  </si>
  <si>
    <t>Aloisio, R; Galante, A; Grillo, AF; Liberati, S; Luzio, E; Méndez, F</t>
  </si>
  <si>
    <t>Aloisio, R.; Galante, A.; Grillo, A. F.; Liberati, S.; Luzio, E.; Mendez, F.</t>
  </si>
  <si>
    <t>Modified special relativity on a fluctuating spacetime</t>
  </si>
  <si>
    <t>It was recently proposed that deformations of the relativistic symmetry, as those considered in deformed special relativity (DSR), can be seen as the outcome of a measurement theory in the presence of non-negligible (albeit small) quantum gravitational fluctuations [S. Liberati, S. Sonego, and M. Visser, Phys. Rev. D 71, 045001 (2005).][R. Aloisio, A. Galante, A. Grillo, S. Liberati, E. Luzio, and F. Mendez, Phys. Rev. D 73, 045020 (2006).]. In this paper we explicitly consider the case of a spacetime described by a flat metric endowed with stochastic fluctuations and, for a free particle, we show that DSR-like nonlinear relations between the spaces of the measured and classical momenta, can result from the average of the stochastic fluctuations over a scale set to be the de Broglie wavelength of the particle. As illustrative examples we consider explicitly the averaging procedure for some simple stochastic processes and discuss the physical implications of our results.</t>
  </si>
  <si>
    <t>Aloisio, Roberto/I-9533-2012; Angelo, Galante/S-9389-2019; Liberati, Stefano/AAY-3319-2020</t>
  </si>
  <si>
    <t>Mendez, Fernando/0000-0002-9257-9552; Liberati, Stefano/0000-0002-7632-7443; Galante, Angelo/0000-0002-3228-7785; Aloisio, Roberto/0000-0003-0161-5923</t>
  </si>
  <si>
    <t>1550-7998</t>
  </si>
  <si>
    <t>1550-2368</t>
  </si>
  <si>
    <t>10.1103/PhysRevD.74.085017</t>
  </si>
  <si>
    <t>WOS:000241724000092</t>
  </si>
  <si>
    <t>Torres, R; Faini, F; Rodilla, JML; Silva, LA; Sanz, F</t>
  </si>
  <si>
    <t>Crystal structure of taedol, C10H16O2, from Haplopappus taeda</t>
  </si>
  <si>
    <t>C10H16O2, monoclinic, P12(1)1 (no. 4), a = 8.974(2) angstrom, b = 5.933(1) angstrom. c = 8.994(2) angstrom, P = 96.29(3)degrees, V = 476.0 angstrom(3) Z = 2, Rgt(F) = 0.052, wR(obs)(F-2) = 0.148, T = 293 K.</t>
  </si>
  <si>
    <t>WOS:000235926700011</t>
  </si>
  <si>
    <t>Coment, E; Fudym, O; Ladevie, B; Batsale, JC; Santander, R</t>
  </si>
  <si>
    <t>Extension of the hot wire method to the characterization of stratified soils with multiple temperature analysis</t>
  </si>
  <si>
    <t>INVERSE PROBLEMS IN SCIENCE AND ENGINEERING</t>
  </si>
  <si>
    <t>4th International Conference on Inverse Problems in Engineering: Theory and Practice (4th ICIPE)</t>
  </si>
  <si>
    <t>MAY 26-31, 2002</t>
  </si>
  <si>
    <t>RIO DE JANEIRO, BRAZIL</t>
  </si>
  <si>
    <t>The aim of this article is to develop a practical device able to estimate a thermal conductivity profile in stratified media such as burned soils in Chile. The classical hot wire method consists of measuring the temperature response of a heat step imposed on a thin cylindrical probe by Joule effect. The main characteristic of the extension of the method consists of analyzing the two-dimensional temperature response of multiple thermocouples equally spaced along the heating cylinder. A semianalytical method (quadrupole method) is then implemented in order to obtain a transfer matrix between the heat flux excitation and the temperature response vectors. Such method is suitable to obtain asymptotic expansions in order to investigate the sensitivity analysis and the estimation strategy. A complete two-dimensional model is used in order to define a time window in which the one-dimensional radial heat transfer assumption is valid. Some experiments and estimation results are presented in a case where the characteristic diffusion times in the radial direction are small compared to the inter-layers diffusion time.</t>
  </si>
  <si>
    <t>1741-5977</t>
  </si>
  <si>
    <t>10.1080/1068276042000219895</t>
  </si>
  <si>
    <t>WOS:000224113500003</t>
  </si>
  <si>
    <t>Venegas-Yazigi, D; Campos-Vallette, M; Lever, ABP; Costamagna, J; Latorre, RO; Hernández, W</t>
  </si>
  <si>
    <t>A family of ruthenium complexes containing the non-innocent ligand O-benzoquinonediimine.: An infrared structural interpretation</t>
  </si>
  <si>
    <t>JOURNAL OF THE CHILEAN CHEMICAL SOCIETY</t>
  </si>
  <si>
    <t>It has been shown that innocent ligands always contribute with a similar electron density to a metal centre in a complex regardless of which other innocent ligands are bonded to the same centre, while non-innocent ligands are capable of tuning electron density on the metal centre depending on the nature of the other ligands. The present work reports the IR spectral characterisation of four ruthenium complexes containing the non-innocent ligand o-benzoquinonediimine and different innocent ligands (Ru(C6H4{NH}(2))(Cl)(2)(PPh3)(2); [Ru(CH3CN)(C6H4{NH}(2))(Cl)(PPh3)(2)][BF4]; [Ru(CH3CN)(2)(C6H4{NH}(2))(PPh3)(2)][BF4](2), and [Ru(C6H4{NH}(2))((C2H5)(2)NCS2) (PPh3)(2)][Cl]. The C=N vibration correlates with the E-L values of the ligands. We found that the o-benzoquinonediimine ligand modulates the vibrational energies depending on the nature of the innocent ligands bonded to the ruthenium atom.</t>
  </si>
  <si>
    <t>Vallette, Marcelo/I-2860-2013; Venegas-Yazigi, Diego/C-5022-2009</t>
  </si>
  <si>
    <t>Venegas-Yazigi, Diego/0000-0001-7816-2841; Latorre, Ramon/0000-0002-6044-5795</t>
  </si>
  <si>
    <t>0717-9324</t>
  </si>
  <si>
    <t>WOS:000185071000016</t>
  </si>
  <si>
    <t>Sartori, RH; Diez, S; Navarrete, E; Sariego, R; Moya, SA; Carusso, F; Rodriguez, S</t>
  </si>
  <si>
    <t>Titanium(IV) complex with diketonate ligands: Application and effect as antitumoral drug.</t>
  </si>
  <si>
    <t>ABSTRACTS OF PAPERS OF THE AMERICAN CHEMICAL SOCIETY</t>
  </si>
  <si>
    <t>0065-7727</t>
  </si>
  <si>
    <t>AUG 22</t>
  </si>
  <si>
    <t>46-MEDI</t>
  </si>
  <si>
    <t>U926</t>
  </si>
  <si>
    <t>WOS:000082033902798</t>
  </si>
  <si>
    <t>Banados, M; Henneaux, M; Iannuzzo, C; Viallet, CM</t>
  </si>
  <si>
    <t>Gauge symmetries of pure Chern-Simons theories with p-form gauge fields</t>
  </si>
  <si>
    <t>CLASSICAL AND QUANTUM GRAVITY</t>
  </si>
  <si>
    <t>The gauge symmetries of pure Chem-Simons theories with p-form gauge fields are analysed. It is shown that the number of independent gauge symmetries depends crucially on the parity of p. The case where p is odd appears to be a direct generalization of the p = 1 case and presents the remarkable feature that the timelike diffeomorphisms can be expressed in terms of the spatial diffeomorphisms and the internal gauge symmetries. In contrast, the timelike diffeomorphisms may bt:independent gauge symmetries when p is even. This happens when the number of fields and the spacetime dimension fulfil an algebraic condition which is written explicitly.</t>
  </si>
  <si>
    <t>Banados, Max/0000-0003-3238-7863; Henneaux, Marc/0000-0002-8912-6384</t>
  </si>
  <si>
    <t>0264-9381</t>
  </si>
  <si>
    <t>10.1088/0264-9381/14/9/006</t>
  </si>
  <si>
    <t>WOS:A1997XY76900005</t>
  </si>
  <si>
    <t>Rajendran, S; Jena, D; Diaz, M; Rodriguez, J</t>
  </si>
  <si>
    <t>Rajendran, Saravanakumar; Jena, Debashisha; Diaz, Matias; Rodriguez, Jose</t>
  </si>
  <si>
    <t>Design of modified complementary terminal sliding mode controller for wind turbine at region II using a two-mass model</t>
  </si>
  <si>
    <t>RESULTS IN ENGINEERING</t>
  </si>
  <si>
    <t>Mechanical loads impact the life span of a wind turbine; therefore, the reduction of transient loads in the drive train has gained more emphasis during the design of the controller for power extraction. The trade-off between power extraction and load reduction on the drive train has become a critical concern for wind turbines. Existing control approaches improve energy extraction and impose a more significant transient load on the drive train. Therefore, to address the above issue, a modified complementary terminal sliding mode controller is proposed in this study for wind turbines at below-rated wind speeds. The performance of both the proposed and existing controllers has been tested with a 600 kW FAST simulator. Moreover, each controller has been examined using different wind spectral models, such as Kaimal, Von Karman, Smooth-Terrain, and NWTCUP. The turbulent intensities of these models varied from 5% to 25%, and average wind speeds ranged from 7 m/s to 8.5 m/s. A dSPACE 1202 board was used to test the efficacy of the proposed controller in real-time. This analysis indicates that the proposed controller reduces the transient load by 11.98% and the control input by 9.57% compared to the complementary terminal sliding mode controller. Additionally, the proposed controller improves the energy capture by 1.18%. Finally, this analysis shows that the proposed approach can enhance overall performance and capture maximum power at below-rated wind speeds compared to existing control schemes.</t>
  </si>
  <si>
    <t>Jena, Debashisha/AAU-6450-2021</t>
  </si>
  <si>
    <t>2590-1230</t>
  </si>
  <si>
    <t>10.1016/j.rineng.2024.103026</t>
  </si>
  <si>
    <t>OCT 2024</t>
  </si>
  <si>
    <t>WOS:001413433200001</t>
  </si>
  <si>
    <t>Wachholz, PA; Morsch, P; Dintrans, PV; Barrientos-Calvo, I; Browne, J; Bello-Chavolla, OY; Vega, E</t>
  </si>
  <si>
    <t>Wachholz, Patrick Alexander; Morsch, Patricia; Dintrans, Pablo Villalobos; Barrientos-Calvo, Isabel; Browne, Jorge; Bello-Chavolla, Omar Yaxmehen; Vega, Enrique</t>
  </si>
  <si>
    <t>Institutional care in four Latin American countries: the importance of fostering public information and evaluation strategies</t>
  </si>
  <si>
    <t>REVISTA PANAMERICANA DE SALUD PUBLICA-PAN AMERICAN JOURNAL OF PUBLIC HEALTH</t>
  </si>
  <si>
    <t>More than 8 million older people in Latin America depend on long -term care (LTC), accounting for 12% of people aged &gt;= 60 years and almost 27% of those aged &gt;= 80. It is crucial to develop sustainable strategies for providing LTC in the area, including institutional care. This special report aims to characterize institutional LTC in four countries (Brazil, Chile, Costa Rica and Mexico), using available information systems, and to identify the strategies adopted to support institutional care in these countries. This narrative review used nationwide, open -access, public data sources to gather demographic estimates and information about institutional LTC coverage and the availability of open -access data for the proportion of people with LTC needs, the number of LTC facilities and the number of residents living in them. These countries have a larger share of older people than the average in Latin America but fewer LTC facilities than required by the demand. National surveys lack standardization in defining disability, LTC and dependency on care. Information about institutional care is mainly fragmented and does not regularly include LTC facilities, their residents and workers. Data are crucial to inform evidence-based decisions to favor prioritization and to support advances in promoting policies around institutional LTC in Latin America. Although information about institutional care in the region is fragmented and insufficient, this paper profiles the four selected countries. It highlights the need for a better structure for datadriven LTC information systems. The lack of information emphasizes the urgency of the need to focus on and encourage research into this topic.</t>
  </si>
  <si>
    <t>Dintrans, Pablo/AAM-6248-2020; Bello-Chavolla, Omar Yaxmehen/AAB-7118-2019; Wachholz, Patrick/G-5142-2010</t>
  </si>
  <si>
    <t>Villalobos Dintrans, Pablo/0000-0002-2236-6447; Bello-Chavolla, Omar Yaxmehen/0000-0003-3093-937X</t>
  </si>
  <si>
    <t>1020-4989</t>
  </si>
  <si>
    <t>1680-5348</t>
  </si>
  <si>
    <t>e14</t>
  </si>
  <si>
    <t>10.26633/RPSP.2024.14</t>
  </si>
  <si>
    <t>WOS:001182240800001</t>
  </si>
  <si>
    <t>Morales-Lange, B; Hansen, JO; Djordjevic, B; Mydland, LT; Castex, M; Mercado, L; Imarai, M; Sorum, H; Overland, M</t>
  </si>
  <si>
    <t>Morales-Lange, Byron; Hansen, Jon Ovrum; Djordjevic, Brankica; Mydland, Liv Torunn; Castex, Mathieu; Mercado, Luis; Imarai, Monica; Sorum, Henning; Overland, Margareth</t>
  </si>
  <si>
    <t>Immunomodulatory effects of hydrolyzed Debaryomyces hansenii in Atlantic salmon (Salmo salar L): From the in vitro model to a natural pathogen challenge after seawater transfer</t>
  </si>
  <si>
    <t>AQUACULTURE</t>
  </si>
  <si>
    <t>Non-Saccharomyces yeast such as Debaryomyces hansenii or its cell wall-components are emerging candidates for novel functional aquafeeds, as they contain several microbe-associated molecular patterns (MAMPs) that can activate and modulate the host's physiological responses, thereby improving fish health and welfare. In this study, we combined in vitro work using SHK-1 cell line and primary cultures of head kidney leukocytes (HKL) from Atlantic salmon (HKL), with an in vivo trial in which two groups of Atlantic salmon were fed 0.1% hydrolyzed D. hansenii (LAN6) in freshwater (7 weeks) and seawater (6 weeks). In vitro results by ELISA showed that after induction with LAN6, SHK-1 cells increased the levels of TNF alpha and iNOS (at 6 h post-induction), while HKL increased TNF alpha (6 h post-induction) and IL-10 (24 h post-induction), and reduced TNF alpha levels at 24 h postinduction. In addition, during an early natural pathogen challenge in the seawater stage (week 5), an increase in specific plasma immunoglobulins against Moritella viscosa, along with an upregulation in pathways associated with humoral immunity and complement activation in the liver was detected in vaccinated fish fed LAN6 (Group A). These data suggest that LAN6 was able to modulate the immune response of Atlantic salmon making it a promising functional feed additive for aquafeeds to achieve a more resilient farmed salmon.</t>
  </si>
  <si>
    <t>Morales Lange, Byron/JMC-7999-2023; Mydland, Liv/AAO-2783-2020</t>
  </si>
  <si>
    <t>Morales Lange, Byron/0000-0002-2807-5800; Mercado, Luis/0000-0003-3883-5188</t>
  </si>
  <si>
    <t>0044-8486</t>
  </si>
  <si>
    <t>1873-5622</t>
  </si>
  <si>
    <t>10.1016/j.aquaculture.2023.740035</t>
  </si>
  <si>
    <t>SEP 2023</t>
  </si>
  <si>
    <t>WOS:001075900300001</t>
  </si>
  <si>
    <t>Venegas-Yazigi, R; Bossay-Salinas, C; Cofré-Bolados, C; Mazzei, L; Duclos-Bastias, D</t>
  </si>
  <si>
    <t>Venegas-Yazigi, Rodrigo; Bossay-Salinas, Claudio; Cofre-Bolados, Cristian; Mazzei, Leandro; Duclos-Bastias, Daniel</t>
  </si>
  <si>
    <t>ANALYSIS OF THE PUBLIC FINANCIAL INVESTMENT IN ELITE SPORT IN CHILE</t>
  </si>
  <si>
    <t>MOVIMENTO</t>
  </si>
  <si>
    <t>Funding is one of the most controversial areas when analyzing the likelihood of performance in elite sports. In order to establish the level of funding available in this area, it was necessary to establish certain conceptual margins with respect to elite sport and to determine the different sectors of sport that fit the proposed conceptual definition. Using a non-experimental descriptive method, based on empirical research in sports sciences and a meta-analysis strategy secondary information available on various websites of public services of Chile, together with yearbooks and information requested from entities linked to elite sport, Secondary information was collected that allowed knowing the different lines of funding from each of the factors and sub-factors of pillar 1 of the SPLISS model, proposed by De Bosscher et al. (2006) for the achievement of elite sport achievement that was part of the study. In conclusion, it can be established that a permanent increase in funding does not guarantee performance in elite sports.</t>
  </si>
  <si>
    <t>; Mazzei, Leandro Carlos/G-6810-2017</t>
  </si>
  <si>
    <t>Duclos, Daniel/0000-0002-9020-5776; Mazzei, Leandro Carlos/0000-0002-0788-4668</t>
  </si>
  <si>
    <t>0104-754X</t>
  </si>
  <si>
    <t>1982-8918</t>
  </si>
  <si>
    <t>e29038</t>
  </si>
  <si>
    <t>10.22456/1982-8918.126532</t>
  </si>
  <si>
    <t>WOS:001087527500001</t>
  </si>
  <si>
    <t>Burgos-Parra, E; Sassi, Y; Legrand, W; Ajejas, F; Léveillé, C; Gargiani, P; Valvidares, M; Reyren, N; Cros, V; Jaouen, N; Flewett, S</t>
  </si>
  <si>
    <t>Burgos-Parra, Erick; Sassi, Yanis; Legrand, William; Ajejas, Fernando; Leveille, Cyril; Gargiani, Pierluigi; Valvidares, Manuel; Reyren, Nicolas; Cros, Vincent; Jaouen, Nicolas; Flewett, Samuel</t>
  </si>
  <si>
    <t>Probing of three-dimensional spin textures in multilayers by field dependent X-ray resonant magnetic scattering</t>
  </si>
  <si>
    <t>In multilayers of magnetic thin films with perpendicular anisotropy, domain walls can take on hybrid configurations in the vertical direction which minimize the domain wall energy, with Neel walls in the top or bottom layers and Bloch walls in some central layers. These types of textures are theoretically predicted, but their observation has remained challenging until recently, with only a few techniques capable of realizing a three dimensional characterization of their magnetization distribution. Here we perform a field dependent X-ray resonant magnetic scattering measurements on magnetic multilayers exploiting circular dichroism contrast to investigate such structures. Using a combination of micromagnetic and X-ray resonant magnetic scattering simulations along with our experimental results, we characterize the three-dimensional magnetic texture of domain walls, notably the thickness resolved characterization of the size and position of the Bloch part in hybrid walls. We also take a step in advancing the resonant scattering methodology by using measurements performed off the multilayer Bragg angle in order to calibrate the effective absorption of the X-rays, and permitting a quantitative evaluation of the out of plane (z) structure of our samples. Beyond hybrid domain walls, this approach can be used to characterize other periodic chiral structures such as skyrmions, antiskyrmions or even magnetic bobbers or hopfions, in both static and dynamic experiments.</t>
  </si>
  <si>
    <t>Legrand, William/AAY-1001-2020; Gargiani, Pierluigi/M-1481-2014; Ajejas, Fernando/ABG-6094-2020; Cros, Vincent/HPH-8038-2023; Burgos Parra, Erick Omar/M-4094-2019; Valvidares, Manuel/M-4979-2016</t>
  </si>
  <si>
    <t>Valvidares, Manuel/0000-0003-4895-8114; Legrand, William/0000-0002-1014-3174</t>
  </si>
  <si>
    <t>JUL 20</t>
  </si>
  <si>
    <t>10.1038/s41598-023-38029-5</t>
  </si>
  <si>
    <t>WOS:001034058100012</t>
  </si>
  <si>
    <t>Fu, J; Lu, Q; Li, G; Li, FN; Wang, F; Wang, RZ; Zhu, TF; Liu, ZC; Chen, DM; Abdisa, G; Wang, HX</t>
  </si>
  <si>
    <t>Fu, Jiao; Lu, Qin; Li, Guo; Li, Fengnan; Wang, Fei; Wang, Ruo-Zheng; Zhu, Tian-Fei; Liu, Zongchen; Chen, Daming; Abdisa, Garuma; Wang, Hong-Xing</t>
  </si>
  <si>
    <t>Characterization of single crystal diamond damaged layer induced by ion implantation and restored by varying annealing conditions</t>
  </si>
  <si>
    <t>MICRO AND NANOSTRUCTURES</t>
  </si>
  <si>
    <t>Fabrication of single crystal diamond (SCD) micro-structure remains a challenge due to its unique chemical and mechanical stability. Fortunately, the stable diamond sp a bonds can be changed by using ion implantation technology. Ion implantation induced defects present a gaussian-like distribution in the vertical area. The high-damaged area can be etched by chemical treatments, while the low-damaged area which is usually difficult to eliminate could degrade the performance of diamond devices. In this study, fabrication of SCD three-dimensional micro-structure on HPHT diamond substrate by using ion implantation and lift-off techniques has been carried out. A thermal annealing step is employed to remove residual damage induced by ion implantation process. Raman and photoluminescence spectroscopies are used to characterize the top side and back side of low-damaged layer induced by ion implantation and restored by varying thermal annealing conditions.</t>
  </si>
  <si>
    <t>Mirani, DR.Jibran/IWU-7413-2023; chen, daming/KIC-9013-2024; Wang, Fei/AAU-2516-2021</t>
  </si>
  <si>
    <t>2773-0123</t>
  </si>
  <si>
    <t>10.1016/j.micrna.2022.207442</t>
  </si>
  <si>
    <t>NOV 2022</t>
  </si>
  <si>
    <t>WOS:000893712600007</t>
  </si>
  <si>
    <t>Alfonso-Cardero, A; Pagés-Díaz, J; Contino, F; Rajendran, K; Lorenzo-LLanes, J</t>
  </si>
  <si>
    <t>Alfonso-Cardero, Arael; Pages-Diaz, Jhosane; Contino, Francesco; Rajendran, Karthilz; Lorenzo-LLanes, Junior</t>
  </si>
  <si>
    <t>Process simulation and techno-economic assessment of vinasse-to-biogas in Cuba: Deterministic and uncertainty analysis</t>
  </si>
  <si>
    <t>CHEMICAL ENGINEERING RESEARCH &amp; DESIGN</t>
  </si>
  <si>
    <t>This paper presents a process simulation model in Aspen Plus (R) and a techno-economic assessment for the anaerobic digestion of Cuban sugarcane vinasses considering three scenarios for biogas application: electricity production (S_1), biomethane as vehicle fuel (S_2), and biomethane for gas grid injection (S_3). From the simulation model, non-significant differences (p value &gt;= 0.1779) between experimental and simulation results were found. S_1 showed the best economic performance among the assessed biogas applications. From the sensitivity analysis, the mean electricity price leading to a net present value of zero for S_1 was 90 USD/MWh, while for S_2 and S_3 the mean incentive required was 0.33 USD/m(biomethane)(3) and 0.67 USD/m(biomethane)(3), respectively. The uncertainty analysis showed a chance for investment failure in S_1 less than 10%, whereas for S_2 and S_3 it ranged between 31-37%. The minimum scale required (milling and distillery capacities, ethanol yield) for getting profits from biomethane projects was targeted at 10,800 t(cane)/day, 108 m(ethanol)(3)/d at 10 L-ethanol/t(cane), respectively. To this end, Cuban plants should significantly increase their average capacities; otherwise, a centralized biomethane production by limiting the number of biomethane plants to one or two per province could be implemented. (C) 2021 Institution of Chemical Engineers. Published by Elsevier B.V. All rights reserved.</t>
  </si>
  <si>
    <t>Contino, Francesco/G-1292-2010; Pagés-Díaz, Jhosané/AAD-5648-2020; Llanes, Lorenzo/ABA-7389-2020; Rajendran, Karthik/M-9056-2019; Rajendran, Karthik/F-2446-2012</t>
  </si>
  <si>
    <t>Pages Diaz, Jhosane/0000-0002-2956-5705; Lorenzo Llanes, Junior/0000-0001-5177-2009; Rajendran, Karthik/0000-0002-3638-4347</t>
  </si>
  <si>
    <t>0263-8762</t>
  </si>
  <si>
    <t>1744-3563</t>
  </si>
  <si>
    <t>10.1016/j.cherd.2021.02.031</t>
  </si>
  <si>
    <t>WOS:000644274300004</t>
  </si>
  <si>
    <t>Firoozabadi, AD; Irarrazaval, P; Adasme, P; Zabala-Blanco, D; Palacios-Jativa, P; Durney, H; Sanhueza, M; Azurdia-Meza, C</t>
  </si>
  <si>
    <t>EURASIP</t>
  </si>
  <si>
    <t>Dehghan Firoozabadi, Ali; Irarrazaval, Pablo; Adasme, Pablo; Zabala-Blanco, David; Palacios-Jativa, Pablo; Durney, Hugo; Sanhueza, Miguel; Azurdia-Meza, Cesar</t>
  </si>
  <si>
    <t>Speakers counting by proposed nested microphone array in combination with limited space SRP</t>
  </si>
  <si>
    <t>29TH EUROPEAN SIGNAL PROCESSING CONFERENCE (EUSIPCO 2021)</t>
  </si>
  <si>
    <t>European Signal Processing Conference</t>
  </si>
  <si>
    <t>29th European Signal Processing Conference (EUSIPCO)</t>
  </si>
  <si>
    <t>AUG 23-27, 2021</t>
  </si>
  <si>
    <t>ELECTR NETWORK</t>
  </si>
  <si>
    <t>European Assoc Signal Proc</t>
  </si>
  <si>
    <t>In this paper, a novel method is presented for estimating the number of speakers based on the microphone arrays. Firstly, a 3D snowflake nested microphone array (SNMA) is proposed for recording the speech signals. In the following, the steered response power (SRP) algorithm is implemented on subbands in limited spaces conditions for all microphone pairs related to the subarrays. Therefore, a weighted averaging method is implemented on subband limited spaces SRPs (LSRP), and the final energy map is compared with the histogram of the maximums of the SRP function on different subbands for various time frames. The passed candidate points are categorized by unsupervised K-means clustering and the number of speakers is estimated by the silhouette criteria. The accuracy of the proposed method is compared with PENS, i-vector PLDA, and wavelet-GEVD algorithms. The results show the superiority of the proposed method in comparison with other previous research.</t>
  </si>
  <si>
    <t>Dehghan Firoozabadi, Ali/AAD-4858-2019; Irarrazaval, Pablo/F-8232-2013; Palacios Játiva, Pablo/AAE-8235-2019; Sanhueza Olave, Miguel/JFS-4364-2023; Meza, Cesar/D-6948-2014; Adasme, Pablo/U-1735-2019</t>
  </si>
  <si>
    <t>Irarrazaval, Pablo/0000-0002-5186-2642; Palacios, Pablo/0000-0002-3958-503X</t>
  </si>
  <si>
    <t>2076-1465</t>
  </si>
  <si>
    <t>978-9-0827-9706-0</t>
  </si>
  <si>
    <t>10.23919/EUSIPCO54536.2021.9616309</t>
  </si>
  <si>
    <t>WOS:000764066600055</t>
  </si>
  <si>
    <t>Játiva, PP; Becerra, R; Azurdia-Meza, CA; Zabala-Blanco, D; Soto, I; Cañizares, MR</t>
  </si>
  <si>
    <t>Velazquez, R</t>
  </si>
  <si>
    <t>Palacios Jativa, Pablo; Becerra, Raimundo; Azurdia-Meza, Cesar A.; Zabala-Blanco, David; Soto, Ismael; Roman Canizares, Milton</t>
  </si>
  <si>
    <t>Extreme Learning Machine Based Channel Estimator and Equalizer for Underground Mining VLC Systems</t>
  </si>
  <si>
    <t>2021 IEEE LATIN-AMERICAN CONFERENCE ON COMMUNICATIONS (LATINCOM 2021)</t>
  </si>
  <si>
    <t>IEEE Latin-American Conference on Communications (LATINCOM)</t>
  </si>
  <si>
    <t>NOV 17-19, 2021</t>
  </si>
  <si>
    <t>Santo Domingo, DOMINICAN REP</t>
  </si>
  <si>
    <t>Visible light communication (VLC) systems have numerous applications in harsh environments, such as underground mining. However, the irregular tunnel features, the random orientation of the optical components, physical phenomena such as shadowing and scattering, as well as the inherent generation of non-linearities of the optical signal greatly affect the VLC link. Therefore, it is necessary to investigate novel adaptive mitigation techniques to improve the performance of underground mining VLC systems. The literature has initially presented channel estimation schemes knowing a prior the channel state information (CSI). Currently, these schemes have evolved favorably given the research done regarding the use of machine learning techniques to estimate and equalize the communication channel. In this paper, channel estimation and equalization based on the standard extreme learning machine (ELM) scheme applied to underground mining VLC systems is presented. To verify the performance of the proposed technique, typical channel estimation schemes such as least square (LS), minimum mean square error (MMSE), and spectral temporal averaging (STA) were implemented using zero forcing (ZF) as equalizer. Furthermore, the ideal VLC channel and perfect channel estimation with matched filter (MF) and ZF are considered as reference cases. The performance analysis is validated through Monte Carlo simulations in terms of the bit error rate (BER). Results demonstrate that the novel ELM scheme performs better than traditional techniques and performs similarly compared to the perfect channel estimation case.</t>
  </si>
  <si>
    <t>Meza, Cesar/D-6948-2014; Palacios Játiva, Pablo/AAE-8235-2019</t>
  </si>
  <si>
    <t>Palacios, Pablo/0000-0002-3958-503X; Becerra Parra, Raimundo/0000-0003-1590-9877</t>
  </si>
  <si>
    <t>978-1-6654-4035-6</t>
  </si>
  <si>
    <t>10.1109/LATINCOM53176.2021.9647737</t>
  </si>
  <si>
    <t>WOS:000837978200004</t>
  </si>
  <si>
    <t>Alaniz, AJ; Carvajal, MA; Vergara, PM; Fierro, A; Moreira-Arce, D; Rojas-Osorio, A; Soto, GE; Rodewald, AD</t>
  </si>
  <si>
    <t>Alaniz, Alberto J.; Carvajal, Mario A.; Vergara, Pablo M.; Fierro, Andres; Moreira-Arce, Dario; Rojas-Osorio, Alejandro; Soto, Gerardo E.; Rodewald, Amanda D.</t>
  </si>
  <si>
    <t>Trophic behavior of specialist predators from a macroecological approach: The case of the magellanic woodpecker in south American temperate forests</t>
  </si>
  <si>
    <t>Theoretical and empirical studies have addressed predator-prey relationships, but the relevance of individual prey species, prey species richness and environment on the niche and the distribution of specialist predators have been scarcely tested with a macro ecological approach. Here we aim to analyze the niche and spatial distribution of the Magellanic woodpecker (MWP; Campephilus magellanicus), a specialist predator, analyzing the relative importance of its individual prey species, prey species richness and environmental factors. We modeled the niches of the MWP and its five most important long horned beetle prey species, quantifying their similarity in spatial distribution and niche. Then we evaluated the relative importance of single prey species and prey species richness on the potential distribution of the MWP, which showed a high degree of overlap with the niche and spatial distribution of three prey species. MWP models with each of these three prey species had a better fit than the model with prey species richness, and contributed more than environmental variables. These results suggest that MWP responds to particular prey items rather than prey species richness. These findings highlight the usefulness of ecological niche models to identify behavioral traits, being potentially replicable in other types of interactions such as competition, mutualism, parasitism, and pollination. (C) 2020 The Author(s). Published by Elsevier B.V.</t>
  </si>
  <si>
    <t>Moreira-Arce, Dario/ABG-2898-2021; Vergara, Pablo/F-2519-2010; Alaniz, Alberto/J-3104-2019; Soto, Gerardo/JAX-4165-2023; Carvajal, Mario/GYU-2659-2022; Rodewald, Amanda/I-6308-2016</t>
  </si>
  <si>
    <t>Alaniz, Alberto J./0000-0003-4878-8848; Rodewald, Amanda/0000-0002-6719-6306; Moreira Arce, Dario/0000-0002-1188-496X; Soto, Gerardo/0000-0002-9706-6588; Vergara, Pablo/0000-0002-0024-1678</t>
  </si>
  <si>
    <t>e01285</t>
  </si>
  <si>
    <t>10.1016/j.gecco.2020.e01285</t>
  </si>
  <si>
    <t>WOS:000608479400015</t>
  </si>
  <si>
    <t>Ramirez-Zamora, A; Chana, P; Rodríguez-Violante, M</t>
  </si>
  <si>
    <t>Ramirez-Zamora, Adolfo; Chana, Pedro; Rodriguez-Violante, Mayela</t>
  </si>
  <si>
    <t>Editorial: Patient Empowerment and Person-Centered Care in Movement Disorders</t>
  </si>
  <si>
    <t>FRONTIERS IN NEUROLOGY</t>
  </si>
  <si>
    <t>Zamora, Adolfo/J-2126-2019; Chana, Pedro/ABG-9944-2020; Rodriguez-Violante, Mayela/G-7056-2015</t>
  </si>
  <si>
    <t>Ramirez-Zamora, Adolfo/0000-0001-9253-3899; Rodriguez-Violante, Mayela/0000-0002-6041-9941</t>
  </si>
  <si>
    <t>1664-2295</t>
  </si>
  <si>
    <t>APR 28</t>
  </si>
  <si>
    <t>10.3389/fneur.2020.00317</t>
  </si>
  <si>
    <t>WOS:000533412400001</t>
  </si>
  <si>
    <t>Henriques, GJB; Simon, B; Ispolatov, Y; Doebeli, M</t>
  </si>
  <si>
    <t>Henriques, Gil J. B.; Simon, Burton; Ispolatov, Yaroslav; Doebeli, Michael</t>
  </si>
  <si>
    <t>Acculturation drives the evolution of intergroup conflict</t>
  </si>
  <si>
    <t>PROCEEDINGS OF THE NATIONAL ACADEMY OF SCIENCES OF THE UNITED STATES OF AMERICA</t>
  </si>
  <si>
    <t>Conflict between groups of individuals is a prevalent feature in human societies. A common theoretical explanation for intergroup conflict is that it provides benefits to individuals within groups in the form of reproduction-enhancing resources, such as food, territory, or mates. However, it is not always the case that conflict results from resource scarcity. Here, we show that intergroup conflict can evolve, despite not providing any benefits to individuals or their groups. The mechanism underlying this process is acculturation: the adoption, through coercion or imitation, of the victor's cultural traits. Acculturation acts as a cultural driver (in analogy to meiotic drivers) favoring the transmission of conflict, despite a potential cost to both the host group as a whole and to individuals in that group. We illustrate this process with a two-level model incorporating state-dependent event rates and evolving traits for both individuals and groups. Individuals can become warriors who specialize in intergroup conflicts, but are costly otherwise. Additionally, groups are characterized by cultural traits, such as their tendency to engage in conflict with other groups and their tendency for acculturation. We show that, if groups engage in conflicts, group selection will favor the production of warriors. Then, we show that group engagement can evolve if it is associated with acculturation. Finally, we study the coevolution of engagement and acculturation. Our model shows that horizontal transmission of culture between interacting groups can act as a cultural driver and lead to the maintenance of costly behaviors by both individuals and groups.</t>
  </si>
  <si>
    <t>; Ispolatov, Iaroslav/E-8544-2010</t>
  </si>
  <si>
    <t>Henriques, Gil/0000-0003-0040-3996; Ispolatov, Iaroslav/0000-0002-0201-3396</t>
  </si>
  <si>
    <t>0027-8424</t>
  </si>
  <si>
    <t>1091-6490</t>
  </si>
  <si>
    <t>JUL 9</t>
  </si>
  <si>
    <t>10.1073/pnas.1810404116</t>
  </si>
  <si>
    <t>WOS:000474535700063</t>
  </si>
  <si>
    <t>Ojeda, AH; Contreras-Montilla, O; Maliqueo, SG; Jorquera-Aguilera, C; Fuentes-Kloss, R; Guisado-Barrilao, R</t>
  </si>
  <si>
    <t>Huerta Ojeda, Alvaro; Contreras-Montilla, Osmary; Galdames Maliqueo, Sergio; Jorquera-Aguilera, Carlos; Fuentes-Kloss, Rodrigo; Guisado-Barrilao, Rafael</t>
  </si>
  <si>
    <t>Effects of acute supplementation with beta-alanine on a limited time test at maximum aerobic speed on endurance athletes</t>
  </si>
  <si>
    <t>NUTRICION HOSPITALARIA</t>
  </si>
  <si>
    <t>Introduction: the beta-alanine (BA) is one of the ergogenic aid most used by athletes, but the majority of the studies center the research on chronic supplementation. Objectives: to determine the acute effect of BA supplementation on a limited time test (LTT) at maximum aerobic speed (MAS) on endurance athletes. Material and method: eleven endurance athletes (VO2max 61.6 +/- 9.5 mLO(2).kg(-1).min(-1)) were part of the study. The study consisted of a double-blind, cross-over intra-subject design, and the BA supplementation was 30 mg.kg(-1) or placebo (PL) 60 minutes before completing a LTT. The variables were: time and distance in LTT, and post-effort lactate concentrations ([La]) in minutes 1, 3, 5, 7, and 9. The Student's t test was used for the analysis and the size of the effect (SE) was measured through Cohen's d test. Results: the time on LTT showed significant differences between BA and PL (p = 0.047; SE = 0.48). No significant differences were seen between both groups (p = 0.071; SE = 0.48), and [La] showed significant differences between both groups in minutes 3, 5 and 7, respectively (p &lt; 0.05). Conclusion: acute supplementation with BA showed a significant increase in the execution time in LTT in the intensities connected to MAS. Hence, acute supplementation with BA is an ergogenic aid that could be considered by resistance athletes in order to increase the athletic performance.</t>
  </si>
  <si>
    <t>Huerta Ojeda, Alvaro/AAE-7104-2021</t>
  </si>
  <si>
    <t>Huerta Ojeda, Alvaro/0000-0001-6871-098X</t>
  </si>
  <si>
    <t>0212-1611</t>
  </si>
  <si>
    <t>1699-5198</t>
  </si>
  <si>
    <t>MAY-JUN</t>
  </si>
  <si>
    <t>10.20960/nh.02310</t>
  </si>
  <si>
    <t>WOS:000478730300028</t>
  </si>
  <si>
    <t>Mery, M; Orellana, N; Acevedo, CA; Oyarzún, S; Araneda, F; Herrera, G; Aliaga, D; Creixell, W; Corrales, TP; Romero, CP</t>
  </si>
  <si>
    <t>Mery, M.; Orellana, N.; Acevedo, C. A.; Oyarzun, S.; Araneda, F.; Herrera, G.; Aliaga, D.; Creixell, W.; Corrales, T. P.; Romero, C. P.</t>
  </si>
  <si>
    <t>Fabrication of Silver Nanoparticles Using a Gas Phase Nanocluster Device and Preliminary Biological Uses</t>
  </si>
  <si>
    <t>Nanoparticles can be used in a large variety of applications, including magnetic sensing, biological, superconductivity, tissue engineering, and other fields. In this study, we explore the fabrication of gas phase silver nanoparticles using a sputtering evaporation source. This setup composed of a dual magnetron cluster source holds several advantages over other techniques. The system has independent control over the cluster concentration and a wide range of cluster size and materials that can be used for the clusters and for the matrix where it can be embedded. Characterization of these silver nanoparticles was done using transmission electron microscopy (TEM). We obtain a lateral width of 10.6 nm with a dispersion of 0.24 nm. With atomic force microscopy (AFM) a Gaussian fit of this distribution yields and average height of 6.3 nm with a standard deviation of 1.4 nm. We confirm that the deposited silver nanoparticles have a homogenous area distribution, that they have a defined shape and size distribution, and that they are single standing nanoparticles. Given that the scientific literature is not precise regarding the toxic concentration of the nanoparticles, devices such as ours can help clarify these questions. In order to explore further biological applications, we have done preliminary experiments of cell spreading (myoblast adhesion), obtaining interesting morphological changes correlated with the silver concentration on the surface. With a deposited silver concentration ranging from 100-620 ng/cm(2), the cells showed morphological changes in a short time of 2 h. We conclude that this high precision nanoparticle fabrication technique is adequate for further biological research.</t>
  </si>
  <si>
    <t>Orellana, Nicole/JVN-4883-2024; Creixell, Werner/AAP-9544-2021; Corrales, Tomas/F-1717-2016; Acevedo, Cristian/D-5133-2011; Romero, Christian/JVO-7029-2024; Oyarzun, Simon/M-1769-2014</t>
  </si>
  <si>
    <t>Creixell, Werner/0000-0002-6647-6429; Corrales, Tomas P./0000-0003-0197-9735; Oyarzun, Simon/0000-0002-8764-7944; Aliaga, David/0000-0002-2064-4327; Mery, Mario/0000-0002-9772-8465; Romero, Christian/0000-0003-2827-9106; Herrera, Guillermo/0000-0001-6342-2970</t>
  </si>
  <si>
    <t>10.3390/ma11122574</t>
  </si>
  <si>
    <t>WOS:000456419200232</t>
  </si>
  <si>
    <t>Fuentes, S; Pizarro, H; Gutíerrez, P; Diaz-Droguett, DE; Barraza, N</t>
  </si>
  <si>
    <t>Fuentes, S.; Pizarro, H.; Gutierrez, P.; Diaz-Droguett, D. E.; Barraza, N.</t>
  </si>
  <si>
    <t>Application of FORC distributions to the study of magnetic interactions in Co-doped BaTiO3 nanomaterials</t>
  </si>
  <si>
    <t>MATERIALS SCIENCE AND ENGINEERING B-ADVANCED FUNCTIONAL SOLID-STATE MATERIALS</t>
  </si>
  <si>
    <t>Co-doped BaTiO3 (BT) nanomaterials were synthesized by a combination of sol-gel and hydrothermal methods under an oxygen partial pressure of 200 psi. The surface chemistry of the samples and, in particular, the oxidation state of the Co atoms, was investigated by X-ray photoelectron spectroscopy, while X-ray powder diffraction and Raman spectroscopy were used to obtain structural information. Morphological information was acquired by atomic force microscopy. The dependence of the magnetic properties of the samples as a function of Co-doping level in BT and the effect of the base used in the synthesis of the compound (i.e. NaOH or KOH) was studied from the analysis of hysteresis curves and FORC diagrams. The results demonstrated that the level of ferromagnetic component tend to increases as the percentage of Co doping is decreased.</t>
  </si>
  <si>
    <t>Diaz-Droguett, Donovan/0000-0002-3391-3485; Barraza, Nancy/0009-0006-5923-3505; Pizarro, Hector/0000-0002-0023-6027</t>
  </si>
  <si>
    <t>0921-5107</t>
  </si>
  <si>
    <t>1873-4944</t>
  </si>
  <si>
    <t>10.1016/j.mseb.2017.10.010</t>
  </si>
  <si>
    <t>WOS:000418216300006</t>
  </si>
  <si>
    <t>Ramírez-Vélez, R; Correa-Bautista, JE; Ramos-Sepúlveda, JA; Piñeros-Alvarez, CA; Giraldo, LI; Izquierdo, M; García-Hermoso, A; Rodríguez-Rodríguez, F; Cristi-Montero, C</t>
  </si>
  <si>
    <t>Ramirez-Velez, Robinson; Correa-Bautista, Jorge Enrique; Ramos-Sepulveda, Jeison Alexander; Pineros-Alvarez, Carlos Andres; Giraldo, Lorena Isabel; Izquierdo, Mikel; Garcia-Hermoso, Antonio; Rodriguez-Rodriguez, Fernando; Cristi-Montero, Carlos</t>
  </si>
  <si>
    <t>Aerobic capacity and future cardiovascular risk in Indian community from a low-income area in Cauca, Colombia</t>
  </si>
  <si>
    <t>ITALIAN JOURNAL OF PEDIATRICS</t>
  </si>
  <si>
    <t>Background: Several studies indicates that children's aerobic capacity levels are predictors of the future risk of non-communicable diseases. Therefore, the aim of this study was to establish the proportion of subjects whose aerobic capacity is indicative of future cardiovascular risk in Indian-Nasa community from a low-income area in Cauca, Colombia. Methods: We performed a cross-sectional analysis of morphological component (height, weight, body mass index (BMI), waist circumference, triceps skinfold, subscapular skinfold, and body fat percent [BF%]), and the cardiorespiratory component (course-navette 20 m, shuttle run test and estimation of maximal oxygen consumption by indirect VO(2)max) from 576 participants (319 boys and 257 girls) aged 10 to 17.9 years, using the standardized FUPRECOL test battery. Results: We showed that the boys performed better than the girls in cardiorespiratory fitness. The proportion of subjects with an aerobic capacity indicative of future cardiovascular risk was 7.3%. By sex, 3.8% of boys and 11.7% of girls (X-2 p = 0.001) displayed an unhealthy aerobic capacity in this study. Conclusion: The findings of this study that provide the first data on aerobic capacity health for Colombian Nasa Indian children and adolescents aged 10-17.9 years. Although the known loss of aerobic capacity is a serious consequence of the future risk of non-communicable diseases, the deterioration of physical fitness deserves increased attention among indigenous population.</t>
  </si>
  <si>
    <t>Cristi-Montero, Carlos/AAE-4945-2020; García-Hermoso, Antonio/ADU-2591-2022; Correa-Bautista, Jorge Enrique/JDD-3131-2023; Garcia-Hermoso, Antonio/P-1857-2017; Izquierdo, Mikel/A-4894-2010; Correa-Bautista, Jorge Enrique/N-2741-2015; RODRIGUEZ, FERNANDO/F-2842-2016; Ramirez-Velez, Robinson/D-5311-2016</t>
  </si>
  <si>
    <t>Garcia-Hermoso, Antonio/0000-0002-1397-7182; Izquierdo, Mikel/0000-0002-1506-4272; Correa-Bautista, Jorge Enrique/0000-0002-0646-2316; Ramos-Sepulveda, Jeison Alexander/0000-0003-2734-7912; RODRIGUEZ, FERNANDO/0000-0002-4999-4857; Ramirez-Velez, Robinson/0000-0003-3075-6960; Cristi-Montero, Carlos/0000-0002-9940-507X</t>
  </si>
  <si>
    <t>1720-8424</t>
  </si>
  <si>
    <t>1824-7288</t>
  </si>
  <si>
    <t>MAR 7</t>
  </si>
  <si>
    <t>10.1186/s13052-017-0347-y</t>
  </si>
  <si>
    <t>WOS:000396828700006</t>
  </si>
  <si>
    <t>Wang, YM; Zhang, J; Wu, CF; You, JQ; Romero, G</t>
  </si>
  <si>
    <t>Wang, Yimin; Zhang, Jiang; Wu, Chunfeng; You, J. Q.; Romero, G.</t>
  </si>
  <si>
    <t>Holonomic quantum computation in the ultrastrong-coupling regime of circuit QED</t>
  </si>
  <si>
    <t>PHYSICAL REVIEW A</t>
  </si>
  <si>
    <t>We present an experimentally feasible scheme to implement holonomic quantum computation in the ultrastrong-coupling regime of light-matter interaction. The large anharmonicity and the Z(2) symmetry of the quantum Rabi model allow us to build an effective three-level Lambda-structured artificial atom for quantum computation. The proposed physical implementation includes two gradiometric flux qubits and two microwave resonators where single-qubit gates are realized by a two-tone driving on one physical qubit, and a two-qubit gate is achieved with a time-dependent coupling between the field quadratures of both resonators. Our work paves the way for scalable holonomic quantum computation in ultrastrongly coupled systems.</t>
  </si>
  <si>
    <t>Wu, Chun-Feng/ABA-7879-2020; Zhang, Jiang/AAC-6660-2020; Romero, Guillermo/C-8245-2009; Wang, Yimin/G-2458-2016</t>
  </si>
  <si>
    <t>Romero, Guillermo/0000-0003-2917-7814; Zhang, Jiang/0000-0002-6720-2796; Wang, Yimin/0000-0001-8349-7515; Romero, Gustavo E./0000-0002-5260-1807</t>
  </si>
  <si>
    <t>2469-9926</t>
  </si>
  <si>
    <t>2469-9934</t>
  </si>
  <si>
    <t>JUL 18</t>
  </si>
  <si>
    <t>10.1103/PhysRevA.94.012328</t>
  </si>
  <si>
    <t>WOS:000380094300003</t>
  </si>
  <si>
    <t>Costarelli, SD; Garelli, L; Cruchaga, MA; Storti, MA; Ausensi, R; Idelsohn, SR</t>
  </si>
  <si>
    <t>Costarelli, Santiago D.; Garelli, Luciano; Cruchaga, Marcela A.; Storti, Mario A.; Ausensi, Ronald; Idelsohn, Sergio R.</t>
  </si>
  <si>
    <t>An embedded strategy for the analysis of fluid structure interaction problems</t>
  </si>
  <si>
    <t>COMPUTER METHODS IN APPLIED MECHANICS AND ENGINEERING</t>
  </si>
  <si>
    <t>A Navier-Stokes solver based on Cartesian structured finite volume discretization with embedded bodies is presented. Fluid structure interaction with solid bodies is performed with an explicit partitioned strategy. The Navier-Stokes equations are solved in the whole domain via a Semi-Implicit Method for Pressure Linked Equations (SIMPLE) using a colocated finite volume scheme, stabilized via the Rhie-Chow discretization. As uniform Cartesian grids are used, the solid interface usually do not coincide with the mesh, and then a second order Immersed Boundary Method is proposed, in order to avoid the loss of precision due to the staircase representation of the surface. This fact also affects the computation of fluid forces on the solid wall and, accordingly, the results in the fluid-structure analysis. In the present work, first and second order approximations for computing the fluid forces at the interface are studied and compared. The solver is specially oriented to General Purpose Graphic Processing Units (GPGPU) hardware and the efficiency is discussed. Moreover, a novel submerged buoy experiment is also reported. The experiment consists of a sphere with positive buoyancy fully submerged in a cubic tank, subject to harmonic displacements imposed by a shake table. The sphere is attached to the bottom of the tank with a string. The position of the buoy is determined from video records with a Motion Capture algorithm. The obtained amplitude and phase curves allow a precise determination of the added mass and drag forces. Due to this aspect the experimental data can be of interest for comparison with other fluid-structure interaction codes. Finally, the numerical results are compared with the experiments, and allow the confirmation of the numerically predicted drag and added mass of the body. (C) 2015 Elsevier B.V. All rights reserved.</t>
  </si>
  <si>
    <t>Idelsohn, Sergio/P-7102-2014; Cruchaga, Marcela/M-7522-2014; Storti, Mario Alberto/E-4646-2012; Garelli, Luciano/H-6385-2019</t>
  </si>
  <si>
    <t>Cruchaga, Marcela/0000-0002-8708-2402; Storti, Mario Alberto/0000-0001-5596-5457; Garelli, Luciano/0000-0001-8237-3043</t>
  </si>
  <si>
    <t>0045-7825</t>
  </si>
  <si>
    <t>1879-2138</t>
  </si>
  <si>
    <t>10.1016/j.cma.2015.11.001</t>
  </si>
  <si>
    <t>WOS:000369487700006</t>
  </si>
  <si>
    <t>Pagotto, JF; Montemor, MF; Recio, FJ; Motheo, AJ; Simoes, AM; Herrasti, P</t>
  </si>
  <si>
    <t>Pagotto, Josias F.; Montemor, Maria F.; Recio, Francisco J.; Motheo, Artur J.; Simoes, Alda M.; Herrasti, Pilar</t>
  </si>
  <si>
    <t>Visualisation of the Galvanic Effects at Welds on Carbon Steel</t>
  </si>
  <si>
    <t>JOURNAL OF THE BRAZILIAN CHEMICAL SOCIETY</t>
  </si>
  <si>
    <t>Non-destructive classical techniques, such as electrochemical impedance spectroscopy (EIS) and open circuit potential (OCP) measurement, were complemented with advanced techniques, including the scanning vibrating electrode technique (SVET) and localised electrochemical impedance spectroscopy (LEIS) to examine galvanic effects at welds on carbon steel. The classical techniques indicated that corrosion processes are accelerated in the weld. The advanced techniques revealed admittance values related to more severe corrosion along the weld than in the base metal and higher corrosion currents in the weld. When the weld and base metal are electrically connected, the weld serves as a cathodic protector for the base metal.</t>
  </si>
  <si>
    <t>Recio, Francisco/AAB-2148-2020; Pereira Simoes, Alda Maria/G-1117-2014; MONTEMOR, FATIMA/D-8976-2012; Motheo, Artur/B-3192-2012</t>
  </si>
  <si>
    <t>Pereira Simoes, Alda Maria/0000-0002-7652-4930; MONTEMOR, FATIMA/0000-0001-7835-6814; Motheo, Artur/0000-0001-5819-9516; Recio, Francisco/0000-0002-5181-3197</t>
  </si>
  <si>
    <t>0103-5053</t>
  </si>
  <si>
    <t>1678-4790</t>
  </si>
  <si>
    <t>10.5935/0103-5053.20150024</t>
  </si>
  <si>
    <t>WOS:000353160600005</t>
  </si>
  <si>
    <t>Méndez, A; Villarroel, M; Camú, E; Gil-Llambías, FJ; Avila, P; Baeza, P</t>
  </si>
  <si>
    <t>Mendez, A.; Villarroel, M.; Camu, E.; Gil-Llambias, F. J.; Avila, P.; Baeza, P.</t>
  </si>
  <si>
    <t>EFFECT OF FLUORINE IN THE SYNERGISM Co-Mo VIA HYDROGEN SPILLOVER ON THE HYDRODESUL-PHURIZATION OF REFRACTORY MOLECULES</t>
  </si>
  <si>
    <t>The influence of fluorine concentration on the synergism between Co/gamma-Al2O3 and Mo/gamma-Al2O3 stacked beds separated by 3-mm of gamma-Al2O3Fx (x = 0 -2.5%), in the hydrodesulphurization of refractory molecules contained in gasoil, under operating conditions similar to those of industry, was studied. The results shown, that the synergism increases with F content, reaching a maximum at 0.8% of fluorine, which it is related to changes in zero point of charge (ZPC) and acid strength, due to the incorporation of fluorine. The conversion of most refractory molecule reported is favoured by fluorine.</t>
  </si>
  <si>
    <t>Avila, Pedro/S-7588-2017; Camu, Esteban/AAI-9191-2020</t>
  </si>
  <si>
    <t>Camu, Esteban/0000-0003-0973-9453; Baeza Chandia, Patricio/0000-0003-1613-2860; Avila, Pedro/0000-0002-0212-941X</t>
  </si>
  <si>
    <t>0717-9707</t>
  </si>
  <si>
    <t>10.4067/S0717-97072013000400036</t>
  </si>
  <si>
    <t>WOS:000331238800032</t>
  </si>
  <si>
    <t>Paredes-García, V; Rojas, I; Madrid, R; Vega, A; Navarro-Moratalla, E; Cañón-Mancisidor, W; Spodine, E; Venegas-Yazigi, D</t>
  </si>
  <si>
    <t>Paredes-Garcia, Veronica; Rojas, Ignacio; Madrid, Rosa; Vega, Andres; Navarro-Moratalla, Efren; Canon-Mancisidor, Walter; Spodine, Evgenia; Venegas-Yazigi, Diego</t>
  </si>
  <si>
    <t>Structural and magnetic characterization of the tridimensional network [Fe(HCO2)3]n•nHCO2H+</t>
  </si>
  <si>
    <t>NEW JOURNAL OF CHEMISTRY</t>
  </si>
  <si>
    <t>In this work we report the structural and magnetic characterization of a new three-dimensional porous metal-organic framework (MOF) based on iron(III) and the formate anion, [Fe(HCO2)(3)](n)center dot nHCO(2)H (1), which was obtained by solvothermal synthesis. The tridimensional structure crystallizes in the trigonal space group R (3) over barc and is formed by highly regular octahedral Fe(OHCO)(6) units. These units contain six equal Fe-O distances, with angles slightly different from 90 degrees or 180 degrees. The packing of 1 corresponds to a 3D covalent network defined by face sharing between the parallelepipeds, which are formed by the interactions of Fe(OHCO)(6) units through formate ligands, thus generating a 4(12)6(3) topology. This topology contains channels in the three spatial directions, in which it is possible to find guest molecules of formic acid. The thermogravimetric analysis shows that 1 remains stable till 180 degrees C; after this temperature the decomposition of 1 begins. From a magnetic point of view, the reported MOF presents an antiferromagnetic behaviour in the 296 to 20 K range. The fit of the experimental data between room temperature and 50 K, using the high temperature series model (HTS model), permits us to estimate a J value of -1.01 cm(-1), which is in agreement with the reported values for analogous systems based on transition metal ions and formate ligands. Below this temperature, a weak ferromagnetism as a product of spin canting was observed due to the anti-anti coordination mode of the bridging ligand, which satisfies the requirement for Dzyaloshinsky-Moriya antisymmetric interactions between the Fe-III ions. The isothermal magnetization obtained at 2 K shows that the magnetization increases linearly with the applied magnetic field, reaching a value of 0.49N beta at the highest applied field of 50 kOe, indicating the antiferromagnetic character of the ground state. DFT calculations using a dinuclear fragment confirm the magnitude and nature of the magnetic phenomena of this extended system at high temperatures.</t>
  </si>
  <si>
    <t>Rojas, Ignacio/B-7481-2013; Vega, Andres/B-2122-2010; Paredes-Garcia, Veronica/C-4415-2011; Canon-Mancisidor, Walter/K-8764-2014; Venegas-Yazigi, Diego/C-5022-2009; Navarro Moratalla, Efren/S-9049-2016</t>
  </si>
  <si>
    <t>Canon-Mancisidor, Walter/0000-0003-1703-8729; Venegas-Yazigi, Diego/0000-0001-7816-2841; Navarro Moratalla, Efren/0000-0002-3430-6599; Vega, Andres/0000-0001-6501-4161</t>
  </si>
  <si>
    <t>1144-0546</t>
  </si>
  <si>
    <t>1369-9261</t>
  </si>
  <si>
    <t>10.1039/c3nj00023k</t>
  </si>
  <si>
    <t>WOS:000320466600036</t>
  </si>
  <si>
    <t>Madrid, A; Espinoza, L; González, C; Mellado, M; Villena, J; Santander, R; Silva, V; Montenegro, I</t>
  </si>
  <si>
    <t>Madrid, Alejandro; Espinoza, Luis; Gonzalez, Cesar; Mellado, Marco; Villena, Joan; Santander, Rocio; Silva, Viviana; Montenegro, Ivan</t>
  </si>
  <si>
    <t>Antifungal study of the resinous exudate and of meroterpenoids isolated from Psoralea glandulosa (Fabaceae)</t>
  </si>
  <si>
    <t>JOURNAL OF ETHNOPHARMACOLOGY</t>
  </si>
  <si>
    <t>Ethnopharmacological relevance: Psoralea glandulosa L (Fabaceae) is a medicinal resinous shrub used in Chilean folk medicine as antiseptic in treatment of infections and skin diseases caused by bacteria and fungus. Aim of the study: To evaluate the in vitro antifungal activity of the resin and the active components from P. glandulosa against clinical yeast isolates. Materials and methods: Active compounds were obtained of the resinous exudate from aerial parts of P. glandulosa. Eight species of yeast were exposed to the resin and two major compounds. Minimum inhibitory concentration (MIC80) was determined according to the standard broth microdilution method. Results: Bakuchiol and 3-hydroxy-bakuchiol demonstrated potent activity with the MIC80 ranging from 4 to &gt;16 and 0.125 to 16 mu g/mL, respectively. The resin had some degree of antifungal activity. Conclusions: The overall results provided important information for the potential application of the 3-hydroxy-bakuchiol from P. glandulosa in the therapy of serious infection and skin diseases caused by clinical yeast. (C) 2012 Elsevier Ireland Ltd. All rights reserved.</t>
  </si>
  <si>
    <t>Santander, Rocio/K-7645-2013; Mellado, Marco/N-2235-2019</t>
  </si>
  <si>
    <t>madrid, alejandro/0000-0001-8977-7032</t>
  </si>
  <si>
    <t>0378-8741</t>
  </si>
  <si>
    <t>1872-7573</t>
  </si>
  <si>
    <t>DEC 18</t>
  </si>
  <si>
    <t>10.1016/j.jep.2012.10.027</t>
  </si>
  <si>
    <t>WOS:000313391300050</t>
  </si>
  <si>
    <t>Feuerstein, E; Gil-Costa, V; Marin, M; Tolosa, G; Baeza-Yates, R</t>
  </si>
  <si>
    <t>Kaklamanis, C; Papatheodorou, T; Spirakis, PG</t>
  </si>
  <si>
    <t>Feuerstein, Esteban; Gil-Costa, Veronica; Marin, Mauricio; Tolosa, Gabriel; Baeza-Yates, Ricardo</t>
  </si>
  <si>
    <t>3D Inverted Index with Cache Sharing for Web Search Engines</t>
  </si>
  <si>
    <t>EURO-PAR 2012 PARALLEL PROCESSING</t>
  </si>
  <si>
    <t>Lecture Notes in Computer Science</t>
  </si>
  <si>
    <t>18th International Conference on Euro-Par Parallel Processing</t>
  </si>
  <si>
    <t>AUG 27-31, 2012</t>
  </si>
  <si>
    <t>Rhodes Island, GREECE</t>
  </si>
  <si>
    <t>Comp Technol Inst &amp; Press Diophantus</t>
  </si>
  <si>
    <t>Web search engines achieve efficient performance by partitioning and replicating the indexing data structure used to support query processing. Current practice simply partitions and replicates the text collection on the set of cluster processors and then constructs in each processor an index data structure. This paper proposes a different approach by constructing an index data structure that properly considers the fact that data is partitioned and replicated. This leads to a so-called 3D indexing strategy that outperforms current approaches. Performance is further boosted by introducing an application caching scheme devised to hold most frequently issued queries.</t>
  </si>
  <si>
    <t>Gil-Costa, Veronica/GPT-4785-2022; Marin, Mauricio/GLR-7700-2022; Baeza-Yates, Ricardo/H-5692-2015</t>
  </si>
  <si>
    <t>Marin, Mauricio/0000-0003-0662-7149; Baeza-Yates, Ricardo/0000-0003-3208-9778; Gil-Costa, Veronica/0000-0003-4637-9725</t>
  </si>
  <si>
    <t>0302-9743</t>
  </si>
  <si>
    <t>1611-3349</t>
  </si>
  <si>
    <t>978-3-642-32820-6</t>
  </si>
  <si>
    <t>WOS:000341235300028</t>
  </si>
  <si>
    <t>Gálvez, G; Cosmelli, D; Cubillos, L; Leger, P; Mena, A; Tanter, É; Flores, X; Luci, G; Montoya, S; Soto-Andrade, J</t>
  </si>
  <si>
    <t>Galvez, Grecia; Cosmelli, Diego; Cubillos, Lino; Leger, Paul; Mena, Arturo; Tanter, Eric; Flores, Ximena; Luci, Gina; Montoya, Soledad; Soto-Andrade, Jorge</t>
  </si>
  <si>
    <t>COGNITIVE STRATEGIES FOR MENTAL CALCULATION</t>
  </si>
  <si>
    <t>REVISTA LATINOAMERICANA DE INVESTIGACION EN MATEMATICA EDUCATIVA-RELIME</t>
  </si>
  <si>
    <t>We focus on the study of the variety of cognitive strategies, either idiosyncratic or learned, used by students in the first cycle of elementary education in Chile to practice activities of mental calculation. We present an analysis of performance in additive mental calculation tasks (addition and subtraction) of a sample of students from state-subsidized schools in middle and low-middle socioeconomic strata in the cities of Santiago and Valparaiso. We construct a catalogue of the strategies detected and a first version of a software developed by us and available in the internet, which enables us to assess the student's performance, including their response times. We also analyze the correlation between the performance in the proposed tasks (percentage of correct answers and response times) and the average school achievement in mathematics.</t>
  </si>
  <si>
    <t>Flores, Ximena/HPC-7330-2023; Tanter, Eric/A-7955-2008; Soto-Andrade, Jorge/I-9424-2017; Leger, Paul/Q-6174-2017</t>
  </si>
  <si>
    <t>Tanter, Eric/0000-0002-7359-890X; Soto-Andrade, Jorge/0000-0003-1120-2911; Leger, Paul/0000-0003-0969-5139; Cosmelli, Diego/0000-0002-0012-4543</t>
  </si>
  <si>
    <t>1665-2436</t>
  </si>
  <si>
    <t>2007-6819</t>
  </si>
  <si>
    <t>WOS:000289051100002</t>
  </si>
  <si>
    <t>Antonova, EE; Kornilov, IA; Kornilova, TA; Kornilov, OI; Stepanova, MV</t>
  </si>
  <si>
    <t>Antonova, E. E.; Kornilov, I. A.; Kornilova, T. A.; Kornilov, O. I.; Stepanova, M. V.</t>
  </si>
  <si>
    <t>Features of auroral breakup obtained using data of ground-based television observations: case study</t>
  </si>
  <si>
    <t>ANNALES GEOPHYSICAE</t>
  </si>
  <si>
    <t>The knowledge about the relative timing of events during the substorm expansion phase onset is very important for understanding the physics of substorms. In this work ground-based television ( TV) imaging technique was used for observations of the first auroral arc brightening near zenith of TV chamber for the case of an isolated substorm. The method of the TV image filtration was used giving the possibility to analyze motion of sub visual auroral arcs. The analysis of the connection between the first auroral arc brightening and the beginning of magnetic disturbance was carried out. It was shown that luminosity disturbance is absent to the pole of breakup arc before the breakup and there exist a delay time between the brightening and start of intense magnetic fluctuations in the Pi1-Pi2 frequency ranges. The results obtained have been compared with predictions of theories of auroral breakup.</t>
  </si>
  <si>
    <t>Antonova, Elizaveta/A-2716-2012; Stepanova, Marina/D-6329-2011; Kornilova, Tatyana/A-6533-2017</t>
  </si>
  <si>
    <t>Antonova, Elizaveta/0000-0001-6980-3993; Stepanova, Marina/0000-0002-1053-3375; Kornilova, Tatyana/0000-0003-4242-4269</t>
  </si>
  <si>
    <t>0992-7689</t>
  </si>
  <si>
    <t>1432-0576</t>
  </si>
  <si>
    <t>10.5194/angeo-27-1413-2009</t>
  </si>
  <si>
    <t>WOS:000265603100007</t>
  </si>
  <si>
    <t>Estay, H; Bocquet, S; Romero, J; Sanchez, J; Rios, GM; Valenzuela, F</t>
  </si>
  <si>
    <t>Estay, H.; Bocquet, S.; Romero, J.; Sanchez, J.; Rios, G. M.; Valenzuela, F.</t>
  </si>
  <si>
    <t>Modeling and simulation of mass transfer in near-critical extraction using a hollow fiber membrane contactor</t>
  </si>
  <si>
    <t>CHEMICAL ENGINEERING SCIENCE</t>
  </si>
  <si>
    <t>In this study is presented a general methodology to predict the performance of a continuous near-critical fluid extraction process to remove compounds from aqueous solutions using a hollow fiber membrane contactor. The stabilization of the gas-liquid interface in the membrane porosity and a high surface area to contact both phases represent some of the advantages that hollow fiber contactors offer over conventional contactor devices for the extraction of compounds from liquid feeds. A mathematical model has been developed integrating a resistances-in-series mass transfer system that takes into account boundary layers, membrane porosity and thermodynamic considerations with mass balances of the membrane contactor. Simulation algorithms were easily implemented with low calculation requirements. The system studied in this work is a membrane based extractor of ethanol and acetone from aqueous solutions using near-critical CO2. Predictions of extraction percentages obtained by simulations have been compared to the experimental values reported by Bothun et al. [2003a. Compressed solvents for the extraction of fermentation products within a hollow fiber membrane contactor. Journal of Supercritical Fluids 25, 119-134]. Simulations of extraction percentage of ethanol and acetone show an average difference of 36.3% and 6.75% with the experimental data, respectively. More accurate predictions of the extraction of acetone could be explained by a better estimation of the transport properties in the aqueous phase that controls the extraction of this solute. When the model was validated, the effect of the configuration and the operating parameters was studied and local mass transfer resistances were evaluated. The proposed approach allows the evaluation of the relevance of membrane hydrophobicity for extraction in solutions under different thermodynamic conditions. This original methodology based on well-known phenomenological equations represents a general approach which could be applied in other processes using membrane contactors with different configurations. (C) 2007 Elsevier Ltd. All rights reserved.</t>
  </si>
  <si>
    <t>Romero, Julio/I-6705-2013; Estay, Humberto/I-3499-2017; Sanchez-Marcano, Jose/E-1445-2012</t>
  </si>
  <si>
    <t>Estay, Humberto/0000-0001-8518-7131; Sanchez-Marcano, Jose/0000-0003-1783-2092; Romero, Julio/0000-0002-1229-1592</t>
  </si>
  <si>
    <t>0009-2509</t>
  </si>
  <si>
    <t>10.1016/j.ces.2007.05.037</t>
  </si>
  <si>
    <t>WOS:000250670300009</t>
  </si>
  <si>
    <t>Peña, O; Moure, C; Bodenez, V; Cailleaux, X; Piriou, B; Ortiz, J; Zúñiga, G; Gautier, JL; Lisboa, PN</t>
  </si>
  <si>
    <t>Magnetic properties of spinel-type oxides NiMn2-xMexO4</t>
  </si>
  <si>
    <t>New materials, based on the well-known spinel compound NiMn2O4, have been synthesized and characterized from the magnetic point of view. The manganese cation was partially substituted in the general formula NiMn2-xMexO4, by nonmagnetic and magnetic elements, such as Me = Ga, Zn, Ni and Cr (0 &lt;= x &lt;= 1). Prior to the determination of their magnetic properties, the nonsubstituted spinel NiMn2O4 was carefully characterized and studied as a function of the oxygen stoichiometry, based on the influence of the annealing atmosphere and quenching rate. The ferrimagnetic character was observed in all samples, with a paramagnetic-to-ferromagnetic transition temperature T-c stabilized at 110 K, and well defined long-range antiferromagnetic interactions at lower temperatures, which depend on the applied field and the substitute concentration.</t>
  </si>
  <si>
    <t>Lisboa-Filho, Paulo/C-6683-2012; bodenez, vincent/C-1139-2008</t>
  </si>
  <si>
    <t>Zuniga, Gustavo/0000-0002-8286-9468; Lisboa-Filho, Paulo/0000-0002-7734-4069</t>
  </si>
  <si>
    <t>WOS:000232185900016</t>
  </si>
  <si>
    <t>Casaretto, JA; Zúñiga, GE; Corcuera, LJ</t>
  </si>
  <si>
    <t>Abscisic acid and jasmonic acid affect proteinase inhibitor activities in barley leaves</t>
  </si>
  <si>
    <t>Proteinase inhibitor (PI) accumulation has been described as a plant defense response against insects and pathogens. The induction of Pis is known to be regulated by endogenous chemical factors including phytohormones. We studied the induction of barley chymotrypsin and trypsin inhibitory activities by aphid infestation, mechanical wounding, abscisic acid (ABA) and jasmonic acid (JA). Wounding experiments led to a minimal accumulation of PI activity (16% over controls) compared to that found in barley seedlings infested by aphids, where chymotrypsin inhibitor activity showed a two-fold increment. No systemic induction could be detected in healthy leaves of an infested or mechanically injured plant. Exogenous ABA applied on barley leaves increased the chymotrypsin inhibitory activity, while JA only increased trypsin inhibitory activity locally and systemically when applied exogenously. Our data suggest that two different mechanisms may be regulating the induction of these two types of inhibitors.</t>
  </si>
  <si>
    <t>10.1078/0176-1617-01236</t>
  </si>
  <si>
    <t>WOS:000221199300005</t>
  </si>
  <si>
    <t>García-Solis, F; Zúñiga, AH; Rau, JR; Encina-Montoya, F; Garcés, C</t>
  </si>
  <si>
    <t>Garcia-Solis, Fernando; Zuniga, Alfredo H.; Rau, Jaime R.; Encina-Montoya, Francisco; Garces, Cristobal</t>
  </si>
  <si>
    <t>Temporal interactions among carnivores in an anthropized landscape of the coastal mountain range in southern Chile</t>
  </si>
  <si>
    <t>FOLIA OECOLOGICA</t>
  </si>
  <si>
    <t>The structuring of carnivore assemblages is based on the partitioning of niche axes, where the activity pattern is relevant for their coexistence. However, the continuous degradation of habitats, and the human presence (and exotic species) limit the availability of resources. Therefore, these species must readjust their requirements to minimize interactions derived from competition. For two years, activity patterns of two native carnivores (the cougar Puma concolor and the chilla fox Lycalopex griseus), one exotic carnivore (the domestic dog Canis lupus familiaris) and people were evaluated in an anthropogenic landscape in southern Chile. A differentiation was observed in the circadian cycle of the species, where the fox was predominantly nocturnal, while the cougar maintained a random activity pattern, in contrast to the dog and humans, which were the most diurnal. The ecological implications derived from the observed patterns are discussed, mainly in relation to the interference exerted by the exotic species.</t>
  </si>
  <si>
    <t>Garcés, Cristóbal/HSE-0995-2023; Rau, Jaime/A-4922-2012; Encina, Francisco/KHY-0248-2024</t>
  </si>
  <si>
    <t>1336-5266</t>
  </si>
  <si>
    <t>1338-7014</t>
  </si>
  <si>
    <t>JAN 1</t>
  </si>
  <si>
    <t>10.2478/foecol-2025-0002</t>
  </si>
  <si>
    <t>WOS:001407402400006</t>
  </si>
  <si>
    <t>Maturana, FV; Cid, NG; Merino-Munoz, P; Hermosilla-Palma, F; Valdes-Badilla, P; Herrera-Valenzuela, T</t>
  </si>
  <si>
    <t>Maturana, Francisco Vidal; Cid, Noe Gajardo; Merino-Munoz, Pablo; Hermosilla-Palma, Felipe; Valdes-Badilla, Pablo; Herrera-Valenzuela, Tomas</t>
  </si>
  <si>
    <t>Relationship between power and isometric strength with the repeat sprint ability in male professional soccer players</t>
  </si>
  <si>
    <t>SPORT TK-REVISTA EUROAMERICANA DE CIENCIAS DEL DEPORTE</t>
  </si>
  <si>
    <t>The aim of this study was to relate variables of countermovement jump (CMJ) and isometric mid-thigh pull (IMTP) with the performance of the repeat sprint ability (RSA) in professional soccer players, as well as to determine the differences in CMJ and IMTP results according to the RSA performance. 54 professional soccer players were evaluated (mean age= 23.1 +/- 5.1 years) in which the correlations were analysed through Pearson's coefficient. Subsequently, the group was divided into above (SM; N=27) and below (BM; N= 27) the median according to RSA performance in three variables and the students t-test for independent samples was used. Significant (p &lt;= 0 .05) low to moderate correlations (r=-0.27;-0.30;-0.31; 0.46 y 0.42) were obtained in IMTP and CMJ variables with the RSA. Significant difference (p &lt; 0 .05) from moderate to large in favour of SM were found in variables of power, contact</t>
  </si>
  <si>
    <t>Herrera-Valenzuela, Tomas/L-1819-2019; Merino Muñoz, Pablo/JGL-6690-2023</t>
  </si>
  <si>
    <t>2340-8812</t>
  </si>
  <si>
    <t>WOS:001360797000001</t>
  </si>
  <si>
    <t>Miranda, CM; Diaz, M; Hughes, GR; Barreto, YM; Nakousi, CN; Campero, SM</t>
  </si>
  <si>
    <t>Miranda, Marcelo C.; Diaz, Mario; Hughes, Ricardo G.; Barreto, Mariana Y.; Nakousi, Nicole C.; Campero, Mario S.</t>
  </si>
  <si>
    <t>Late-Onset Cerebellar Ataxia with Neuropathy: Uncovering the Role of RFC1 Gene Mutations</t>
  </si>
  <si>
    <t>REVISTA MEDICA DE CHILE</t>
  </si>
  <si>
    <t>We report two unrelated patients with late-onset cerebellar ataxia associated with neuropathy and a long-standing dry cough. One patient had two siblings affected with sensory neuropathy and cough. Both probands had extensive investigations including genetics testing negative for most common ataxias as well as testing for paraneoplasic and other immunologic causes. Both patients showed an abnormal intronic expansion in the pentanucleotide AAGGG of the gene RFC1. This etiology is being reported as frequent cause of adult-onset ataxia; the presence of cough may lead to the correct diagnosis.</t>
  </si>
  <si>
    <t>Miranda, Marcelo/0009-0001-0974-4757</t>
  </si>
  <si>
    <t>0034-9887</t>
  </si>
  <si>
    <t>0717-6163</t>
  </si>
  <si>
    <t>WOS:001189558100016</t>
  </si>
  <si>
    <t>García, AM</t>
  </si>
  <si>
    <t>Garcia, Adolfo M.</t>
  </si>
  <si>
    <t>Patterns of hemispheric compromise in primary progressive apraxia of speech: From clinical profiling to differential diagnosis</t>
  </si>
  <si>
    <t>EUROPEAN JOURNAL OF NEUROLOGY</t>
  </si>
  <si>
    <t>In this issue of European Journal of Neurology, Robinson et al. present a novel study on primary progressive apraxia of speech. The authors describe different clinicopathological profiles in patients with left-dominant, right-dominant, and bilateral atrophy of the supplementary motor area and lateral premotor cortex. This commentary discusses the importance of this evidence for understanding individual differences among these patients, distinguishing them from those with nonfluent variant primary progressive aphasia, and analyzing the relations between motor speech deficits and underlying pathology.</t>
  </si>
  <si>
    <t>García, Adolfo/E-7150-2017</t>
  </si>
  <si>
    <t>1351-5101</t>
  </si>
  <si>
    <t>1468-1331</t>
  </si>
  <si>
    <t>10.1111/ene.15766</t>
  </si>
  <si>
    <t>MAR 2023</t>
  </si>
  <si>
    <t>WOS:000958068500001</t>
  </si>
  <si>
    <t>Echeverria, V; Echeverria, F; Barreto, GE; Echeverría, J; Mendoza, C</t>
  </si>
  <si>
    <t>Echeverria, Valentina; Echeverria, Florencia; Barreto, George E.; Echeverria, Javier; Mendoza, Cristhian</t>
  </si>
  <si>
    <t>Estrogenic Plants: to Prevent Neurodegeneration and Memory Loss and Other Symptoms in Women After Menopause</t>
  </si>
  <si>
    <t>In mammals, sexual hormones such as estrogens play an essential role in maintaining brain homeostasis and function. Estrogen deficit in the brain induces many undesirable symptoms such as learning and memory impairment, sleep and mood disorders, hot flushes, and fatigue. These symptoms are frequent in women who reached menopausal age or have had ovariectomy and in men and women subjected to anti-estrogen therapy. Hormone replacement therapy alleviates menopause symptoms; however, it can increase cardiovascular and cancer diseases. In the search for therapeutic alternatives, medicinal plants and specific synthetic and natural molecules with estrogenic effects have attracted widespread attention between the public and the scientific community. Various plants have been used for centuries to alleviate menstrual and menopause symptoms, such as Cranberry, Ginger, Hops, Milk Thistle, Red clover, Salvia officinalis, Soy, Black cohosh, Turnera diffusa, Ushuva, and Vitex. This review aims to highlight current evidence about estrogenic medicinal plants and their pharmacological effects on cognitive deficits induced by estrogen deficiency during menopause and aging.</t>
  </si>
  <si>
    <t>Moran, Valentina/E-7765-2013; Echeverría, Javier/AAK-3323-2020; Barreto, George E./LQJ-8882-2024</t>
  </si>
  <si>
    <t>Echeverria, Javier/0000-0002-1688-968X; Barreto, George E./0000-0002-6644-1971; Echeverria, Valentina/0000-0003-2393-5418; Mendoza, Cristhian/0000-0002-5038-0991</t>
  </si>
  <si>
    <t>10.3389/fphar.2021.644103</t>
  </si>
  <si>
    <t>WOS:000657274000001</t>
  </si>
  <si>
    <t>Navas-Fonseca, A; Burgos-Mellado, C; Gómez, JS; Llanos, J; Espina, E; Saéz, D; Sumner, M</t>
  </si>
  <si>
    <t>Navas-Fonseca, Alex; Burgos-Mellado, Claudio; Gomez, Juan S.; Llanos, Jacqueline; Espina, Enrique; Saez, Doris; Sumner, Mark</t>
  </si>
  <si>
    <t>Distributed Predictive Control using Frequency and Voltage Soft Constraints in AC Microgrids including Economic Dispatch of Generation</t>
  </si>
  <si>
    <t>IECON 2021 - 47TH ANNUAL CONFERENCE OF THE IEEE INDUSTRIAL ELECTRONICS SOCIETY</t>
  </si>
  <si>
    <t>IEEE Industrial Electronics Society</t>
  </si>
  <si>
    <t>47th Annual Conference of the IEEE-Industrial-Electronics-Society (IECON)</t>
  </si>
  <si>
    <t>OCT 13-16, 2021</t>
  </si>
  <si>
    <t>IEEE Ind Elect Soc</t>
  </si>
  <si>
    <t>This paper proposes a distributed predictive secondary controller to tackle together frequency and voltage regulation, realize the economic dispatch and reactive power sharing of generation units in isolated AC microgrids. Contrary to most approaches, the proposed predictive controller achieves consensus objectives (economic dispatch of generation and reactive power sharing) with soft constraints (keep both frequency and average voltage within predefined bands instead of restoring them to their nominal values). Extensive simulation work validates the effectiveness of the predictive controller for communication problems and in the presence of plug-and-play scenarios.</t>
  </si>
  <si>
    <t>Burgos-Mellado, Claudio/X-6305-2019; Llanos, Jacqueline/KZU-6934-2024; Saez, Doris/JBJ-6880-2023; Espina, Enrique/AGZ-7297-2022; Navas Fonseca, Alex Dario/ABA-2690-2021; Gomez Quintero, Juan Sebastian/AAL-5096-2020</t>
  </si>
  <si>
    <t>Navas Fonseca, Alex Dario/0000-0003-1393-8412; Espina, Enrique/0000-0002-2075-2010; Gomez Quintero, Juan Sebastian/0000-0002-6507-1462; Llanos, Jacqueline/0000-0002-6708-3897</t>
  </si>
  <si>
    <t>1553-572X</t>
  </si>
  <si>
    <t>978-1-6654-3554-3</t>
  </si>
  <si>
    <t>10.1109/IECON48115.2021.9589500</t>
  </si>
  <si>
    <t>WOS:000767230602096</t>
  </si>
  <si>
    <t>Bodaleo, F; Tapia-Monsalves, C; Cea-Del Rio, C; Gonzalez-Billault, C; Nunez-Parra, A</t>
  </si>
  <si>
    <t>Bodaleo, Felipe; Tapia-Monsalves, Carola; Cea-Del Rio, Christian; Gonzalez-Billault, Christian; Nunez-Parra, Alexia</t>
  </si>
  <si>
    <t>Structural and Functional Abnormalities in the Olfactory System of Fragile X Syndrome Models</t>
  </si>
  <si>
    <t>FRONTIERS IN MOLECULAR NEUROSCIENCE</t>
  </si>
  <si>
    <t>Fragile X Syndrome (FXS) is the most common inherited form of intellectual disability. It is produced by mutation of the Fmr1 gene that encodes for the Fragile Mental Retardation Protein (FMRP), an important RNA-binding protein that regulates the expression of multiple proteins located in neuronal synapses. Individuals with FXS exhibit abnormal sensory information processing frequently leading to hypersensitivity across sensory modalities and consequently a wide array of behavioral symptoms. Insects and mammals engage primarily their sense of smell to create proper representations of the external world and guide adequate decision-making processes. This feature in combination with the exquisitely organized neuronal circuits found throughout the olfactory system (OS) and the wide expression of FMRP in brain regions that process olfactory information makes it an ideal model to study sensory alterations in FXS models. In the last decade several groups have taken advantage of these features and have used the OS of fruit fly and rodents to understand neuronal alteration giving rise to sensory perception issues. In this review article, we will discuss molecular, morphological and physiological aspects of the olfactory information processing in FXS models. We will highlight the decreased inhibitory/excitatory synaptic balance and the diminished synaptic plasticity found in this system resulting in behavioral alteration of individuals in the presence of odorant stimuli.</t>
  </si>
  <si>
    <t>Gonzalez-Billault, Christian/P-2393-2019; Rio, Christian/T-1356-2019; Gonzalez-Billault, Christian/K-9622-2013</t>
  </si>
  <si>
    <t>Tapia-Monsalves, Carola/0000-0001-5489-9793; Cea-Del Rio, Christian/0000-0002-4658-2427; Nunez-Parra, Alexia/0000-0003-0239-2493; Gonzalez-Billault, Christian/0000-0003-0335-1482</t>
  </si>
  <si>
    <t>1662-5099</t>
  </si>
  <si>
    <t>MAY 28</t>
  </si>
  <si>
    <t>10.3389/fnmol.2019.00135</t>
  </si>
  <si>
    <t>WOS:000469299700002</t>
  </si>
  <si>
    <t>Valdivia-González, MA; Díaz-Vásquez, WA; Ruiz-León, D; Becerra, AA; Aguayo, DR; Pérez-Donoso, JM; Vásquez, CC</t>
  </si>
  <si>
    <t>Valdivia-Gonzalez, M. A.; Diaz-Vasquez, W. A.; Ruiz-Leon, D.; Becerra, A. A.; Aguayo, D. R.; Perez-Donoso, J. M.; Vasquez, C. C.</t>
  </si>
  <si>
    <t>A comparative analysis of tellurite detoxification by members of the genus Shewanella</t>
  </si>
  <si>
    <t>ARCHIVES OF MICROBIOLOGY</t>
  </si>
  <si>
    <t>The increasing industrial utilization of tellurium has resulted in an important environmental pollution with the soluble, extremely toxic oxyanion tellurite. In this context, the use of microorganisms for detoxifying tellurite or tellurium biorecovery has gained great interest. The ability of different Shewanella strains to reduce tellurite to elemental tellurium was assessed; the results showed that the reduction process is dependent on electron transport and the a dagger pH gradient. While S. baltica OS155 showed the highest tellurite resistance, S. putrefaciens was the most efficient in reducing tellurite. Moreover, pH-dependent tellurite transformation was associated with tellurium precipitation as tellurium dioxide. In summary, this work highlights the high tellurite reduction/detoxification ability exhibited by a number of Shewanella species, which could represent the starting point to develop friendly methods for the recovery of elemental tellurium (or tellurium dioxide).</t>
  </si>
  <si>
    <t>AGUAYO, DANIEL/KIJ-9949-2024; León, Domingo/AAE-7630-2019; Perez-Donoso, Jose/G-3668-2013</t>
  </si>
  <si>
    <t>Ruiz Leon, Domingo/0000-0002-0950-6919; Perez-Donoso, Jose/0000-0002-9506-1716; Aguayo, Daniel/0000-0001-6807-0820</t>
  </si>
  <si>
    <t>0302-8933</t>
  </si>
  <si>
    <t>1432-072X</t>
  </si>
  <si>
    <t>10.1007/s00203-017-1438-2</t>
  </si>
  <si>
    <t>WOS:000425949100007</t>
  </si>
  <si>
    <t>Vera, HV</t>
  </si>
  <si>
    <t>Vera, HV; Carrizo, JPA</t>
  </si>
  <si>
    <t>Vera Vera, Hector</t>
  </si>
  <si>
    <t>Introduction Questions and coordinates on Democracy, Information and Cyber Society</t>
  </si>
  <si>
    <t>DEMOCRACIA, INFORMACION Y CIBERSOCIEDAD: UNA MIRADA DESDE CHILE</t>
  </si>
  <si>
    <t>978-956-8416-70-6</t>
  </si>
  <si>
    <t>WOS:000462868900001</t>
  </si>
  <si>
    <t>Fuentealba, C; Figuerola, F; Estévez, AM; González-Muñoz, A; Muñoz, O</t>
  </si>
  <si>
    <t>Fuentealba, Claudia; Figuerola, Fernando; Maria Estevez, Ana; Gonzalez-Munoz, Adrian; Munoz, Ociel</t>
  </si>
  <si>
    <t>Optimization of secoisolariciresinol diglucoside extraction from flaxseed (Linum usitatissimum L.) and isolation by a simple HPLC-UV method</t>
  </si>
  <si>
    <t>CYTA-JOURNAL OF FOOD</t>
  </si>
  <si>
    <t>This research was conducted to develop and optimize a methodology to quantify the content of secoisolariciresinol diglucoside (SDG), the main vegetable lignan present in flaxseed. However, at the time of this work, commercial SDG was not available for standard use. Therefore, an effective method to obtain purified SDG from flaxseed was developed using chromatographic techniques. The SDG obtained was of approximately 97% purity. The methanol extraction time, alkali concentrations, and reaction temperature were optimized through a response surface methodology (RSM), and the optimal conditions established for the extractions were 47 degrees C, 58mmolL(-1) sodium methoxide, and 24h. This methodology was then applied to study the variation of SDG content in flaxseed from different cultivars. The SDG content in different varieties of flaxseed ranged from 10.8 to 17.9mgg(-1) in defatted flaxseed flour and from 6.0 to 10.9mgg(-1) in whole flaxseed.</t>
  </si>
  <si>
    <t>Gonzalez-Muñoz, Adrian/GOK-1800-2022; Fuentealba, Claudia/N-2692-2016; Munoz, Ociel/K-2951-2016</t>
  </si>
  <si>
    <t>Fuentealba, Claudia/0000-0002-9477-9005; Munoz, Ociel/0000-0002-2445-4336; Gonzalez M, Adrian/0000-0001-6284-6552</t>
  </si>
  <si>
    <t>1947-6337</t>
  </si>
  <si>
    <t>1947-6345</t>
  </si>
  <si>
    <t>10.1080/19476337.2014.953209</t>
  </si>
  <si>
    <t>WOS:000349004500016</t>
  </si>
  <si>
    <t>de León, JND; Picquart, M; Villarroel, M; Vrinat, M; Llambias, FJG; Murrieta, F; de los Reyes, JA</t>
  </si>
  <si>
    <t>Diaz de Leon, J. N.; Picquart, M.; Villarroel, M.; Vrinat, M.; Gil Llambias, F. J.; Murrieta, F.; de los Reyes, J. A.</t>
  </si>
  <si>
    <t>Effect of gallium as an additive in hydrodesulfurization WS2/γ-Al2O3 catalysts</t>
  </si>
  <si>
    <t>JOURNAL OF MOLECULAR CATALYSIS A-CHEMICAL</t>
  </si>
  <si>
    <t>The effect of gallium in W/Ga(x)-gamma-Al2O3 catalysts was investigated in the hydrodesulfurization of dibenzothiophene. The gamma-Al2O3 carrier was modified by the gallium addition prior to W impregnation and further calcination at 723 K. An electrophoretic study was carried out on the calcined Ga samples at 0, 0.29, 0.55, 0.84, 1.09, 1.43, 1.71 and 2.22 wt.% of Ga and it indicated that Ga addition affected significantly the surface of alumina. The presence of at least two gallium species was proposed, at low gallium content GaAl2O4 species decreased the isoelectric point (IEP) and probably the formation of Ga2O3 at higher contents increased again the IEP. Raman spectroscopy showed that the gallium incorporation had a strong effect in the formation of WOx species at the surface of catalysts. The highest amount of irregular WOx particles calculated by the Raman (O=W=O+W=O)/W-O-W band intensities ratio was found on the W/Ga(1.09)-gamma-Al2O3 catalyst. The presence of gallium induced higher activity on the dibenzothiophene hydrodesulfurization reaction in all catalysts tested. The highest Raman ratio and the highest activity were found for the W/Ga(1.09)-gamma-Al2O3 catalyst, suggesting that better dispersed W species could be responsible for the highest HDS activities. (C) 2010 Elsevier B.V. All rights reserved.</t>
  </si>
  <si>
    <t>Reyes, JA/GXZ-6957-2022</t>
  </si>
  <si>
    <t>1381-1169</t>
  </si>
  <si>
    <t>MAY 17</t>
  </si>
  <si>
    <t>10.1016/j.molcata.2010.03.008</t>
  </si>
  <si>
    <t>WOS:000278175300001</t>
  </si>
  <si>
    <t>Alvarez, PD; Cortés, JL; Horváthy, PA; Plyushchay, MS</t>
  </si>
  <si>
    <t>Alvarez, Pedro D.; Cortes, Jose L.; Horvathy, Peter A.; Plyushchay, Mikhail S.</t>
  </si>
  <si>
    <t>Super-extended noncommutative Landau problem and conformal symmetry</t>
  </si>
  <si>
    <t>JOURNAL OF HIGH ENERGY PHYSICS</t>
  </si>
  <si>
    <t>A supersymmetric spin-1/2 particle in the noncommutative plane, subject to an arbitrary magnetic field, is considered, with particular attention paid to the homogeneous case. The system has three different phases, depending on the magnetic field. Due to supersymmetry, the boundary critical phase which separates the sub- and super-critical cases can be viewed as a reduction to the zero-energy eigensubspace. In the sub- critical phase the system is described by the superextension of exotic Newton-Hooke symmetry, combined with the conformal so(2, 1) similar to su(1, 1) symmetry; the latter is changed into so(3) similar to su(2) in the super-critical phase. In the critical phase the spin degrees of freedom are frozen and supersymmetry disappears.</t>
  </si>
  <si>
    <t>cortes, jose/C-3257-2012</t>
  </si>
  <si>
    <t>cortes, jose/0000-0002-8282-3435; Alvarez, Pedro/0000-0001-8757-1700</t>
  </si>
  <si>
    <t>1029-8479</t>
  </si>
  <si>
    <t>10.1088/1126-6708/2009/03/034</t>
  </si>
  <si>
    <t>WOS:000265600800034</t>
  </si>
  <si>
    <t>Riveros, KA; Stepanova, M; Bosqued, JM; Antonova, EE</t>
  </si>
  <si>
    <t>Riveros, K. Arancibia; Stepanova, M.; Bosqued, J. M.; Antonova, E. E.</t>
  </si>
  <si>
    <t>Study of the turbulence in the central plasma sheet during August 24-28 geomagnetic storm using the CLUSTER satellite data</t>
  </si>
  <si>
    <t>GEOFISICA INTERNACIONAL</t>
  </si>
  <si>
    <t>We used the local Intermittency Measure Technique based on the wavelet transform to study plasma velocity fluctuations measured by CLUSTER II Ion Spectrometry experiment during August 24-28 geomagnetic storm. The results obtained showed a significant increase in the level of intermittent turbulence at the end of main phase. It can be related to a significant increase in the substorm activity, and stretching of the geomagnetic field lines observed during the main phase. This fact is important for understanding the nature of geomagnetic storms.</t>
  </si>
  <si>
    <t>Stepanova, Marina/D-6329-2011; Antonova, Elizaveta/A-2716-2012</t>
  </si>
  <si>
    <t>Stepanova, Marina/0000-0002-1053-3375; Antonova, Elizaveta/0000-0001-6980-3993</t>
  </si>
  <si>
    <t>0016-7169</t>
  </si>
  <si>
    <t>JUL-SEP</t>
  </si>
  <si>
    <t>WOS:000257673200017</t>
  </si>
  <si>
    <t>Yave, W; Quijada, R; Serafini, D; Lloyd, DR</t>
  </si>
  <si>
    <t>Effect of the polypropylene type on polymer-diluent phase diagrams and membrane structure in membranes formed via the TIPS process - Part II. Syndiotactic and isotactic polypropylenes produced using metallocene catalysts</t>
  </si>
  <si>
    <t>JOURNAL OF MEMBRANE SCIENCE</t>
  </si>
  <si>
    <t>Syndiotactic polypropylene (sPP) and isotactic polypropylene (iPP) were used to investigate the effect of the polypropylene microstructure (tacticity) on phase diagrams for PP-diphenyl ether systems and the morphology of membranes made from these systems. The syndiotactic and isotactic polypropylenes were both produced via metallocene catalysts and had similar average molecular weights. It was found experimentally that polypropylene microstructure affects the location of the binodal curve and the morphology of membranes produced via the thermally induced phase separation (TIPS) process. The influence on the binodal curve was attributed to stereochemistry effects, chain rigidity, and local chain packing. In isothermal experiments, droplet size was similar for the two types of PP, while in non-isothermal experiments, the sPP sample yielded larger droplets than the iPP sample. These results were attributed mainly to viscous effects and to differences in the growth period (resulting from a shift in the cloud point and dynamic crystallization curves). The final morphology of the sPP membrane was related to polymer chain flexibility and to shrinkage of the sample during diphenyl ether extraction and sample drying. (c) 2005 Elsevier B.V. All rights reserved.</t>
  </si>
  <si>
    <t>QUIJADA, RAUL/0000-0003-0791-6954; Serafini, Daniel/0000-0002-1764-5900</t>
  </si>
  <si>
    <t>0376-7388</t>
  </si>
  <si>
    <t>OCT 15</t>
  </si>
  <si>
    <t>10.1016/j.memsci.2005.04.042</t>
  </si>
  <si>
    <t>WOS:000232439300014</t>
  </si>
  <si>
    <t>Denicola, A; Batthyány, C; Lissi, E; Freeman, BA; Rubbo, H; Radi, R</t>
  </si>
  <si>
    <t>Diffusion of nitric oxide into low density lipoprotein.</t>
  </si>
  <si>
    <t>JOURNAL OF BIOLOGICAL CHEMISTRY</t>
  </si>
  <si>
    <t>A key early event in the development of atherosclerosis is the oxidation of low density lipoprotein (LDL) via different mechanisms including free radical reactions with both protein and lipid components. Nitric oxide ((NO)-N-.) is capable of inhibiting LDL oxidation by scavenging radical species involved in oxidative chain propagation reactions. Herein, the diffusion of (NO)-N-. into LDL is studied by fluorescence quenching of pyrene derivatives. Selected probes 1-(pyrenyl)methyltrimethylammonium (PMTMA) and 1-(pyrenyl)-methyl-3-(9-octadecenoyloxy)-22,23-bisnor-5-cholenate (PMChO) were chosen so that they could be incorporated at different depths of the LDL particle. Indeed, PMTMA and PMChO were located in the surface and core of LDL, respectively, as indicated by changes in fluorescence spectra, fluorescence quenching studies with water-soluble quenchers and the lifetime values (To) of the excited probes. The apparent second order rate quenching constants of (NO)-N-. (k(NO)) for both probes were 2.6-3.8 x 10(10) M-1 s(-1) and 1.2 x 10(10) M-1 s(-1) in solution and native LDL, respectively, indicating that there is no significant barrier to the diffusion of (NO)-N-. to the surface and core of LDL. Nitric oxide was also capable of diffusing through oxidized LDL. Considering the preferential partitioning of (NO)-N-. in apolar milieu (6-8 for n-octanol:water) and therefore a larger (NO)-N-. concentration in LDL with respect to the aqueous phase, a corrected kNO value of similar to0.2 x 1010 M-1 s(-1) can be determined, which still is sufficiently large and consistent with a facile diffusion of .NO through LDL. Applying the Einstein-Smoluchowsky treatment, the apparent diffusion coefficient ONO) of (NO)-N-. in native LDL is on average 2 x 10(-5) cm(2) s(-1), six times larger than that previously reported for erythrocyte plasma membrane. Thus, our observations support that (NO)-N-. readily traverses the LDL surface accessing the hydrophobic lipid core of the particle and affirm a role for (NO)-N-. as a major lipophilic antioxidant in LDL.</t>
  </si>
  <si>
    <t>Rubbo, Homero/HTM-3282-2023; Batthyany, Carlos/A-6478-2009; Freeman, Bruce/H-9342-2012</t>
  </si>
  <si>
    <t>Batthyany, Carlos/0000-0002-0627-1982; Denicola, Ana/0000-0002-5181-9708; Rubbo, Homero/0000-0002-7897-6551</t>
  </si>
  <si>
    <t>0021-9258</t>
  </si>
  <si>
    <t>JAN 11</t>
  </si>
  <si>
    <t>10.1074/jbc.M106589200</t>
  </si>
  <si>
    <t>WOS:000173166800010</t>
  </si>
  <si>
    <t>Zhou, X; Thompson, GE; Habazaki, H; Paez, MA; Shimizu, K; Skeldon, P; Wood, GC</t>
  </si>
  <si>
    <t>Morphological development of oxygen bubbles in anodic alumina</t>
  </si>
  <si>
    <t>JOURNAL OF THE ELECTROCHEMICAL SOCIETY</t>
  </si>
  <si>
    <t>The morphological development of oxygen bubbles in amorphous, anodic alumina is examined during anodizing an Al-1 atom % Cu alloy. Using transmission electron microscopy, a sequence of stripped films reveals the dynamic evolution of numerous bubbles in the thickening film. The formation of the bubbles is associated with the enrichment of copper in the alloy due to growth of the anodic oxide. Evidently the alumina exhibits a liquid-like behavior under the electric field, assisted by inherent free-volume, which accommodates nucleation, growth, clustering, and coalescence of bubbles, without damage to the film. Bubbles nucleate throughout growth of the film, close to the alloy/film interface, but growth of pre-existing bubbles appears favored. The bubbles, which number about 1 x 10(14) m(-2), are in pressure equilibrium, with typical pressures of several hundred megapascals. The bubbles, with dimensions up to a few tens of nanometers, are obstacles to ionic transport, which leads to nonuniformity of film thickness and interfacial roughness. (C) 2000 The Electrochemical Society. S0013-4651(99)10-073-9. All rights reserved.</t>
  </si>
  <si>
    <t>Habazaki, Hiroki/C-5388-2012; Paez, Maritza/M-2010-2014; Pappas, Georgios/F-7194-2014; Zhou, Xiaorong/M-3600-2014</t>
  </si>
  <si>
    <t>paez, maritza/0000-0001-5881-884X; Zhou, Xiaorong/0000-0001-9943-3997</t>
  </si>
  <si>
    <t>0013-4651</t>
  </si>
  <si>
    <t>10.1149/1.1393428</t>
  </si>
  <si>
    <t>WOS:000087075200023</t>
  </si>
  <si>
    <t>Acuna, G; Giral, R; Agosin, E; Jorquera, H; Perez-Correa, R; Ferret, E; Molin, P; Thibault, J</t>
  </si>
  <si>
    <t>A neural network estimator for total biomass of filamentous fungi growing on two dimensional solid substrate</t>
  </si>
  <si>
    <t>BIOTECHNOLOGY TECHNIQUES</t>
  </si>
  <si>
    <t>A neural network dynamic model is proposed for the on-line estimation of total biomass during filamentous fungi cultures on two dimensional solid substrate. The neural network provides an accurate and robust estimation of biomass from macroscopic measurements of the colony radius evolution. Experiments were performed on Gibberella fujikuroi growing on Petri dishes under different conditions of temperature and water activity.</t>
  </si>
  <si>
    <t>Perez-Correa, Jose/I-5565-2012; Jorquera, Hector/B-8645-2014; Agosin, Eduardo/D-1411-2014</t>
  </si>
  <si>
    <t>Perez-Correa, Jose/0000-0002-1278-7782; Jorquera, Hector/0000-0002-7462-7901; Agosin, Eduardo/0000-0003-1656-150X; Acuna Leiva, Gonzalo Pedro/0000-0002-0519-7792</t>
  </si>
  <si>
    <t>0951-208X</t>
  </si>
  <si>
    <t>10.1023/A:1008895212814</t>
  </si>
  <si>
    <t>WOS:000075370500005</t>
  </si>
  <si>
    <t>Bittencourt, GHR; Gálvez-Poblete, D; Castro, M; Altbir, D; Nunez, AS; Allende, S; Carvalho-Santos, VL</t>
  </si>
  <si>
    <t>Bittencourt, G. H. R.; Galvez-Poblete, D.; Castro, M.; Altbir, D.; Nunez, A. S.; Allende, S.; Carvalho-Santos, V. L.</t>
  </si>
  <si>
    <t>Harnessing curvature and torsion effects to control Néel domain wall dynamics</t>
  </si>
  <si>
    <t>NANO FUTURES</t>
  </si>
  <si>
    <t>The geometry of a magnetic body is fundamental when considering applications based on domain wall (DW) propagation in nanometric systems. In this framework, helical systems allow the exploration of new and interesting phenomena. Through micromagnetic simulations and analytical calculations, we study the propagation of N &amp; eacute;el DWs under the action of a spin-polarized current hosted in a helix-shaped nanowire (NW) with constant curvature and torsion and an uniaxial anisotropy pointing locally perpendicularly to the NW. Our results show that for a N &amp; eacute;el DW propagating in a twisted NW, the effect of torsion (curvature) is equivalent to curvature (torsion) effects on the propagation of a transverse DW in an equivalent system.</t>
  </si>
  <si>
    <t>Núñez, Alvaro/F-4572-2011; Carvalho-Santos, Vagson/E-8806-2013; Bittencourt, Guilherme/MXM-5181-2025</t>
  </si>
  <si>
    <t>2399-1984</t>
  </si>
  <si>
    <t>JUN 30</t>
  </si>
  <si>
    <t>10.1088/2399-1984/adcb0b</t>
  </si>
  <si>
    <t>WOS:001473335300001</t>
  </si>
  <si>
    <t>Legón, AR; Ahumada, M; PRamos-Andrade, J; Molina, RA; Orellana, PA</t>
  </si>
  <si>
    <t>Legon, Alexis R.; Ahumada, M.; P.Ramos-Andrade, J.; Molina, Rafael A.; Orellana, P. A.</t>
  </si>
  <si>
    <t>Bound states in the continuum in a double whispering-gallery resonator</t>
  </si>
  <si>
    <t>In this work we investigate the single-photon transport through two whispering-gallery resonators (WGRs) coupled to a one-dimensional waveguide. Using the Green's-function formalism, we compute the transmission spectra and the photonic density of states for the stationary states. We also obtain the formation of two types of bound states in the continuum (BICs). The first kind is localized in the WGR and is symmetry-protected BICs. In contrast, the second depends on the distance between resonators through the waveguide and is of the Fabry-P &amp; eacute;rot kind. These BICs are represented as Dirac delta functions in the local density of states. Additionally, we show that quasi-BICs manifest as sharp resonances in photonic transmission due to small symmetry-breaking perturbations. Furthermore, we investigate the dynamics of a single-photon wave packet interacting with the WGRs and analyze the mechanism for storing the wave packet in the structure formed by the WGRs and the finite waveguide between them.</t>
  </si>
  <si>
    <t>Molina, Rafael/E-2532-2011; Orellana, Pedro/L-4895-2018; LEGON, ALEXIS/HNP-3438-2023</t>
  </si>
  <si>
    <t>Molina, Rafael/0000-0001-5728-0734; Ahumada, Maritza/0000-0003-0320-5768</t>
  </si>
  <si>
    <t>JAN 27</t>
  </si>
  <si>
    <t>10.1103/PhysRevA.111.013529</t>
  </si>
  <si>
    <t>WOS:001449379800008</t>
  </si>
  <si>
    <t>Fernández-Yáñez, V; Suazo, P; Hormazábal, C; Ibaceta, V; Arenas-Salinas, M; Vidal, RM; Silva-Ojeda, F; Arellano, C; Muñoz, I; Del Canto, F</t>
  </si>
  <si>
    <t>Fernandez-Yanez, Valentina; Suazo, Patricio; Hormazabal, Claudia; Ibaceta, Valentina; Arenas-Salinas, Mauricio; Vidal, Roberto M.; Silva-Ojeda, Francisco; Arellano, Carolina; Munoz, Ignacio; Del Canto, Felipe</t>
  </si>
  <si>
    <t>Distribution of papA and papG Variants among Escherichia coli Genotypes: Association with Major Extraintestinal Pathogenic Lineages</t>
  </si>
  <si>
    <t>The pyelonephritis-associated fimbria (P fimbria) is one of the most recognized adhesion determinants of extraintestinal pathogenic Escherichia coli strains (ExPECs). Twelve variants have been described for the gene encoding the P fimbria major structural subunit PapA and three variants for the gene encoding the adhesin subunit PapG. However, their distribution among the ExPEC diversity has not been comprehensively addressed. A complete landscape of that distribution might be valuable for delineating basic studies about the pathogenicity mechanisms of ExPECs and following up on the evolution of ExPEC lineages, particularly those most epidemiologically relevant. Therefore, we performed a massive descriptive study to detect the papA and papG variants along different E. coli genotypes represented by genomic sequences contained in the NCBI Assembly Refseq database. The most common papA variants were F11, F10, F48, F16, F12, and F7-2, which were found in significant association with the most relevant ExPEC genotypes, the phylogroups B2 and D, and the sequence types ST95, ST131, ST127, ST69, ST12, and ST73. On the other hand, the papGII variant was by far the most common followed by papGIII, and both were also found to have a significant association with common ExPEC genotypes. We noticed the presence of genomes, mainly belonging to the sequence type ST12, harboring two or three papA variants and two papG variants. Furthermore, the most common papA and papG variants were also detected in records representing strains isolated from humans and animals such as poultry, bovine, and dogs, supporting previous hypotheses of potential cross-transmission. Finally, we characterized a set of 17 genomes from Chilean uropathogenic E. coli strains and found that ST12 and ST73 were the predominant sequence types. Variants F7-1, F7-2, F8, F9, F11, F13, F14, F16, and F48 were detected for papA, and papGII and papGIII variants were detected for papG. Significant associations with the sequence types observed in the analysis of genomes contained in the NCBI Assembly Refseq database were also found in this collection in 16 of 19 cases for papA variants and 7 of 9 cases for the papG variants. This comprehensive characterization might support future basic studies about P fimbria-mediated ExPEC adherence and future typing or epidemiological studies to monitor the evolution of ExPECs producing P fimbria.</t>
  </si>
  <si>
    <t>Del Canto, Felipe/P-1707-2014; Arenas, Mauricio/NBW-8966-2025</t>
  </si>
  <si>
    <t>Suazo-Soto, Patricio/0000-0002-9214-5666; Vidal, Roberto/0000-0003-4223-1985</t>
  </si>
  <si>
    <t>1661-6596</t>
  </si>
  <si>
    <t>10.3390/ijms25126657</t>
  </si>
  <si>
    <t>WOS:001257685300001</t>
  </si>
  <si>
    <t>Cáceres, C; Castillo, M; Carrillo, K; Tapia, C; Valderrama, G; Maquilón, C; Toro-Ascuy, D; Zorondo-Rodríguez, F; Fuenzalida, LF</t>
  </si>
  <si>
    <t>Caceres, Camila; Castillo, Macarena; Carrillo, Karin; Tapia, Cecilia., V; Valderrama, Gustavo; Maquilon, Cesar; Toro-Ascuy, Daniela; Zorondo-Rodriguez, Francisco; Fuenzalida, Loreto F.</t>
  </si>
  <si>
    <t>Overnutrition as a risk factor for more serious respiratory viral infections in children: A retrospective study in hospitalized patients</t>
  </si>
  <si>
    <t>ENDOCRINOLOGIA DIABETES Y NUTRICION</t>
  </si>
  <si>
    <t>Background: The prevalence of obesity has increased dramatically in children worldwide. Obesity has been recognized as a risk factor for more serious viral respiratory infections, mainly in adults. Objective: To study the relationship between overnutrition (obesity and overweight) and clinical severity in children hospitalized with acute respiratory infections of viral origin. Methods: One hundred and forty-three clinical records of children between 2 and 18 years old hospitalized for acute respiratory infection at Clinica Davila (2014-2018) were analyzed, recording the respiratory viruses detected at the time of hospitalization, weight, and height. Nutritional status was estimated using Z score or body mass index, according to age. Results: Eighty-tree3 children (58%) were positive for more than one respiratory virus. The main virus detected in monoinfection was adenovirus (9.8%), followed by respiratory syncytial virus (7.7%) and parainfluenza virus (7.7%). There were no deaths. Patients with obesity presented more days of hospitalization (P = .04), oxygen therapy (P = .03) and mechanical ventilation (P &lt; .001), as well as a higher probability of requiring mechanical ventilation (P = .001) and of ICU admission (P = .003) compared with children with normal weight. Patients with overweight presented more days of mechanical ventilation (P &lt; .001) than patients with normal weight. No significant differences were found between the presence of viral coinfection and nutritional status.Conclusion: Overnutrition is associated with greater severity of viral respiratory infection in hospitalized children.(c) 2023 SEEN and SED. Published by Elsevier Espana, S.L.U. All rights reserved.</t>
  </si>
  <si>
    <t>Zorondo-Rodríguez, Francisco/GWU-8371-2022; Tapia, Cecilia/D-9351-2014; Toro-Ascuy, Daniela/JDC-8224-2023; Zorondo-Rodriguez, Francisco/I-8273-2014</t>
  </si>
  <si>
    <t>Toro-Ascuy, Daniela/0000-0002-2563-9711; Zorondo-Rodriguez, Francisco/0000-0001-6469-9859; Fuenzalida, Loreto F/0000-0002-9570-6043</t>
  </si>
  <si>
    <t>2530-0180</t>
  </si>
  <si>
    <t>AUG-SEP</t>
  </si>
  <si>
    <t>10.1016/j.endinu.2023.05.001</t>
  </si>
  <si>
    <t>JUL 2023</t>
  </si>
  <si>
    <t>WOS:001148359900001</t>
  </si>
  <si>
    <t>Castillo-Sepúlveda, S; Corona, RM; Saavedra, E; Laroze, D; Espejo, AP; Carvalho-Santos, VL; Altbir, D</t>
  </si>
  <si>
    <t>Castillo-Sepulveda, Sebastian; Corona, Rosa M.; Saavedra, Eduardo; Laroze, David; Espejo, Alvaro P.; Carvalho-Santos, Vagson L.; Altbir, Dora</t>
  </si>
  <si>
    <t>Nucleation and Stability of Toron Chains in Non-Centrosymmetric Magnetic Nanowires</t>
  </si>
  <si>
    <t>NANOMATERIALS</t>
  </si>
  <si>
    <t>This work analyzes the magnetic configurations of cylindrical nanowires with a bulk Dzyaloshinskii-Moriya interaction and easy-plane anisotropy. We show that this system allows the nucleation of a metastable toron chain even when no out-of-plane anisotropy exists in the nanowire's top and bottom surfaces, as usually required. The number of nucleated torons depends on the nanowire length and the strength of an external magnetic field applied to the system. The size of each toron depends on the fundamental magnetic interactions and can be controlled by external stimuli, allowing the use of these magnetic textures as information carriers or nano-oscillator elements. Our results evidence that the topology and structure of the torons yield a wide variety of behaviors, revealing the complex nature of these topological textures, which should present an exciting interaction dynamic, depending on the initial conditions.</t>
  </si>
  <si>
    <t>Laroze, David/Z-2852-2019; Saavedra, Eduardo/IQS-4264-2023; Laroze, David/E-9134-2011; Carvalho-Santos, Vagson/E-8806-2013; Altbir, Dora/R-6781-2018</t>
  </si>
  <si>
    <t>Laroze, David/0000-0002-6487-8096; Carvalho-Santos, Vagson/0000-0002-2759-2152; Saavedra Diaz, Eduardo Andres/0000-0002-2842-2526; Castillo, Sebastian/0000-0001-7730-8773; Altbir, Dora/0000-0002-2945-4909; Corona, Rosa/0000-0001-6054-5019</t>
  </si>
  <si>
    <t>2079-4991</t>
  </si>
  <si>
    <t>10.3390/nano13121816</t>
  </si>
  <si>
    <t>WOS:001017471500001</t>
  </si>
  <si>
    <t>Maldonado, T; Flores, E; Gómez, A; Godoy, F; Mascayano, C; Martí, AA; Ferraudi, G</t>
  </si>
  <si>
    <t>Maldonado, Tamara; Flores, Erick; Gomez, Alejandra; Godoy, Fernando; Mascayano, Carolina; Marti, Angel A.; Ferraudi, Guillermo</t>
  </si>
  <si>
    <t>Kinetic study of the azo - Hydrazone photoinduced mechanism in complexes with a -Re(CO)3L0/+ core by flash photolysis</t>
  </si>
  <si>
    <t>JOURNAL OF PHOTOCHEMISTRY AND PHOTOBIOLOGY A-CHEMISTRY</t>
  </si>
  <si>
    <t>The photoprocesses of three rhenium(I) tricarbonyl complexes, fac-Re(NN)(CO)3L0/+, bearing an azo/hydrazone ligand, NN, and L = Cl, Br or CH3CN as axial ligand, were studied by time-resolved spectroscopic techniques. Flash irradiation of deaerated solutions of the complexes in acetonitrile photogenerated intermediates with intense optical absorptions in the UV-vis spectral region of the hydrazone ligand. The decay of the intermediates photogenerated with the Cl, Br and CH3CN ligands in the axial position proceeds by three different mechanisms. For the fac-Re(NN)(CO)3Cl, a three-step mechanism involving isomerization, tautomerization and rotation accounts for the spectroscopic transformations. In contrast to the flash photolysis result, the continuous photolysis of the complex in acetonitrile does not show spectroscopic changes associated with the generation of a stable product, i.e., the complex exhibits a photoreversible behavior. The first step observed in the flash irradiation of fac-Re(NN)(CO)3Cl, is missing in the decay of the photogenerated intermediates with fac-Re(NN)(CO)3Br and fac[Re(NN)(CO)3CH3CN]+. A possible reason for this absence is that the process is too fast for the time-response of the flash photolysis set-up. Time-resolved spectra and associated reaction rate data for the Re(I) complexes are communicated and discussed. DFT calculations support a plausible E &amp; RARR; Z mechanism with thermal backisomerization mediated by tautomerization.</t>
  </si>
  <si>
    <t>Flores, Erick/GPK-2155-2022; Marti, Angel/C-2762-2008</t>
  </si>
  <si>
    <t>Mascayano Collado, Carolina Lorena/0000-0002-3488-9309; Maldonado Hernandez, Tamara/0000-0002-3863-3001; Gomez San Martin, Alejandra/0000-0001-6483-1565; Flores, Dr. Erick/0000-0002-2573-6650</t>
  </si>
  <si>
    <t>1010-6030</t>
  </si>
  <si>
    <t>1873-2666</t>
  </si>
  <si>
    <t>10.1016/j.jphotochem.2023.114802</t>
  </si>
  <si>
    <t>APR 2023</t>
  </si>
  <si>
    <t>WOS:001055405900001</t>
  </si>
  <si>
    <t>Combining Polyhedral Approaches and Stochastic Dual Dynamic Integer Programming for Solving the Uncapacitated Lot-Sizing Problem Under Uncertainty</t>
  </si>
  <si>
    <t>INFORMS JOURNAL ON COMPUTING</t>
  </si>
  <si>
    <t>We study the uncapacitated lot-sizing problem with uncertain demand and costs. The problem is modeled as a multistage stochastic mixed-integer linear program in which the evolution of the uncertain parameters is represented by a scenario tree. To solve this problem, we propose a new extension of the stochastic dual dynamic integer programming algorithm (SDDiP). This extension aims at being more computationally efficient in the management of the expected cost-to-go functions involved in the model, in particular by reducing their number and by exploiting the current knowledge on the polyhedral structure of the stochastic uncapacitated lot-sizing problem. The algorithm is based on a partial decomposition of the problem into a set of stochastic subproblems, each one involving a subset of nodes forming a subtree of the initial scenario tree. We then introduce a cutting plane-generation procedure that iteratively strengthens the linear relaxation of these subproblems and enables the generation of an additional strengthened Benders' cut, which improves the convergence of the method. We carry out extensive computational experiments on randomly generated large-size instances. Our numerical results show that the proposed algorithm significantly outperforms the SDDiP algorithm at providing good-quality solutions within the computation time limit. Summary of Contribution: This paper investigates a combinatorial optimization problem called the uncapacitated lot-sizing problem. This problem has been widely studied in the operations research literature as it appears as a core subproblem in many industrial production planning problems. We consider a stochastic extension in which the input parameters are subject to uncertainty and model the resulting stochastic optimization problem as a multistage stochastic integer program. To solve this stochastic problem, we propose a novel extension of the recently published stochastic dual dynamic integer programming (SDDiP) algorithm. The proposed extension relies on two main ideas: the use of a partial decomposition of the scenario tree and the exploitation of existing knowledge on the polyhedral structure of the stochastic uncapacitated lot-sizing problem. We provide the results of extensive computational experiments carried out on large-size randomly generated instances. These results show that the proposed extended algorithm significantly outperforms the SDDiP at providing good-quality solutions for the stochastic uncapacitated lot-sizing problem. Although the paper focuses on a basic lot-sizing problem, the proposed algorithmic framework may be useful to solve more complex practical production planning problems.</t>
  </si>
  <si>
    <t>Kedad-Sidhoum, Safia/0000-0002-2184-2261; Quezada, Franco/0000-0001-5763-5582</t>
  </si>
  <si>
    <t>1091-9856</t>
  </si>
  <si>
    <t>1526-5528</t>
  </si>
  <si>
    <t>10.1287/ijoc.2021.1118</t>
  </si>
  <si>
    <t>WOS:000731960900001</t>
  </si>
  <si>
    <t>Quezada-Muñoz, Y; Rodríguez-Artigas, P; Aravena-Sagardia, P; Barramuño, M; Herrera-Valenzuela, T; Guzmán-Muñoz, E; Branco, BHM; Valdes-Badilla, P</t>
  </si>
  <si>
    <t>Quezada-Munoz, Yaquelina; Rodriguez-Artigas, Pablo; Aravena-Sagardia, Pablo; Barramuno, Mauricio; Herrera-Valenzuela, Tomas; Guzman-Munoz, Eduardo; Magnani Branco, Braulio Henrique; Valdes-Badilla, Pablo</t>
  </si>
  <si>
    <t>Effects of a High-Intensity Interval Training Program on Body Composition and Physical Fitness in Female Field Hockey Players</t>
  </si>
  <si>
    <t>INTERNATIONAL JOURNAL OF MORPHOLOGY</t>
  </si>
  <si>
    <t>High-intensity interval training (HIIT) is zed by achieving similar effects to conventional physical and physiological training in a shorter time, allowing its dissemination in the sports field. The present study was aimed to analyze the effects of a HIIT program on body composition and general and specific physical fitness in Chilean female field hockey players. Experimental, repeated measures, simple blind, parallel groups, and a quantitative approach were used. The participants were randomized, and distributed into a control group (CG; n= 10) that maintained regular field hockey training and an experimental group (EG; n= 10) that also received complementary training with HIIT. Body composition (muscle mass and adipose mass), general physical fitness (jump performance with countermovement jump [CMJ] and maximum oxygen consumption [VO2max] were evaluated with the test Course-Navette), and specific physical fitness (pushing speed, dribbling speed, and shooting accuracy) were assessed with established protocols. Pre- and post-intervention comparisons were made with Student's t and Wilcoxon tests, considering p&lt;0.05. The main results indicate that the EG presented a significant increase in muscle mass (p = 0.024; d = 0.62), CMJ (p = 0.005; d = 1.10), VO2max (p = 0.001; d = 1.58) and a significant reduction in adipose mass (p = 0.023; d = 0.36) and time in pushing speed (p = 0.028; d = 0.79). The CG did not present significant changes in any of the variables analyzed, and no significant differences were reported between the groups. In conclusion, eight weeks of HIIT significantly increases muscle mass, jump performance, and VO2max and significantly reduces adipose mass and time in pushing speed in Chilean female field hockey players.</t>
  </si>
  <si>
    <t>Herrera-Valenzuela, Tomas/L-1819-2019; Branco, Braulio/AAA-1747-2019; Magnani Branco, Braulio Henrique/B-8178-2017</t>
  </si>
  <si>
    <t>Magnani Branco, Braulio Henrique/0000-0002-4625-9128; Barramuno-Medina, Mauricio/0000-0002-0961-2869; Guzman-Munoz, Eduardo/0000-0001-7001-9004; Valdes-Badilla, Pablo/0000-0002-3948-8280</t>
  </si>
  <si>
    <t>0717-9502</t>
  </si>
  <si>
    <t>0717-9367</t>
  </si>
  <si>
    <t>WOS:000712329700012</t>
  </si>
  <si>
    <t>López-Gil, JF; Ramírez-Vélez, R; Alarcón-Jiménez, J; Izquierdo, M; García-Hermoso, A</t>
  </si>
  <si>
    <t>Lopez-Gil, Jose Francisco; Ramirez-Velez, Robinson; Alarcon-Jimenez, Jorge; Izquierdo, Mikel; Garcia-Hermoso, Antonio</t>
  </si>
  <si>
    <t>Low handgrip strength is associated with higher liver enzyme concentrations in US adolescents</t>
  </si>
  <si>
    <t>PEDIATRIC RESEARCH</t>
  </si>
  <si>
    <t>Background Increasing evidence highlights the role of muscular strength as a protective factor for cardiometabolic health in adolescents. However, it is not known the relationship between liver enzyme concentrations, liver disease risk factors, and muscular strength among young populations. The aim of this study was to determine the association between muscle strength and liver enzymes and chronic liver disease risk among US adolescents. Methods Data from the NHANES cross-sectional study (2011-2014) was used. A total of 1270 adolescents were included in the final analysis (12-17 years old). Absolute handgrip strength (kg) was normalized according to body composition parameters by body weight [NHSw], whole-body fat [NHSf], and trunk fat [NHSt]). Results In boys, handgrip strength was inversely associated with higher values of aspartate aminotransferase (AST) and gamma glutamyl transpeptidase (GGT) for all estimations of muscle strength (NHSw, NHSf, and NHSt) (p &lt; 0.050). Likewise, boys with high and intermediate NHSw, NHSf, and NHSt presented lower AST and GGT than their counterparts with low handgrip strength (p &lt; 0.050). Conclusions Our findings highlight the importance of muscular strength during adolescence since they could help in developing better liver enzyme profiles among adolescent population. Impact Our research suggests that US adolescents with low handgrip strength have higher values of liver enzymes as well as a higher prevalence of chronic liver disease. These findings are clinically meaningful and highlight the importance of muscular strength during adolescence since they could help in developing better liver enzyme profiles among young populations.</t>
  </si>
  <si>
    <t>García-Hermoso, Antonio/ADU-2591-2022; López-Gil, José Francisco/AAN-5618-2020; Ramirez-Velez, Robinson/D-5311-2016; Izquierdo, Mikel/A-4894-2010; Garcia-Hermoso, Antonio/P-1857-2017</t>
  </si>
  <si>
    <t>Alarcon Jimenez, Jorge/0000-0002-8904-3749; Lopez-Gil, Jose Francisco/0000-0002-7412-7624; Ramirez-Velez, Robinson/0000-0003-3075-6960; Izquierdo, Mikel/0000-0002-1506-4272; Garcia-Hermoso, Antonio/0000-0002-1397-7182</t>
  </si>
  <si>
    <t>0031-3998</t>
  </si>
  <si>
    <t>1530-0447</t>
  </si>
  <si>
    <t>10.1038/s41390-021-01530-6</t>
  </si>
  <si>
    <t>WOS:000641242300001</t>
  </si>
  <si>
    <t>Salazar, J; Zapata, P; Silva, C; González, M; Pacheco, I; Bastías, M; Meneses, C; Jorquera, C; Moreno, I; Shinya, P; Infante, R</t>
  </si>
  <si>
    <t>Salazar, Juan; Zapata, Patricio; Silva, Claudia; Gonzalez, Makarena; Pacheco, Igor; Bastias, Macarena; Meneses, Claudio; Jorquera, Claudia; Moreno, Israel; Shinya, Paulina; Infante, Rodrigo</t>
  </si>
  <si>
    <t>Transcriptome analysis and postharvest behavior of the kiwifruit 'Actinidia deliciosa' reveal the role of ethylene-related phytohormones during fruit ripening</t>
  </si>
  <si>
    <t>TREE GENETICS &amp; GENOMES</t>
  </si>
  <si>
    <t>Kiwifruit are climacteric fruit, so they must be harvested before they are fully ripe, allowing for the extension of their shelf-life via cold storage. Therefore, an adequate knowledge about how ethylene-induced fruit senescence is required to avoid significant economic losses. The main goal of the present study was to investigate the kiwifruit ripening process at the physiological and molecular levels by RNA-seq after 1-methylcyclopropene (1-MCP, ethylene inhibitor) and Ethrel (R) (ethylene stimulator) treatments. The results showed that Ethrel (R) (ethephon) treatment induced more accelerated fruit ripening, leading to rapid fruit senescence, meanwhile 1-MCP caused a slowing flesh softening, and thus a longer shelf-life period. The RNA-seq was carried out on the fruit after 4 and 13 days, considering day 4 as the most determinant in terms of differentially expressed genes (DEGs). The sequencing achieved 70.7% alignment with the 'Hongyang' genome, obtaining 18,036 DEGs. The protein-protein interaction (PPI) network shows the interaction between different pathways in two main clusters: (1) pentose and glucoronate interconversions, citrate cycle, glycolysis and gluconeogenesis or starch, and sucrose metabolism and (2) porphyrin and chlorophyll metabolism. The first cluster is mainly interconnected by G6PD1 (pentose pathway); E1 ALPHA and ACLB-2 (citrate cycle); Achn209711 (pentose and glucoronate); LOS2 (glycolysis); HKL1 and HXK1 (glycolysis-starch and sucrose); and PHS2 (starch and sucrose). In the second cluster, GUN5 through PORA is interacting with CRD1 and NYC1 which were overexpressed by 1-MCP in the porphyrin and chlorophyll metabolism. In addition, genes linked to PSBY and PSBP photosynthesis-linked proteins in photosystem 2 were overexpressed by 1-MCP which is undoubtedly related to chlorophyll degradation and fruit senescence. These results suggest that in kiwifruit, the main pathways that are regulated by ethylene-induced senescence comprise sugar catabolism and chlorophyll degradation.</t>
  </si>
  <si>
    <t>Zapata, Patricio/JAC-7460-2023; Infante, Rodrigo/D-6449-2015; Shinya, Paulina/H-9468-2013; Infante, Rodrigo/E-8181-2013; Pacheco, Igor/A-8507-2015; SALAZAR, JUAN/U-9718-2018</t>
  </si>
  <si>
    <t>Infante, Rodrigo/0000-0001-5179-7038; Pacheco, Igor/0000-0001-5057-0464; Silva-Andrade, claudia/0000-0002-8973-6051; Gonzalez, Makarena/0000-0002-9898-9042; SALAZAR, JUAN/0000-0003-0380-076X</t>
  </si>
  <si>
    <t>1614-2942</t>
  </si>
  <si>
    <t>1614-2950</t>
  </si>
  <si>
    <t>10.1007/s11295-021-01493-z</t>
  </si>
  <si>
    <t>WOS:000613891100002</t>
  </si>
  <si>
    <t>Vilchez, NV; Sandoval, AF; Chacana, HG; Fuentes, CC; Yañez, SM; Gálvez, CP; Aro, CEP</t>
  </si>
  <si>
    <t>Vergara Vilchez, Norma; Fuentes Sandoval, Alba; Chacana, Hector Gonzales; Cadagan Fuentes, Cynthia; Morales Yanez, Solange; Poblete Galvez, Carolina; Poblete Aro, Carlos Emilio</t>
  </si>
  <si>
    <t>Effect of dance on improving self-esteem and self-concept in children and adolescents: A review</t>
  </si>
  <si>
    <t>Adolescence is a transition period, between childhood and adulthood, in which physical, emotional, and biopsychosocial changes occur that generate instability and uncertainty. Sometimes this can lead to the development of low self-esteem as a result of a self-concept or self-perception biased by life contexts. This can have negative consequences for school life, either due to poor coexistence with peers, developing little confidence to expose negative ideas or feelings towards their own person among others. Dance and its effects on the self-perception of adolescents will be addressed in this article based on a bibliographic review investigation carried out in various databases that aimed to identify those articles that could help us determine in particular the effect of dance on Self-perception and self-esteem in intervention programs, that is, on the basis of experiences beyond theory. Of the result, 5 articles refer specifically to the proposed objective, which reinforces the idea of the role of this type of practice in the school stage and a series of considerations to be mentioned in this article. Questions also arise about the scarcity of research of this type in this area and the importance of including multifactor analysis in the development of self-esteem and self-concept.</t>
  </si>
  <si>
    <t>Poblete, Carlos/HOF-8260-2023</t>
  </si>
  <si>
    <t>WOS:000601168100042</t>
  </si>
  <si>
    <t>Rozas, BA; Rodríguez, MM; Isea, JW; Pareja, BL; Urra, JV</t>
  </si>
  <si>
    <t>Abarca Rozas, Bastian; Mestas Rodriguez, Manuel; Widerstrom Isea, Jorge; Lobos Pareja, Beatriz; Vargas Urra, Jocelyn</t>
  </si>
  <si>
    <t>A current view on the early diagnosis and treatment of acute kidney failure</t>
  </si>
  <si>
    <t>MEDWAVE</t>
  </si>
  <si>
    <t>Acute kidney injury is a syndrome characterized by a sudden, sustained, and potentially reversible decrease in glomerular filtration rate and tubular function, which globally impacts renal function. It comprises a series of events starting with the presence of risk factors, then evolving towards acute kidney injury progression, characterized by stress, injury, and renal failure, culminating with either the use of renal replacement therapy or demise. Currently, the use of biomarkers that differentiate between the initial functional deterioration and late-onset structural damage of the kidney enables the clinician to diagnose early and indicate treatment before the stages of acute kidney injury progression are established, thus improving the survival rates.</t>
  </si>
  <si>
    <t>Abarca Rozas, Bastian/0000-0002-7643-9496</t>
  </si>
  <si>
    <t>0717-6384</t>
  </si>
  <si>
    <t>e7928</t>
  </si>
  <si>
    <t>10.5867/medwave.2020.05.7928</t>
  </si>
  <si>
    <t>WOS:000544228000007</t>
  </si>
  <si>
    <t>Cerda, FMC; Hernández, EI; Ros-Yanez, T; Petrov, RH</t>
  </si>
  <si>
    <t>Castro Cerda, F. M.; Hernandez, E. I.; Ros-Yanez, T.; Petrov, R. H.</t>
  </si>
  <si>
    <t>Isothermal Phase Transformations in a Low Carbon Steel During Single and Two-Step Partitioning</t>
  </si>
  <si>
    <t>METALLURGICAL AND MATERIALS TRANSACTIONS A-PHYSICAL METALLURGY AND MATERIALS SCIENCE</t>
  </si>
  <si>
    <t>Single and two-step heat treatments were performed on hot-rolled 0.2C-2Mn-1.4Si-0.3Mo steel. The microstructure was characterized by means of optical and scanning electron microscopy and X-ray diffraction measurements. The results showed that the main microstructural components are tempered martensite, bainite, and retained austenite. The thermodynamic analysis showed that the constrained carbon equilibrium in the presence of cementite CCE theta model fits the experimental data for the isothermal heat treatment at a temperature well below the M-S. Neither of the existing models for predicting the equilibrium between martensite and austenite (i.e., constrained carbon equilibrium CCE and CCE theta) seems to predict the measured austenitic carbon content nearby the M-S, which might indicate that local equilibrium (LE) conditions during bainitic transformation govern the final stage of both single and two-phase heat treatments.</t>
  </si>
  <si>
    <t>Petrov, Roumen/A-5066-2008; Castro Cerda, Felipe Manuel/Q-2714-2016</t>
  </si>
  <si>
    <t>Castro Cerda, Felipe Manuel/0000-0001-8126-5593; Petrov, Roumen/0000-0003-0551-9058</t>
  </si>
  <si>
    <t>1073-5623</t>
  </si>
  <si>
    <t>1543-1940</t>
  </si>
  <si>
    <t>10.1007/s11661-020-05643-1</t>
  </si>
  <si>
    <t>FEB 2020</t>
  </si>
  <si>
    <t>WOS:000515836900001</t>
  </si>
  <si>
    <t>Jirón, I; Gutiérrez, S; Soto, I; Carrasco, R</t>
  </si>
  <si>
    <t>Jiron, Ivan; Gutierrez, Sebastian; Soto, Ismael; Carrasco, Raul</t>
  </si>
  <si>
    <t>Reed-Solomon codes over Galois fields of characteristic 3 for a VLC channel</t>
  </si>
  <si>
    <t>In this paper, we show that the Reed-Solomon codes built on a Galois field of characteristic 3, can be used in transmission through a visible light communication (VLC) channel, due to the information can be encoded using the colors red, green and blue. This allows us to efficiently use a VLC channel, since we can directly use the arithmetic of a Galois field of characteristic 3, and we avoid the conversion of non-binary to binary operations. Further, we show the results of our simulations for Reed-Solomon codes built on Galois fields of characteristic 3 and 2, in which we estimate a difference of 1.7 dB between these codes.</t>
  </si>
  <si>
    <t>JIRON, IVAN/AAG-7462-2019; Carrasco, Raul/G-5440-2015</t>
  </si>
  <si>
    <t>Carrasco, Raul/0000-0002-5023-9349; Gutierrez Lillo, Sebastian/0000-0003-3714-0632</t>
  </si>
  <si>
    <t>10.1109/sacvlc50805.2020.9129896</t>
  </si>
  <si>
    <t>WOS:000856038700003</t>
  </si>
  <si>
    <t>Morales-Lange, B; Guzmán, E; Lagos, L; Overland, M; Nombela, I; Ortega-Villaizán, M; Imarai, M; Maisey, K; Wong, V; Mercado, L</t>
  </si>
  <si>
    <t>Morales-Lange, B.; Guzman, E.; Lagos, L.; Overland, M.; Nombela, I.; Ortega-Villaizan, M.; Imarai, M.; Maisey, K.; Wong, V.; Mercado, L.</t>
  </si>
  <si>
    <t>Cell surface markers for the identification of subpopulations of splenocytes from salmonids</t>
  </si>
  <si>
    <t>FISH &amp; SHELLFISH IMMUNOLOGY</t>
  </si>
  <si>
    <t>Del Mar Ortega-villaizan Romo, Maria/Q-9233-2018; Maisey, Kevin/AAP-2886-2021</t>
  </si>
  <si>
    <t>Maisey, Kevin/0000-0002-7423-6329</t>
  </si>
  <si>
    <t>1050-4648</t>
  </si>
  <si>
    <t>1095-9947</t>
  </si>
  <si>
    <t>P-017</t>
  </si>
  <si>
    <t>10.1016/j.fsi.2019.04.086</t>
  </si>
  <si>
    <t>WOS:000474676700059</t>
  </si>
  <si>
    <t>Singh, RK; Kumar, R; Singh, DP; Savu, R; Moshkalev, SA</t>
  </si>
  <si>
    <t>Singh, R. K.; Kumar, R.; Singh, D. P.; Savu, R.; Moshkalev, S. A.</t>
  </si>
  <si>
    <t>Progress in microwave-assisted synthesis of quantum dots (graphene/carbon/semiconducting) for bioapplications: a review</t>
  </si>
  <si>
    <t>MATERIALS TODAY CHEMISTRY</t>
  </si>
  <si>
    <t>Quantum dots (QDs) are small nanometer-sized (&lt;10 nm) pure or composite materials with excellent novel properties, thus making them interesting and emerging candidates for new and exceptional applications in biomaterials research fields. As emerging members of QDs, carbon (especially, carbon QDs and graphene QDs) and semiconducting QDs have attracted greater attention owing to their excellent properties, unique size, versatile surface, and biocompatibility with nanotechnology. In this work, a comprehensive overview on the possibilities and achievements in the field of carbon and semiconducting QDs obtained by only microwave (MW)-assisted for biomedical purposes is provided. This specific literature review provides knowledge about MW-assisted synthesis and some selected bioapplication of carbon and semiconducting QDs. Currently, the MW-assisted fabrication of QDs represents a growing research field in nanomaterial research. MW-assisted approach for QD synthesis has been studied in details as this approach has several advantages such as uniform distribution of energy inside the reaction vessel, shorter reaction times, environmentally friendly and energy-saving technique, high reproducibility, and excellent control over experimental parameters. Also, a comprehensive overview is provided in this review, which contains the possibilities and achievements using MW-assisted heating approaches. This article updates the latest synthesis progress as well as applications and also comments all the challenges and perspective in this emerging research area. (C) 2019 Elsevier Ltd. All rights reserved.</t>
  </si>
  <si>
    <t>Kumar, Dr. Rajesh/H-6510-2011; Moshkalev, Stanislav/B-9462-2012; Savu, Raluca/N-2609-2016; Singh, Rajesh kumar/B-2721-2008; SINGH, DINESH/A-2509-2011</t>
  </si>
  <si>
    <t>Savu, Raluca/0000-0001-9866-3598; Singh, Rajesh kumar/0000-0001-8884-8775; Kumar, Rajesh/0000-0001-7065-3259; SINGH, DINESH/0000-0002-2893-7749; Moshkalev, Stanislav/0000-0002-6973-506X</t>
  </si>
  <si>
    <t>2468-5194</t>
  </si>
  <si>
    <t>10.1016/j.mtchem.2019.03.001</t>
  </si>
  <si>
    <t>WOS:000470901900024</t>
  </si>
  <si>
    <t>Conejero, JA; Lizama, C; Murillo-Arcila, M; Seoane-Sepúlveda, JB</t>
  </si>
  <si>
    <t>Alberto Conejero, J.; Lizama, Carlos; Murillo-Arcila, Marina; Seoane-Sepulveda, Juan B.</t>
  </si>
  <si>
    <t>Well-posedness for degenerate third order equations with delay and applications to inverse problems</t>
  </si>
  <si>
    <t>ISRAEL JOURNAL OF MATHEMATICS</t>
  </si>
  <si>
    <t>In this paper, we study well-posedness for the following third-order in time equation with delay</t>
  </si>
  <si>
    <t>Conejero, J. Alberto/A-8589-2008; Lizama, Carlos/E-5909-2011; Murillo, Marina/ABI-7284-2020; Seoane Sepulveda, Juan/D-2249-2009</t>
  </si>
  <si>
    <t>murillo arcila, marina/0000-0001-6589-0452; Seoane Sepulveda, Juan/0000-0003-0799-707X; Conejero, J. Alberto/0000-0003-3681-7533</t>
  </si>
  <si>
    <t>0021-2172</t>
  </si>
  <si>
    <t>1565-8511</t>
  </si>
  <si>
    <t>10.1007/s11856-018-1796-8</t>
  </si>
  <si>
    <t>WOS:000457585900009</t>
  </si>
  <si>
    <t>Pizarro, A; Abarca, G; Gutiérrez-Cerón, C; Cortés-Arriagada, D; Bernardi, F; Berrios, C; Silva, JF; Rezende, MC; Zagal, JH; Oñate, R; Ponce, I</t>
  </si>
  <si>
    <t>Pizarro, Ana; Abarca, Gabriel; Gutierrez-Ceron, Cristian; Cortes-Arriagada, Diego; Bernardi, Fabiano; Berrios, Cristhian; Silva, Juan F.; Rezende, Marcos C.; Zagal, Jose H.; Onate, Ruben; Ponce, Ingrid</t>
  </si>
  <si>
    <t>Building Pyridinium Molecular Wires as Axial Ligands for Tuning the Electrocatalytic Activity of Iron Phthalocyanines for the Oxygen Reduction Reaction</t>
  </si>
  <si>
    <t>ACS CATALYSIS</t>
  </si>
  <si>
    <t>We have been able to tune the electrocatalytic activity of iron phthalocyanine (FePc) and iron hexadodeca-chlorophthalocyanine (16(Cl)FePc) for the oxygen reduction reaction (ORR) by manipulating the pull effect of pyridinium molecules axially bounded to the phthalocyanine complexes (FePcs). These axial ligands play both the role of molecular anchors and also of molecular wires. The axial ligands also affect the reactivity of the Fe metal center in the phthalocyanine. The pull effect originates from the positive charge located on the pyridinium core. We have explored the influence of the core positions (Up or Down), in two structural pyridiniums isomers on the activity of FePc and 16(Cl)FePc for the ORR. Of all self-assembled catalysts tested, the highest catalytic activity was exhibited by the Au(111)/Up/FePc system. XPS measurements and DFT calculations showed that it is possible to tailor the FePc-N(pyridiniums) Fe-O-2 binding energies, by changing the core positions and affecting the pull effect of pyridiniums. This affects directly the catalytic activity of FePcs. The plot of activity as (log I)(E) versus the calculated Fe-O-2 binding energies gives an activity volcano correlation, indicating that an optimum binding energy of O-2 with the Fe center provides the highest activity.</t>
  </si>
  <si>
    <t>Ponce, Ingrid/L-9679-2014; zagal, jose/L-9648-2014; Abarca, Gabriel/O-3451-2019; Caroli, Marcos/H-3570-2019; Bernardi, Fabiano/G-2450-2012; Cortés-Arriagada, Diego/J-5940-2019; Abarca Anjari, Gabriel/L-4006-2016; Gutierrez Ceron, Cristian/O-7236-2018</t>
  </si>
  <si>
    <t>Ponce Hormazabal, Ingrid/0000-0002-3896-9576; Abarca Anjari, Gabriel/0000-0001-8477-2275; Gutierrez Ceron, Cristian/0000-0001-6078-1572; Rezende, Marcos/0000-0003-2040-9009; Bernardi, Fabiano/0000-0001-6817-6860; Cortes-Arriagada, Diego/0000-0002-6709-1723</t>
  </si>
  <si>
    <t>2155-5435</t>
  </si>
  <si>
    <t>10.1021/acscatal.8b01479</t>
  </si>
  <si>
    <t>WOS:000444364800070</t>
  </si>
  <si>
    <t>Boltana, S; Aguilar, A; Sanhueza, N; Donoso, A; Mercado, L; Imarai, M; Mackenzie, S</t>
  </si>
  <si>
    <t>Boltana, Sebastian; Aguilar, Andrea; Sanhueza, Nataly; Donoso, Andrea; Mercado, Luis; Imarai, Monica; Mackenzie, Simon</t>
  </si>
  <si>
    <t>Behavioral Fever Drives Epigenetic Modulation of the Immune Response in Fish</t>
  </si>
  <si>
    <t>FRONTIERS IN IMMUNOLOGY</t>
  </si>
  <si>
    <t>Ectotherms choose the best thermal conditions to mount a successful immune response, a phenomenon known as behavioral fever. The cumulative evidence suggests that behavioral fever impacts positively upon lymphocyte proliferation, inflammatory cytokine expression, and other immune functions. In this study, we have explored how thermal choice during infection impacts upon underpinning molecular processes and how temperature increase is coupled to the immune response. Our results show that behavioral fever results in a widespread, plastic imprint on gene regulation, and lymphocyte proliferation. We further explored the possible contribution of histone modification and identified global associations between temperature and histone changes that suggest epigenetic remodeling as a result of behavioral fever. Together, these results highlight the critical importance of thermal choice in mobile ectotherms, particularly in response to an infection, and demonstrate the key role of epigenetic modification to orchestrate the thermocoupling of the immune response during behavioral fever.</t>
  </si>
  <si>
    <t>Boltana, Sebastian/AAC-8944-2019; MacKenzie, Simon/Q-2362-2019</t>
  </si>
  <si>
    <t>Donoso-Youlton, Andrea/0000-0002-8459-0137; Mercado, Luis/0000-0003-3883-5188; Sanhueza, Nataly/0000-0002-1761-1268; Boltana, Sebastian/0000-0002-5195-0490</t>
  </si>
  <si>
    <t>1664-3224</t>
  </si>
  <si>
    <t>JUN 4</t>
  </si>
  <si>
    <t>10.3389/fimmu.2018.01241</t>
  </si>
  <si>
    <t>WOS:000434044400002</t>
  </si>
  <si>
    <t>Ramírez-Vélez, R; Tordecilla-Sanders, A; Correa-Bautista, JE; González-Ruíz, K; González-Jiménez, E; Triana-Reina, HR; García-Hermoso, A; Schmidt-RioValle, J</t>
  </si>
  <si>
    <t>Ramirez-Velez, Robinson; Tordecilla-Sanders, Alejandra; Enrique Correa-Bautista, Jorge; Gonzalez-Ruiz, Katherine; Gonzalez-Jimenez, Emilio; Reynaldo Triana-Reina, Hector; Garcia-Hermoso, Antonio; Schmidt-RioValle, Jacqueline</t>
  </si>
  <si>
    <t>Validation of multi-frequency bioelectrical impedance analysis versus dual-energy X-ray absorptiometry to measure body fat percentage in overweight/obese Colombian adults</t>
  </si>
  <si>
    <t>AMERICAN JOURNAL OF HUMAN BIOLOGY</t>
  </si>
  <si>
    <t>ObjectivesTo verify the validity of multi-frequency bioelectrical impedance analysis (mBCA) for predicting body fat percentage (BF%) in overweight/obese adults using dual-energy X-ray absorptiometry (DXA) as the reference method. MethodsForty-eight adults participated (54% women, mean age=41.07.3 years old). The Pearson's correlation coefficient was used to evaluate the correlation between BIA and BF% assessed by DXA. The concordance between BF% measured by both methods was obtained with Lin's concordance correlation coefficient and Bland-Altman difference plots. ResultsMeasures of BF% were estimated as 39.0 (SD=6.1) and 38.3 (SD=6.5) using DXA and mBCA, respectively. The Pearson's correlation coefficient reflected a strong correlation (r =.921, P=.001). The paired t-test showed a significant mean difference between these methods for obese men BF% of -0.6 [(SD 1.95; 95% CI=-4.0 to 3.0), P =.037]. Overall, the bias of the mBCA was -0.6 [(SD 2.2; 95% CI=-5.0 to 3.7), P =.041], which indicated that the mBCA method significantly underestimated BF% in comparison to the reference method. Finally, in both genders, Lin's concordance correlation coefficient showed a strong agreement. More specifically the DXA value was c=0.943 (95% CI=0.775 to 0.950) and the mBCA value was c=0.948 (95% CI=0.778 to 0.978). ConclusionsOur analysis showed a strong agreement between the two methods as reflected in the range of BF%. These results show that mBCA and DXA are comparable methods for measuring body composition with higher body fat percentages. However, due to broad limits of agreement, we can only recommend mBCA for groups of populations.</t>
  </si>
  <si>
    <t>Triana-Reina, Héctor/JMP-5055-2023; Correa-Bautista, Jorge Enrique/JDD-3131-2023; González-Ruíz, Katherine/CAA-4624-2022; García-Hermoso, Antonio/ADU-2591-2022; Tordecilla-Sanders, Alejandra/O-6276-2017; Correa-Bautista, Jorge Enrique/N-2741-2015; Schmidt-Riovalle, Jacqueline/I-6333-2017; Gonzalez-Jimenez, Emilio/I-6039-2017; Ramirez-Velez, Robinson/D-5311-2016; Garcia-Hermoso, Antonio/P-1857-2017</t>
  </si>
  <si>
    <t>Tordecilla-Sanders, Alejandra/0000-0002-7461-8124; Correa-Bautista, Jorge Enrique/0000-0002-0646-2316; Schmidt-Riovalle, Jacqueline/0000-0003-2775-0058; Gonzalez-Jimenez, Emilio/0000-0001-5103-6028; Gonzalez-Ruiz, Katherine/0000-0001-7518-0761; Ramirez-Velez, Robinson/0000-0003-3075-6960; TRIANA-REINA, HECTOR REYNALDO/0000-0002-6334-7082; Garcia-Hermoso, Antonio/0000-0002-1397-7182</t>
  </si>
  <si>
    <t>1042-0533</t>
  </si>
  <si>
    <t>1520-6300</t>
  </si>
  <si>
    <t>e23071</t>
  </si>
  <si>
    <t>10.1002/ajhb.23071</t>
  </si>
  <si>
    <t>WOS:000423372100018</t>
  </si>
  <si>
    <t>Venegas, R; Recio, FJ; Riquelme, J; Neira, K; Marco, JF; Ponce, I; Zagal, JH; Tasca, F</t>
  </si>
  <si>
    <t>Venegas, Ricardo; Recio, Francisco J.; Riquelme, Jorge; Neira, Karinna; Marco, Jose F.; Ponce, Ingrid; Zagal, Jose H.; Tasca, Federico</t>
  </si>
  <si>
    <t>Biomimetic reduction of O2 in an acid medium on iron phthalocyanines axially coordinated to pyridine anchored on carbon nanotubes</t>
  </si>
  <si>
    <t>JOURNAL OF MATERIALS CHEMISTRY A</t>
  </si>
  <si>
    <t>An efficient and inexpensive catalyst for the oxygen reduction reaction (ORR) is the key missing component for large-scale development of fuel cells. Bio-inspired tethered electrocatalysts could be the solution to this problematic reaction. Either unsubstituted Fe phthalocyanine (FePc) or Fe hexadecachloro-phthalocyanine (16(Cl) FePc) was anchored to carbon nanotubes (CNTs) via a pyridine axial ligand. The results show that the fifth coordination plays a major role in increasing the catalytic activity of FePc and 16(Cl) FePc for the ORR. The coordination also allows the decoupling of the metal centre from the carbon support, thus changing the geometrical and electronic structure and hindering the production of H2O2. The pentacoordinated catalysts were stable in acidic pH according to the rotating disk analysis, but the activity of the hexadecachloro compound was not higher than that of the unsubstituted phthalocyanine. Cl atoms reduced the coupling between O-2 and Fe, mismatching the energy of the frontier orbitals and lowering the activity towards the reduction of O-2.</t>
  </si>
  <si>
    <t>Ponce, Ingrid/L-9679-2014; zagal, jose/L-9648-2014; Venegas, Ricardo/U-6376-2019; Tasca, Federico/J-4134-2015; Recio, Francisco/AAB-2148-2020; Marco, JF/N-3176-2014</t>
  </si>
  <si>
    <t>Recio, Francisco/0000-0002-5181-3197; Marco, JF/0000-0002-5147-1449; Neira Leon, Karinna/0009-0001-4143-9402; Tasca, Federico/0000-0002-4111-4624; Ponce Hormazabal, Ingrid/0000-0002-3896-9576; Venegas, Ricardo/0000-0001-7440-484X</t>
  </si>
  <si>
    <t>2050-7488</t>
  </si>
  <si>
    <t>2050-7496</t>
  </si>
  <si>
    <t>JUN 28</t>
  </si>
  <si>
    <t>10.1039/c7ta02381b</t>
  </si>
  <si>
    <t>WOS:000403664800009</t>
  </si>
  <si>
    <t>Sánchez, J; Rivas, BL; Moutet, JC; Oyarzún, DP</t>
  </si>
  <si>
    <t>Sanchez, Julio; Rivas, Bernabe L.; Moutet, Jean-Claude; Oyarzun, Diego P.</t>
  </si>
  <si>
    <t>FERROCENYL ALKYLAMMONIUM N-SUBSTITUTED POLYPYRROLE CONTAINING Pt AND Pd AND ITS APPLICATION ON ELECTROANALYSIS OF ARSENITE</t>
  </si>
  <si>
    <t>Arsenic occurs in a variety of forms and oxidation states and is a very toxic element. The main inorganic arsenic species present in natural waters are arsenate (oxidation state V) and arsenite ions (oxidation state III). Arsenite is more toxic and mobile than arsenate. Therefore, it is important the development of new materials for analysis and control of these toxic species. This research proves that polymer-metal composite electrode materials synthesized by incorporation of Pt-0 and Pd-0 nanoparticles into a poly(pyrrole-ferrocenyl alkylammonium) matrix present electrocatalytic properties towards the oxidation of arsenite to arsenate. The polymer films displayed a stable electrochemical response in aqueous solution. However, when the polymer film modified electrode were transferred to aqueous solution in presence of arsenite anions, the CV curves for polymer films were deeply modified by the decrease in the electroactivity of the film. It can be concluded that the cationic polymer films present a strong affinity toward arsenite anions. The composite films containing Pt-0 or Pd-0 showed catalytic activity towards oxidation of As(III) to As(V) due to the presence of metal catalyst particles into the polymer films.</t>
  </si>
  <si>
    <t>Oyarzun, Diego/MTF-4062-2025; Sanchez, Julio/AEO-4360-2022; moutet, jean-claude/B-1086-2013; Rivas, Bernabé/D-9945-2015</t>
  </si>
  <si>
    <t>Sanchez, Julio/0000-0003-4245-0096</t>
  </si>
  <si>
    <t>10.4067/S0717-97072016000400025</t>
  </si>
  <si>
    <t>WOS:000393079900025</t>
  </si>
  <si>
    <t>Aguilera, Y; Avelino, A; Cruz, N; Lepe, S; Peña, F</t>
  </si>
  <si>
    <t>Aguilera, Yeremy; Avelino, Arturo; Cruz, Norman; Lepe, Samuel; Pena, Francisco</t>
  </si>
  <si>
    <t>DGP cosmological model with generalized Ricci dark energy</t>
  </si>
  <si>
    <t>EUROPEAN PHYSICAL JOURNAL C</t>
  </si>
  <si>
    <t>The brane-world model proposed by Dvali, Gabadadze and Porrati (DGP) leads to an accelerated universe without cosmological constant or other form of dark energy for the positive branch (is an element of = +1). For the negative branch (is an element of = -1) we have investigated the behavior of a model with an holographic Ricci-like dark energy and dark matter, where the IR cutoff takes the form alpha H-2 + beta(H) over dot, H being the Hubble parameter and alpha, beta positive constants of the model. We perform an analytical study of the model in the late-time dark energy dominated epoch, where we obtain a solution for r(c)H(z), where r(c) is the leakage scale of gravity into the bulk, and conditions for the negative branch on the holographic parameters alpha and beta, in order to hold the conditions of weak energy and accelerated universe. On the other hand, we compare the model versus the late-time cosmological data using the latest type Ia supernova sample of the Joint Light-curve Analysis (JLA), in order to constrain the holographic parameters in the negative branch, as well as r(c)H(0) in the positive branch, where H-0 is theHubble constant. We find that the model has a good fit to the data and that the most likely values for (r(c)H(0), alpha, beta) lie in the permitted region found from an analytical solution in a dark energy dominated universe. We give a justification to use a holographic cutoff in 4D for the dark energy in the 5-dimensional DGP model. Finally, using the Bayesian Information Criterion we find that this model is disfavored compared with the flat Lambda CDM model.</t>
  </si>
  <si>
    <t>1434-6044</t>
  </si>
  <si>
    <t>1434-6052</t>
  </si>
  <si>
    <t>NOV 28</t>
  </si>
  <si>
    <t>10.1140/epjc/s10052-014-3172-0</t>
  </si>
  <si>
    <t>WOS:000347178600001</t>
  </si>
  <si>
    <t>Castro-Rodriguez, JA; Garcia-Marcos, L; Sanchez-Solis, M; Pérez-Fernández, V; Martinez-Torres, A; Mallol, J</t>
  </si>
  <si>
    <t>Castro-Rodriguez, Jose A.; Garcia-Marcos, Luis; Sanchez-Solis, Manuel; Perez-Fernandez, Virginia; Martinez-Torres, Antonela; Mallol, Javier</t>
  </si>
  <si>
    <t>Olive Oil During Pregnancy Is Associated With Reduced Wheezing During the First Year of Life of the Offspring</t>
  </si>
  <si>
    <t>PEDIATRIC PULMONOLOGY</t>
  </si>
  <si>
    <t>Objective: latest the hypothesis that consuming Mediterranean diet and using olive oil for cooking/dressing salads during pregnancy might be associated with less wheezing during the first year of the offspring's life. Methods: A study was conducted in 1,409 infants (mean age, 16.6 +/- 2.5 months) attending healthy infant clinics in Spain. Dietary data of mothers' intake during pregnancy was collected by means of a parental food frequency questionnaire. Demographic information and data on wheezing during the first year of the offspring's life were also recorded. Infants were stratified according to any wheezing (42.2%) during the first year of life. Results: In the univariate analysis, adherence to a Mediterranean diet and using olive oil for cooking/dressing salads during pregnancy were both significantly associated with less wheezing during the first year of life. However, after multivariate analysis, only olive oil consumption during pregnancy remained associated with less wheezing in the studied period (aOR = 0.57 [95% CI = 0.4-0.9]); whereas male gender (1.8 [1.4-2.3]), day care attendance (2.15 [1.5-3.1]), maternal asthma (2.16 [1.3-3.6]), maternal smoking during pregnancy (1.83 [1.3-2.2]), infant eczema (1.95 [1.3-2.9]), and mould stains on the household walls (1.72 [1.2-2.5]) remained associated with wheezing. Conclusion: Our findings suggest a protective effect (primary prevention) of olive oil use during pregnancy on wheezing during the first year of the offspring's life. Pediatr Pulmonol. 2010; 45:395-402. (C) 2010 Wiley-Liss, Inc.</t>
  </si>
  <si>
    <t>Perez-Fernandez, Virginia/AAA-5690-2019; Sanchez-Solis, Manuel/AAQ-8717-2020; Castro-Rodriguez, Jose/ABA-2760-2021</t>
  </si>
  <si>
    <t>Perez-Fernandez, Virginia/0000-0003-1877-3055; Mallol, Javier/0000-0003-2528-8672; Sanchez-Solis, Manuel/0000-0001-9642-0613; Castro-Rodriguez, Jose A./0000-0002-0708-4281; Garcia-Marcos, Luis/0000-0002-0925-3851</t>
  </si>
  <si>
    <t>8755-6863</t>
  </si>
  <si>
    <t>1099-0496</t>
  </si>
  <si>
    <t>10.1002/ppul.21205</t>
  </si>
  <si>
    <t>WOS:000276769700012</t>
  </si>
  <si>
    <t>López, R; Loeb, B; Striplin, D; Devenney, M; Omberg, K; Meyer, TJ</t>
  </si>
  <si>
    <t>Tuning the excited states in fac-[Re(X2dppz)(CO)3(L)]:: Intraligand, charge transfer or both?</t>
  </si>
  <si>
    <t>Excited state lifetime measurements - emission, emission lifetime and Resonance Raman - have been conducted on the series fac-[Re(X(2)dppz)(CO)(3)(L)](0,+) (L = Cl-, 4-ethylpyridine (4-Etpy), 4,4'-bipyridine (4,4'-bpy)), with the X(2)dppz substituted dipyrido[3,2-a:2',3'-c] phenazine ligands (X = CH3 and Cl). The results are consistent with closely lying excited states, with pipi* lowest, but MLCT contributing significantly to excited state lifetimes for the neutral complexes. fac-[Re(Cl(2)dppz)(CO)(3)Cl] appears to undergo a crossover from lowest pipi* to lowest MLCT through the glass to fluid transition.</t>
  </si>
  <si>
    <t>Omberg, Kristin/I-5972-2013</t>
  </si>
  <si>
    <t>Loeb, Barbara/0000-0003-0799-6288</t>
  </si>
  <si>
    <t>WOS:000221509600009</t>
  </si>
  <si>
    <t>Ponce, J; Ríos, E; Rehspringer, JL; Poillerat, G; Chartier, P; Gautier, JL</t>
  </si>
  <si>
    <t>Preparation of nickel aluminum-manganese spinel oxides NixAl1-xMn2O4 for oxygen electrocatalysis in alkaline medium:: Comparison of properties stemming from different preparation methods</t>
  </si>
  <si>
    <t>JOURNAL OF SOLID STATE CHEMISTRY</t>
  </si>
  <si>
    <t>Two different procedures were used to prepare spinel-type NixAl1-xMn2O4 (0 less than or equal to x less than or equal to 1) compounds to study the effects of solid state properties of mixed oxides on their electrocatalytic properties, The oxalic route, coprecipitation of metal oxalates dissolved in propanol or ethanol, and the propionic route, hydrolysis of metal carboxylates in propionic acid, have been used, In both routes, thermal decomposition produces the corresponding oxides. X-ray diffraction patterns showed that the oxides crystallize in a;cubic spinel phase with a unit cell parameter a that increases as aluminum is replaced by nickel. At low x values, compounds prepared by the propionic route showed a larger variation for parameter a than compounds prepared by the oxalic route, probably due to oxygen stoichiometric deficiency, This effect was estimated from the tetrahedral force constant (k(t)) values, which showed a fast decrease as x varied from 0 to 1, Electrical conductivity, conduction activation energy, hole mobility, and pHz of oxides prepared by the propionic route were also higher than those from oxides prepared by the oxalic route. Crystallinity grade and particle size were nearly 50% higher in propionic-route samples than in oxalic-route samples, The apparent and real electrocatalytic activities of both types of oxides were compared for O-2 evolution. (C) 1999 Academic Press.</t>
  </si>
  <si>
    <t>Rehspringer, Jean-Luc/0000-0002-8997-958X</t>
  </si>
  <si>
    <t>0022-4596</t>
  </si>
  <si>
    <t>1095-726X</t>
  </si>
  <si>
    <t>10.1006/jssc.1999.8162</t>
  </si>
  <si>
    <t>WOS:000081139700004</t>
  </si>
  <si>
    <t>Benavides, GEC; Duarte-Mermoud, MA; Orchard, ME; Travieso-Torres, JC</t>
  </si>
  <si>
    <t>Benavides, Gustavo E. Ceballos E.; Duarte-Mermoud, Manuel A. A.; Orchard, Marcos E. E.; Travieso-Torres, Juan Carlos</t>
  </si>
  <si>
    <t>Pitch Angle Control of an Airplane Using Fractional Order Direct Model Reference Adaptive Controllers</t>
  </si>
  <si>
    <t>FRACTAL AND FRACTIONAL</t>
  </si>
  <si>
    <t>This paper deals with the longitudinal movement control of an airplane (pitch angle) using fractional order adaptive controllers (FOACs). It shows the improvements achieved in the plane's behavior, in terms of the minimization of a given performance index. At the same time, less control effort is needed to accomplish the control objectives compared with the classic integer order adaptive controllers (IOACs). In this study, fractional order direct model reference adaptive control (FO-DMRAC) is implemented at the simulation level, and exhibits a better performance compared with the classic integer order (IO) version of the DMRAC (IO-DMRAC). It is also shown that the proposed control strategy for FO-DMRAC reduces the resultant system control structure down to a relative degree 2 system, for which the control implementation is simpler and avoids oscillations during the transient period. Moreover, it is interesting to note that this is the first time that an FOAC with fractional adaptive laws is applied to the longitudinal control of an airplane. A suitable model for the longitudinal movement of the airplane related to the pitch angle theta as the output variable with the lifter angle (delta e) as the control variable, is first analyzed and discussed to obtain a reliable mathematical model of the plane. All of the other input variables acting on the plane are considered as perturbations. For certain operating conditions defined by the flight conditions, an FO-DMRAC is designed, simulated, and analyzed. Furthermore, a comparison with the implementation of the classical adaptive general direct control (relative degree &gt;= 2) is presented. The boundedness and convergence of all of the signals are theoretically proven based on the new Lemma 3, assuring the boundedness of all internal signals omega(t).</t>
  </si>
  <si>
    <t>Ceballos, Gustavo/LMO-8771-2024; Travieso Torres, Juan Carlos/N-6437-2019; Orchard, Marcos/H-4418-2013; Duarte-Mermoud, Manuel A./I-2693-2013</t>
  </si>
  <si>
    <t>Orchard, Marcos/0000-0003-4778-2719; Ceballos, Gustavo/0000-0002-5707-2967; Duarte-Mermoud, Manuel A./0000-0003-2367-4553</t>
  </si>
  <si>
    <t>2504-3110</t>
  </si>
  <si>
    <t>10.3390/fractalfract7040342</t>
  </si>
  <si>
    <t>WOS:000979534200001</t>
  </si>
  <si>
    <t>Rincón, A; Koch, B; Laporte, C; Canales, F; Cruz, N</t>
  </si>
  <si>
    <t>Rincon, Angel; Koch, Benjamin; Laporte, Cristobal; Canales, Felipe; Cruz, Norman</t>
  </si>
  <si>
    <t>The effects of running gravitational coupling on three dimensional black holes</t>
  </si>
  <si>
    <t>In the present work, we investigate the consequences of running gravitational coupling on the properties of the three-dimensional BTZ black hole. We take as starting point the functional form of gravitational coupling obtained in the context of asymptotic safe gravity theory. By using the standard scale setting relation where k similar to xi/r(n), we compute the solution of the Einstein field equations. We get and analyze the horizon and the thermodynamic properties of this new class of black hole solutions. The impact of the scale dependent parameter xi on the cosmological constant and metric functions are briefly discussed. We find that the null energy condition is also violated in this setup when scale dependent gravity and Newton's coupling (coming from the asymptotic safety scenario of gravity) are simultaneously taken into account.</t>
  </si>
  <si>
    <t>Rincon, Angel/L-1189-2019</t>
  </si>
  <si>
    <t>Rincon, Angel/0000-0001-8069-9162; Laporte, Cristobal/0000-0003-4529-798X; Koch, Benjamin/0000-0002-2616-0200</t>
  </si>
  <si>
    <t>FEB 1</t>
  </si>
  <si>
    <t>10.1140/epjc/s10052-023-11169-8</t>
  </si>
  <si>
    <t>WOS:000925056600003</t>
  </si>
  <si>
    <t>Miyagaki, OH; Santana, CR; Toon, E; Ubilla, P</t>
  </si>
  <si>
    <t>Miyagaki, O. H.; Santana, C. R.; Toon, E.; Ubilla, P.</t>
  </si>
  <si>
    <t>Critical and subcritical fractional Hamiltonian systems of Schrodinger equations with vanishing potentials</t>
  </si>
  <si>
    <t>NONLINEAR ANALYSIS-THEORY METHODS &amp; APPLICATIONS</t>
  </si>
  <si>
    <t>We analyze a class of fractional Hamiltonian systems of Schrodinger equations in RN involving vanishing potential with critical and subcritical nonlinearity. We make use of variational methods to prove the existence of at least one pair of positive solutions. Our result in the critical case is new even for the Laplacian operator. (c) 2022 Elsevier Ltd. All rights reserved.</t>
  </si>
  <si>
    <t>MIYAGAKI, OLIMPIO/ABA-5689-2021</t>
  </si>
  <si>
    <t>0362-546X</t>
  </si>
  <si>
    <t>1873-5215</t>
  </si>
  <si>
    <t>10.1016/j.na.2022.113203</t>
  </si>
  <si>
    <t>JAN 2023</t>
  </si>
  <si>
    <t>WOS:000994536300001</t>
  </si>
  <si>
    <t>Fu, J; Hoffman, A; Kuntumalla, MK; Wang, HX; Chen, DM; Mosyak, A; Yossifon, G</t>
  </si>
  <si>
    <t>Fu, Jiao; Hoffman, Alon; Kuntumalla, Mohan Kumar; Wang, Hong-Xing; Chen, Daming; Mosyak, Albert; Yossifon, Gilad</t>
  </si>
  <si>
    <t>Investigation of the cooling enhancement of a single crystal diamond heat sink with embedded microfluidic channels</t>
  </si>
  <si>
    <t>DIAMOND AND RELATED MATERIALS</t>
  </si>
  <si>
    <t>Single crystal diamond (SCD) owns superior mechanical strength, chemical stability, and the highest thermal conductivity among the well-known materials. In this work, we investigated the cooling enhancement of a cold plate made of SCD with embedded microfluidic channels. In particular, we studied the enhanced heat spreading due to conduction followed by convective dissipation of a locally heated resistor mimicking a linear hot spot within electronic chips. Experiments were carried out with various heat fluxes (9-75 W/cm2) and volumetric flow rates (0.02-0.18 ml/min) under transient state. The results showed that cold plate made of a SCD layer with embedded microfluidic channels exhibited the highest cooling effect obtained for maximum applied power density and flow rate. This indicated that combined effect of conductive spreading and convective heat transfer exhibited a significant cooling enhancement. Simulation results further support the improvement of the cooling capability due to the addition of microfluidic channels and the use of SCD as the substrate of the heat sink.</t>
  </si>
  <si>
    <t>Kuntumalla, Mohan/I-9036-2012; chen, daming/KIC-9013-2024</t>
  </si>
  <si>
    <t>0925-9635</t>
  </si>
  <si>
    <t>1879-0062</t>
  </si>
  <si>
    <t>10.1016/j.diamond.2022.109470</t>
  </si>
  <si>
    <t>OCT 2022</t>
  </si>
  <si>
    <t>WOS:000879066100005</t>
  </si>
  <si>
    <t>Muñoz-Villagrán, C; Grossolli-Gálvez, J; Acevedo-Arbunic, J; Valenzuela, X; Ferrer, A; Díez, B; Levicán, G</t>
  </si>
  <si>
    <t>Munoz-Villagran, Claudia; Grossolli-Galvez, Jonnathan; Acevedo-Arbunic, Javiera; Valenzuela, Ximena; Ferrer, Alonso; Diez, Beatriz; Levican, Gloria</t>
  </si>
  <si>
    <t>Characterization and genomic analysis of two novel psychrotolerant Acidithiobacillus ferrooxidans strains from polar and subpolar environments</t>
  </si>
  <si>
    <t>FRONTIERS IN MICROBIOLOGY</t>
  </si>
  <si>
    <t>The bioleaching process is carried out by aerobic acidophilic iron-oxidizing bacteria that are mainly mesophilic or moderately thermophilic. However, many mining sites are located in areas where the mean temperature is lower than the optimal growth temperature of these microorganisms. In this work, we report the obtaining and characterization of two psychrotolerant bioleaching bacterial strains from low-temperature sites that included an abandoned mine site in Chilean Patagonia (PG05) and an acid rock drainage in Marian Cove, King George Island in Antarctic (MC2.2). The PG05 and MC2.2 strains showed significant iron-oxidation activity and grew optimally at 20 degrees C. Genome sequence analyses showed chromosomes of 2.76 and 2.84 Mbp for PG05 and MC2.2, respectively, and an average nucleotide identity estimation indicated that both strains clustered with the acidophilic iron-oxidizing bacterium Acidithiobacillus ferrooxidans. The Patagonian PG05 strain had a high content of genes coding for tolerance to metals such as lead, zinc, and copper. Concordantly, electron microscopy revealed the intracellular presence of polyphosphate-like granules, likely involved in tolerance to metals and other stress conditions. The Antarctic MC2.2 strain showed a high dosage of genes for mercury resistance and low temperature adaptation. This report of cold-adapted cultures of the At. ferrooxidans species opens novel perspectives to satisfy the current challenges of the metal bioleaching industry.</t>
  </si>
  <si>
    <t>Levican, Gloria/R-5191-2019; Díez, Beatriz/AAG-2244-2021; Diez, Beatriz/P-8131-2018</t>
  </si>
  <si>
    <t>Diez, Beatriz/0000-0002-9371-8083</t>
  </si>
  <si>
    <t>1664-302X</t>
  </si>
  <si>
    <t>AUG 24</t>
  </si>
  <si>
    <t>10.3389/fmicb.2022.960324</t>
  </si>
  <si>
    <t>WOS:000850730600001</t>
  </si>
  <si>
    <t>Echeverria-Echeverria, C; Valderrama-Villarroel, A; Ortega, M; Contreras, RA; Zúñiga, GE; Alvarado-Soto, L; Ramírez-Tagle, R</t>
  </si>
  <si>
    <t>Echeverria-Echeverria, Cesar; Valderrama-Villarroel, Aly; Ortega, Marcelo; Contreras, Rodrigo A.; Zuniga, Gustavo E.; Alvarado-Soto, Leonor; Ramirez-Tagle, Rodrigo</t>
  </si>
  <si>
    <t>Cytotoxic Effect of Puya chilensis Collected in Central Chile</t>
  </si>
  <si>
    <t>NATURAL PRODUCT COMMUNICATIONS</t>
  </si>
  <si>
    <t>This study sought to evaluate the pharmacological activity of metabolites isolated from the dried and lyophilized ethanol extracts as well as other solvent fractions of the currently endangered Puya chilensis Molina (Chagual) by analyzing their effects on a human hepatocellular carcinoma (HCC) cell line. We identified several active metabolites from Chagual extracts and two, in particular, carnosol, were found in all the prepared fractions. In addition, Chagual exhibited considerable cytotoxicity against the cancer cell line used in this study, with a half-maximal inhibitory concentration (IC50) of 0.44 +/- 0.11 and 0.27 +/- 0.04 after a 72-hour treatment and, therefore, has the potential for further investigation as a source of candidate therapeutic agents.</t>
  </si>
  <si>
    <t>Contreras, Rodrigo/I-1871-2013; Zuñiga, Gustavo/P-8306-2015; Ramirez, Rodrigo/L-3519-2017; ECHEVERRIA, CESAR/AAH-4994-2019</t>
  </si>
  <si>
    <t>ECHEVERRIA ECHEVERRIA, CESAR ANTONIO/0000-0001-5431-7183; Contreras, Rodrigo/0000-0001-9970-3125; Ramirez Tagle, Rodrigo/0000-0003-0694-1808</t>
  </si>
  <si>
    <t>1934-578X</t>
  </si>
  <si>
    <t>1555-9475</t>
  </si>
  <si>
    <t>1934578X221091671</t>
  </si>
  <si>
    <t>10.1177/1934578X221091671</t>
  </si>
  <si>
    <t>WOS:000786386000001</t>
  </si>
  <si>
    <t>Moreno, R; Carvalho-Santos, VL; Altbir, D; Chubykalo-Fesenko, O</t>
  </si>
  <si>
    <t>Moreno, R.; Carvalho-Santos, V. L.; Altbir, D.; Chubykalo-Fesenko, O.</t>
  </si>
  <si>
    <t>Detailed examination of domain wall types, their widths and critical diameters in cylindrical magnetic nanowires</t>
  </si>
  <si>
    <t>JOURNAL OF MAGNETISM AND MAGNETIC MATERIALS</t>
  </si>
  <si>
    <t>Understanding and mastering the magnetic properties of domain walls in cylindrical nanowires is a fundamental pillar for developing novel 3D information technologies. For this purpose, a good comprehension of domain wall (DW) dynamical properties, which are strongly dependent on its type and size, is needed. In this work, by means of micromagnetic simulations, we focus on the accurate determination of DW types (transverse, vortexantivortex, and the Bloch point) and DW widths and present a state diagram as a function of the diameter and the nanowire material. Using different initial states and trajectories we find a large region of metastability where the Bloch-point domain wall co-exists with either transverse or a more energetical vortex-antivortex one. We determine the domain wall width and its dependence on the nanowire diameter either for the transverse or the vortex-antivortex domain wall showing that it is always larger than the nanowire diameter. We also find simple expressions for the DW widths and the critical diameter for the transition between different DW types which agree well with direct simulations. Our results are useful for the experimental design of cylindrical nanowires for multiple applications.</t>
  </si>
  <si>
    <t>Moreno, Rodrigo/L-3750-2017; Altbir, Dora/R-6781-2018; Carvalho-Santos, Vagson/E-8806-2013; Chubykalo-Fesenko, Oksana/V-5015-2017</t>
  </si>
  <si>
    <t>Moreno, Roberto/0000-0002-9799-4210; Carvalho-Santos, Vagson/0000-0002-2759-2152; Chubykalo-Fesenko, Oksana/0000-0002-4081-1831</t>
  </si>
  <si>
    <t>0304-8853</t>
  </si>
  <si>
    <t>1873-4766</t>
  </si>
  <si>
    <t>10.1016/j.jmmm.2021.168495</t>
  </si>
  <si>
    <t>WOS:000710666900001</t>
  </si>
  <si>
    <t>Dintrans, PV; Mathur, M; González-Bautista, E; Browne, J; Hommes, C; Vega, E</t>
  </si>
  <si>
    <t>Villalobos Dintrans, Pablo; Mathur, Mallika; Gonzalez-Bautista, Emmanuel; Browne, Jorge; Hommes, Carolina; Vega, Enrique</t>
  </si>
  <si>
    <t>Implementing long-term care systems in the Americas: a regional strategy</t>
  </si>
  <si>
    <t>The Region of the Americas is facing accelerated demographic and epidemiological changes. As these trends will continue in future years, long-term care needs are expected to rise. How can countries respond to these challenges? We propose that countries in the Region should invest in the implementation of long-term care systems. Considering the heterogeneity in the Region, we propose a strategy based on three components: (i) understanding the problem; (ii) thinking about solutions; and (iii) building support and consensus. Depending on each country's needs and capacities, these three elements suggest short-term and long-term actions and goals, from generating better information on long-term care needs to the implementation of long-term care systems. Long-term care is a relevant issue for the Region today. The task is challenging, but countries need to embrace it and move forward before it is too late.</t>
  </si>
  <si>
    <t>Gonzalez-Bautista, Emmanuel/AAJ-8701-2021; Dintrans, Pablo/AAM-6248-2020</t>
  </si>
  <si>
    <t>Gonzalez-Bautista, Emmanuel/0000-0001-9844-3034; Mathur, Mallika/0000-0001-8056-6589; Villalobos Dintrans, Pablo/0000-0002-2236-6447; Hommes, Carolina/0000-0002-9001-8276</t>
  </si>
  <si>
    <t>e86</t>
  </si>
  <si>
    <t>10.26633/RPSP.2021.86</t>
  </si>
  <si>
    <t>WOS:001072843500001</t>
  </si>
  <si>
    <t>Martínez, P; Soto-Brandt, G; Brandt, S; Guajardo, V; Rojas, G</t>
  </si>
  <si>
    <t>Martinez, Pablo; Soto-Brandt, Gonzalo; Brandt, Sebastian; Guajardo, Viviana; Rojas, Graciela</t>
  </si>
  <si>
    <t>Validation of patient health Questionnaire-2 to detect depressive symptoms in diabetic or hypertensive patients</t>
  </si>
  <si>
    <t>Background: Patient Health Questionnaire (PHQ-9) has nine questions and is used in diabetic or hypertensive patients to detect depressive symptoms. The PHQ-2 uses the first two questions of the PHQ-9 to rapidly detect those patients that should answer the whole questionnaire. Aim: To validate the PHQ-2 to detect depressive symptoms in diabetic or hypertensive patients consulting at Primary Health Care (PHC). Material and Methods: Secondary analysis of data obtained during the baseline assessment of a clinical trial. Diabetic and hypertensive patients aged 18 years or more, attending a public health care clinic of Metropolitan Santiago, were invited to participate. Those accepting, answered the Patient Health Questionnaire (PHQ-9), consisting in nine questions about depressive symptoms. Demographics and health data were also collected. The PHQ-2 capacity to discriminate PHQ-9 scores equal or higher than 10 and 15 and the correlation between both versions, were assessed. Results: Ninety-four participants aged 64 +/- years (73% women) answered the questionnaire. A cutoff score of 3 or more points in the PHQ-2 achieved the best tradeoff between sensitivity and specificity for discriminating PHQ-9 scores equal or higher than 10 (area under the receiver operating characteristic curve (ROC) = 0.92, 95% confidence interval [95% CI] = 0.87 to 0.97) and 15 points (area under the ROC curve = 0.95, 95% CI = 0.92 to 0.99). Both versions had a high positive correlation (r = 0.87). Conclusions: The PHQ-2 allows a stepped, simple and accurate screening for depressive symptoms. Diabetic or hypertensive patients with 3 or more points should be immediately assessed with the remaining questions of the PHQ-9.</t>
  </si>
  <si>
    <t>Martínez, Pablo/LZF-5853-2025</t>
  </si>
  <si>
    <t>Soto-Brandt, Gonzalo/0000-0002-7072-8166; Martinez, Pablo/0000-0003-4482-7993; Guajardo, Viviana/0000-0003-3906-5584</t>
  </si>
  <si>
    <t>WOS:000637311000009</t>
  </si>
  <si>
    <t>Blanco, C; Morales, D; Mogollones, I; Vergara-Jaque, A; Vargas, C; Alvarez, A; Riquelme, D; Leiva-Salcedo, E; González, W; Morales, D; Maureira, D; Aldunate, I; Cáceres, M; Varela, D; Cerda, O</t>
  </si>
  <si>
    <t>Blanco, Constanza; Morales, Danna; Mogollones, Ignacio; Vergara-Jaque, Ariela; Vargas, Carla; Alvarez, Alhejandra; Riquelme, Denise; Leiva-Salcedo, Elias; Gonzalez, Wendy; Morales, Diego; Maureira, Diego; Aldunate, Ismael; Caceres, Monica; Varela, Diego; Cerda, Oscar</t>
  </si>
  <si>
    <t>EB1-and EB2-dependent anterograde trafficking of TRPM4 regulates focal adhesion turnover and cell invasion</t>
  </si>
  <si>
    <t>Transient receptor potential melastatin 4 (TRPM4) is a Ca2+-activated nonselective cationic channel involved in a wide variety of physiologic and pathophysiological processes. Bioinformatics analyses of the primary sequence of TRPM4 allowed us to identify a putative motif for interaction with end-binding (EB) proteins, which are microtubule plus-end tracking proteins. Here, we provide novel data suggesting that TRPM4 interacts with EB proteins. We show that mutations of the putative EB binding motif abolish the TRPM4-EB interaction, leading to a reduced expression of the mature population of the plasma membrane channel and instead display an endoplasmic reticulum-associated distribution. Furthermore, we demonstrate that EB1 and EB2 proteins are required for TRPM4 trafficking and functional activity. Finally, we demonstrated that the expression of a soluble fragment containing the EB binding motif of TRPM4 reduces the plasma membrane expression of the channel and affects TRPM4-dependent focal adhesion disassembly and cell invasion processes.-Blanco, C., Morales, D., Mogollones, I., Vergara-Jaque, A., Vargas, C., alvarez, A., Riquelme, D., Leiva-Salcedo, E., Gonzalez, W., Morales, D., Maureira, D., Aldunate, I., Caceres, M., Varela, D., Cerda, O. EB1- and EB2-dependent anterograde trafficking of TRPM4 regulates focal adhesion turnover and cell invasion.</t>
  </si>
  <si>
    <t>Cerda, Oscar/N-3895-2018; Vergara, Ariela/AAD-3594-2020; Varela, Diego/AAG-7489-2019; morales, Diego/KYR-0477-2024</t>
  </si>
  <si>
    <t>Cerda, Oscar/0000-0003-2873-5722; Gonzalez, Wendy/0000-0002-7535-6883; Morales, Diego/0000-0002-5834-3685; Varela, Diego/0000-0002-9352-414X</t>
  </si>
  <si>
    <t>10.1096/fj.201900136R</t>
  </si>
  <si>
    <t>WOS:000478832900057</t>
  </si>
  <si>
    <t>Moya-Trincado, A; Durán, C; Lagos, C; Parodi, C; Banguera, L; Carrasco, R</t>
  </si>
  <si>
    <t>Moya-Trincado, Alessandra; Duran, Claudia; Lagos, Carolina; Parodi, Carolina; Banguera, Leonardo; Carrasco, Raul</t>
  </si>
  <si>
    <t>Identification of critical water stress factors that impact mining: technical solution</t>
  </si>
  <si>
    <t>2019 IEEE CHILEAN CONFERENCE ON ELECTRICAL, ELECTRONICS ENGINEERING, INFORMATION AND COMMUNICATION TECHNOLOGIES (CHILECON)</t>
  </si>
  <si>
    <t>IEEE CHILEAN Conference on Electrical, Electronics Engineering, Information and Communication Technologies (CHILECON)</t>
  </si>
  <si>
    <t>OCT 29-31, 2019</t>
  </si>
  <si>
    <t>Valparaiso, CHILE</t>
  </si>
  <si>
    <t>IEEE Consejo Cono Sur,IEEE Consejo Chile,Chilean Assoc Automat Control,IEEE Chilean Chapter ontrol Syst,IEEE Chilean Chapter SMC,Univ Catolica Valparaiso Chile, Escuela Ingn Informatica, Fac Ingn Pontificia,IEEE,IEEE Syst Man &amp; Cybernet Soc,Chilean AssocElect &amp; Elect Ind,IEEE Control Syst Soc</t>
  </si>
  <si>
    <t>Planning the water resources given the current climatic conditions requires making complex decisions, water scarcity has changed the current scenarios and industries have had to look for technological alternatives that allow it to continue operating in the long-term. This paper analyzes the importance of water stress and identifies the main geographical areas, in Chile, in which it is generated. In addition, the desalination of seawater is proposed as a high investment technological option, with high energy costs that can be used in the production processes of the mining. With a panel of experts, the critical factors that are required for a technical solution alternative are determined, through the installation of a desalination plant, using techniques such as reverse or reverse osmosis.</t>
  </si>
  <si>
    <t>Duran, Claudia/S-1175-2019; Carrasco, Raul/G-5440-2015</t>
  </si>
  <si>
    <t>Duran, Claudia/0000-0002-0903-4333; Carrasco, Raul/0000-0002-5023-9349</t>
  </si>
  <si>
    <t>978-1-7281-3185-6</t>
  </si>
  <si>
    <t>WOS:000542919100144</t>
  </si>
  <si>
    <t>Solar, M; Araya, M; Arévalo, L; Contreras, R; Parada, V; Mardones, D</t>
  </si>
  <si>
    <t>Cancela, H; Cuadros-Vargas, A; Cuadros-Vargas, E</t>
  </si>
  <si>
    <t>Solar, Mauricio; Araya, Mauricio; Arevalo, Luis; Contreras, Ricardo; Parada, Victor; Mardones, Diego</t>
  </si>
  <si>
    <t>Chilean Virtual Observatory</t>
  </si>
  <si>
    <t>2015 XLI LATIN AMERICAN COMPUTING CONFERENCE (CLEI)</t>
  </si>
  <si>
    <t>Proceedings of the Latin American Computing Conference</t>
  </si>
  <si>
    <t>Latin American Computing Conference (CLEI)</t>
  </si>
  <si>
    <t>OCT 19-23, 2015</t>
  </si>
  <si>
    <t>SPC, UNSA, UCSM, UCSP, ULS, Arequipa, PERU</t>
  </si>
  <si>
    <t>SPC, UNSA, UCSM, UCSP, ULS</t>
  </si>
  <si>
    <t>This paper presents the challenges, architecture and current status of the Chilean Virtual Observatory (ChiVO), which is a software infrastructure for accessing and processing astronomical data generated in Chile. As ChiVO is part of the International Virtual Observatory Alliance (IVOA), we strictly follow the protocols and standards that this organization produce. However, there are always open challenges due to the new observational technologies and local requirements that motivates research on every new virtual observatory, such as the complex data models and Big Data problems that the ALMA Observatory is confronting. The current ChiVO prototype includes IVOA compliant services as well as new solutions designed for ALMA data, all of them using modern software technologies.</t>
  </si>
  <si>
    <t>Parada, Victor/M-5840-2014; Araya, Mauricio/L-9841-2016; Mardones, Diego/I-5719-2016; Solar, Mauricio/AAE-9673-2020</t>
  </si>
  <si>
    <t>2381-1609</t>
  </si>
  <si>
    <t>978-1-4673-9143-6</t>
  </si>
  <si>
    <t>WOS:000380459600007</t>
  </si>
  <si>
    <t>Fleming, GD; Celis, F; Aracena, A; Campos-Vallette, M; Aliaga, AE; Koch, R</t>
  </si>
  <si>
    <t>Diaz Fleming, Guillermo; Celis, Freddy; Aracena, Andres; Campos-Vallette, Marcelo; Aliaga, Alvaro E.; Koch, Rainer</t>
  </si>
  <si>
    <t>Vibrational and scaled quantum chemical study of O,O-dimethyl S-methylcarbamoylmethyl phosphorodithioate, dimethoate</t>
  </si>
  <si>
    <t>SPECTROCHIMICA ACTA PART A-MOLECULAR AND BIOMOLECULAR SPECTROSCOPY</t>
  </si>
  <si>
    <t>Infrared and Raman spectra of O,O-dimethyl S-methylcarbamoylmethylphosphorodithioate, dimethoate, have been recorded. Density functional theory, DFT, with the B3LYP functional was used for the optimization of the ground state geometry and simulation of the infrared and Raman spectra of this molecule. Calculated geometrical parameters fit very well with the experimental ones. Based on the recorded data, the DFT results and a normal coordinate analysis based on a scaled quantum mechanical (SQM) force field approach, a complete vibrational assignment was made for the first time. (C) 2011 Elsevier B.V. All rights reserved.</t>
  </si>
  <si>
    <t>Vallette, Marcelo/I-2860-2013; Koch, Rainer/JAC-7601-2023; Aracena, Andres/MCK-0713-2025; Aliaga, Alvaro/D-2595-2011; Celis, Freddy/GPT-0287-2022; Koch, Rainer/A-7339-2009</t>
  </si>
  <si>
    <t>Aracena, Andres/0000-0002-8367-3520; Koch, Rainer/0000-0003-4419-4671; Celis, Freddy/0000-0003-3195-3018</t>
  </si>
  <si>
    <t>1386-1425</t>
  </si>
  <si>
    <t>10.1016/j.saa.2011.12.032</t>
  </si>
  <si>
    <t>WOS:000301471600032</t>
  </si>
  <si>
    <t>Keyantuo, V; Lizama, C; Miana, PJ</t>
  </si>
  <si>
    <t>Keyantuo, Valentin; Lizama, Carlos; Miana, Pedro J.</t>
  </si>
  <si>
    <t>Algebra homomorphisms defined via convoluted semigroups and cosine functions</t>
  </si>
  <si>
    <t>Transform methods are used to establish algebra homomorphisms related to convoluted semigroups and convoluted cosine functions. Such families are now basic in the study of the abstract Cauchy problem. The framework they provide is flexible enough to encompass most of the concepts used tip to now to treat Cauchy problems of the first- and second-order in general Banach spaces. Starting with the study of the classical Laplace convolution and a cosine convolution, along with associated dual transforms. natural algebra homomorphisms are introduced which capture the convoluted semigroup and cosine function properties. These correspond to extensions of the Cauchy functional equation for semigroups and the abstract d'Alembert equation for the case of cosine operator functions. The algebra homomorphisms obtained provide a way to prove Hille-Yosida type generation theorems for the operator families tinder consideration. (C) 2009 Elsevier Inc. All rights reserved.</t>
  </si>
  <si>
    <t>Lizama, Carlos/E-5909-2011</t>
  </si>
  <si>
    <t>Lizama, Carlos/0000-0002-9807-1100; Miana Sanz, Pedro Jose/0000-0001-9430-343X</t>
  </si>
  <si>
    <t>DEC 1</t>
  </si>
  <si>
    <t>10.1016/j.jfa.2009.07.017</t>
  </si>
  <si>
    <t>WOS:000271678700005</t>
  </si>
  <si>
    <t>Guzmán, D; Ordoñez, S; Serafini, D; Rojas, P; Aguilar, C; Santander, M; Navea, L</t>
  </si>
  <si>
    <t>Guzman, D.; Ordonez, S.; Serafini, D.; Rojas, P.; Aguilar, C.; Santander, M.; Navea, L.</t>
  </si>
  <si>
    <t>Effect of the milling time on thermal stability of mechanically alloyed Mg50Ni50 amorphous alloy</t>
  </si>
  <si>
    <t>REVISTA DE METALURGIA</t>
  </si>
  <si>
    <t>In order to study the relationship between the milling time used in the production of Mg50Ni50 amorphous alloy and its thermal stability, seven amorphous alloys were produced by milling for 20, 25, 30, 35, 40, 50 and 60 h each sample. The obtained powders were morphological and structurally characterized by scanning electron microscopy (SEM), X-ray diffraction (XRD) and transmission electron microscopy (TEM), respectively. The thermal stability of amorphous alloys was study by differential scanning calorimetry (DSC). Based on the obtained results, it can be concluded that the increase it) the added energy when milling for longer time causes the homogenization of the microstructure with an increase in amorphous phase, which dissolves a larger amount of nickel in its structure. Therefore, the simultaneous crystallization of the Mg2Ni and MgNi2 intermetallic compounds at 345 degrees C can be explained.</t>
  </si>
  <si>
    <t>Aguilar, Claudio/B-6774-2011; Rojas, Paula/AFS-1987-2022</t>
  </si>
  <si>
    <t>Aguilar, Claudio/0000-0002-9013-5835; Rojas, Paula/0000-0002-2529-993X; Guzman Mendez, Danny/0000-0002-8020-9247</t>
  </si>
  <si>
    <t>0034-8570</t>
  </si>
  <si>
    <t>1988-4222</t>
  </si>
  <si>
    <t>SEP-OCT</t>
  </si>
  <si>
    <t>10.3989/revmetalm.0853</t>
  </si>
  <si>
    <t>WOS:000272496300006</t>
  </si>
  <si>
    <t>Chistokhin, IB; Pchelyakov, OP; Tishkovsky, EG; Obodnikov, VI; Maksimov, VV; Ivanov, AA; Pinzhenin, EI; Gramsch, E</t>
  </si>
  <si>
    <t>Yakovlev, AS</t>
  </si>
  <si>
    <t>Chistokhin, I. B.; Pchelyakov, O. P.; Tishkovsky, E. G.; Obodnikov, V. I.; Maksimov, V. V.; Ivanov, A. A.; Pinzhenin, E. I.; Gramsch, E.</t>
  </si>
  <si>
    <t>Silicon Avalanche Diodes for Direct Detection of Nuclear Particles</t>
  </si>
  <si>
    <t>EDM: 2009 10TH INTERNATIONAL CONFERENCE AND SEMINAR ON MICRO/NANOTECHNOLOGIES AND ELECTRON DEVICES</t>
  </si>
  <si>
    <t>10th International Conference and Seminar on Micro/Nanotechnologies and Electron Devices</t>
  </si>
  <si>
    <t>JUL 01-06, 2009</t>
  </si>
  <si>
    <t>Novosibirsk, RUSSIA</t>
  </si>
  <si>
    <t>The junction termination extension (JTE) avalanche diode (AD) for direct detection of nuclear particles was built with the use of planar technology processing. The active area of the detector with HE structure have been processed simultaneously, by one implantation of boron step followed by the diffusion up to the depth of 14 mu m. The contact layer (p(+) region) had the thickness of 80 nm and was created by a molecular beam epitaxy to get the energy detection threshold as low as possible. The breakdown voltage of this device was as high as 1130 V. The gain measured under the visible light and protons with the energy 25 keV irradiation was as high as 25. The amplitude of the response of these diodes to the single a-particle with the energy 2.5 MeV corresponded to the equivalent gain value more then 3000.</t>
  </si>
  <si>
    <t>Ivanov, Aleksandr/S-3116-2017; Pinzhenin, Egor/AAO-7608-2021; Gramsch, Ernesto/M-5507-2017; Chistokhin, Igor/J-9145-2018</t>
  </si>
  <si>
    <t>Pinzhenin, Egor/0000-0002-6319-6560; Ivanov, Alexander/0000-0002-6002-7868; Gramsch, Ernesto/0000-0002-6787-7355; Chistokhin, Igor/0000-0002-9935-8509</t>
  </si>
  <si>
    <t>978-1-4244-4571-4</t>
  </si>
  <si>
    <t>10.1109/EDM.2009.5174011</t>
  </si>
  <si>
    <t>WOS:000273519100096</t>
  </si>
  <si>
    <t>Jara, F; Domínguez, M; Rezende, MC; Tiekink, ERT; Wardell, JL; Wardell, SMSV</t>
  </si>
  <si>
    <t>Jara, Francisco; Dominguez, Moises; Rezende, Marcos C.; Tiekink, Edward R. T.; Wardell, James L.; Wardell, Solange M. S. V.</t>
  </si>
  <si>
    <t>3-benzyl-2,4,6-triphenylpyrylium tetrafluoroborate</t>
  </si>
  <si>
    <t>ACTA CRYSTALLOGRAPHICA SECTION E-STRUCTURE REPORTS ONLINE</t>
  </si>
  <si>
    <t>The central OC5 ring in the cation of the title compound, C30H23O+center dot BF4-, has considerable aromatic character but the pendant aromatic rings are not coplanar. The crystal structure comprises undulating layers of cations separated by BF4- anions with significant intermolecular interactions between them.</t>
  </si>
  <si>
    <t>Caroli, Marcos/H-3570-2019; Domínguez, Moisés/M-3457-2014</t>
  </si>
  <si>
    <t>Dominguez, Moises/0000-0002-8444-3065; Rezende, Marcos/0000-0003-2040-9009; Wardell, James/0000-0003-2195-8827</t>
  </si>
  <si>
    <t>2056-9890</t>
  </si>
  <si>
    <t>O3495</t>
  </si>
  <si>
    <t>O3497</t>
  </si>
  <si>
    <t>10.1107/S1600536806028285</t>
  </si>
  <si>
    <t>WOS:000239392200269</t>
  </si>
  <si>
    <t>Moya, SA; Guerrero, J; Rodriguez-Nieto, FJ; Wolcan, E; Féliz, MR; Baggio, RF; Garland, MT</t>
  </si>
  <si>
    <t>Influence of the 4-substituted pyridine ligand L′ on both the conformation and spectroscopic properties of the (2,2′-biquinoline-κN1,κN1)tricarbonyi(pyridine-κN1)rhenium(1+) complex ([Re(CO)3-(bqui) (py)]+) and its derivatives [Re(CO)3(L) (L′)+ (L=2,2′-biquinoline and 3,3′-(ethane-1,2-diyl)-2,2′-biquinoline)</t>
  </si>
  <si>
    <t>HELVETICA CHIMICA ACTA</t>
  </si>
  <si>
    <t>A series of new rhenium(I) complexes of the type [Re-1(CO)(3)(L)(L')](n+) (L=2.2'-biquinoline (bqui) or 3.3'-(ethane-1,2-diyl)-2,2'-biquinoline (CH2CN2)bqui); L' = CF3SO3-, pyridine (py), or 4-substituted pyridine (HOpy, Bzpy, or NCpy); n=0 or 1) were prepared and characterized by FT-IR, H-1-NMR, UV/VIS and emission spectroscopy. luminescence lifetimes, and cyclic voltammetry. The pseudo-octahedral facial Configuration was established by X-ray single-crystal diffraction analysis of two complexes and by a FT-IR study of all complexes. The [RC(CO)(3)(bqui)(Bzpy)](CF3SO3) complex crystallizes in the form of two mirror isomers arising from the conformational mobility of the biquinoline ligand. A correlation between the metal-to-ligand charge-transfer (MLCT) emission maxima and the sigma(+) Hammett parameter was established for the complexes of the bqui series, while such correlation was not observed for the complexes of the (CH2CH2)bqui series. No correlation between oxidation potentials and the Hammett parameters was established. The results were rationalized ill function of the effect of the 4-substituted pyridine ligand on the octahedral distortion and conformational characteristic of the complexes. The H-1-NMR data confirmed these results.</t>
  </si>
  <si>
    <t>0018-019X</t>
  </si>
  <si>
    <t>1522-2675</t>
  </si>
  <si>
    <t>10.1002/hlca.200590227</t>
  </si>
  <si>
    <t>WOS:000233767500004</t>
  </si>
  <si>
    <t>Olave, CR; Carrasco, EAF; Campos-Vallette, M; Saavedra, MS; Diaz, GF; Clavijo, RE; Figueroa, W; García-Ramos, JV; Sanchez-Cortes, S; Domingo, C; Costamagna, J; Ríos, A</t>
  </si>
  <si>
    <t>Vibrational study of the interaction of dinaphthalenic Ni(II) and Cu(II) azamacrocycle complexes methyl and phenyl substituted with different metal surfaces</t>
  </si>
  <si>
    <t>VIBRATIONAL SPECTROSCOPY</t>
  </si>
  <si>
    <t>The FT-IR and Raman spectra in the solid state, the reflection-absorption IR spectra (RAIRS) and the surface enhanced IR (SEIR) and surface enhanced Raman spectra (SERS) of the Ni(II) (trans-7,14-dimethyl-5,12,-diphenyl-1,4,8,1 1-tetra-aza-2,3-9,10-dinaphthyl-cyclotetradeca-5,7,12,14-tetraene) and Cu(II) (5,7,12,14-tetramethyl-1,4,8,11-tetra-aza-2,3-9,10-dinaphthyl-cyclotetradeca-5,7,12,14-tetraene) are reported. The RAIRS analysis and differences observed in the relative intensities of complexes deposited onto KBr and Cu surfaces suggest that the organisation of each macrocycle is different on both surfaces. SERS data allow to propose for both complexes an adsorbate-substrate interaction between the complex and the colloidal Ag surface. Complexes are oriented face-on to the surface being the number of Cu macrocycles oriented face-on to the surface larger than that of the Ni macrocycles. The organisation of the complexes on An film is different to that found on Ag colloids and rather random. The phenyl groups avoid a better organisation of the Ni complex on the surface. SEIR data analysis of samples deposited on Au film suggests that the Ni complex is less organised than the Cu complex. The dynamic and energetic of the adsorbate-substrate interaction is interpreted by using a simple molecular model and INDO/1 calculations. (C) 2002 Elsevier Science B.V. All rights reserved.</t>
  </si>
  <si>
    <t>Vallette, Marcelo/I-2860-2013; Jerez, Alejandro/AAU-4157-2020; Sanchez-Cortes, Santiago/D-4673-2014; Garcia-Ramos, Jose/D-3153-2013</t>
  </si>
  <si>
    <t>Sanchez-Cortes, Santiago/0000-0002-1081-4644; Garcia-Ramos, Jose/0000-0003-4179-5105</t>
  </si>
  <si>
    <t>0924-2031</t>
  </si>
  <si>
    <t>1873-3697</t>
  </si>
  <si>
    <t>APR 26</t>
  </si>
  <si>
    <t>PII S0924-2031(02)00004-8</t>
  </si>
  <si>
    <t>10.1016/S0924-2031(02)00004-8</t>
  </si>
  <si>
    <t>WOS:000175852000008</t>
  </si>
  <si>
    <t>Ahumada, M; Trujillo, L; Marin, JF</t>
  </si>
  <si>
    <t>Ahumada, M.; Trujillo, L.; Marin, J. F.</t>
  </si>
  <si>
    <t>Evolving disorder and chaos enhances the wave speed of elastic waves</t>
  </si>
  <si>
    <t>JOURNAL OF STATISTICAL MECHANICS-THEORY AND EXPERIMENT</t>
  </si>
  <si>
    <t>Static or frozen disorder, characterised by spatial heterogeneities, influences diverse complex systems, encompassing many-body systems, equilibrium and nonequilibrium states of matter, intricate network topologies, biological systems, and wave-matter interactions. While static disorder has been thoroughly examined, delving into evolving disorder brings increased intricacy to the issue. An example of this complexity is the observation of stochastic acceleration of electromagnetic waves in evolving media, where noisy fluctuations in the propagation medium transfer effective momentum to the wave. Here, we investigate elastic wave propagation in a one-dimensional heterogeneous medium with diagonal disorder. We examine two types of complex elastic materials: one with static disorder, where mass density randomly varies in space, and the other with evolving disorder, featuring random variations in both space and time. Our results indicate that evolving disorder enhances the propagation speed of Gaussian pulses compared to static disorder. Additionally, we demonstrate that the enhanced speed effect also occurs when the medium evolves chaotically rather than randomly over time. The latter establishes that evolving randomness is not a unique prerequisite for observing the enhanced transport of wavefronts, introducing the concept of chaotic speed enhancement of waves in complex media.</t>
  </si>
  <si>
    <t>Marín, Juan/J-6676-2019</t>
  </si>
  <si>
    <t>1742-5468</t>
  </si>
  <si>
    <t>FEB 3</t>
  </si>
  <si>
    <t>10.1088/1742-5468/adac3d</t>
  </si>
  <si>
    <t>WOS:001413070300001</t>
  </si>
  <si>
    <t>Martínez, JN; Rodríguez, JF; Becerra, LM; Rodríguez, Y; Gómez, G</t>
  </si>
  <si>
    <t>Martinez, Jhan N.; Rodriguez, Jose F.; Becerra, Laura M.; Rodriguez, Yeinzon; Gomez, Gabriel</t>
  </si>
  <si>
    <t>Neutron stars in the generalized SU(2) Proca theory</t>
  </si>
  <si>
    <t>The generalized SU(2) Proca theory is a vector-tensor modified gravity theory characterized by an action that remains invariant under both diffeomorphisms and global internal transformations of the SU(2) group. This study aims to further explore the physical properties of the theory within astrophysical contexts. Previous investigations have unveiled intriguing astrophysical solutions, including particlelike configurations and black holes. The purpose of this work is to constrain the theory's free parameters by modeling realistic neutron stars. To that end, we have assumed solutions that are static, spherically symmetric, and have adopted the 't Hooft-Polyakov magnetic monopole configuration for the vector fields. Employing both analytical techniques, such as asymptotic expansions, and numerical methods involving solving boundary value problems, we have obtained neutron star solutions whose baryonic matter is described by realistic equations of state for nuclear matter. Furthermore, we have constructed mass-radius relations which reveal that neutron stars exhibit greater compactness in comparison with general relativity predictions for most of the solutions we have found and for the employed equations of state. Finally, we have found out solutions where the mass of the star is greater than similar to 2.5M circle dot; this result poses an alternative in the exploration of the mass gap of compact stellar objects.</t>
  </si>
  <si>
    <t>Rodríguez García, Yeinzon/I-3893-2019; Becerra Bayona, Laura/AAB-3532-2022; Gomez, Gabriel/MVW-4321-2025</t>
  </si>
  <si>
    <t>BECERRA BAYONA, LAURA MARCELA/0000-0002-3262-5545; Rodriguez Garcia, Yeinzon/0000-0002-9830-7128; Gomez Diaz, Luis Gabriel/0000-0002-3618-9824</t>
  </si>
  <si>
    <t>NOV 25</t>
  </si>
  <si>
    <t>10.1103/PhysRevD.110.104070</t>
  </si>
  <si>
    <t>WOS:001419970200016</t>
  </si>
  <si>
    <t>Morales-Rojas, C; Panerai, RB; Jara, JL</t>
  </si>
  <si>
    <t>Morales-Rojas, Catalina; Panerai, Ronney B.; Jara, Jose Luis</t>
  </si>
  <si>
    <t>Exploring Physiological Differences in Brain Areas Using Statistical Complexity Analysis of BOLD Signals</t>
  </si>
  <si>
    <t>ENTROPY</t>
  </si>
  <si>
    <t>The brain is a fundamental organ for the human body to function properly, for which it needs to receive a continuous flow of blood, which explains the existence of control mechanisms that act to maintain this flow as constant as possible in a process known as cerebral autoregulation. One way to obtain information on how the levels of oxygen supplied to the brain vary is through of BOLD (Magnetic Resonance) images, which have the advantage of greater spatial resolution than other forms of measurement, such as transcranial Doppler. However, they do not provide good temporal resolution nor allow for continuous prolonged examination. Thus, it is of great importance to find a method to detect regional differences from short BOLD signals. One of the existing alternatives is complexity measures that can detect changes in the variability and temporal organisation of a signal that could reflect different physiological states. The so-called statistical complexity, created to overcome the shortcomings of entropy alone to explain the concept of complexity, has shown potential with haemodynamic signals. The aim of this study is to determine by using statistical complexity whether it is possible to find differences between physiologically distinct brain areas in healthy individuals. The data set includes BOLD images of 10 people obtained at the University Hospital of Leicester NHS Trust with a 1.5 Tesla magnetic resonance imaging scanner. The data were captured for 180 s at a frequency of 1 Hz. Using various combinations of statistical complexities, no differences were found between hemispheres. However, differences were detected between grey matter and white matter, indicating that these measurements are sensitive to differences in brain tissues.</t>
  </si>
  <si>
    <t>Jara, JL/J-7254-2015</t>
  </si>
  <si>
    <t>Jara, JL/0000-0002-3348-7017</t>
  </si>
  <si>
    <t>1099-4300</t>
  </si>
  <si>
    <t>10.3390/e26010081</t>
  </si>
  <si>
    <t>WOS:001148820300001</t>
  </si>
  <si>
    <t>Alburquenque, D; Vargas, J; Tasca, F; Loyola, CZ; Troncoso, L; Rivas, P; Lisoni, J; Escrig, J</t>
  </si>
  <si>
    <t>Alburquenque, Daniela; Vargas, Javiera; Tasca, Federico; Loyola, Cesar Zuniga; Troncoso, Loreto; Rivas, Patricia; Lisoni, Judit; Escrig, Juan</t>
  </si>
  <si>
    <t>Effects of metal-ion substitution on the structural, morphological, and electrochemical properties of LiFexZnyMn2-x-yO4 (x, y=0.25 or 0.75)</t>
  </si>
  <si>
    <t>JOURNAL OF ALLOYS AND COMPOUNDS</t>
  </si>
  <si>
    <t>The oxides LiMn2O4, LiFe0.75Zn0.25MnO4, and LiFe0.25Zn0.25Mn1.5O4, referred to as LMO, LFZMO 0.75-0.25, and LFZMO 0.25-0.25, were synthesized at 800 degrees C using ultrasound-assisted thermal decomposition of nitrates (UA-TDN). X-ray diffraction (XRD) analyses confirmed the spinel structure (Fd3m space group) for all materials. Raman spectroscopy validated the characteristic absorption bands of the spinel phase. Energy-dispersive spectroscopy (EDS) verified the uniform distribution of Fe, Zn, Mn, and O in all samples and proved the expected stoichiometry for the different oxides. Scanning electron microscopy (SEM) images showed irregular polyhedral agglomerates in the synthesized oxides, with grain sizes ranging from approximately 600 to 800 nm. Electrochemical characterization was performed under N-2 and O-2 atmospheres, revealing electron-withdrawing effects with increasing iron content in the oxide composition. LFZMO 0.75-0.25, with a higher iron content, displayed better performance than LMO and LFZMO 0.25-0.25 in terms of discharge capacity and cycling performance at various rates. The greater discharge capacity of LFZMO 0.75-0.25 (47 mA h g (-1)) was in line with the cyclic voltammetry findings, wherein lower energy (triangle G(Li)(/ Li)(+)(0) = 55.5 kJ mol(-1)) for lithium insertion correlated with an increased discharge capacity. Electrochemical Impedance Spectroscopy (EIS) was employed to determine diffusion constants, providing insights into Li+ insertion kinetics in the cathodic electrode and highlighting the significant influence of Zn and Fe incorporation on the lithium manganese oxide. Our findings are intriguing as the diffusion coefficient of D-Li(+) in LFZMO 0.75-0.25 (2.3 x10(-12) cm(2) S-1) surpasses that of LMO (8.5 x10(-14) cm(2) S-1) and LFZMO 0.25-0.25 (9.4 x10(-18) cm(2) S-1). This observation further elucidates the more positive formal potential for Li+ insertion in LFZMO 0.75-0.25.</t>
  </si>
  <si>
    <t>Zúñiga-Loyola, César/AAN-5621-2021; Escrig, Juan/N-4304-2015; Tasca, Federico/J-4134-2015; Lisoni, Judit/I-1298-2015</t>
  </si>
  <si>
    <t>Alburquenque, Daniela/0000-0001-9236-3308; Tasca, Federico/0000-0002-4111-4624; Troncoso, Loreto/0000-0003-1621-3310</t>
  </si>
  <si>
    <t>0925-8388</t>
  </si>
  <si>
    <t>1873-4669</t>
  </si>
  <si>
    <t>10.1016/j.jallcom.2023.172603</t>
  </si>
  <si>
    <t>NOV 2023</t>
  </si>
  <si>
    <t>WOS:001112782300001</t>
  </si>
  <si>
    <t>Arias-Esquivel, Y; Cárdenas, R; Tarisciotti, L; Díaz, M; Mora, A</t>
  </si>
  <si>
    <t>Arias-Esquivel, Yeiner; Cardenas, Roberto; Tarisciotti, Luca; Diaz, Matias; Mora, Andres</t>
  </si>
  <si>
    <t>A Two-Step Continuous-Control-Set MPC for Modular Multilevel Converters Operating With Variable Output Voltage and Frequency</t>
  </si>
  <si>
    <t>IEEE TRANSACTIONS ON POWER ELECTRONICS</t>
  </si>
  <si>
    <t>This article presents a new enhanced single-stage two-step continuous control set model predictive control (CCS-MPC) algorithm, for modular multilevel converters (MMCs) operating with variable output frequency at the ac port. The proposed two-step CCS-MPC allows the implementation of feed-forward compensation of the one-step ahead perturbations at the ac side, using an algorithm based on the Moore-Penrose pseudoinverse matrix. Limitations of the current and voltages in the MMC clusters are implemented to avoid overmodulation and overcurrents, being the solution of the constrained CCS-MPC online solved using the active-set method. Without losing generality, the experimental validation of the single-stage CCS-MPC is performed using an 18-cell MMC prototype, driving a 7.5-kW cage induction machine operating in a wide speed range. A dSPACE MicroLabBox platform is used to control the MMC-based drive by implementing the CCS-MPC algorithm, the modulation stage and the active-set method. It is experimentally demonstrated that the compensation of the low-frequency perturbations allows a considerable reduction in the required circulating currents at the low-frequency operation of the drive. Reduction in the capacitor voltage ripple, improved efficiency, and a smaller total harmonic distortion in the output currents are also achieved with the proposed single-stage two-step CCS-MPC.</t>
  </si>
  <si>
    <t>Mora, Andres/I-6953-2015; Arias-Esquivel, Yeiner/IVU-6694-2023; Tarisciotti, Luca/V-6093-2019; Diaz, Matias/R-7570-2018; Cardenas, Roberto/C-6395-2011</t>
  </si>
  <si>
    <t>Diaz, Matias/0000-0003-4489-9532; Cardenas, Roberto/0000-0003-3853-7703; Tarisciotti, Luca/0000-0002-0860-5261; MORA, ANDRES/0000-0002-5606-2783; Arias-Esquivel, Yeiner/0000-0002-5340-3933</t>
  </si>
  <si>
    <t>0885-8993</t>
  </si>
  <si>
    <t>1941-0107</t>
  </si>
  <si>
    <t>10.1109/TPEL.2023.3288490</t>
  </si>
  <si>
    <t>WOS:001068815100033</t>
  </si>
  <si>
    <t>Miranda, P; Inostroza, A; Aparicio, A; Vargas, G</t>
  </si>
  <si>
    <t>Gonzalez, EA; Angel, S</t>
  </si>
  <si>
    <t>Miranda, Paula; Inostroza, Alejandra; Aparicio, Andres; Vargas, Gonzalo</t>
  </si>
  <si>
    <t>Community care aimed at older people with intellectual and developmental disabilities in Chile: review of literature, learning and lessons</t>
  </si>
  <si>
    <t>CUIDADOS Y AGENCIA DE LA SOCIEDAD CIVIL EN CUBA: Aprendizajes Internacionales, Experiencias Locales y Desafios Eticos</t>
  </si>
  <si>
    <t>Serie Investigacion-Bogota</t>
  </si>
  <si>
    <t>Aparicio, Andrés/N-7893-2019</t>
  </si>
  <si>
    <t>978-958-5158-78-8; 978-958-5158-77-1</t>
  </si>
  <si>
    <t>10.22518/book/9789585158788</t>
  </si>
  <si>
    <t>WOS:001152249800006</t>
  </si>
  <si>
    <t>Dufossé, F; Dürr, C; Nadal, N; Trystram, D; Vásquez, OC</t>
  </si>
  <si>
    <t>Dufosse, Fanny; Duerr, Christoph; Nadal, Noel; Trystram, Denis; Vasquez, Oscar C.</t>
  </si>
  <si>
    <t>Scheduling with a processing time oracle</t>
  </si>
  <si>
    <t>APPLIED MATHEMATICAL MODELLING</t>
  </si>
  <si>
    <t>In this paper we study a single machine scheduling problem with the objective of minimizing the sum of completion times. Each of the given jobs is either short or long. However the processing times are initially hidden to the algorithm, but can be tested. This is done by executing a processing time oracle, which reveals the processing time of a given job. Each test occupies a time unit in the schedule, therefore the algorithm must decide for which jobs it will call the processing time oracle. The objective value of the resulting schedule is compared with the objective value of an optimal schedule, which is computed using full information. The resulting competitive ratio measures the price of hidden processing times, and the goal is to design an algorithm with minimal competitive ratio. Two models are studied in this paper. In the non-adaptive model, the algorithm needs to decide beforehand which jobs to test, and which jobs to execute untested. However in the adaptive model, the algorithm can make these decisions adaptively depending on the outcomes of the job tests. In both models we provide optimal polynomial time algorithms following a two-phase strategy , which consist of a first phase where jobs are tested, and a second phase where jobs are executed obliviously. Experiments give strong evidence that optimal algorithms have this structure. Proving this property is left as an open problem.(c) 2021 Elsevier Inc. All rights reserved.</t>
  </si>
  <si>
    <t>Dufossé, Fanny/GMJ-0540-2022</t>
  </si>
  <si>
    <t>Vasquez, Oscar C./0000-0002-1393-4692; Durr, Christoph/0000-0001-8103-5333</t>
  </si>
  <si>
    <t>0307-904X</t>
  </si>
  <si>
    <t>1872-8480</t>
  </si>
  <si>
    <t>10.1016/j.apm.2021.12.020</t>
  </si>
  <si>
    <t>WOS:000799846300005</t>
  </si>
  <si>
    <t>Vejar, N; Gutiérrez, S; Tareelap, N; Alvarado, C; Solís, R; Guerra, C; Pineda, F; Sancy, M; Páez, M</t>
  </si>
  <si>
    <t>Vejar, Nelson; Gutierrez, Sebastian; Tareelap, Napachat; Alvarado, Claudia; Solis, Roberto; Guerra, Carolina; Pineda, Fabiola; Sancy, Mamie; Paez, Maritza</t>
  </si>
  <si>
    <t>Influence of Bacillus safensis and Bacillus pumilus on the electrochemical behavior of 2024-T3 aluminum alloy</t>
  </si>
  <si>
    <t>In this work, electrochemical techniques were employed to evaluate the contribution to the corrosion and corrosion inhibition of 2024-T3 aluminum alloy by two Gram-positive bacteria. In addition, polarized impedance was used to determine the microbial effect on the cathodic and anodic reactions. These microorganisms were collected from a tropical environment due to the favorable bacterial growth of this kind of climate. The alloy was exposed to the sterile medium and inoculated for up to 12 days evaluating the microbiological and electrochemical behavior. The results by linear scanning voltammetry showed that the B. safensis and B. pumilus caused a dual effect of increase and decrease currents, and through electrochemical impedance spectroscopy, showed in some cases, inductive loop, which could be associated with local corrosion and another case, an increasing impedance could be related to protection. In addition, a morphological characterization was performed by scanning electron microscopy before and after exposure, showing an increase in copper precipitation in the vicinity of the intermetallic phases by bacteria, attributed to local corrosion, but, in general, a significant effect of damages was not observed. (C) 2021 Elsevier B.V. All rights reserved.</t>
  </si>
  <si>
    <t>Paez, Maritza/M-2010-2014; Vejar, Nelson/M-7784-2017; Alvarado, Claudia/ECH-1671-2022; Solis, Roberto/ABE-6159-2021; Sancy, Mamié/L-6270-2014; Alvarado, Claudia/L-6852-2017</t>
  </si>
  <si>
    <t>GUERRA FIGUEROA, CAROLINA/0000-0003-1480-8302; Pineda, Fabiola/0000-0002-1508-7327; Solis Vidal, Roberto/0000-0003-2315-0063; Vejar, Nelson/0000-0002-9544-2199; Alvarado, Claudia/0000-0003-2373-0359</t>
  </si>
  <si>
    <t>10.1016/j.bioelechem.2021.107950</t>
  </si>
  <si>
    <t>SEP 2021</t>
  </si>
  <si>
    <t>WOS:000704980800007</t>
  </si>
  <si>
    <t>Zamora, RA; Fuentes-Lemus, E; Barrias, P; Herrera-Morande, A; Mura, F; Guixé, V; Castro-Fernandez, V; Rojas, T; López-Alarcón, C; Aguirre, P; Rivas-Aravena, A; Aspée, A</t>
  </si>
  <si>
    <t>Zamora, Ricardo A.; Fuentes-Lemus, Eduardo; Barrias, Pablo; Herrera-Morande, Alejandra; Mura, Francisco; Guixe, Victoria; Castro-Fernandez, Victor; Rojas, Tomas; Lopez-Alarcon, Camilo; Aguirre, Paulina; Rivas-Aravena, Andrea; Aspee, Alexis</t>
  </si>
  <si>
    <t>Free radicals derived from γ-radiolysis of water and AAPH thermolysis mediate oxidative crosslinking of eGFP involving Tyr-Tyr and Tyr-Cys bonds: the fluorescence of the protein is conserved only towards peroxyl radicals</t>
  </si>
  <si>
    <t>The enhanced green fluorescent protein (eGFP) is one of the most employed variants of fluorescent proteins. Nonetheless little is known about the oxidative modifications that this protein can undergo in the cellular milieu. The present work explored the consequences of the exposure of eGFP to free radicals derived from gamma-radiolysis of water, and AAPH thermolysis. Results demonstrated that protein crosslinking was the major pathway of modification of eGFP towards these oxidants. As evidenced by HPLC-FLD and UPLC-MS, eGFP crosslinking would occur as consequence of a mixture of pathways including the recombination of two protein radicals, as well as secondary reactions between nucleophilic residues (e.g. lysine, Lys) with protein carbonyls. The first mechanism was supported by detection of dityrosine and cysteine-tyrosine bonds, whilst evidence of formation of protein carbonyls, along with Lys consumption, would suggest the formation and participation of Schiff bases in the crosslinking process. Despite of the degree of oxidative modifications elicited by peroxyl radicals (ROO center dot) generated from the thermolysis of AAPH, and free radicals generated from gamma-radiolysis of water, that were evidenced at amino acidic level, only the highest dose of gamma-irradiation (10 kGy) triggered significant changes in the secondary structure of eGFP. These results were accompanied by the complete loss of fluorescence arising from the chromophore unit of eGFP in gamma-irradiation-treated samples, whereas it was conserved in ROO center dot-treated samples. These data have potential biological significance, as this fluorescent protein is widely employed to study interactions between cytosolic proteins; consequently, the formation of fluorescent eGFP dimers could act as artifacts in such experiments.</t>
  </si>
  <si>
    <t>Fuentes Lemus, Eduardo/X-4292-2019; Lopez, Camilo/J-5770-2013; Atarama-Rojas, Tomas/GXZ-4941-2022; Castro-Fernandez, Victor/K-9621-2018; Barrias, Pablo/V-7218-2018; Zamora, Ricardo/O-8717-2018</t>
  </si>
  <si>
    <t>Mura Mardones, Francisco/0000-0003-0463-1814; Castro-Fernandez, Victor/0000-0002-4309-6415; Herrera-Morande, Alejandra/0000-0002-4140-0743; Lopez, Camilo/0000-0002-0174-8972; Barrias, Pablo/0000-0003-4072-4436; Zamora, Ricardo/0000-0002-7707-7482; Fuentes Lemus, Eduardo/0000-0002-1465-8466</t>
  </si>
  <si>
    <t>10.1016/j.freeradbiomed.2020.02.006</t>
  </si>
  <si>
    <t>WOS:000569787100005</t>
  </si>
  <si>
    <t>Muñoz-Villagrán, CM; Mendez, KN; Cornejo, F; Figueroa, M; Undabarrena, A; Morales, EH; Arenas-Salinas, M; Arenas, FA; Castro-Nallar, E; Vásquez, CC</t>
  </si>
  <si>
    <t>Melissa Munoz-Villagran, Claudia; Mendez, Katterinne N.; Cornejo, Fabian; Figueroa, Maximiliano; Undabarrena, Agustina; Hugo Morales, Eduardo; Arenas-Salinas, Mauricio; Alejandro Arenas, Felipe; Castro-Nallar, Eduardo; Christian Vasquez, Claudio</t>
  </si>
  <si>
    <t>Comparative genomic analysis of a new tellurite-resistant Psychrobacter strain isolated from the Antarctic Peninsula</t>
  </si>
  <si>
    <t>PEERJ</t>
  </si>
  <si>
    <t>The Psychrobacter genus is a cosmopolitan and diverse group of aerobic, cold-adapted, Gram-negative bacteria exhibiting biotechnological potential for low-temperature applications including bioremediation. Here, we present the draft genome sequence of a bacterium from the Psychrobacter genus isolated from a sediment sample from King George Island, Antarctica (3,490,622 bp; 18 scaffolds; G + C = 42.76%). Using phylogenetic analysis, biochemical properties and scanning electron microscopy the bacterium was identified as Psychrobacter glacincola BNF20, making it the first genome sequence reported for this species. P. glacincola BNF20 showed high tellurite (MIC 2.3 mM) and chromate (MIC 6.0 mM) resistance, respectively. Genome-wide nucleotide identity comparisons revealed that P. glacincola BNF20 is highly similar (&gt;90%) to other uncharacterized Psychrobacter spp. such as JCM18903, JCM18902, and P11F6. Bayesian multi-locus phylogenetic analysis showed that P. glacincola BNF20 belongs to a polyphyletic clade with other bacteria isolated from polar regions. A high number of genes related to metal(loid) resistance were found, including tellurite resistance genetic determinants located in two contigs: Contig LIQB01000002.1 exhibited five ter genes, each showing putative promoter sequences (terACDEZ), whereas contig LIQB1000003.2 showed a variant of the terZ gene. Finally, investigating the presence and taxonomic distribution of ter genes in the NCBIs RefSeq bacterial database (5,398 genomes, as January 2017), revealed that 2,623 (48.59%) genomes showed at least one ter gene. At the family level, most (68.7%) genomes harbored one ter gene and 15.6% exhibited five (including P. glacincola BNF20). Overall, our results highlight the diverse nature (genetic and geographic diversity) of the Psychrobacter genus, provide insights into potential mechanisms of metal resistance, and exemplify the benefits of sampling remote locations for prospecting new molecular determinants.</t>
  </si>
  <si>
    <t>Castro-Nallar, Eduardo/I-5925-2019; Arenas, Mauricio/NBW-8966-2025</t>
  </si>
  <si>
    <t>Undabarrena, Agustina/0000-0001-9273-0665; Arenas, Mauricio/0000-0001-5143-1845; Cornejo, Fabian/0000-0002-6633-392X; Mendez, Katterinne/0000-0001-9139-3708; Castro-Nallar, Eduardo/0000-0003-4384-8661</t>
  </si>
  <si>
    <t>2167-8359</t>
  </si>
  <si>
    <t>FEB 19</t>
  </si>
  <si>
    <t>e4402</t>
  </si>
  <si>
    <t>10.7717/peerj.4402</t>
  </si>
  <si>
    <t>WOS:000426515100005</t>
  </si>
  <si>
    <t>Diaz, M; Rojas, F; Donoso, F; Cardenas, R; Espinoza, M; Mora, A; Wheeler, P</t>
  </si>
  <si>
    <t>Diaz, Matias; Rojas, Felix; Donoso, Felipe; Cardenas, Roberto; Espinoza, Mauricio; Mora, Andres; Wheeler, Patrick</t>
  </si>
  <si>
    <t>Control of Modular Multilevel Cascade Converters for Offshore Wind Energy Generation and Transmission</t>
  </si>
  <si>
    <t>2018 THIRTEENTH INTERNATIONAL CONFERENCE ON ECOLOGICAL VEHICLES AND RENEWABLE ENERGIES (EVER)</t>
  </si>
  <si>
    <t>13th International Conference on Ecological Vehicles and Renewable Energies (EVER)</t>
  </si>
  <si>
    <t>APR 10-MAY 21, 2018</t>
  </si>
  <si>
    <t>Monte Carlo, MONACO</t>
  </si>
  <si>
    <t>Monaco Dev Durable,IEEE Ind Applicat Soc,IEEE Power &amp; Energy Soc,Fondat Prince Albert II Monaco,Soc Monegasque Electricite Gaz,KIA Motors,Good Year,E Plus</t>
  </si>
  <si>
    <t>The trend of multimegawatt (Multi-MW) wind turbines, especially for offshore installations, has positioned Modular Multilevel Cascade Converters (MMCCs) as a promising solution for Wind Energy Conversion Systems (WECSs). Additionally, High Voltage Direct Current (HVDC) Transmission is likely to be the preferred option for future offshore wind farms. In both applications, Modular Multilevel Converters are an appropriate solution due to its characteristics such as high-voltage operation, controllability, redundancy, power quality and reliability. This paper presents the application of the Modular Multilevel Matrix Converter to locally interface a single wind turbine to a medium-voltage ac point of connection. Moreover, the Modular Multilevel Converter is proposed to link the wind farm to the grid onshore through an HVDC transmission line. Both converters are regulated using decoupled Vector Control Strategies. Experimental results obtained with a 27 Modular Multilevel Matrix Converter connected to a 30 power cell Back-to-Back Modular Multilevel Converter are presented to validate the effectiveness of the Proposed Control Strategies.</t>
  </si>
  <si>
    <t>Espinoza, Mauricio/AAH-8647-2019; MORA, ANDRES/O-4249-2019; Rojas, Felix/U-3305-2019; Cardenas, Roberto/C-6395-2011; Diaz, Matias/R-7570-2018</t>
  </si>
  <si>
    <t>Cardenas, Roberto/0000-0003-3853-7703; Rojas, Felix/0000-0001-6145-2826; Diaz, Matias/0000-0003-4489-9532; MORA, ANDRES/0000-0002-5606-2783</t>
  </si>
  <si>
    <t>978-1-5386-5966-3</t>
  </si>
  <si>
    <t>WOS:000681513900079</t>
  </si>
  <si>
    <t>Rubio, MA; Sánchez, K; Richter, P; Pey, J; Gramsch, E</t>
  </si>
  <si>
    <t>Rubio, Maria A.; Sanchez, Karen; Richter, Pablo; Pey, Jorge; Gramsch, Ernesto</t>
  </si>
  <si>
    <t>Partitioning of the water soluble versus insoluble fraction of trace elements in the city of Santiago, Chile</t>
  </si>
  <si>
    <t>ATMOSFERA</t>
  </si>
  <si>
    <t>The total elemental composition and the water-soluble fraction of PM10 from three different urban areas in Santiago, Chile, from downtown to the suburbs, were investigated. PM10 samples collected during the month of May (mid-autumn in the Southern Hemisphere) in 2006, 2008, 2009, and 2010 were analyzed for major and trace metals, and the partitioning between the insoluble and soluble fractions was determined for most of them. PM10 average concentrations ranged from 71 mu g m(-3) (Cerrillos) to 128 mu g m(-3) (La Pintana), which are within the seasonal ranges observed in Santiago. Twenty five major and trace elements (Fe, Al, Ca, K, Mg, P, Pb, S, Ti, Mn, Cu, Zn, Ba, Zr, Cr, As, Sn, Sb, Ni, V, Li, Co, Cd, La, and Rb) were determined in the present study. Ba, Sb, Cd, As, and Zn, with proportions in the soluble fraction varying from 50% to 98%, were the most soluble elements. On the contrary, the less soluble trace elements were Ti, Sn, Pb, and Cr. Most of the high-solubility trace metals are strongly linked to non-exhaust traffic emissions, as well as to certain industrial sources. Our results evidence the significant amount of soluble trace elements in Santiago's urban atmosphere classified as toxic and/or carcinogenic, thus suggesting a non-negligible health impact.</t>
  </si>
  <si>
    <t>Bajo, Maria/ABF-6991-2020; Pey, Jorge/G-5160-2014; Pey, Jorge/F-6902-2015; Gramsch, Ernesto/M-5507-2017</t>
  </si>
  <si>
    <t>Pey, Jorge/0000-0002-5015-1742; Gramsch, Ernesto/0000-0002-6787-7355</t>
  </si>
  <si>
    <t>0187-6236</t>
  </si>
  <si>
    <t>2395-8812</t>
  </si>
  <si>
    <t>10.20937/ATM.2018.31.04.05</t>
  </si>
  <si>
    <t>WOS:000456947300003</t>
  </si>
  <si>
    <t>Díaz, M; Espinoza, M; Mora, A; Cárdenas, R; Wheeler, P</t>
  </si>
  <si>
    <t>Diaz, Matias; Espinoza, Mauricio; Mora, Andres; Cardenas, Roberto; Wheeler, Pat</t>
  </si>
  <si>
    <t>The Application of the Modular Multilevel Matrix Converter in High-Power Wind Turbines</t>
  </si>
  <si>
    <t>2016 18TH EUROPEAN CONFERENCE ON POWER ELECTRONICS AND APPLICATIONS (EPE'16 ECCE EUROPE)</t>
  </si>
  <si>
    <t>European Conference on Power Electronics and Applications</t>
  </si>
  <si>
    <t>18th European Conference on Power Electronics and Applications (EPE)</t>
  </si>
  <si>
    <t>SEP 05-09, 2016</t>
  </si>
  <si>
    <t>GERMANY</t>
  </si>
  <si>
    <t>The trend in wind turbines has shown an ongoing power rating growth, reaching sizes up to 10 MW. Multilevel converters have therefore become a favourable solution for Multi-MW Wind Energy Conversion Systems (WECSs), due to high efficiency, reliability, controllability and the ability to reach high power/voltage ratings. Moreover, stringent grid codes to regulate the connection of WECSs to the electrical networks have been developed in countries with a high penetration of wind energy. In this context, this paper introduces the novel application of the Modular Multilevel Matrix Converter for interfacing Multi-MW Wind Turbines to provide decoupled input-output regulation, variable speed operation and fulfilment of modern grid codes.</t>
  </si>
  <si>
    <t>Mora, Andres/I-6953-2015; Espinoza, Mauricio/AAH-8647-2019; Diaz, Matias/R-7570-2018</t>
  </si>
  <si>
    <t>2325-0313</t>
  </si>
  <si>
    <t>WOS:000386637300186</t>
  </si>
  <si>
    <t>Fernández, AM; Muñoz-Reyes, JA; Dufey, M; Buccioni, G; Cid, V</t>
  </si>
  <si>
    <t>Maria Fernandez, Ana; Antonio Munoz-Reyes, Jose; Dufey, Michele; Buccioni, Giannina; Cid, Valeska</t>
  </si>
  <si>
    <t>Adaptation of the Mate Value Components Questionnaire to the Chilean Context</t>
  </si>
  <si>
    <t>REVISTA IBEROAMERICANA DE DIAGNOSTICO Y EVALUACION-E AVALIACAO PSICOLOGICA</t>
  </si>
  <si>
    <t>The current research assesses the psychometric properties of the mate value components questionnaire (MVC), and the different dimensions underlying this construct. A sample of 688 Chilean adults participated in the study. The reliability of the scale was estimated and other related measures of mate value were applied to estimate the MVC validity. We also evaluated sex differences and differences in partnership status on the MVC. Finally, a confirmatory factor analysis corroborated the structure of the scale. The results show that the questionnaire is consistent and is associated in the predicted direction with other closely related measures. The CFA substantiated the theoretical structure of the MVC which allows concluding the adjustment of the instrument to our local context.</t>
  </si>
  <si>
    <t>Dufey, Michele/E-1358-2011; Fernández, Ana/E-6429-2011; Muñoz-Reyes, José/D-2822-2012</t>
  </si>
  <si>
    <t>2183-6051</t>
  </si>
  <si>
    <t>WOS:000368900800009</t>
  </si>
  <si>
    <t>Harté, E; Maalouli, N; Shalabney, A; Texier, E; Berthelot, K; Lecomte, S; Alves, ID</t>
  </si>
  <si>
    <t>Harte, E.; Maalouli, N.; Shalabney, A.; Texier, E.; Berthelot, K.; Lecomte, S.; Alves, I. D.</t>
  </si>
  <si>
    <t>Probing the kinetics of lipid membrane formation and the interaction of a nontoxic and a toxic amyloid with plasmon waveguide resonance</t>
  </si>
  <si>
    <t>CHEMICAL COMMUNICATIONS</t>
  </si>
  <si>
    <t>The kinetics of formation of solid-supported lipid model membranes were investigated using a home-made plasmon waveguide resonance (PWR) sensor possessing enhanced properties relative to classic surface plasmon resonance sensors. Additionally, the kinetics of interaction of two amyloid peptides with zwitterionic and anionic membranes and their effect on lipid organization were followed.</t>
  </si>
  <si>
    <t>Shalabney, Atef/K-9072-2016; BERTHELOT, Karine/A-5546-2011; Alves, Isabel/R-9613-2016</t>
  </si>
  <si>
    <t>BERTHELOT, Karine/0000-0003-0809-4921; Alves, Isabel/0000-0003-3193-2436; Shalabney, Atef/0009-0003-9924-6907</t>
  </si>
  <si>
    <t>1359-7345</t>
  </si>
  <si>
    <t>1364-548X</t>
  </si>
  <si>
    <t>10.1039/c4cc00571f</t>
  </si>
  <si>
    <t>WOS:000333522700005</t>
  </si>
  <si>
    <t>Benoist, M; Palenzuela, R; Rozas, C; Rojas, P; Tortosa, E; Morales, B; González-Billault, C; Avila, J; Esteban, JA</t>
  </si>
  <si>
    <t>Benoist, Marion; Palenzuela, Rocio; Rozas, Carlos; Rojas, Patricio; Tortosa, Elena; Morales, Bernardo; Gonzalez-Billault, Christian; Avila, Jesus; Esteban, Jose A.</t>
  </si>
  <si>
    <t>MAP1B-dependent Rac activation is required for AMPA receptor endocytosis during long-term depression</t>
  </si>
  <si>
    <t>EMBO JOURNAL</t>
  </si>
  <si>
    <t>The microtubule-associated protein 1B (MAP1B) plays critical roles in neurite growth and synapse maturation during brain development. This protein is well expressed in the adult brain. However, its function in mature neurons remains unknown. We have used a genetically modified mouse model and shRNA techniques to assess the role of MAP1B at established synapses, bypassing MAP1B functions during neuronal development. Under these conditions, we found that MAP1B deficiency alters synaptic plasticity by specifically impairing long-term depression (LTD) expression. Interestingly, this is due to a failure to trigger AMPA receptor endocytosis and spine shrinkage during LTD. These defects are accompanied by an impaired targeting of the Rac1 activator Tiam1 at synaptic compartments. Accordingly, LTD and AMPA receptor endocytosis are restored in MAP1B-deficient neurons by providing additional Rac1. Therefore, these results indicate that the MAP1B-Tiam1-Rac1 relay is essential for spine structural plasticity and removal of AMPA receptors from synapses during LTD. This work highlights the importance of MAPs as signalling hubs controlling the actin cytoskeleton and receptor trafficking during plasticity in mature neurons.</t>
  </si>
  <si>
    <t>Morales Castañeda, Bernardo/GPP-1642-2022; Gonzalez-Billault, Christian/P-2393-2019; Palenzuela, Rocio/Z-3164-2019; Tortosa, Elena/AAA-1114-2020; Avila, Jesus/I-2610-2015; Esteban, Jose/L-4944-2014; Gonzalez-Billault, Christian/K-9622-2013</t>
  </si>
  <si>
    <t>Avila, Jesus/0000-0002-6288-0571; Rozas, Carlos/0000-0002-6422-9600; Esteban, Jose/0000-0002-3759-3300; Gonzalez-Billault, Christian/0000-0003-0335-1482; Tortosa, Elena/0000-0003-3910-2314</t>
  </si>
  <si>
    <t>0261-4189</t>
  </si>
  <si>
    <t>1460-2075</t>
  </si>
  <si>
    <t>AUG 14</t>
  </si>
  <si>
    <t>10.1038/emboj.2013.166</t>
  </si>
  <si>
    <t>WOS:000323178900010</t>
  </si>
  <si>
    <t>Masa, J; Ozoemena, K; Schuhmann, W; Zagal, JH</t>
  </si>
  <si>
    <t>Masa, Justus; Ozoemena, Kenneth; Schuhmann, Wolfgang; Zagal, Jose H.</t>
  </si>
  <si>
    <t>Oxygen reduction reaction using N4-metallomacrocyclic catalysts: fundamentals on rational catalyst design</t>
  </si>
  <si>
    <t>JOURNAL OF PORPHYRINS AND PHTHALOCYANINES</t>
  </si>
  <si>
    <t>In this review, we describe and discuss the developments in the use of metalloporphyrins and metallophthalocyanines as catalysts for oxygen reduction in aqueous electrolytes. The main goal of most researchers in this field has been to design catalysts which can achieve facile reduction of oxygen by the four-electron transfer pathway at the lowest overpotential possible. With this in mind, the primary objective of this review was to bring to light the research frontiers uncovering important milestones towards the synthesis and design of promising N-4-metallomacrocyclic catalysts which accomplish the four-electron reduction of oxygen, and, based on literature, to draw attention to the fundamental requirements for synthesis of improved catalysts operating at low overpotentials. Our emphasis was not to make parallel comparisons between individual classes of N-4-metallomacrocyclic complexes with respect to their activity, but rather to focus on the commonalities of the fundamental properties that govern their reactivities and how these may be aptly manipulated to develop better catalysts. Therefore, besides discussion of the progress attained with regard to synthesis and design of catalysts with high selectivity towards four-electron reduction of O-2, a major part of the review highlights quantitative structure-activity relationships (QSAR) which govern the activity and stability of these complexes, which when well understood, refined and carefully implemented should constitute a fundamental gateway for rational design of better catalysts.</t>
  </si>
  <si>
    <t>zagal, jose/L-9648-2014; Ozoemena, Kenneth/P-8118-2018; Masa, Justus/I-6027-2012; Schuhmann, Wolfgang/S-2626-2016</t>
  </si>
  <si>
    <t>Schuhmann, Wolfgang/0000-0003-2916-5223; Ozoemena, Kenneth/0000-0001-7107-7003</t>
  </si>
  <si>
    <t>1088-4246</t>
  </si>
  <si>
    <t>1099-1409</t>
  </si>
  <si>
    <t>10.1142/S1088424612300091</t>
  </si>
  <si>
    <t>WOS:000307022900006</t>
  </si>
  <si>
    <t>Pérez, LM; Bragard, J; Laroze, D; Martinez-Mardones, J; Pleiner, H</t>
  </si>
  <si>
    <t>Perez, L. M.; Bragard, J.; Laroze, D.; Martinez-Mardones, J.; Pleiner, H.</t>
  </si>
  <si>
    <t>Thermal convection thresholds in a Oldroyd magnetic fluid</t>
  </si>
  <si>
    <t>We report theoretical and numerical results on convection for a magnetic fluid in a viscoelastic carrier liquid. The viscoelastic properties is given by the Oldroyd model. We obtain explicit expressions for the convective thresholds in terms of the parameters of the system in the case of idealized boundary conditions. We also calculate numerically the convective thresholds for the case of realistic boundary conditions. The effect of the Kelvin force and of the rheology on instability thresholds for a diluted suspensions are emphasized. (C) 2010 Elsevier B.V. All rights reserved.</t>
  </si>
  <si>
    <t>Pérez, Laura/AAZ-1995-2020; Pleiner, Harald/A-7202-2015; Laroze, David/Z-2852-2019; Laroze, David/E-9134-2011; BRAGARD, Jean/C-8086-2012; Perez, Laura/K-9357-2017</t>
  </si>
  <si>
    <t>Laroze, David/0000-0002-6487-8096; BRAGARD, Jean/0000-0003-3450-9609; Perez, Laura/0000-0002-2915-309X</t>
  </si>
  <si>
    <t>10.1016/j.jmmm.2010.10.022</t>
  </si>
  <si>
    <t>WOS:000285573500006</t>
  </si>
  <si>
    <t>La Rosa, D; Lima, L; Olivares-Rieumont, S; Graham, D; Enriquez, I; Diaz, O; Bastías, J; Muñoz, O</t>
  </si>
  <si>
    <t>La Rosa, D. De; Lima, L.; Olivares-Rieumont, S.; Graham, D. W.; Enriquez, I.; Diaz, O.; Bastias, J. M.; Munoz, O.</t>
  </si>
  <si>
    <t>Assessment of Total Mercury Levels in Clarias gariepinus from the Sagua la Grande River, Cuba</t>
  </si>
  <si>
    <t>BULLETIN OF ENVIRONMENTAL CONTAMINATION AND TOXICOLOGY</t>
  </si>
  <si>
    <t>Total mercury levels (Thg) were quantified in Clarias gariepinus captured from the Sagua la Grande River (Cuba) in the vicinity of an active chlor-alkali plant, and relationships among place of capture; fish size, weight, and sex; and THg levels were assessed. THg levels ranged from 67 to 375 ng/g ww in collected fish, never exceeding the Cuban recommended maximum limit for fish consumption of 500 ng/g ww. No significant correlation was observed between mercury levels and fish allometric characteristics (p &lt; 0.05); however, levels were significantly higher in fish captured below the chlor-alkali facility, suggesting a connection between mercury bioaccumulation and plant discharges.</t>
  </si>
  <si>
    <t>Lima, Lázaro/GLT-2990-2022; Graham, Duncan/C-8440-2011; Munoz, Ociel/K-2951-2016</t>
  </si>
  <si>
    <t>Lima Cazorla, Lazaro/0000-0003-0900-9602; Graham, David W/0000-0002-9753-496X; Munoz, Ociel/0000-0002-2445-4336</t>
  </si>
  <si>
    <t>0007-4861</t>
  </si>
  <si>
    <t>1432-0800</t>
  </si>
  <si>
    <t>10.1007/s00128-008-9568-5</t>
  </si>
  <si>
    <t>WOS:000261831400020</t>
  </si>
  <si>
    <t>García-Marcos, L; Castro-Rodríguez, JA; Suarez-Varela, MM; Garrido, JB; Hernandez, GG; Gimeno, AM; González, AL; Ruiz, TR; Torres, AM</t>
  </si>
  <si>
    <t>A different pattern of risk factors for atopic and non-atopic wheezing in 9-12-year-old children</t>
  </si>
  <si>
    <t>PEDIATRIC ALLERGY AND IMMUNOLOGY</t>
  </si>
  <si>
    <t>Few epidemiological studies have compared the risk factors of asthma or wheezing between atopic and non-atopic children. The objective of this study was to determine if there are specific risk factors for current wheezing related to atopic status in schoolchildren. Schoolchildren 9-12 yr of age from three Spanish cities (n = 2720) were subject to a cross-sectional study of asthma risk factors (by questionnaire) and atopy (by skin prick test) according to the ISAAC phase-II protocol. Risk factors for current wheezing (in the last 12 months) as reported by parents were investigated among the atopic (positive prick test to at least one allergen) and the non-atopic (negative prick test) children. The prevalence of current wheezing was 13.1% in the whole group, 22.1% in the atopic group and 7.8% in the non-atopic group. However, only 62.4% of children with current wheezing were atopic. Male gender and asthma in the mother and/or the father were both significant and independent risk factors for current atopic wheezing, whereas maternal smoking in the first year of the child's life and mould stains on the household walls were for current non-atopic wheezing. In summary, this study shows that atopic and current non-atopic wheezing children in Spain do not share identical environmental and family risk factors.</t>
  </si>
  <si>
    <t>Castro-Rodriguez, Jose/ABA-2760-2021; Suarez-Varela, Maria/O-5341-2018; Martinez-Gimeno, Antonio/A-9416-2010</t>
  </si>
  <si>
    <t>Castro-Rodriguez, Jose A./0000-0002-0708-4281; Martinez-Gimeno, Antonio/0000-0003-4051-1860; Garcia-Marcos, Luis/0000-0002-0925-3851</t>
  </si>
  <si>
    <t>0905-6157</t>
  </si>
  <si>
    <t>1399-3038</t>
  </si>
  <si>
    <t>10.1111/j.1399-3038.2005.00318.x</t>
  </si>
  <si>
    <t>WOS:000232006200003</t>
  </si>
  <si>
    <t>Marchand, F; Pelissier, T; Eschalier, A; Ardid, D; Alloui, A; Soto-Moyano, R; Mondaca, M; Laurido, C; Constandil, L; Hernández, A</t>
  </si>
  <si>
    <t>Blockade of supraspinal 5-HT1A receptors potentiates the inhibitory effect of venlafaxine on wind-up activity in mononeuropathic rats</t>
  </si>
  <si>
    <t>BRAIN RESEARCH</t>
  </si>
  <si>
    <t>In mononeuropathic rats submitted to a C-fiber reflex responses paradigm, repeated administration (five successive injections every half-life) of 10 mg/kg, s.c. of venlafaxine, but not of 2.5 mg/kg, s.c., a mixed monoamine reuptake inhibitor with preferential inhibitory activity in 5-HT reuptake, induced a progressive reduction of spinal wind-up. Repeated co-administration of the selective 5-HTIA receptor antagonist WAY 100,635 i.c.v. (50 mug/injection) significantly increased the effect of venlafaxine s.c., indicating that venlafaxine-induced inhibition of spinal wind-up in mononeuropathic rats is potentiated by blockade of central 5-HTIA receptors. (C) 2004 Elsevier B.V. All rights reserved.</t>
  </si>
  <si>
    <t>Hernandez, Alejandro/M-4796-2019; ESCHALIER, Alain/L-9957-2015; ardid, denis/K-2234-2015; MARCHAND, Fabien/K-1285-2015</t>
  </si>
  <si>
    <t>Constandil, Luis/0000-0002-2504-0119; Hernandez, Alejandro/0000-0001-9222-6522</t>
  </si>
  <si>
    <t>0006-8993</t>
  </si>
  <si>
    <t>1872-6240</t>
  </si>
  <si>
    <t>MAY 22</t>
  </si>
  <si>
    <t>10.1016/j.brainres.2004.02.041</t>
  </si>
  <si>
    <t>WOS:000221938900019</t>
  </si>
  <si>
    <t>Garcia-Huidobro, M; Manasevich, R; Mitidieri, E; Yarur, CS</t>
  </si>
  <si>
    <t>Existence and nonexistence of positive singular solutions for a class of semilinear elliptic systems</t>
  </si>
  <si>
    <t>ARCHIVE FOR RATIONAL MECHANICS AND ANALYSIS</t>
  </si>
  <si>
    <t>García-Huidobro, Marta/JJE-8451-2023; Manasevich, Raúl/J-5529-2016</t>
  </si>
  <si>
    <t>MITIDIERI, Enzo/0000-0001-5042-9401</t>
  </si>
  <si>
    <t>0003-9527</t>
  </si>
  <si>
    <t>10.1007/s002050050066</t>
  </si>
  <si>
    <t>WOS:000071150100003</t>
  </si>
  <si>
    <t>Navarrete, E; Morales, P; Caceres, T; Vega, A; Mesdom, P; Cariou, K; Godoy, F; Gasser, G; Flores, E; Mascayano, C</t>
  </si>
  <si>
    <t>Navarrete, Elizabeth; Morales, Pilar; Caceres, Tomas; Vega, Andres; Mesdom, Pierre; Cariou, Kevin; Godoy, Fernando; Gasser, Gilles; Flores, Erick; Mascayano, Carolina</t>
  </si>
  <si>
    <t>Development of Ferrocenyl and Ruthenocenyl Zileuton Analogs with Enhanced Bioactivity toward Human 5-Lipoxygenase: Innovation in Drugs for Inflammatory Diseases</t>
  </si>
  <si>
    <t>INORGANIC CHEMISTRY</t>
  </si>
  <si>
    <t>Zileuton is the only FDA-approved 5-lipoxygenase (5-LOX) inhibitor for asthma treatment, but it produces hepatotoxicity associated with the benzothiophene fragment. Using the concept of organometallic derivatization pioneered by Jaouen and Brocard, we synthesized five new organometallic Zileuton derivatives, maintaining the urea fragment and incorporating ferrocenyl and ruthenocenyl moiety (3a-e). Their biological activity was evaluated against 5-LOX, 15-LOX, COX-1, and COX-2 enzymes. The ferrocenyl and ruthenocenyl N-hydroxyurea complexes coined Ferroleuton (3a) and Ruthenoleuton (3e) showed the highest selective inhibitory activity against 5-LOX, with IC50 values of 0.21 +/- 0.12 and 3.49 +/- 1.11 mu M, respectively. Notably, 3a exhibited superior activity compared to Zileuton (IC50 0.67 +/- 0.09 mu M), demonstrating the key role of N-hydroxyurea and ferrocenyl fragments in the inhibitory process. Worthy of note, both compounds displayed low cytotoxicity in lung fibroblast healthy cells line (MRC-5) (CC50 of 116.40 and &gt;200 mu M, respectively). Enzyme kinetic studies indicated competitive and mixed types of inhibition for 3a and 3e, respectively. Additionally, they demonstrated superior antioxidant capacity compared to Zileuton (DPPH, ABTS, and FRAP assays). Electrochemical and molecular dynamics (MD) studies suggest a chelating-redox deactivation mechanism for 5-LOX. These findings position Ferroleuton (3a) and Ruthenoleuton (3e) as promising candidates for inflammatory disease treatment.</t>
  </si>
  <si>
    <t>Cariou, Kevin/AAU-7571-2020; Gasser, Gilles/G-7748-2015</t>
  </si>
  <si>
    <t>Gasser, Gilles/0000-0002-4244-5097</t>
  </si>
  <si>
    <t>0020-1669</t>
  </si>
  <si>
    <t>1520-510X</t>
  </si>
  <si>
    <t>FEB 13</t>
  </si>
  <si>
    <t>10.1021/acs.inorgchem.4c05103</t>
  </si>
  <si>
    <t>FEB 2025</t>
  </si>
  <si>
    <t>WOS:001421779200001</t>
  </si>
  <si>
    <t>Aguila-Camacho, N; Gallegos, J; Chen, YQ; Travieso-Torres, J</t>
  </si>
  <si>
    <t>Aguila-Camacho, Norelys; Alejandro Gallegos, Javier; Chen, Yangquan; Carlos Travieso-Torres, Juan</t>
  </si>
  <si>
    <t>Analysis of Error-Based Switched Fractional-Order Adaptive Systems: An Error Model Approach</t>
  </si>
  <si>
    <t>Switched adaptive laws for parameter estimation have been proposed in recent years to improve the balance between control energy and system performance in adaptive schemes, which is often a big issue when using traditional integer-order or fractional-order adaptive laws in adaptive identification and control. These switched adaptive laws are represented as fractional-order differential equations whose order can switch between a number within the range (0,1) and 1. However, a general analytical framework that allows proving the boundedness of the solutions and convergence of the estimation/tracking error is not yet available, with only particular analyses for specific schemes being accessible. This paper address this issue, presenting the analysis of four error models that can appear in the field of adaptive systems when these adaptive laws are chosen. The boundedness of the solutions is proved for all cases, together with the convergence to zero of the estimation/tracking error. Additionally, sufficient conditions for parameter convergence are presented, showing that the excitation condition required for parameter convergence in the vector case is also sufficient for parameter estimation in the matrix case. A numerical example is included to show the possible advantages of using switched adaptive laws in a Model Reference Adaptive Control application. Results show that controller parameters can be found for the switched controller, enabling us to obtain an overall improvement of 7.75% with respect to the non-switched integer-order controller and 34.6% with respect to the non-switched fractional-order controller.</t>
  </si>
  <si>
    <t>Aguila-Camacho, Norelys/J-4449-2015; Chen, YangQuan/A-2301-2008; Travieso Torres, Juan carlos/N-6437-2019</t>
  </si>
  <si>
    <t>Travieso Torres, Juan carlos/0000-0002-9246-4827</t>
  </si>
  <si>
    <t>10.3390/fractalfract8120706</t>
  </si>
  <si>
    <t>WOS:001384365700001</t>
  </si>
  <si>
    <t>Xie, YK; Wu, XY; Fu, C; Duan, HY; Shi, JP; Blamey, JM; Sun, JS</t>
  </si>
  <si>
    <t>Xie, Yukang; Wu, Xinying; Fu, Cong; Duan, Haiyan; Shi, Jiping; Blamey, Jenny M.; Sun, Junsong</t>
  </si>
  <si>
    <t>Rational Design of an α-1,3-Fucosyltransferase for the Biosynthesis of 3-Fucosyllactose in Bacillus subtilis ATCC 6051a via De Novo GDP-l-Fucose Pathway</t>
  </si>
  <si>
    <t>JOURNAL OF AGRICULTURAL AND FOOD CHEMISTRY</t>
  </si>
  <si>
    <t>3-Fucosyllactose (3-FL) is an important oligosaccharide and nutrient in breast milk that can be synthesized in microbial cells by alpha-1,3-fucosyltransferase (alpha-1,3-FucT) using guanosine 5'-diphosphate (GDP)-l-fucose and lactose as substrates. However, the catalytic efficiency of known alpha-1,3-FucTs from various sources was limited due to their low solubility. To enhance the microbial production of 3-FL, the efficiencies of alpha-1,3-FucTs were evaluated and in Bacillus subtilis (B. subtilis) chassis cells that had been endowed with a heterologous synthetic pathway for GDP-l-fucose, revealing that the activity of FucTa from Helicobacter pylori (H. pylori) was higher than that of any of other reported homologues. To further improve the catalytic performance of FucTa, a rational design approach was employed, involving intracellular evaluation of the mutational sites of M32 obtained through directed evolution, analysis of the ligand binding site diversity, and protein structure simulation. Among the obtained variants, the FucTa-Y218 K variant exhibited the highest 3-FL yield, reaching 7.55 g/L in the shake flask growth experiment, which was 3.48-fold higher than that achieved by the wild-type enzyme. Subsequent fermentation optimization in a 5 L bioreactor resulted in a remarkable 3-FL production of 36.98 g/L, highlighting the great prospects of the designed enzyme and the strains for industrial applications.</t>
  </si>
  <si>
    <t>Wu, xinying/MIT-9305-2025; Blamey, Jenny/M-2637-2014</t>
  </si>
  <si>
    <t>0021-8561</t>
  </si>
  <si>
    <t>1520-5118</t>
  </si>
  <si>
    <t>JAN 6</t>
  </si>
  <si>
    <t>10.1021/acs.jafc.3c07604</t>
  </si>
  <si>
    <t>WOS:001144562000001</t>
  </si>
  <si>
    <t>Hansen, HK; Gutiérrez, C; Gonzalez, JL; Lazo, A; Hansen, ME; Lazo, P; Ottosen, LM; Ortiz, R</t>
  </si>
  <si>
    <t>Hansen, Henrik K.; Gutierrez, Claudia; Gonzalez, Jorge Leiva; Lazo, Andrea; Hansen, Marcela E.; Lazo, Pamela; Ottosen, Lisbeth M.; Ortiz, Rodrigo</t>
  </si>
  <si>
    <t>Combined Electrodialysis and Electrocoagulation as Treatment for Industrial Wastewater Containing Arsenic and Copper</t>
  </si>
  <si>
    <t>MEMBRANES</t>
  </si>
  <si>
    <t>In copper smelting processes, acidic effluents are generated that contain inorganic contaminants such as arsenic and copper. Nowadays, the treatment of wastewater is done by physicochemical methods without copper recovery. Electrodialysis is an alternative process that can recover copper. Moreover, when electrocoagulation is applied to remove arsenic from wastewater, a more stable final sludge of less volume is obtained. The present research studies the application of a combined electrodialysis and electrocoagulation process to (1) recover Cu and (2) precipitate and remove arsenic simultaneously in the same batch reactor, using synthetic wastewater that simulates wastewater from a copper smelter. Copper and arsenic could be removed and separated by the electrodialysis part, and the electrocoagulation of arsenic was verified. With electrodialysis, the arsenic and copper removals were 67% and 100%, respectively, while 82% of the arsenic arriving at the electrocoagulation part of the cell could be precipitated and removed by this process. Initial concentrations were around 815 mg L-1 Cu and 7700 mg L-1 As. The optimal current was found to be 1.36 A due to the shorter treatment times necessary to get removal percentages, recovery percentages and energy/removed copper mass ratios in the same ranges as the values achieved with a current of 1.02 A. In summary, the combined process is a promising tool for simultaneous copper recovery and arsenic removal.</t>
  </si>
  <si>
    <t>Hansen, Marcela/KAL-7518-2024; Lazo, Andrea/ABF-5129-2020; Ottosen, Lisbeth/AAQ-7735-2021; Lazo, Pamela/LXB-4389-2024; Hansen, Henrik/AAI-3667-2020</t>
  </si>
  <si>
    <t>Leiva, Jorge/0000-0003-2001-9027; Ortiz-Soto, Rodrigo/0000-0002-0657-1598; Hansen, Henrik/0000-0002-4761-8700; Lazo, Andrea/0000-0002-6123-9360; Lazo, Pamela/0000-0002-7064-9564; Ottosen, Lisbeth M./0000-0001-7756-382X</t>
  </si>
  <si>
    <t>2077-0375</t>
  </si>
  <si>
    <t>10.3390/membranes13030264</t>
  </si>
  <si>
    <t>WOS:000960102600001</t>
  </si>
  <si>
    <t>Hegade, NN; Chandarana, P; Paul, K; Chen, X; Albarrán-Arriagada, F; Solano, E</t>
  </si>
  <si>
    <t>Hegade, N. N.; Chandarana, P.; Paul, K.; Chen, Xi; Albarran-Arriagada, F.; Solano, E.</t>
  </si>
  <si>
    <t>Portfolio optimization with digitized counterdiabatic quantum algorithms</t>
  </si>
  <si>
    <t>PHYSICAL REVIEW RESEARCH</t>
  </si>
  <si>
    <t>We consider digitized-counterdiabatic quantum computing as an advanced paradigm to approach quantum advantage for industrial applications in the NISQ era. We apply this concept to investigate a discrete meanvariance portfolio optimization problem, showing its usefulness in a key finance application. Our analysis shows a drastic improvement in the success probabilities of the resulting digital quantum algorithm when approximate counterdiabatic techniques are introduced. Along these lines, we discuss the enhanced performance of our methods over variational quantum algorithms like QAOA and DC-QAOA.</t>
  </si>
  <si>
    <t>Solano, Enrique/C-2895-2017; Paul, Koushik/GQQ-4240-2022; Chen, Xi/ABE-6575-2020; Chandarana, Pranav/HKO-2400-2023; Hegade, Narendra N./O-9229-2018</t>
  </si>
  <si>
    <t>Chandarana, Pranav/0000-0002-3890-1862; Paul, Koushik/0000-0002-2732-9629; SOLANO VILLANUEVA, ENRIQUE LEONIDAS/0000-0002-8602-1181; Albarran-Arriagada, Francisco/0000-0001-8899-3673; Chen, Xi/0000-0003-4221-4288; Hegade, Narendra N./0000-0002-9673-2833</t>
  </si>
  <si>
    <t>2643-1564</t>
  </si>
  <si>
    <t>DEC 22</t>
  </si>
  <si>
    <t>10.1103/PhysRevResearch.4.043204</t>
  </si>
  <si>
    <t>WOS:000905081700001</t>
  </si>
  <si>
    <t>Sivakumar, AA; Sankarapandian, S; Avudaiappan, S; Flores, EIS</t>
  </si>
  <si>
    <t>Sivakumar, Aburpa Avanachari; Sankarapandian, Sankarasabapathi; Avudaiappan, Siva; Flores, Erick I. Saavedra</t>
  </si>
  <si>
    <t>Mechanical Behaviour and Impact of Various Fibres Embedded with Eggshell Powder Epoxy Resin Biocomposite</t>
  </si>
  <si>
    <t>Natural fiber composites are becoming an alternate material to synthetic fiber composites, and the use of eggshell bio-filler has been explored in polymer composites as environmental protection. Jute, coir, and sisal fibers were utilized in this research to make composites out of natural fibers. Polymer composites were made using epoxy resin with different amounts of eggshell powder (ESP) as fillers (2%, 4%, 6%, 8%, and 10% of weight). The mechanical and biodegradability properties of the synthesized composites were investigated. The testing results showed that composites with an optimum percentage of 6% ESP as filler improved mechanical characteristics significantly in all three fiber composites. Among the three fibers, coir fiber with 6% ESP added showed a substantial increase in tensile, flexural, impact, and hardness strength properties by 34.64%, 48.50%, 33.33%, and 35.03%, respectively. In addition, the percentage weight loss of coir fiber composites at 9 weeks is noteworthy in terms of biodegradability testing. As a result, epoxy composites containing eggshell fillers could be employed in applications requiring better tensile, flexural, impact, and hardness strength.</t>
  </si>
  <si>
    <t>Avudaiappan, Siva/AAV-7579-2021; Flores, Erick/I-7646-2012</t>
  </si>
  <si>
    <t>ABURPA AVANACHARI, SIVAKUMAR/0000-0001-9636-5538; S, Sankarapandian/0009-0001-9502-9687; AVUDAIAPPAN, SIVA/0000-0002-4289-4298</t>
  </si>
  <si>
    <t>10.3390/ma15249044</t>
  </si>
  <si>
    <t>WOS:000904465600001</t>
  </si>
  <si>
    <t>Santodomingo, A; Robbiano, S; Thomas, R; Parragué-Migone, C; Cabello-Stom, J; Vera-Otarola, F; Valencia-Soto, C; Moreira-Arce, D; Moreno, L; Hidalgo-Hermoso, E; Muñoz-Leal, S</t>
  </si>
  <si>
    <t>Santodomingo, Adriana; Robbiano, Sofia; Thomas, Richard; Parrague-Migone, Catalina; Cabello-Stom, Javier; Vera-Otarola, Frank; Valencia-Soto, Carola; Moreira-Arce, Dario; Moreno, Lucila; Hidalgo-Hermoso, Ezequiel; Munoz-Leal, Sebastian</t>
  </si>
  <si>
    <t>A search for piroplasmids and spirochetes in threatened pudu (Pudu puda) and associated ticks from Southern Chile unveils a novel Babesia sp. and a variant of Borrelia chilensis</t>
  </si>
  <si>
    <t>TRANSBOUNDARY AND EMERGING DISEASES</t>
  </si>
  <si>
    <t>Cervids are important hosts for ticks and although they are refractory to some tick-borne agents such as Borrelia, they do act as reservoirs for others such as Babesia. Babesia and Borrelia are commonly transmitted by Ixodes spp. associated with deer, and most of the knowledge on their biological cycles comes from northern latitudes of the globe. In this study, we performed genetic screenings to detect tick-borne agents in blood and Ixodes stilesi ticks collected from an insular population of threatened pudu (Pudu puda), a pygmy deer species that inhabits temperate rainforests of southern South America. Inferred by phylogenetic analyses for 18S rRNA, COI and cytb genes, our results unveiled a novel genospecies of Babesia (Babesia sp. pudui) genetically related to Babesia odocoilei, a species that infects Odocoileus virginianus deer in North America. Although blood of the deer was negative for Borrelia infection, multilocus sequencing typing performed in one I. stilesi tick revealed the occurrence of a novel genetic variant of Borrelia chilensis, differing 0.93% and 0.18% in flaB and pepX genes with the type of strain for the species, respectively. Such a genetic divergence could be the result of thousands of years of isolation because of recent glaciation events that separated pudus and their tick populations at Chiloe Island approximately 437,000 years ago. The finding of a Babesia sp. has no precedents for wild and domestic ungulates in Chile and shows a novel piroplasmid that must be considered now on in rehabilitation centres and zoos that attend pudu deer. Further research is now necessary to confirm pathogenic roles.</t>
  </si>
  <si>
    <t>Munoz, Sebastian/KTI-1588-2024; Thomas, Richard/JGG-7062-2023; Moreno Salas, Lucila/HTR-5576-2023; Moreira-Arce, Dario/ABG-2898-2021; Santodomingo Santodomingo, Adriana/HTQ-7967-2023; Hidalgo-Hermoso, Ezequiel/ABB-6056-2020; Munoz-Leal, Sebastian/C-5406-2018</t>
  </si>
  <si>
    <t>Munoz-Leal, Sebastian/0000-0003-3547-6466; Santodomingo Santodomingo, Adriana/0000-0002-3133-8616; Thomas, Richard/0000-0002-5506-4461</t>
  </si>
  <si>
    <t>1865-1674</t>
  </si>
  <si>
    <t>1865-1682</t>
  </si>
  <si>
    <t>10.1111/tbed.14743</t>
  </si>
  <si>
    <t>WOS:000881755800001</t>
  </si>
  <si>
    <t>Matute, RA; Toro-Labbé, A; Oyarzún, MP; Ramirez, S; Ortega, DE; Oyarce, K; Silva, N; Zagal, JH</t>
  </si>
  <si>
    <t>Matute, Ricardo A.; Toro-Labbe, Alejandro; Oyarzun, Maria P.; Ramirez, Sara; Ortega, Daniela E.; Oyarce, Karina; Silva, Nataly; Zagal, Jose H.</t>
  </si>
  <si>
    <t>Mapping experimental and theoretical reactivity descriptors of fe macrocyclic complexes deposited on graphite or on multi walled carbon nanotubes for the oxidation of thiols: Thioglycolic acid oxidation</t>
  </si>
  <si>
    <t>We have studied the electro-oxidation of thioglycolic acid (TGA) catalyzed by iron phthalocyanines and iron porphyrins (FeN4 complexes) deposited on ordinary pyrolytic graphite and on multiwalled carbon nanotubes. The purpose of this work is to establish both experimental and theoretical reactivity descriptors of MN4 macrocyclic complexes for electrooxidation of thioglycolic acid (TGA) as an extension of previous studies involving other reactions using these types of catalysts. Essentially, the reactivity descriptors are all related to the ability of the metal center in the MN4 moiety to coordinate an extra planar ligand that corresponds to the reacting molecule. This coordinating ability, represented by the M-TGA binding energy can be modulated by tuning the electron-donation ability of the ligand and it is linearly correlated with the Fe(III)/(II) redox potential of the complex. Experimental plots of activity as (log j)(E) at constant potential versus the Fe(III)/(II) redox potential of the MN4 catalysts give volcano correlations. A semi-theoretical plot of catalytic activities (log j)(E) vs DFT calculated Fe-TGA binding energies (E-bTGA) is consistent with the experimental volcano-type correlations describing both strong and weak binding linear correlations of those volcanos. On the other hand, the Hirshfeld population analysis shows a positive charge on the Fe center of the FeN4 complexes, indicating that electron transfer occurs from the TGA to the Fe center in the FeN4 complexes that act as electron acceptors. The donor (TGA)-acceptor (Fe) intermolecular hardness Delta eta(DA) was also used as reactivity descriptor and the reactivity of the Fe centers as (log j) E increase linearly as Delta eta(DA) increases. If activity is considered per active site, the trends is exactly the opposite, i.e. a plot of (logTOF)(E) increases linearly as Delta eta(DA )decreases as expected form the Maximum Hardness-Principle. A plot of (logTOF)(E) versus E degrees'(Fe(III)/(II)) gives a linear correlation indicating that the activity per active site increases as the redox potential decreases. (C) 2021 Published by Elsevier Ltd.</t>
  </si>
  <si>
    <t>Toro-Labbé, Alejandro/ABD-9107-2020; Ortega, Daniela/M-4650-2018; zagal, jose/L-9648-2014; Oyarce, Karina/JMP-7410-2023; Matute, Ricardo/A-5466-2012; Toro-Labbe, Alejandro/J-5026-2013</t>
  </si>
  <si>
    <t>Matute, Ricardo/0000-0002-0644-3799; Ortega, Daniela E./0000-0002-0724-4206; Ramirez Pasten, Sara/0000-0003-2109-0490; Toro-Labbe, Alejandro/0000-0001-9906-2153</t>
  </si>
  <si>
    <t>SEP 20</t>
  </si>
  <si>
    <t>10.1016/j.electacta.2021.138905</t>
  </si>
  <si>
    <t>JUL 2021</t>
  </si>
  <si>
    <t>WOS:000686747600008</t>
  </si>
  <si>
    <t>Tancara, D; Norambuena, A; Peña, R; Romero, G; Torres, F; Coto, R</t>
  </si>
  <si>
    <t>Tancara, Diego; Norambuena, Ariel; Pena, Ruben; Romero, Guillermo; Torres, Felipe; Coto, Raul</t>
  </si>
  <si>
    <t>Steering interchange of polariton branches via coherent and incoherent dynamics</t>
  </si>
  <si>
    <t>Controlling light-matter-based quantum systems in the strong coupling regime allows for exploring quantum simulation of many-body physics in current architectures. For instance, the atom-field interaction in a cavity QED network provides control and scalability for quantum information processing. Here, we propose the control of single- and two-body Jaynes-Cummings systems in a nonequilibrium scenario, which allows us to establish conditions for the coherent and incoherent interchange of polariton branches. Our findings provide a systematic approach to manipulate the interchange of polaritons, which we apply to reveal insights into the transition between Mott-insulator- and superfluid-like states. Furthermore, we study the asymmetry in the absorption spectrum by triggering the cavity and atomic losses as a function of the atom-cavity detuning and the photon's hopping.</t>
  </si>
  <si>
    <t>Norambuena, Ariel/AAF-7363-2020; Torres, Felipe/ABA-9751-2020; Romero, Guillermo/C-8245-2009</t>
  </si>
  <si>
    <t>Norambuena, Ariel/0000-0001-9496-8765; Romero, Guillermo/0000-0003-2917-7814; Pena Guzman, Ruben/0000-0002-4828-0932; Torres, Felipe/0000-0002-0444-3250; Tancara, Diego/0000-0002-5053-3521</t>
  </si>
  <si>
    <t>MAY 18</t>
  </si>
  <si>
    <t>10.1103/PhysRevA.103.053708</t>
  </si>
  <si>
    <t>WOS:000653164900006</t>
  </si>
  <si>
    <t>Boulett, A; Pizarro, GD; Martin-Trasanco, R; Sánchez, J; Tasca, F; Pérez, OLE; Tello, A; Oyarzún, DP</t>
  </si>
  <si>
    <t>Boulett, Andres; Pizarro, Guadalupe Del C.; Martin-Trasanco, Rudy; Sanchez, Julio; Tasca, Federico; Linarez Perez, Omar E.; Tello, Alejandra; Oyarzun, Diego P.</t>
  </si>
  <si>
    <t>Electrodeposition of Cu2O nanostructures with improved semiconductor properties</t>
  </si>
  <si>
    <t>COGENT ENGINEERING</t>
  </si>
  <si>
    <t>In the present research, nanocomposites based on copper (I) oxide poly(1-vinyl-2-pyrolidone-co-itaconic acid) nanostructures (Cu2O/p(NVP-co-AI)) were synthesized by the electrodeposition method using the copolymer p(NVP-co-AI) as a stabilizing agent in the reduction of Cu+2 to Cu+. The chemical and physical properties of the nanostructures were characterized by techniques such as scanning electron microscopy, infrared (IR) spectroscopy, Raman and ultraviolet-visible spectrophotometry. The obtained nanostructures are mainly a mixture of agglomerated nanospheres with a diameter of approximately 78 to 91 nm, with an alternation of nanolaminar structures, composed of copper (I) oxide species. In the case of the Cu2O/p(NVP-co-AI) nanocomposite, it was observed a decrease in the carbon-oxygen vibration links of the carbonyl groups in IR intensity for the polymer when it was dissolved in the electrolytic solution, which indicates that interactions are produced by the carbonyl groups with the Cu2O species. In addition, bandgap values of 1.80 and 1.63 eV were estimated by the Kubelka-Munk method for Cu2O and Cu2O/p(NVP-co-AI) samples, respectively.</t>
  </si>
  <si>
    <t>Tasca, Federico/J-4134-2015; Martin-Trasancos, Rudy/L-2791-2017; Oyarzun, Diego/MTF-4062-2025; Sanchez, Julio/AEO-4360-2022; Pérez, Omar/J-3417-2019; PIZARRO, GUADALUPE/V-3353-2017</t>
  </si>
  <si>
    <t>Tello Zamorano, Alejandra/0000-0003-3271-0405; Linarez Perez, Omar Ezequiel/0000-0002-4034-6175; Boulett, Andres/0000-0001-6318-1601</t>
  </si>
  <si>
    <t>2331-1916</t>
  </si>
  <si>
    <t>10.1080/23311916.2021.1875534</t>
  </si>
  <si>
    <t>WOS:000612744900001</t>
  </si>
  <si>
    <t>Tricallotis, HH; Morgado, JE; Peña-Villalobos, I; Quirgas, A; Vidal, A; Faundes, W; Pacheco, A</t>
  </si>
  <si>
    <t>Horta Tricallotis, Helena; Echeverria Morgado, Javier; Pena-Villalobos, Isaac; Quirgas, Alethia; Vidal, Alejandra; Faundes, Wilfredo; Pacheco, Aryel</t>
  </si>
  <si>
    <t>Religious Practice, Craft Specialization and Status: Towards the Understanding of the Social Role of the Hallucinogen Consumption in the Atacama Salt Flat, Northern Chile (500-1500 AD)</t>
  </si>
  <si>
    <t>ESTUDIOS ATACAMENOS</t>
  </si>
  <si>
    <t>This work presents the results of a multidisciplinary research focused on the contextual study of the grave goods of six pre-Hispanic cemeteries of the San Pedro de Atacama oasis, Antofagasta Region, Chile. The main objective was to deepen the social and ritual aspects of the prehispanic religious system in Atacama (500-1500 AD), based on the archaeological evidence of the hallucinogenic paraphernalia to elucidate the identity of the individuals carrying it and verify the hypothesis about their status as members of the Atacamenian elite. Databases with the information transcribed from the Le Paige Notes for these cemeteries served as a basic instrument; from them, the statistical analysis was structured according to artifact categories that allowed us to establish correlations between the different components of the mortuary offerings, comparing those that included elements of the psychotropic equipment with those that lacked them. Thus, differences emerged in the management of certain goods that made up the circle of materializing objects of the Atacamenian elite. The foregoing raises the existence of different artisan specializations between ayllus and status diferences within this society, as well as the control of interregional exchange circuits by said elite.</t>
  </si>
  <si>
    <t>Echeverría, Javier/AAK-3323-2020; Peña-Villalobos, Isaac/AAA-5399-2022</t>
  </si>
  <si>
    <t>0718-1043</t>
  </si>
  <si>
    <t>e3906</t>
  </si>
  <si>
    <t>10.22199/issn.0718-1043-2021-0002</t>
  </si>
  <si>
    <t>WOS:000728072300001</t>
  </si>
  <si>
    <t>Arellano-Ruiz, P; García-Hermoso, A; García-Prieto, JC; Sánchez-López, M; Vizcaíno, VM; Solera-Martínez, M</t>
  </si>
  <si>
    <t>Arellano-Ruiz, Paola; Garcia-Hermoso, Antonio; Garcia-Prieto, Jorge C.; Sanchez-Lopez, Mairena; Martinez Vizcaino, Vicente; Solera-Martinez, Montserrat</t>
  </si>
  <si>
    <t>Predictive Ability of Waist Circumference and Waist-to-Height Ratio for Cardiometabolic Risk Screening among Spanish Children</t>
  </si>
  <si>
    <t>An excess of fat mass has been associated with adverse cardiometabolic risk factors. Different anthropometric measures have been proposed as alternative non-invasive measures for obesity-related cardiometabolic risk. To evaluate the magnitude of association between waist circumference (WC) and waist-to-height ratio (WtHR) with cardiometabolic risk factors and metabolic syndrome and to determine the WtHR cutoff associated with a more favorable cardiometabolic risk profile in Spanish children, data were taken from a cross-sectional survey conducted in 2010 among 848 schoolchildren aged 8-11 years from 20 public schools in the province of Cuenca (Spain). Anthropometric variables, glucose, insulin, triglycerides (TG), high-density lipoprotein cholesterol (HDL-C), systolic (SBP) and diastolic blood pressure (DBP) and metabolic syndrome (MetS) were also analyzed. WtHR and WC had a good accuracy for TG, insulin, and MetS. The diagnostic odds ratio ranged from 2.95 to 9.07 for WtHR and from 5.30 to 27.40 for WC. The main result of the present study suggests that both WtHR and WC could be used as a screening tool to identify children with cardiometabolic abnormalities.</t>
  </si>
  <si>
    <t>VIZCAINO, VICENTE/AAZ-9034-2021; SANCHEZ-LOPEZ, MAIRENA/J-7933-2016; García-Hermoso, Antonio/ADU-2591-2022; MARTINEZ VIZCAINO, VICENTE/R-4336-2017; Garcia-Hermoso, Antonio/P-1857-2017</t>
  </si>
  <si>
    <t>MARTINEZ VIZCAINO, VICENTE/0000-0001-6121-7893; Garcia-Hermoso, Antonio/0000-0002-1397-7182; Solera-Martinez, Montserrat/0000-0002-6661-078X; Sanchez Lopez, Mairena/0000-0002-0217-0623</t>
  </si>
  <si>
    <t>10.3390/nu12020415</t>
  </si>
  <si>
    <t>WOS:000522458700142</t>
  </si>
  <si>
    <t>Tapia, DEA; Barrera, VR; Santos, JFD; Franchini, E; Valdés-Badilla, P; Orihuela, P; Herrera-Valenzuela, T</t>
  </si>
  <si>
    <t>Aravena Tapia, Diego Enrique; Roman Barrera, Valeria; da Silva Santos, Jonatas Ferreira; Franchini, Emerson; Valdes-Badilla, Pablo; Orihuela, Pedro; Herrera-Valenzuela, Tomas</t>
  </si>
  <si>
    <t>High-intensity interval training improves specific performance in taekwondo athletes</t>
  </si>
  <si>
    <t>REVISTA DE ARTES MARCIALES ASIATICAS</t>
  </si>
  <si>
    <t>Specific training methods is an important aspect in the preparation of taekwondo athletes. The purpose of this study was to investigate the effect of a short-duration high-intensity interval training (HIIT) program with specific taekwondo techniques on anaerobic performance. Twelve taekwondo athletes were randomized into a control (n=6) or experimental groups (n=6). The experimental protocol consisted of 3 blocks of 6 sets of 10s all-out effort, with 10s passive recovery between sets and 1-min rest interval between blocks, conducted 3 days per week during 4-weeks. A three-way analysis of variance (ANOVA) (group, set and moment) with repeated measurements in the two last factors was conducted to compare the performance during each set of the Frequency Speed Kick Test (FSKT), and an ANOVA two-way (group and moment) with repeated measurements was used to compare the total number of kicks and kick decrement index (KDI). Both groups maintained their regular taekwondo training, which was exactly the same. Before and after the training program the athletes performed the FSKT. The experimental group increased (p&lt;0.01) performance in each of the five sets of the FSKT and in the total number of kicks (p&lt;0.001). No statistical difference was observed in the control group after 4-weeks or between the control and experimental group in any moment. A short-duration HIIT program with specific taekwondo techniques improved anaerobic performance measured through the FSKT. However, the fatigue index did not change.</t>
  </si>
  <si>
    <t>Herrera-Valenzuela, Tomas/L-1819-2019; da Silva Santos, Jonatas/O-6956-2019; Franchini, Emerson/B-9119-2012</t>
  </si>
  <si>
    <t>Franchini, Emerson/0000-0002-0769-8398; Ferreira da Silva Santos, Jonatas/0000-0002-3309-4731; Valdes-Badilla, Pablo/0000-0002-3948-8280; Orihuela, Pedro/0000-0002-4238-0932; Herrera-Valenzuela, Tomas/0000-0002-5219-5896; Aravena Tapia, Diego/0000-0001-7464-8051</t>
  </si>
  <si>
    <t>2174-0747</t>
  </si>
  <si>
    <t>JAN-JUN</t>
  </si>
  <si>
    <t>10.18002/rama.v15i1.6041</t>
  </si>
  <si>
    <t>WOS:000567112000002</t>
  </si>
  <si>
    <t>Piña, R; Ugarte, G; Campos, M; Iñigo-Portugués, A; Olivares, E; Orio, P; Belmonte, C; Bacigalupo, J; Madrid, R</t>
  </si>
  <si>
    <t>Pina, Ricardo; Ugarte, Gonzalo; Campos, Matias; Inigo-Portugues, Almudena; Olivares, Erick; Orio, Patricio; Belmonte, Carlos; Bacigalupo, Juan; Madrid, Rodolfo</t>
  </si>
  <si>
    <t>Role of TRPM8 Channels in Altered Cold Sensitivity of Corneal Primary Sensory Neurons Induced by Axonal Damage</t>
  </si>
  <si>
    <t>JOURNAL OF NEUROSCIENCE</t>
  </si>
  <si>
    <t>The cornea is extensively innervated by trigeminal ganglion cold thermoreceptor neurons expressing TRPM8 (transient receptor potential cation channel subfamily M member 8). These neurons respond to cooling, hyperosmolarity and wetness of the corneal surface. Surgical injury of corneal nerve fibers alters tear production and often causes dry eye sensation. The contribution of TRPM8-expressing corneal cold-sensitive neurons (CCSNs) to these symptoms is unclear. Using extracellular recording of CCSNs nerve terminals combined with in vivo confocal tracking of reinnervation, Ca imaging and patch-clamp recordings of fluorescent retrogradely labeled corneal neurons in culture, we analyzed the functional modifications of CCSNs induced by peripheral axonal damage in male mice. After injury, the percentage of CCSNs, the cold- and menthol-evoked intracellular [Ca2+] rises and the TRPM8 current density in CCSNs were larger than in sham animals, with no differences in the brake K current /KD. Active and passive membrane properties of CCSNs from both groups were alike and corresponded mainly to those of canonical low- and high-threshold cold thermoreceptor neurons. Ongoing firing activity and menthol sensitivity were higher in CCSN terminals of injured mice, an observation accounted for by mathematical modeling. These functional changes developed in parallel with a partial reinnervation of the cornea by TRPM8(+) fibers and with an increase in basal tearing in injured animals compared with sham mice. Our results unveil key TRPM8-dependent functional changes in CCSNs in response to injury, suggesting that increased tearing rate and ocular dryness sensation derived from deep surgical ablation of corneal nerves are due to enhanced functional expression of TRPM8 channels in these injured trigeminal primary sensory neurons.</t>
  </si>
  <si>
    <t>Olivares, Erick/AGQ-4582-2022; Madrid, Rodolfo/MCJ-4974-2025; Muñoz, Ricardo/AAO-5249-2020; Iñigo Portugues, Almudena/ABB-8449-2021; Orio, Patricio/F-6207-2010</t>
  </si>
  <si>
    <t>Madrid, Rodolfo/0000-0002-8623-5761; Belmonte, Carlos/0000-0001-6891-5942; Orio, Patricio/0000-0003-0332-8098; Pina, Ricardo/0000-0002-2316-8952; Bacigalupo, Juan/0000-0003-2688-6068; Inigo-Portugues, Almudena/0000-0003-4368-5495; Olivares Bravo, Erick/0000-0003-2069-5789</t>
  </si>
  <si>
    <t>0270-6474</t>
  </si>
  <si>
    <t>1529-2401</t>
  </si>
  <si>
    <t>OCT 9</t>
  </si>
  <si>
    <t>10.1523/JNEUROSCI.0654-19.2019</t>
  </si>
  <si>
    <t>WOS:000489258700015</t>
  </si>
  <si>
    <t>Horsfield, MA; Jara, JL; Saeed, NP; Panerai, RB; Robinson, TG</t>
  </si>
  <si>
    <t>Horsfield, Mark A.; Jara, Jose L.; Saeed, Nazia P.; Panerai, Ronney B.; Robinson, Thompson G.</t>
  </si>
  <si>
    <t>Regional Differences in Dynamic Cerebral Autoregulation in the Healthy Brain Assessed by Magnetic Resonance Imaging</t>
  </si>
  <si>
    <t>A novel method is described for mapping dynamic cerebral blood flow autoregulation to assess autoregulatory efficiency throughout the brain, using magnetic resonance imaging (MRI). Global abnormalities in autoregulation occur in clinical conditions, including stroke and head injury, and are of prognostic significance. However, there is limited information about regional variations. A gradient-echo echo-planar pulse sequence was used to scan the brains of healthy subjects at a rate of 1 scan/second during a transient decrease in arterial blood pressure provoked by a sudden release of pressure in bilateral inflated thigh cuffs. The signal decrease and subsequent recovery were analyzed to provide an index of autoregulatory efficiency (MRARI). MRI time-series were successfully acquired and analyzed in eleven subjects. Autoregulatory efficiency was not uniform throughout the brain: white matter exhibited faster recovery than gray (MRARI = 0.702 vs. 0.672, p = 0.009) and the cerebral cortex exhibited faster recovery than the cerebellum (MRARI = 0.669 vs. 0.645, p = 0.016). However, there was no evidence for differences between different cortical regions. Differences in autoregulatory efficiency between white matter, gray matter and the cerebellum may be a result of differences in vessel density and vasodilation. The techniques described may have practical importance in detecting regional changes in autoregulation consequent to disease.</t>
  </si>
  <si>
    <t>Stapf, Christian/ITV-0077-2023; Horsfield, Mark/C-6569-2013; Jara, JL/J-7254-2015</t>
  </si>
  <si>
    <t>Jara, JL/0000-0002-3348-7017; Robinson, Thompson/0000-0003-2144-2468</t>
  </si>
  <si>
    <t>e62588</t>
  </si>
  <si>
    <t>10.1371/journal.pone.0062588</t>
  </si>
  <si>
    <t>WOS:000319077300080</t>
  </si>
  <si>
    <t>Reyes-Bozo, L; Herrera-Urbina, R; Escudey, M; Godoy-Faúndez, A; Sáez-Navarrete, C; Herrera, M; Ginocchio, R</t>
  </si>
  <si>
    <t>Reyes-Bozo, L.; Herrera-Urbina, R.; Escudey, M.; Godoy-Faundez, A.; Saez-Navarrete, C.; Herrera, M.; Ginocchio, R.</t>
  </si>
  <si>
    <t>Role of biosolids on hydrophobic properties of sulfide ores</t>
  </si>
  <si>
    <t>INTERNATIONAL JOURNAL OF MINERAL PROCESSING</t>
  </si>
  <si>
    <t>The effect of biosolids on hydrophobic properties of sulfides ores was studied. The principal components of biosolids are humic substances, mainly humic acid, and phosphorus compounds. The feasibility of using biosolids as collector for copper sulfide ores (CSO) was performed through zetapotential measurements, FT-IR analysis and film flotation tests. Addition of different dosages of biosolids, a commercial humic acid (CHA), and an industrial collector makes the zeta potential of a copper sulfide ore more electronegative in the entire pH range studied. FT-IR spectra show that CHA can interact with mineral surfaces through outer-sphere linkages. CHA can adsorb physically on chalcopyrite and pyrite through hydrogen bonds or Van der Waals forces. Orthophosphate, however, adsorbs chemically on the surfaces of these mineralogical species through inner-sphere linkages. Therefore, biosolids that contains both humic acid and phosphorus compounds can interact with CSO surfaces through a complex mechanism involving both inner and outer-sphere linkages. Further, film flotation tests - in accordance with zeta potential results - show that biosolids adsorb on the surface of the sulfide ores investigated, changing their hydrophobicity. Biosolids show greater affinity for pyrite while commercial humic acid show similar behavior to industrial collectors. Therefore, both biosolids and humic acids can change the hydrophobic properties of sulfide ores and can be used as collectors in froth flotation processes. Further research will be needed in order to scale-up laboratory results to industrial mineral operations. (C) 2011 Elsevier B.V. All rights reserved.</t>
  </si>
  <si>
    <t>Godoy-Faúndez, Alex/G-4258-2012; Ginocchio, Rosanna/S-7592-2019; Godoy-Faundez, Alex/K-8395-2015; Ginocchio, Rosanna/C-9637-2016; Saez-Navarrete, Cesar Antonio/HZL-8450-2023</t>
  </si>
  <si>
    <t>Reyes-Bozo, Lorenzo/0000-0002-4523-0139; Godoy-Faundez, Alex/0000-0002-9609-9863; Ginocchio, Rosanna/0000-0003-4089-8188; Saez-Navarrete, Cesar Antonio/0000-0002-3940-143X</t>
  </si>
  <si>
    <t>0301-7516</t>
  </si>
  <si>
    <t>1879-3525</t>
  </si>
  <si>
    <t>SEP 14</t>
  </si>
  <si>
    <t>10.1016/j.minpro.2011.05.009</t>
  </si>
  <si>
    <t>WOS:000295501700009</t>
  </si>
  <si>
    <t>Cakmak, S; Dales, RE; Rubio, MA; Vidal, CB</t>
  </si>
  <si>
    <t>Cakmak, Sabit; Dales, Robert E.; Angelica Rubio, Maria; Blanco Vidal, Claudia</t>
  </si>
  <si>
    <t>The risk of dying on days of higher air pollution among the socially disadvantaged elderly</t>
  </si>
  <si>
    <t>ENVIRONMENTAL RESEARCH</t>
  </si>
  <si>
    <t>Rationale: The estimated mortality rate associated with ambient air pollution based on general population studies may not be applicable to certain subgroups. Objective: The objective of the present study was to determine the influence of age, education, employment status and income on the risk of mortality associated with ambient air pollution. Methods: Daily time-series analyses tested the association between daily air pollution and daily mortality in seven Chilean urban centers during the period January 1997-December 2007. Results were adjusted for long-term trends, day-of-the week and humidex. Results: Interquartile increases in particulate matter (PM10 and PM2.5), sulphur dioxide, nitrogen dioxide, carbon monoxide, and elemental and organic carbon were associated with a 4-7% increase in mortality among those who did not complete primary school (p &lt; 0.05) vs. 0.5-1.5% among university graduates (p &gt; 0.05). Among those at least 85 years of age respective estimates were 2-7%. However, among the elderly who did not complete primary school, respective estimates were 11-19% (p &lt; 0.05). The degree of effect modification was less for income and employment status than education, and sex did not modify the results. Conclusion: The socially disadvantaged, especially if elderly appear to be especially susceptible to dying on days of higher air pollution. Concentrations deemed acceptable for the general population would not appear to protect this susceptible subgroup. (C) 2011 Elsevier Inc. All rights reserved.</t>
  </si>
  <si>
    <t>Bajo, Maria/ABF-6991-2020</t>
  </si>
  <si>
    <t>Cakmak, Sabit/0000-0001-9921-2107</t>
  </si>
  <si>
    <t>0013-9351</t>
  </si>
  <si>
    <t>1096-0953</t>
  </si>
  <si>
    <t>10.1016/j.envres.2011.01.003</t>
  </si>
  <si>
    <t>WOS:000289026700009</t>
  </si>
  <si>
    <t>Acrylamide generation in pre-treated potato chips</t>
  </si>
  <si>
    <t>AGRO FOOD INDUSTRY HI-TECH</t>
  </si>
  <si>
    <t>Acrylamide formation in potato slices fried at two different temperatures ( 170 and 190 degrees C) was investigated under different pre-processing conditions. Potato slices (Saturna variety, diameter: 37 mm, width: 2.2 mm) were either fried at 170 degrees C per 5 min or 190 degrees C per 3.5 min to reach a final moisture content of 1.8 g water/100g ( wet basis). Prior to frying, potato slices were treated in one of the following ways: (i) Raw slices without any pre-treatment were considered as the control; (ii) Blanching: which was accomplished in 2 temperature-time combinations: 60 degrees C for 30 min and 90 degrees C for 5 min; (iii) Slices blanched treated such as in ( ii) were then dried at 60 degrees C until a final moisture content of 60 g water/100 g ( wet basis); (iv) Slices blanched such as in ( ii) were then impregnated in a 3 g/100 g of NaCl solution for 5 min at 25 degrees C. Acrylamide content in potato chips was determined after frying at 170 or 190 degrees C. Frying at 190 degrees C increased by almost 130 percent the acrylamide content of all the pre-treated samples ( average value) fried at 170 degrees C. Soaking of blanched potato slices in the 3 g/100 g of NaCl solution per 5 min at 25 degrees C, reduces acrylamide formation in potato chips by 11 percent after frying at 170 degrees C. However when the slices are blanched directly in the 3 g/100g of NaCl solution at 60 degrees C for 30 min, their acrylamide formation increased surprisingly by similar to 90 percent when frying at 170 degrees C.</t>
  </si>
  <si>
    <t>1722-6996</t>
  </si>
  <si>
    <t>2035-4606</t>
  </si>
  <si>
    <t>WOS:000254138100002</t>
  </si>
  <si>
    <t>Barticevic, Z; Pacheco, M; Duque, CA; Oliveira, LE</t>
  </si>
  <si>
    <t>Magnetoabsorption spectra of intraexcitonic transitions in GaAs-(Ga,Al)As semiconductor quantum wells</t>
  </si>
  <si>
    <t>JOURNAL OF APPLIED PHYSICS</t>
  </si>
  <si>
    <t>We present a theoretical study, within the effective-mass approximation, of the magnetoabsorption spectra of intraexcitonic terahertz transitions of light-hole and heavy-hole confined magnetoexcitons in GaAs-(Ga,Al)As quantum wells. The semiconductor quantum wells are studied under magnetic fields applied in the growth direction of the semiconductor heterostructure. The various magnetoexciton states are obtained in the effective-mass approximation by an expansion of the exciton-envelope wave functions in terms of products of hole and electron quantum-well states with appropriate Gaussian functions for the various excitonic states. Intramagnetoexciton transitions are theoretically studied by exciting the allowed excitonic transitions with sigma(+) (or sigma(-)) far-infrared radiation circularly polarized in the plane of the GaAs-(Ga,Al)As quantum well. Theoretical results are obtained for the intramagnetoexciton transition energies and magneto-absorption spectra associated with excitations from 1s-like to 2p(+/-), and 3p(+/-)-like magnetoexciton states, and found in overall agreement with optically detected resonance measurements. (C) 2002 American Institute of Physics.</t>
  </si>
  <si>
    <t>Pacheco, Monica/AAG-8440-2019; Pacheco, Monica/L-9669-2014</t>
  </si>
  <si>
    <t>Pacheco, Monica/0000-0002-4293-5213; Duque, Carlos/0000-0003-3382-2783</t>
  </si>
  <si>
    <t>0021-8979</t>
  </si>
  <si>
    <t>1089-7550</t>
  </si>
  <si>
    <t>10.1063/1.1489495</t>
  </si>
  <si>
    <t>WOS:000176907700010</t>
  </si>
  <si>
    <t>Blümel, JE; Castelo-Branco, C; Sanjuán, A; González, P; Moyano, C; Iturriaga, TM; Gonzalez, R; Romero, S; Cano, A</t>
  </si>
  <si>
    <t>A simplified method to quantitate atherosclerosis in the rabbit aorta</t>
  </si>
  <si>
    <t>MATURITAS</t>
  </si>
  <si>
    <t>A simple method to quantitatively evaluate atherosclerosis in the rabbit aorta by measuring macroscopic lesion areas (%) was attempted in the present study. Ten female New Zealand white rabbits were fed on a cholesterol-rich diet (5/1000 g of food) during 4 months. Five of them were oophorectomized at the beginning and all were sacrificed at the end. Total levels of cholesterol increased from 50.7 +/- 14.7 mg/dl to 782.8 +/- 296.0. No significant differences were observed between oophorectomized and intact rabbits. At 4 months, the cholesterol-rich diet caused in both, intact and oophorectomized rabbits, atherosclerotic lesions affecting 17 and 46% of the aortic surface, respectively. This method may be more practical, easy and useful for quantitative evaluation of aortic atherosclerosis in a large number of rabbits, than histological observations of serial sections of rabbit's aortas. (C) 2001 Elsevier Science Ireland Ltd. All rights reserved.</t>
  </si>
  <si>
    <t>Blümel, Juan Enrique/JUV-6950-2023; Castelo-Branco, Camil/O-5245-2016</t>
  </si>
  <si>
    <t>Castelo-Branco, Camil/0000-0002-9860-8318</t>
  </si>
  <si>
    <t>0378-5122</t>
  </si>
  <si>
    <t>SEP 28</t>
  </si>
  <si>
    <t>10.1016/S0378-5122(01)00195-5</t>
  </si>
  <si>
    <t>WOS:000171577900011</t>
  </si>
  <si>
    <t>Maine, A; Garrido, E; Salazar, S; Leal, M; Silva, CP; Pavez, J; Escrig, J; Gunther, G; Briones, X</t>
  </si>
  <si>
    <t>Maine, Arianne; Garrido, Eduardo; Salazar, Sebastian; Leal, Matias; Silva, Carlos P.; Pavez, Jorge; Escrig, Juan; Gunther, German; Briones, Ximena</t>
  </si>
  <si>
    <t>Thin Films of Poly(ionic liquids) Containing l-Alanine and l-Serine Amino Acids for Immobilization of Laccase</t>
  </si>
  <si>
    <t>ACS APPLIED POLYMER MATERIALS</t>
  </si>
  <si>
    <t>Recently, poly(ionic liquid)s (PILs) have emerged as a family of polymeric materials that are being increasingly investigated for interdisciplinary applications. PILs as matrices for the immobilization of enzymes have gained greater attention. PILs with amino acid counterions could contribute not only to produce more biocompatible films for immobilization but also to maintain their enzymatic activity. Moreover, the surface properties are factors governing enzyme adsorption. Laccases are popular enzymes, because of their ability to remove dyes and other pollutants in an environmentally friendly way. In this study, we present the synthesis and characterization of thin films of PILs that incorporate two different amino acids as counterions, designed to immobilize and assess the enzymatic activity of Laccase. To investigate the influence of polarity and to modulate the hydrophobic and hydrophilic properties of these films, we selected l-alanine as a nonpolar amino acid and l-serine as a polar counterpart. We will evaluate the activity of laccase immobilized on PIL-modified surfaces by using bromothymol blue (BTB) dye. The PIL-Ser film exhibited larger globular structures, likely resulting from the formation of small island-like aggregates or clusters. In contrast, the PIL-Ala film displayed more uniform interconnected globular structures with more regular and slightly homogeneous morphology. The findings from AFM were consistent with the observations made through FE-SEM. The PIL-Ser films were highly hydrophilic, exposing polar amino acid residues to air when adsorbed onto a silicon surface, whereas the PIL-Ala films primarily presented nonpolar groups at the interface. The amount of adsorbed Laccase was shown to be dependent on the nature of the amino acid residue present in the PIL, being almost doubled in the case of PIL-Ser. In conclusion, regardless of the amount of Laccase immobilized on the PIL-Ser and PIL-Ala films, both types of films demonstrated effective support for the degradation of BTB dye.</t>
  </si>
  <si>
    <t>Silva, Carlos/IQS-5583-2023; Gunther, German/I-1028-2013; BRIONES, XIMENA/G-3554-2016; SALAZAR SANDOVAL, DR. SEBASTIAN/MAI-5360-2025; Escrig, Juan/N-4304-2015; Pavez, Jorge/K-6904-2014</t>
  </si>
  <si>
    <t>2637-6105</t>
  </si>
  <si>
    <t>FEB 8</t>
  </si>
  <si>
    <t>10.1021/acsapm.4c03470</t>
  </si>
  <si>
    <t>WOS:001416523000001</t>
  </si>
  <si>
    <t>del Solar, AV; Galeas, MS; Legües, DL; Cortés-Morales, S; González, PA</t>
  </si>
  <si>
    <t>del Solar, Ana Vergara; Galeas, Mauricio Sepulveda; Legues, Daniela Leyton; Cortes-Morales, Susana; Gonzalez, Pilar Anastasia</t>
  </si>
  <si>
    <t>Interlocked: The ethics of care and the ethics of justice in children's discourses on the parent-child relationship in Chile</t>
  </si>
  <si>
    <t>CHILDREN &amp; SOCIETY</t>
  </si>
  <si>
    <t>The article begins with a discussion of the contribution of childhood studies to our understanding of children's ethics, taking into account feminist inputs to the debate over the ethics of care and the ethics of justice. Then, based on two qualitative studies carried out in Chile with children between 10 and 13 years of age, the article shows the emphasis the children place on reciprocal care between parents and children. This concern for reciprocity is accompanied by notions of justice and rights in how they evaluate the parent-child relationship. The data reveal the complex ways in which the ethics of care and of justice interlock in the children's discourses. The article concludes by tracing the links between these results and the conditions of productive and reproductive work in contemporary Chile as reflected in the children's discourses, and it shows how children have begun to internalise a focus on children's rights in reflecting on their daily lives.</t>
  </si>
  <si>
    <t>VERGARA, Ana/ABV-0851-2022; CORTES, SUSANA/AGZ-7240-2022</t>
  </si>
  <si>
    <t>Leyton Legues, Daniela/0000-0001-6618-0444; Cortes-Morales, Susana/0000-0003-3920-5743; vergara del solar, ana cecilia/0000-0001-7823-3769; Anastasia Gonzalez, Pilar/0000-0002-1135-140X</t>
  </si>
  <si>
    <t>0951-0605</t>
  </si>
  <si>
    <t>1099-0860</t>
  </si>
  <si>
    <t>10.1111/chso.12850</t>
  </si>
  <si>
    <t>FEB 2024</t>
  </si>
  <si>
    <t>WOS:001171960000001</t>
  </si>
  <si>
    <t>Fernández-Muñoz, J; Haunton, VJ; Panerai, RB; Jara, JL</t>
  </si>
  <si>
    <t>Fernandez-Munoz, Juan; Haunton, Victoria J.; Panerai, Ronney B.; Jara, Jose Luis</t>
  </si>
  <si>
    <t>Detection of Blood CO2 Influences on Cerebral Hemodynamics Using Transfer Entropy</t>
  </si>
  <si>
    <t>Cerebral hemodynamics describes an important physiological system affected by components such as blood pressure, CO2 levels, and endothelial factors. Recently, novel techniques have emerged to analyse cerebral hemodynamics based on the calculation of entropies, which quantifies or describes changes in the complexity of this system when it is affected by a pathological or physiological influence. One recently described measure is transfer entropy, which allows for the determination of causality between the various components of a system in terms of their flow of information, and has shown positive results in the multivariate analysis of physiological signals. This study aims to determine whether conditional transfer entropy reflects the causality in terms of entropy generated by hypocapnia on cerebral hemodynamics. To achieve this, non-invasive signals from 28 healthy individuals who undertook a hyperventilation maneuver were analyzed using conditional transfer entropy to assess the variation in the relevance of CO2 levels on cerebral blood velocity. By employing a specific method to discretize the signals, it was possible to differentiate the influence of CO2 levels during the hyperventilation phase (22.0% and 20.3% increase for the left and right hemispheres, respectively) compared to normal breathing, which remained higher during the recovery phase (15.3% and 15.2% increase, respectively).</t>
  </si>
  <si>
    <t>10.3390/e26010023</t>
  </si>
  <si>
    <t>WOS:001151797800001</t>
  </si>
  <si>
    <t>Silva, EF; Miarka, B; Queiroz, ACC; Munoz, EA; Soto, DAS; Brito, CJ; Cordova, CO</t>
  </si>
  <si>
    <t>Silva, Eliane Ferraz; Miarka, Bianca; Queiroz, Andreia Cristiane Carrenho; Munoz, Esteban Aedo-; Soto, Dany Alexis Sorbazo; Brito, Ciro Jose; Cordova, Claudio Olavo</t>
  </si>
  <si>
    <t>Combined warmup exerts an ergogenic effect on the speed of sprint swimmers: A systematic review with meta-analysis</t>
  </si>
  <si>
    <t>This study review and analyze studies that measured the effect of combined strength/power warmup (COMB) versus traditional (TRAD) on the post-activation performance enhancement (PAPE) of swimmers. For this, we performed a systematic review was carried out with meta-analysis based on descriptors related to PAPE in swimming. A total of 138 articles were identified, of which 15 were selected. Comparisons between the COMB condition and the TRAD warm-up were performed for the following set of variables: a) power in 50- and 100 -meter events, b) start performance, c) test time of 50- and 100- meters, and d) instantaneous speed in 50-meters events. The data extracted from the studies showed acceptable homogeneity (I-2=0.000). When we observed the confidence intervals, it was verified that there were no differences between the COMB condition and the TRAD for power in 50 and 100 m events (Hedges g'=-0.12; 95%CI=-0.376; 0.136; p=0.357); time in 50- and 100 -meter races (Hedges g'=-0.139; 95%CI=-0.314; 0.036; p=0.118); start performance (Hedges g'=-0.313; 95%CI =-0.643; 0.018; p=0.064). The COMB condition had an ergogenic effect on instantaneous speed in the 50 m event (Hedges g'=-0.282; 95%CI=-0.402; -0.162; p &lt;= 0.001). In conclusion, the present metaanalysis concluded that the COMB intervention does not exert an ergogenic effect on the performance of swimmers for the set of analyzed variables, except for instantaneous speed in 50 m events. Future studies may compare other forms of warmup versus the TRAD.</t>
  </si>
  <si>
    <t>Brito, Ciro/AAC-9104-2019; Aedo-Muñoz, Esteban/R-5623-2019; Miarka, Bianca/V-7395-2017</t>
  </si>
  <si>
    <t>Aedo-Munoz, Esteban/0000-0003-1544-2824; Miarka, Bianca/0000-0002-7513-7605; brito, ciro/0000-0002-9678-1977; Queiroz, Andreia/0000-0003-1985-2388</t>
  </si>
  <si>
    <t>WOS:001217879500001</t>
  </si>
  <si>
    <t>Magnot, JP; Reyes, EG; Roubtsov, V</t>
  </si>
  <si>
    <t>Magnot, J. -p.; Reyes, E. G.; Roubtsov, V.</t>
  </si>
  <si>
    <t>A Kadomtsev-Petviashvili Hierarchy Driven by Equation Manifolds</t>
  </si>
  <si>
    <t>LOBACHEVSKII JOURNAL OF MATHEMATICS</t>
  </si>
  <si>
    <t>The fact that (formally integrable) differential equations determine sub-bundles of appropriate infinite jet bundles allows us to introduce a ''driven'' Kadomtsev-Petviashvili (KP) hierarchy. We solve this hierarchy and we observe, as an application, that each solution to the KdV equation determines smooth solutions to our full KP hierarchy, and that these solutions are also smooth with respect to the ''seed'' (or initial) corresponding KdV solution.</t>
  </si>
  <si>
    <t>Reyes, Enrique/AAD-1308-2019; Magnot, Jean-pierre/K-7324-2013</t>
  </si>
  <si>
    <t>Reyes, Enrique G./0000-0001-8460-444X</t>
  </si>
  <si>
    <t>1995-0802</t>
  </si>
  <si>
    <t>1818-9962</t>
  </si>
  <si>
    <t>10.1134/S1995080223090238</t>
  </si>
  <si>
    <t>WOS:001156509800028</t>
  </si>
  <si>
    <t>Durán, C; Carrasco, R; Soto, I; Galeas, I; Azócar, J; Peña, V; Lara-Salazar, S; Gutierrez, S</t>
  </si>
  <si>
    <t>Duran, Claudia; Carrasco, Raul; Soto, Ismael; Galeas, Ignacio; Azocar, Jose; Pena, Victoria; Lara-Salazar, Sebastian; Gutierrez, Sebastian</t>
  </si>
  <si>
    <t>Quantum algorithms: applications, criteria and metrics</t>
  </si>
  <si>
    <t>COMPLEX &amp; INTELLIGENT SYSTEMS</t>
  </si>
  <si>
    <t>In the field of data processing and IoT communication it is possible to develop more robust solutions by combining quantum algorithms with metaheuristics. Said solutions can be applied in the industry and be measured using metrics associated with complexity, efficiency, processing, and accuracy. An extensive bibliographical review is carried out to determine which is the most efficient and effective hybrid algorithm that can be applied to a real experimental case, which aims to improve communication to reduce occupational risks. Criteria, metrics, and experimental results were obtained, in which it is shown that the quantum genetic algorithm is better than the genetic algorithm. A detailed discussion on the objective function, the convergence to the global optimum, and the need to improve the obtained solutions is given. The conclusions raise new aspects that need investigation.</t>
  </si>
  <si>
    <t>Duran, Claudia/S-1175-2019; Peña Romo, Victoria/GWQ-8320-2022; Carrasco, Raul/G-5440-2015</t>
  </si>
  <si>
    <t>Gutierrez Lillo, Sebastian/0000-0003-3714-0632; Carrasco, Raul/0000-0002-5023-9349</t>
  </si>
  <si>
    <t>2199-4536</t>
  </si>
  <si>
    <t>2198-6053</t>
  </si>
  <si>
    <t>10.1007/s40747-023-01073-9</t>
  </si>
  <si>
    <t>MAY 2023</t>
  </si>
  <si>
    <t>WOS:000984764400001</t>
  </si>
  <si>
    <t>Esfandiari, N; Rojas, A; Babhadiashar, A; Galotto, MJ; Ardestani, NS; Sajadian, SA</t>
  </si>
  <si>
    <t>Esfandiari, Nadia; Rojas, Adrian; Babhadiashar, Arman; Galotto, Maria Jose; Saadati Ardestani, Nedasadat; Sajadian, Seyed Ali</t>
  </si>
  <si>
    <t>Effect of the Processing Conditions on the Supercritical Extraction and Impregnation of Rosemary Essential Oil in Linear Low-Density Polyethylene Films</t>
  </si>
  <si>
    <t>PROCESSES</t>
  </si>
  <si>
    <t>The supercritical fluid extraction of essential oil from rosemary leaves and its subsequent impregnation in linear low-density polyethylene (LLDPE) films were studied. The effects of temperature (318 and 338 K), pressure (15 and 25 MPa) and rosemary particle size (0.9 and 0.15 mm) on the extraction yield were investigated. Impregnation assays were developed at two different values of pressure (12 and 20 MPa), temperature (308 and 328 K), and impregnation time (1 and 5 h). The extraction yield of rosemary essential oil was increased by increasing pressure and decreasing particle size and temperature. ANOVA results showed that temperature, pressure, and time significantly impacted the essential oil impregnation yield in LLDPE films. The maximum impregnation yield (1.87 wt. %) was obtained at 12 MPa, 328 K, and 5 h. The antioxidant activity and the physical-mechanical properties of impregnated films were analyzed. The IC50 values for all the impregnated LLDPE samples were close to the IC50 value of the extract showing that the impregnated films have a significant antioxidant activity.</t>
  </si>
  <si>
    <t>Rojas, Adrián/ISB-5770-2023; Sajadian, Seyedali/HJP-8942-2023; Esfandiari, Nadia/AAX-8035-2021</t>
  </si>
  <si>
    <t>Babhadiashar, Arman/0000-0003-2698-2068; Saadati Ardestani, Nedasadat/0000-0002-4356-125X; Esfandiari, Nadia/0000-0003-3071-7291; sajadian, seyed ali/0000-0002-8942-0559; Rojas, Adrian/0000-0001-9253-1295</t>
  </si>
  <si>
    <t>2227-9717</t>
  </si>
  <si>
    <t>10.3390/pr11010011</t>
  </si>
  <si>
    <t>WOS:000927150700001</t>
  </si>
  <si>
    <t>Georgin, J; Franco, DSP; Netto, MS; Gama, BM; Fernandes, DP; Sepúlveda, P; Silva, LFO; Meili, L</t>
  </si>
  <si>
    <t>Georgin, Jordana; Franco, Dison S. P.; Netto, Matias S.; Gama, Brigida M., V; Fernandes, Daniel Pinto; Sepulveda, Pamela; Silva, Luis F. O.; Meili, Lucas</t>
  </si>
  <si>
    <t>Effective adsorption of harmful herbicide diuron onto novel activated carbon from Hovenia dulcis</t>
  </si>
  <si>
    <t>COLLOIDS AND SURFACES A-PHYSICOCHEMICAL AND ENGINEERING ASPECTS</t>
  </si>
  <si>
    <t>A porous activated carbon from Hovenia dulcis was prepared using zinc chloride (ZnCl2) as an activating agent and applied to remove diuron in aqueous solutions. The carbon presented a smooth and regular surface, with an area of 898 m2 g-1, narrow pores of average diameter equal to 1.242 nm, and volume of 0.296 cm3 g-1. Adsorption was favored by increasing the pH and temperature. Isothermal curves formed a characteristic plateau of the Langmuir monolayer isotherm. Thermodynamic results indicated that herbicide adsorption was sponta-neous, favorable, and endothermic (Delta H0 = 35.9093 kJ mol-1). The decay of the diuron concentration displays that equilibrium is attained in 120 min. The best results were obtained at pH 6, temperature of 328 K and 200 rpm and C0 of 200 mg.L-1. Langmuir model had the best adjustment, obtaining maximum adsorption capacity of 96.68 mg.g-1. Pore volume and surface diffusion model (PVSDM) was suitably represent the decline comportment of diuron. The adsorption mechanism was rate controlled by the external and internal mass transfer. In the treatment of a river water sample contaminated with diuron, activated carbon revealed high performance, reaching 95% removal of the emerging pollutant.</t>
  </si>
  <si>
    <t>Gama, Brigida/MVY-6087-2025; Franco, Dison/X-8381-2019; Fernandes, Daniel/AAC-6275-2021; Meili, Lucas/E-8962-2015; Sepulvedaor, Pamela/GRO-3516-2022; Netto, Matias/ABH-3841-2020; georgin, jordana/X-8378-2019; Silva, Luis/S-9681-2017</t>
  </si>
  <si>
    <t>Franco, Dison/0000-0003-3672-998X; georgin, jordana/0000-0003-1692-565X; Silva, Luis/0000-0001-7678-9130; Schadeck Netto, Matias/0000-0002-0479-1220</t>
  </si>
  <si>
    <t>0927-7757</t>
  </si>
  <si>
    <t>1873-4359</t>
  </si>
  <si>
    <t>DEC 5</t>
  </si>
  <si>
    <t>10.1016/j.colsurfa.2022.129900</t>
  </si>
  <si>
    <t>WOS:000860703100004</t>
  </si>
  <si>
    <t>Toro, SA; Ridruejo, A; González, C; Blázquez, JPF</t>
  </si>
  <si>
    <t>Andres Toro, Sebastian; Ridruejo, Alvaro; Gonzalez, Carlos; Fernandez Blazquez, Juan Pedro</t>
  </si>
  <si>
    <t>Effect of Fiber-Matrix Interface on the Mechanical Response of a Woven Carbon Fiber/PEEK Composite Material</t>
  </si>
  <si>
    <t>This work studies the relationship between the interface shear strength (IFSS) and the mechanical response of a carbon fiber-reinforced composite with a polyether-ether-ketone (PEEK) thermoplastic matrix. Two types of laminates were studied: the first kind was manufactured with as-received fiber fabrics, while specimens belonging to the second one were fabricated with thermally treated fibers where the original sizing agent was removed. IFSS values were measured with the push-in test, showing that treated fibers exhibit a 25% higher critical shear stress. Microscopic inspection of the laminates revealed that untreated specimens were prone to debonding, generating a much higher crack density. This difference was detected by the C-Scan technique and triggered in the response of both laminates under tensile tests at +/- 45 circle fiber orientation, where maximum stress and strain at break values of desized specimens showed an increase of 37% and 190%, respectively. Results confirmed that the original fiber sizing weakened the fiber-matrix interface. Lastly, the tensile response of the composite is analyzed in light of interface quality.</t>
  </si>
  <si>
    <t>Toro, Sebastian/CAH-7489-2022; Ridruejo, Alvaro/I-1082-2015; González, Carlos/AAC-4265-2020; Gonzalez, Carlos/M-9897-2014; FERNANDEZ, JUAN PEDRO/C-3938-2008</t>
  </si>
  <si>
    <t>Toro, Sebastian Andres/0000-0002-2004-1382; Gonzalez, Carlos/0000-0002-0724-138X; FERNANDEZ, JUAN PEDRO/0000-0003-0458-3293</t>
  </si>
  <si>
    <t>10.3390/ma15207340</t>
  </si>
  <si>
    <t>WOS:000873158000001</t>
  </si>
  <si>
    <t>Sepúlveda, R; Toro, N; Hernández, P; Navarro, P; Vargas, C; Gálvez, E; Castillo, J</t>
  </si>
  <si>
    <t>Sepulveda, Rossana; Toro, Norman; Hernandez, Pia; Navarro, Patricio; Vargas, Cristian; Galvez, Edelmira; Castillo, Jonathan</t>
  </si>
  <si>
    <t>Solvent Extraction of Metal Ions from Synthetic Copper Leaching Solution Using R4NCy</t>
  </si>
  <si>
    <t>METALS</t>
  </si>
  <si>
    <t>Recent works suggest that the use of ionic liquids in the copper solvent extraction industry is feasible. However, the reports did not use real solutions (or synthetic solutions with various elements). This fact remains poorly established, and the interaction efficiencies are still under study. The objective of this research is to explore the extraction and stripping of the four major elements present in a copper industrial pregnant leach solution (Cu(II), Fe(III), Mn(II), and Zn(II)) using the methyltrioctyl/decylammonium bis(2,4,4-trimethylpentyl)phosphinate (R4NCy) ionic liquid as an extractant. The work conditions studied in extraction were ionic liquid concentration, initial pH, and O/A ratio, and in stripping were H2SO4 concentration and O/A ratio. The test was carried out at room temperature and ambient pressure. High efficiency and selectivity (99.82% and 113,755 over Cu(II), respectively) were observed for Fe(III) extraction over the other elements. Moreover, after the extraction test, significant difficulty in stripping Fe(III) loaded in the ionic liquid was observed (28.7% at 0.5 M of H2SO4). Finally, the present study demonstrates that the R4NCy ionic liquid is not suitable for copper extraction because it has a higher selectivity for Fe(III) and Zn(II).</t>
  </si>
  <si>
    <t>Castillo, Jonathan/AAB-8092-2019; Toro, Norman/AAK-7766-2020</t>
  </si>
  <si>
    <t>Hernandez, Pia C./0000-0001-9939-8386; Sepulveda Rivera, Rossana Daniela/0000-0003-0288-8130; Castillo, Jonathan/0000-0002-7794-4291; Toro Villarroel, Norman Rodrigo/0000-0003-4273-3563</t>
  </si>
  <si>
    <t>2075-4701</t>
  </si>
  <si>
    <t>10.3390/met12061053</t>
  </si>
  <si>
    <t>WOS:000816394000001</t>
  </si>
  <si>
    <t>Polanco, E; Aguirre, L; Henríquez, F; Skewes, A</t>
  </si>
  <si>
    <t>Polanco, Edmundo; Aguirre, Luis; Henriquez, Fernando; Skewes, Alejandra</t>
  </si>
  <si>
    <t>Beatriz Levi Dresner (1930-2022), figura se?era de la geolog?a en Chile</t>
  </si>
  <si>
    <t>ANDEAN GEOLOGY</t>
  </si>
  <si>
    <t>0718-7106</t>
  </si>
  <si>
    <t>WOS:000827624300005</t>
  </si>
  <si>
    <t>Hernandez-Cabanyero, C; Sanjuan, E; Reyes-Lopez, FE; Vallejos-Vidal, E; Tort, L; Amaro, C</t>
  </si>
  <si>
    <t>Hernandez-Cabanyero, Carla; Sanjuan, Eva; Reyes-Lopez, Felipe E.; Vallejos-Vidal, Eva; Tort, Lluis; Amaro, Carmen</t>
  </si>
  <si>
    <t>A Transcriptomic Study Reveals That Fish Vibriosis Due to the Zoonotic Pathogen Vibrio vulnificus Is an Acute Inflammatory Disease in Which Erythrocytes May Play an Important Role</t>
  </si>
  <si>
    <t>Vibrio vulnificus is a marine zoonotic pathogen associated with fish farms that is considered a biomarker of climate change. Zoonotic strains trigger a rapid death of their susceptible hosts (fish or humans) by septicemia that has been linked to a cytokine storm in mice. Therefore, we hypothesize that V. vulnificus also causes fish death by triggering a cytokine storm in which red blood cells (RBCs), as nucleated cells in fish, could play an active role. To do it, we used the eel immersion infection model and then analyzed the transcriptome in RBCs, white BCs, and whole blood using an eel-specific microarray platform. Our results demonstrate that V. vulnificus triggers an acute but atypical inflammatory response that occurs in two main phases. The early phase (3 h post-infection [hpi]) is characterized by the upregulation of several genes for proinflammatory cytokines related to the mucosal immune response (il17a/f1 and il20) along with genes for antiviral cytokines (il12 beta) and antiviral factors (ifna and ifnc). In contrast, the late phase (12 hpi) is based on the upregulation of genes for typical inflammatory cytokines (il1 beta), endothelial destruction (mmp9 and hyal2), and, interestingly, genes related to an RNA-based immune response (sidt1). Functional assays revealed significant proteolytic and hemolytic activity in serum at 12 hpi that would explain the hemorrhages characteristic of this septicemia in fish. As expected, we found evidence that RBCs are transcriptionally active and contribute to this atypical immune response, especially in the short term. Based on a selected set of marker genes, we propose here an in vivo RT-qPCR assay that allows detection of early sepsis caused by V. vulnificus. Finally, we develop a model of sepsis that could serve as a basis for understanding sepsis caused by V. vulnificus not only in fish but also in humans.</t>
  </si>
  <si>
    <t>Amaro, Carmen/K-7873-2014; Tort, Lluis/H-5650-2011; Reyes-López, Felipe/S-1760-2018; Hernández-Cabanyero, Carla/AAC-3992-2021; Sanjuan, Eva/B-1433-2014; Vallejos-Vidal, Eva/R-9606-2019</t>
  </si>
  <si>
    <t>Sanjuan, Eva/0000-0001-7671-0779; Reyes-Lopez, Felipe E./0000-0002-5001-457X; Hernandez-Cabanyero, Carla/0000-0001-7546-5847; Tort, Lluis/0000-0002-3907-722X; Vallejos-Vidal, Eva/0000-0002-3091-2700</t>
  </si>
  <si>
    <t>10.3389/fmicb.2022.852677</t>
  </si>
  <si>
    <t>WOS:000789110500001</t>
  </si>
  <si>
    <t>Baldo, B; Bataille, T; Venegas-Yazigi, D; Audebrand, N; Paredes-Garcia, V</t>
  </si>
  <si>
    <t>Baldo, Bianca; Bataille, Thierry; Venegas-Yazigi, Diego; Audebrand, Nathalie; Paredes-Garcia, Veronica</t>
  </si>
  <si>
    <t>Heterometallic coordination polymers based on Cu-II/Ln(III) cations. Solid-state and magnetic characterization</t>
  </si>
  <si>
    <t>Novel heterometallic three-dimensional coordination polymers {[Cu(2)(II)Ln(III)Cl(2)(HIA)(4)(NO3)(DMF)(2)]center dot(2DMF)center dot(H2O)}(n) based on Ce (1), Eu (2) or Gd (3) and imidazole-4-acrylic acid (H(2)IA), were successfully synthesized using the sonochemical method. All attempts to obtain the compound using other synthetic methods were unsuccessful. The heterometallic polymers are isostructural, crystallizing in the chiral P3(2)21 trigonal space group. The crystal structures correspond to an intricated 3D framework where the Cu(HIA)(2) fragments generate two interpenetrated copper (II) networks, [Cu(HIA)(2)](n). The Ln(III) cations that interact with these Cu-II-networks through the carboxylate group belonging to the organic ligand confer a higher complexity to the 3D network. Additionally, the coordination environment around the copper (II) cations is responsible for the chirality of the structures, making these even more exciting. The three-dimensional polymers were also characterized from a magnetic point of view, obtaining for (1) and (2) antiferromagnetic interactions, while for (3) a ferromagnetic interaction was observed. Furthermore, to the best of our knowledge, these coordination polymers are the first heterometallic compounds based on 3d/4f cations, assembled by the ligand imidazole-4-acrylate (HIA(-)).</t>
  </si>
  <si>
    <t>Venegas-Yazigi, Diego/C-5022-2009; Paredes-Garcia, Veronica/C-4415-2011</t>
  </si>
  <si>
    <t>Baldo Hurtado, Bianca Virginia/0000-0003-2474-228X</t>
  </si>
  <si>
    <t>10.1016/j.jssc.2021.122482</t>
  </si>
  <si>
    <t>AUG 2021</t>
  </si>
  <si>
    <t>WOS:000700860100033</t>
  </si>
  <si>
    <t>Isothermal Phase Transformations in a Low Carbon Steel During Single and Two-Step Partitioning (vol 51, pg 1506, 2020)</t>
  </si>
  <si>
    <t>Petrov, Roumen/A-5066-2008; Cerda, Felipe/Q-2714-2016</t>
  </si>
  <si>
    <t>10.1007/s11661-021-06201-z</t>
  </si>
  <si>
    <t>WOS:000638069700001</t>
  </si>
  <si>
    <t>Firoozabadi, AD; Irarrazaval, P; Adasme, P; Zabala-Blanco, D; Palacios-Játiva, P; Durney, H; Sanhueza, M; Azurdia-Meza, C</t>
  </si>
  <si>
    <t>Firoozabadi, Ali Dehghan; Irarrazaval, Pablo; Adasme, Pablo; Zabala-Blanco, David; Palacios-Jativa, Pablo; Durney, Hugo; Sanhueza, Miguel; Azurdia-Meza, Cesar</t>
  </si>
  <si>
    <t>Three-dimensional sound source localization by distributed microphone arrays</t>
  </si>
  <si>
    <t>Multiple sound source localization (SSL) is one of the applicable and important areas in the speech signal processing. In this paper, a two-step method is proposed for multiple 3D SSL based on the time delay estimation (TDE) in combination with distributed microphone arrays (DMA). In the first step, the direction of speakers are estimated by the use of a circular microphone array (CMA) in the center of the room and implementing the generalized cross-correlation (GCC) function. In the second step, the distributed T-shaped microphone arrays on the walls are considered for 3D SSL. The two most closed T-shaped array to each speaker are selected, where one of them is used for horizontal and the other one for vertical direction of arrival (DOA) estimation by the use of generalized eigenvalue decomposition (GEVD) algorithm. The experiments on the simulated data for 2 and 3 simultaneous speakers show the superiority of the proposed distributed microphone array-direction of arrival estimators (DMA-DOAE) method in comparison with other previous works in noisy and reverberant environments.</t>
  </si>
  <si>
    <t>Irarrazaval, Pablo/F-8232-2013; Dehghan Firoozabadi, Ali/AAD-4858-2019; Adasme, Pablo/U-1735-2019; Palacios Játiva, Pablo/AAE-8235-2019; Meza, Cesar/D-6948-2014; Sanhueza Olave, Miguel/JFS-4364-2023</t>
  </si>
  <si>
    <t>10.23919/EUSIPCO54536.2021.9616326</t>
  </si>
  <si>
    <t>WOS:000764066600040</t>
  </si>
  <si>
    <t>Espinoza-Salinas, A; González-Jurado, J; Molina-Sotomayor, E; Fuentes-Barría, H; Farías-Valenzuela, C; Arenas-Sánchez, G</t>
  </si>
  <si>
    <t>Espinoza-Salinas, A.; Gonzalez-Jurado, J.; Molina-Sotomayor, E.; Fuentes-Barria, H.; Farias-Valenzuela, C.; Arenas-Sanchez, G.</t>
  </si>
  <si>
    <t>MOBILIZATION, TRANSPORT AND OXIDATION OF FATTY ACIDS: PHYSIOLOGICAL MECHANISMS ASSOCIATED WITH WEIGHT LOSS</t>
  </si>
  <si>
    <t>JOURNAL OF SPORT AND HEALTH RESEARCH</t>
  </si>
  <si>
    <t>Objective: present updated evidence on the physiological process of mobilization, transport and oxidation of fatty acids, mechanisms associated with the intensity of physical exercise for weight loss. Methods: a search was made in PubMed, Cochrane, Scielo, LILACS, ScienceDirect with the words obesity, lipolysis and physical exercise. Results: constant physical exercise with variations in training intensities, physiological responses that can allow the stimulus delivered, facilitating the energy metabolism of fatty acids. Conclusions: the physiological changes generated by physical exercise with intensity changes within the same session, the beneficial effects to maintain weight loss in the long term.</t>
  </si>
  <si>
    <t>Barría, Héctor/Q-8560-2019; Molina Sotomayor, Edgardo/A-2195-2019; Gonzalez-Jurado, Jose Antonio/C-2843-2015</t>
  </si>
  <si>
    <t>Molina Sotomayor, Edgardo/0000-0002-0362-6960; Farias Valenzuela, Claudio/0000-0002-4027-4415; Gonzalez-Jurado, Jose Antonio/0000-0003-2222-6089</t>
  </si>
  <si>
    <t>1989-6239</t>
  </si>
  <si>
    <t>WOS:000582380100010</t>
  </si>
  <si>
    <t>Benites, J; Asunción-Alvarez, HD; Ybañez-Julca, RO; Ganoza-Yupanqui, ML; Jacinto-Fernandez, JJ; Reyes-De la Vega, JB; Zavaleta-Cruz, HJ; Pinedo-Alcántara, AN; Layado-Fonseca, CM; Medina-Mejia, CA; Catalan, M; Morales, B; de Albuquerque, RDDG; Rocha, L; Martinez, JL</t>
  </si>
  <si>
    <t>Benites, Julio; Asuncion-Alvarez, Holbert D.; Ybanez-Julca, Roberto O.; Ganoza-Yupanqui, Mayar L.; Jacinto-Fernandez, Juan J.; Reyes-De la Vega, Junior B.; Zavaleta-Cruz, Hair J.; Pinedo-Alcantara, Adela N.; Layado-Fonseca, Cristian M.; Medina-Mejia, Carlos A.; Catalan, Marcelo; Morales, Bernardo; de Albuquerque, Ricardo D. D. G.; Rocha, Leandro; Martinez, Jose L.</t>
  </si>
  <si>
    <t>Chemical composition by HPLC-ESI-QTOF-MS/MS: Estrogenic and antioxidant effects of Mangifera indica L. cv. Kent leave extracts on ovariectomized rats</t>
  </si>
  <si>
    <t>BOLETIN LATINOAMERICANO Y DEL CARIBE DE PLANTAS MEDICINALES Y AROMATICAS</t>
  </si>
  <si>
    <t>The chemical composition of Mangifera indica L. cv. Kent leaves was determined by HPLC-ESI-QTOF-MS/MS. Polyphenolic compounds characterized as benzophenone derivatives were the main components found in extracts (1, maclurin 3 -C-(2-O-galloyl)-Dglucoside isomer; 2, maclurin 3-C-beta--D-glucoside; 3, iriflophenone 3-C-beta--D-glucoside; 5, maclurin 3-C-(2,3-di-O-galloyl)-beta--D-glucoside; 6, iriflophenone 3-C-(2-O-galloyl)-beta--D-glucoside; 7, methyl-iriflophenone 3-C-(2,6-di-O-galloyl)-beta--D-glucoside) and xanthones (4, mangiferin and 8, 6-O-galloyl-mangiferin). The estrogenic and antioxidant effects of aqueous extracts from Mangifera indica L. cv. Kent leaves on ovariectomized rats were determined by uterotrophic assay and malondialdehyde (MDA) levels in erythrocytes, bone, liver, and stomach. We conclude that the polyphenolic compounds from extracts act as exogenous antioxidant agents against oxidative damage in ovariectomized rats.</t>
  </si>
  <si>
    <t>Morales Castañeda, Bernardo/GPP-1642-2022; Asunción-Alvarez, Daniel/ACO-5600-2022; Benites, Julio/AAV-1672-2020; Rocha, Leandro/N-4088-2013; Catalan, Marcelo/AAW-3848-2020; DG Albuquerque, Ricardo Diego/HTT-3838-2023; Ybañez Julca, Roberto Osmundo/HNJ-0615-2023; Martinez, Jose/AAA-1725-2020; Rocha, Leandro/GPP-7144-2022; Benites, Julio/W-9167-2018; Ganoza-Yupanqui, Mayar Luis/W-8934-2018</t>
  </si>
  <si>
    <t>Asuncion-Alvarez, Holbert Daniel/0000-0001-7498-2121; Rocha, Leandro/0000-0003-0484-1918; Benites, Julio/0000-0002-8562-0078; Ybanez-Julca, Roberto Osmundo/0000-0003-0011-7957; Martinez, Jose/0000-0002-0177-4847; Catalan, Marcelo/0000-0003-3544-2821; Ganoza-Yupanqui, Mayar Luis/0000-0002-6114-1451; Albuquerque, Ricardo/0000-0002-8442-3849</t>
  </si>
  <si>
    <t>0717-7917</t>
  </si>
  <si>
    <t>WOS:000467591000007</t>
  </si>
  <si>
    <t>Peña, FJ; Negrete, O; Barrios, GA; Zambrano, D; González, A; Nunez, AS; Orellana, PA; Vargas, P</t>
  </si>
  <si>
    <t>Pena, Francisco J.; Negrete, Oscar; Barrios, Gabriel Alvarado; Zambrano, David; Gonzalez, Alejandro; Nunez, Alvaro S.; Orellana, Pedro A.; Vargas, Patricio</t>
  </si>
  <si>
    <t>Magnetic Otto Engine for an Electron in a Quantum Dot: Classical and Quantum Approach</t>
  </si>
  <si>
    <t>We studied the performance of classical and quantum magnetic Otto cycle with a working substance composed of a single quantum dot using the Fock-Darwin model with the inclusion of the Zeeman interaction. Modulating an external/perpendicular magnetic field, in the classical approach, we found an oscillating behavior in the total work extracted that was not present in the quantum formulation.We found that, in the classical approach, the engine yielded a greater performance in terms of total work extracted and efficiency than when compared with the quantum approach. This is because, in the classical case, the working substance can be in thermal equilibrium at each point of the cycle, which maximizes the energy extracted in the adiabatic strokes.</t>
  </si>
  <si>
    <t>Zambrano, David/AHA-0029-2022; Alvarado, Gabriel/GLS-6513-2022; Vargas, Patricio/AAL-2633-2020; Núñez, Alvaro/F-4572-2011; Orellana, Pedro/L-4895-2018</t>
  </si>
  <si>
    <t>Zambrano, David/0000-0003-2772-1169; Orellana, Pedro/0000-0001-7688-4111; vargas, patricio/0000-0001-9235-9747; Nunez, Alvaro S./0000-0002-6804-9703; /0000-0002-8684-4209; Negrete, Oscar/0000-0002-2412-8602; Pena, Francisco Jose/0000-0002-7432-0707</t>
  </si>
  <si>
    <t>10.3390/e21050512</t>
  </si>
  <si>
    <t>WOS:000472675900076</t>
  </si>
  <si>
    <t>Carrasco, R; Astudillo, G; Soto, I; Chacon, M; Fuentealba, D</t>
  </si>
  <si>
    <t>Carrasco, Raul; Astudillo, Gabriel; Soto, Ismael; Chacon, Max; Fuentealba, Diego</t>
  </si>
  <si>
    <t>Forecast of Copper Price Series Using Vector Support Machines</t>
  </si>
  <si>
    <t>2018 7TH INTERNATIONAL CONFERENCE ON INDUSTRIAL TECHNOLOGY AND MANAGEMENT (ICITM 2018)</t>
  </si>
  <si>
    <t>7th International Conference on Industrial Technology and Management (ICITM)</t>
  </si>
  <si>
    <t>MAR 07-09, 2018</t>
  </si>
  <si>
    <t>Oxford, ENGLAND</t>
  </si>
  <si>
    <t>We research the potential of Support Vector Machines (SVMs) for forecasting in chaotic series of copper's price; based on different combination of structure, and possibilities of discovering knowledge in big data. It was built models of SVMs to forecast the copper's price of the London Metal Exchange (LME).</t>
  </si>
  <si>
    <t>Astudillo, Gabriel/GWV-6606-2022; Fuentealba, Diego/AAM-8509-2020; Carrasco, Raul/G-5440-2015</t>
  </si>
  <si>
    <t>Carrasco, Raul/0000-0002-5023-9349; Soto, Ismael/0000-0002-5501-5651</t>
  </si>
  <si>
    <t>978-1-5386-1329-0</t>
  </si>
  <si>
    <t>WOS:000588554200070</t>
  </si>
  <si>
    <t>Aranda, CS; Wandalsen, GF; Dela Bianca, AC; Moraes, L; Medeiros, ML; Mallol, J; Sole, D</t>
  </si>
  <si>
    <t>Aranda, Carolina Sanchez; Wandalsen, Gustavo Falbo; Dela Bianca, Ana Caroline; Moraes, Lilian; Medeiros, Mercia Lamenha; Mallol, Javier; Sole, Dirceu</t>
  </si>
  <si>
    <t>Wheezing and the first thousand days of life</t>
  </si>
  <si>
    <t>Solé, Dirceu/JAO-0340-2023; Wandalsen, Gustavo/D-8412-2013; Medeiros, Mercia/D-7460-2017</t>
  </si>
  <si>
    <t>Mallol, Javier/0000-0003-2528-8672; Medeiros, Mercia/0000-0002-1776-3181</t>
  </si>
  <si>
    <t>10.1111/pai.12710</t>
  </si>
  <si>
    <t>WOS:000405202400014</t>
  </si>
  <si>
    <t>Ramírez-Vélez, R; Correa-Bautista, JE; Martínez-Torres, J; González-Ruíz, K; González-Jiménez, E; Valle, JSR; Garcia-Hermoso, A</t>
  </si>
  <si>
    <t>Ramirez-Velez, Robinson; Enrique Correa-Bautista, Jorge; Martinez-Torres, Javier; Gonzalez-Ruiz, Katherine; Gonzalez-Jimenez, Emilio; Schmidt-Rio Valle, Jacqueline; Garcia-Hermoso, Antonio</t>
  </si>
  <si>
    <t>Performance of Two Bioelectrical Impedance Analyses in the Diagnosis of Overweight and Obesity in Children and Adolescents: The FUPRECOL Study (vol 8, 575, 2016)</t>
  </si>
  <si>
    <t>Rio-Valle, Jacqueline/I-6333-2017; García-Hermoso, Antonio/ADU-2591-2022; González-Ruíz, Katherine/CAA-4624-2022; Correa-Bautista, Jorge/N-2741-2015; Ramirez-Velez, Robinson/D-5311-2016; Garcia-Hermoso, Antonio/P-1857-2017; Gonzalez-Jimenez, Emilio/I-6039-2017</t>
  </si>
  <si>
    <t>Ramirez-Velez, Robinson/0000-0003-3075-6960; Garcia-Hermoso, Antonio/0000-0002-1397-7182; Gonzalez-Jimenez, Emilio/0000-0001-5103-6028</t>
  </si>
  <si>
    <t>10.3390/nu8110705</t>
  </si>
  <si>
    <t>WOS:000388666400040</t>
  </si>
  <si>
    <t>Greco, M; Sáez, CA; Brown, MT; Bitonti, MB</t>
  </si>
  <si>
    <t>Greco, Maria; Saez, Claudio A.; Brown, Murray T.; Bitonti, Maria Beatrice</t>
  </si>
  <si>
    <t>A Simple and Effective Method for High Quality Co-Extraction of Genomic DNA and Total RNA from Low Biomass Ectocarpus siliculosus, the Model Brown Alga</t>
  </si>
  <si>
    <t>The brown seaweed Ectocarpus siliculosus is an emerging model species distributed worldwide in temperate coastal ecosystems. Over 1500 strains of E. siliculosus are available in culture from a broad range of geographic locations and ecological niches. To elucidate the molecular mechanisms underlying its capacity to cope with different environmental and biotic stressors, genomic and transcriptomic studies are necessary; this requires the co-isolation of genomic DNA and total RNA. In brown algae, extraction of nucleic acids is hindered by high concentrations of secondary metabolites that co-precipitate with nucleic acids. Here, we propose a reliable, rapid and cost-effective procedure for the co-isolation of high-quality nucleic acids using small quantities of biomass (25-, 50- and 100 mg) from strains of E. siliculosus (RHO12; LIA4A; EC524 and REP10-11) isolated from sites with different environmental conditions. The procedure employs a high pH extraction buffer (pH 9.5) which contains 100 mM Tris-HCl and 150 mM NaCl, with the addition of 5 mM DTT and 1% sarkosyl to ensure maximum solubility of nucleic acids, effective inhibition of nuclease activity and removal of interfering contaminants (e. g. polysaccharides, polyphenols). The use of sodium acetate together with isopropanol shortened precipitation time and enhanced the yields of DNA/RNA. A phenol: chlorophorm:isoamyl alcohol step was subsequently used to purify the nucleic acids. The present protocol produces high yields of nucleic acids from only 25 mg of fresh algal biomass (0.195 and 0.284 mu g mg(-1) fresh weigh of RNA and DNA, respectively) and the high quality of the extracted nucleic acids was confirmed through spectrophotometric and electrophoretic analyses. The isolated RNA can be used directly in downstream applications such as RT-PCR and the genomic DNA was suitable for PCR, producing reliable restriction enzyme digestion patterns. Co-isolation of DNA/RNA from different strains indicates that this method is likely to have wider applications for intra-and inter-specific studies on other brown algae.</t>
  </si>
  <si>
    <t>Bitonti, Maria/AAO-7345-2020; Sáez, Claudio/AAP-6923-2021; Brown, Murray/K-5291-2014</t>
  </si>
  <si>
    <t>Brown, Murray/0000-0003-2655-8611; Greco, Maria/0000-0002-1404-6937; Saez, Claudio/0000-0002-5037-3484</t>
  </si>
  <si>
    <t>MAY 27</t>
  </si>
  <si>
    <t>e96470</t>
  </si>
  <si>
    <t>10.1371/journal.pone.0096470</t>
  </si>
  <si>
    <t>WOS:000336914100005</t>
  </si>
  <si>
    <t>Calfumán, K; Aguirre, MJ; Villagra, D; Yañez, C; Arévalo, C; Matsuhiro, B; Mendoza, L; Isaacs, M</t>
  </si>
  <si>
    <t>Calfuman, Karla; Jesus Aguirre, Maria; Villagra, Diego; Yanez, Claudia; Arevalo, Carmen; Matsuhiro, Betty; Mendoza, Leonora; Isaacs, Mauricio</t>
  </si>
  <si>
    <t>Nafion/tetraruthenated porphyrin glassy carbon-modified electrode: characterization and voltammetric studies of sulfite oxidation in water-ethanol solutions</t>
  </si>
  <si>
    <t>JOURNAL OF SOLID STATE ELECTROCHEMISTRY</t>
  </si>
  <si>
    <t>In this work, the modification of a glassy carbon electrode with tetraruthenated porphyrins electrostatically assembled onto a Nafion film, previously adsorbed on the electrode surface, is reported. This modified electrode was characterized by scanning electron microscopy-energy-dispersive X-ray, Raman spectroscopy, UV-Vis spectroelectrochemistry, and cyclic voltammetry. The Nafion film onto the glassy carbon electrode shows a smooth disposition; when the tetraruthenated porphyrin is incorporated on the Nafion film, the complex is adsorbed in a homogeneous way. The modified electrode catalyzes HSO (3) (-) oxidation in water-ethanol solutions and shows an enhanced stability compared with the electrode modified with the dip coating method. Rotating disk electrode experiments showed a kinetic limitation to the electron transfer controlled by charge propagation in the film. I/E curves show a Tafel slope of 120 mV/decade corresponding to a first electron-transfer reaction, depending on the potential, as the determining step. Spectroelectrochemical experiments demonstrated that Ru(II) is the active site for the electrocatalysis.</t>
  </si>
  <si>
    <t>Isaacs, Mauricio/N-3027-2013; Aguirre, Maria/A-3935-2013; Villagra, Diego/H-6694-2013; Yañez, Claudia/I-2840-2013</t>
  </si>
  <si>
    <t>Aguirre, Maria/0000-0003-1134-4469; Isaacs Casanova, Mauricio/0000-0003-0503-0949</t>
  </si>
  <si>
    <t>1432-8488</t>
  </si>
  <si>
    <t>1433-0768</t>
  </si>
  <si>
    <t>10.1007/s10008-009-0916-0</t>
  </si>
  <si>
    <t>WOS:000275749200022</t>
  </si>
  <si>
    <t>Nikolaeva, S; Sanchez, E; Borja, R; Raposo, F; Colmenarejo, MF; Montalvo, S; Jimenez-Rodriguez, AM</t>
  </si>
  <si>
    <t>Nikolaeva, S.; Sanchez, E.; Borja, R.; Raposo, F.; Colmenarejo, M. F.; Montalvo, S.; Jimenez-Rodriguez, A. M.</t>
  </si>
  <si>
    <t>Kinetics of anaerobic degradation of screened dairy manure by upflow fixed bed digesters: Effect of natural zeolite addition</t>
  </si>
  <si>
    <t>JOURNAL OF ENVIRONMENTAL SCIENCE AND HEALTH PART A-TOXIC/HAZARDOUS SUBSTANCES &amp; ENVIRONMENTAL ENGINEERING</t>
  </si>
  <si>
    <t>The effect of the hydraulic retention time (HRT) on the performance of two up-flow anaerobic fixed bed digesters (UFAFBDs) packed with waste tire rubber (D1) and waste tire rubber and zeolite (D2) as micro-organism immobilization supports was studied. It was found that a first-order kinetic model described well the experimental results obtained. The kinetic constants for COD, BOD5, total solids (TS) and volatile solids (VS) removal were determined to be higher in digester D2 than in digester D1 or control. Specifically, they were 0.28 0.01, 0.32 0.02, 0.16 0.01 and 0.24 0.01 d- 1 respectively for D1 and 0.33 0.02, 0.40 0.02, 0.21 0.01 and 0.28 0.01 d- 1 respectively for D2. This was significant at the 95% confidence level. In addition, the first-order model was also adequate for assessing the effect of the HRT on the removal efficiency and methane production. Maximum methane yield and the first-order constant for methane production were determined and the results obtained were comparable with those obtained by other authors but operating at higher HRTs. Maximum methane yields and the kinetic constant for methane production were 11.1% and 29.4% higher in digester D2 than in D1.</t>
  </si>
  <si>
    <t>Borja, Rafael/P-5314-2016; Jimenez-Rodriguez, Antonia-Mercedes/J-5838-2017</t>
  </si>
  <si>
    <t>Borja, Rafael/0000-0002-3699-7223; Raposo Bejines, Francisco/0000-0002-1458-8832; Jimenez-Rodriguez, Antonia-Mercedes/0000-0001-7495-4358</t>
  </si>
  <si>
    <t>1093-4529</t>
  </si>
  <si>
    <t>1532-4117</t>
  </si>
  <si>
    <t>PII 907327111</t>
  </si>
  <si>
    <t>10.1080/10934520802539715</t>
  </si>
  <si>
    <t>WOS:000262149400004</t>
  </si>
  <si>
    <t>Vallejo, F; Villacrés, P; Yánez, D; Espinoza, L; Bodero-Poveda, E; Díaz-Robles, LA; Oyaneder, M; Campos, V; Palmay, P; Cordovilla-Pérez, A; Díaz, V; Leiva-González, J; Alejandro-Martin, S</t>
  </si>
  <si>
    <t>Vallejo, Fidel; Villacres, Patricio; Yanez, Diana; Espinoza, Lady; Bodero-Poveda, Elba; Diaz-Robles, Luis Alonso; Oyaneder, Marcelo; Campos, Valeria; Palmay, Paul; Cordovilla-Perez, Alejandro; Diaz, Valeria; Leiva-Gonzalez, Jorge; Alejandro-Martin, Serguei</t>
  </si>
  <si>
    <t>Prolonged Power Outages and Air Quality: Insights from Quito's 2023-2024 Energy Crisis</t>
  </si>
  <si>
    <t>ATMOSPHERE</t>
  </si>
  <si>
    <t>The 2023-2024 blackouts in Quito, Ecuador, led to severe air quality deterioration, primarily driven by diesel generator use and increased vehicular traffic. This study analyzed data from seven urban and peri-urban monitoring stations, applying meteorologically normalized data and machine learning models (Boosted Regression Trees and Random Forests) to isolate the direct impact of blackouts on pollutant concentrations. The results revealed that PM10 increased by up to 45% and PM2.5 by 30%, frequently exceeding regulatory limits, particularly in industrial and residential zones. SO2 exhibited the most extreme rise, surging by 390%, with peak values reaching 500 mu g/m3 in areas heavily reliant on high-sulfur diesel generators. The NO2 concentrations exceeded 200 mu g/m3 in high-traffic areas, while O3 showed dual behavior, decreasing in urban cores due to titration effects but increasing by 15% in suburban valleys, driven by photochemical interactions. A comparison between 2023 and 2024 blackouts highlighted worsening pollution trends, with longer (8-12 h) outages in 2024 causing severe environmental impacts. The findings demonstrate that blackouts significantly worsen air quality, posing critical public health risks. This study underscores the urgent need for policy interventions to mitigate the environmental impact of energy disruptions. Key recommendations include stricter fuel quality standards, diesel generator emission controls, and an accelerated transition to renewable energy. These results provide scientific evidence for future environmental regulations, supporting sustainable air quality management strategies to minimize future energy crises' health and ecological consequences.</t>
  </si>
  <si>
    <t>Palmay, Paul/ABF-3447-2021; Vallejo, Fidel/AAM-6353-2020; Alejandro-Martin, Serguei/I-8787-2018</t>
  </si>
  <si>
    <t>Alejandro-Martin, Serguei/0000-0002-5356-1325; Vallejo, Fidel Ernesto/0000-0001-5835-298X; oyaneder labarca, marcelo/0009-0004-0333-7845</t>
  </si>
  <si>
    <t>2073-4433</t>
  </si>
  <si>
    <t>FEB 26</t>
  </si>
  <si>
    <t>10.3390/atmos16030274</t>
  </si>
  <si>
    <t>WOS:001453565800001</t>
  </si>
  <si>
    <t>Tapia, JE; Benalcazar, D; Valenzuela, A; Causa, L; Droguett, EL; Busch, C</t>
  </si>
  <si>
    <t>Tapia, Juan E.; Benalcazar, Daniel; Valenzuela, Andres; Causa, Leonardo; Droguett, Enrique Lopez; Busch, Christoph</t>
  </si>
  <si>
    <t>Classification of alcohol, drugs and sleepiness condition using periocular iris images to evaluate fitness for duty</t>
  </si>
  <si>
    <t>EXPERT SYSTEMS WITH APPLICATIONS</t>
  </si>
  <si>
    <t>This research proposes anew insight into the iris recognition capture devices traditionally used to identify people. Now, we are using the same capture device to extract complementary information from periocular near-infrared iris images to detect the reduction of alertness conditions due to alcohol, drugs and sleepiness. The study focuses on determining the effect of external impairing influences on the Central Nervous System. The goal is to analyse how these factors impact eye/iris/pupil movement and if it is possible to classify these changes with a standard iris NIR device. This paper proposes a modified MobileNetV3, which focuses on fine textures per each RGB channel to classify subjects under the influences of alcohol/drugs/sleepiness into fit and unfit. Further, anew four-class database called FFD-NIR-Stream was created. The results show that the MobileNetV3 classifier can detect the unfit condition from iris samples captured after alcohol/drug consumption with an accuracy of 91.3% and 99.1%, respectively. The sleepiness condition is the most challenging, with 72.4%. For two classes grouped on Fit/Unfit, the model obtained an accuracy of 94.0% and 84.0%, respectively. This work is a step forward in iris biometric applications.</t>
  </si>
  <si>
    <t>Busch, Christoph/AAF-8176-2019; Tapia, Juan/KVZ-0330-2024; Valenzuela, Ali/AAU-2245-2021; Droguett, Enrique/AAC-9758-2019</t>
  </si>
  <si>
    <t>Valenzuela, Andres/0000-0002-8172-1541; Tapia, Juan/0000-0001-9159-4075; Benalcazar, Daniel/0000-0002-2030-9449; Busch, Christoph/0000-0002-9159-2923</t>
  </si>
  <si>
    <t>0957-4174</t>
  </si>
  <si>
    <t>1873-6793</t>
  </si>
  <si>
    <t>APR 25</t>
  </si>
  <si>
    <t>10.1016/j.eswa.2025.126511</t>
  </si>
  <si>
    <t>JAN 2025</t>
  </si>
  <si>
    <t>WOS:001407383900001</t>
  </si>
  <si>
    <t>Vergel-Alfonso, AA; Acosta-Martínez, DR; Arencibia-Sánchez, JA; Rodríguez-Félix, F; Reyes-Delgado, Y; González-Morales, RV; Benítez-Sánchez, R; Gonzalez-Bravo, AL; Tapia-Hernández, JA</t>
  </si>
  <si>
    <t>Vergel-Alfonso, Ariel Alain; Acosta-Martinez, Delvis Rafael; Arencibia-Sanchez, Jose Ariel; Rodriguez-Felix, Francisco; Reyes-Delgado, Yosviel; Gonzalez-Morales, Rosa Virginia; Benitez-Sanchez, Rosbel; Gonzalez-Bravo, Ana Liz; Tapia-Hernandez, Jose Agustin</t>
  </si>
  <si>
    <t>Engineering Implementation of the Acosta Fermentation Method to Obtain Cuban Schnapps with Reduced Concentrations of Higher Alcohols</t>
  </si>
  <si>
    <t>The Acosta method involves rewiring the yeast metabolic pathway to enhance biomass production and prevent a significant increase in higher alcohols during the late stages of fermentation. This study aimed to assess fermentation conditions to achieve Cuban schnapps with reduced concentrations of higher alcohols and replicate the process on an industrial scale. To achieve this, the quality of final sugarcane molasses for fermentation by Saccharomyces cerevisiae (S. cerevisiae) yeast was evaluated. Industrial pre-fermentation and fermentation processes were successfully conducted, followed by laboratory-scale fermentation using the Acosta fermentation method to determine crucial parameters for industrial implementation. Operational parameters for fermentation were identified from the following results: 13.5 degrees Brix seeding, metabolic pathway inversion of S. cerevisiae at 16 h, and an air concentration of 0.1 m3/min. The resulting Cuban schnapps obtained using this method exhibited a concentration of higher alcohols of 132.5 mg/L, a value that is within the standard parameters, showing a positive impact of this fermentation method on the quality of the schnapps. Scaling up this method to an industrial level, in addition to offering higher quality products and being an economically viable alternative, also stands out for its sustainable and environmentally friendly aspect, and results in higher production of yeast biomass as a byproduct, which can be used for various purposes, such as animal feed. This method constitutes an important update to the schnapps production process as a technological improvement that respects sustainable production trends and the characteristics of the final product.</t>
  </si>
  <si>
    <t>Tapia Hernández, José Agustín/AAV-2317-2021</t>
  </si>
  <si>
    <t>Tapia Hernandez, Jose Agustin/0000-0003-1124-7001; Reyes Delgado, Yosviel/0000-0002-9344-2304</t>
  </si>
  <si>
    <t>10.3390/pr12061064</t>
  </si>
  <si>
    <t>WOS:001256351200001</t>
  </si>
  <si>
    <t>López-Gil, JF; Weisstaub, G; Ramírez-Vélez, R; García-Hermoso, A</t>
  </si>
  <si>
    <t>Lopez-Gil, Jose Francisco; Weisstaub, Gerardo; Ramirez-Velez, Robinson; Garcia-Hermoso, Antonio</t>
  </si>
  <si>
    <t>Handgrip strength cut-off points for early detection of cardiometabolic risk in Chilean children</t>
  </si>
  <si>
    <t>EUROPEAN JOURNAL OF PEDIATRICS</t>
  </si>
  <si>
    <t>The aim of this study was to determine whether handgrip strength is associated with cardiometabolic risk in children. The secondary aim was to establish sex-specific handgrip strength cut-off points for early detection of cardiometabolic risk. A total sample of 452 Chilean children (267 girls and 185 boys) aged 7-9 years old was analyzed. Muscle fitness was measured by an adjustable dynamometer and normalized by body mass (i.e., handgrip strength/body mass). Sex-specific cardiometabolic risk scores were computed as the sum of the waist-to-height ratio (Equation 1) or waist circumference (Equation 2) and insulin, triglycerides, high-density lipoproteins, and glycemia levels. Receiver operating curve (ROC) analyses were performed to identify those with cardiometabolic risk scores &gt; 1 standard deviation above the mean. ROC analyses showed a significant discriminating accuracy of normalized handgrip strength in identifying cardiometabolic risk in boys (&lt;= 0.33) and girls (&lt;= 0.40) using both equations. The highest sensitivity was offered by Equation 2 for boys [46%; 95% CI (32-59%)] and for girls [71%; 95% CI (60-80)]. The greatest specificity was also offered by Equation 2 for boys [82%; 95% CI (74-88)] and girls [63%; 95% CI (55-70)]. Since the values obtained by ROC analyses are low (especially in boys), caution is warranted regarding the strength of the existing evidence base. Conclusion: These specific cut-off points according to sex for possible cardiometabolic risk could be used by Chilean health professionals and school staff as an initial assessment in the field setting.</t>
  </si>
  <si>
    <t>García-Hermoso, Antonio/ADU-2591-2022; López-Gil, José Francisco/AAN-5618-2020; Weisstaub, Gerardo/A-8425-2015; Ramirez-Velez, Robinson/D-5311-2016; Garcia-Hermoso, Antonio/P-1857-2017</t>
  </si>
  <si>
    <t>Ramirez-Velez, Robinson/0000-0003-3075-6960; Garcia-Hermoso, Antonio/0000-0002-1397-7182; Lopez-Gil, Jose Francisco/0000-0002-7412-7624</t>
  </si>
  <si>
    <t>0340-6199</t>
  </si>
  <si>
    <t>1432-1076</t>
  </si>
  <si>
    <t>10.1007/s00431-021-04142-8</t>
  </si>
  <si>
    <t>JUN 2021</t>
  </si>
  <si>
    <t>WOS:000659010700002</t>
  </si>
  <si>
    <t>Antolín, Y; Rivas, C</t>
  </si>
  <si>
    <t>Antolin, Yago; Rivas, Cristobal</t>
  </si>
  <si>
    <t>The space of relative orders and a generalization of Morris indicability theorem</t>
  </si>
  <si>
    <t>JOURNAL OF TOPOLOGY AND ANALYSIS</t>
  </si>
  <si>
    <t>We introduce the space of relative orders on a group and show that it is compact whenever the group is finitely generated. We use this to show that if G is a finitely generated group acting on the line by order preserving homeomorphisms and some stabilizer of a point is a proper and co-amenable subgroup, then G surjects onto DOUBLE-STRUCK CAPITAL Z. This is a generalization of a theorem of Morris.</t>
  </si>
  <si>
    <t>; Antolin, Yago/L-4191-2014</t>
  </si>
  <si>
    <t>Rivas, Cristobal/0000-0003-4021-2705; Antolin, Yago/0000-0002-6716-8508</t>
  </si>
  <si>
    <t>1793-5253</t>
  </si>
  <si>
    <t>1793-7167</t>
  </si>
  <si>
    <t>10.1142/S1793525320500053</t>
  </si>
  <si>
    <t>WOS:000639461900003</t>
  </si>
  <si>
    <t>Barrios, GA; Retamal, JC; Solano, E; Sanz, M</t>
  </si>
  <si>
    <t>Alvarado Barrios, G.; Retamal, J. C.; Solano, E.; Sanz, M.</t>
  </si>
  <si>
    <t>Analog simulator of integro-differential equations with classical memristors</t>
  </si>
  <si>
    <t>An analog computer makes use of continuously changeable quantities of a system, such as its electrical, mechanical, or hydraulic properties, to solve a given problem. While these devices are usually computationally more powerful than their digital counterparts, they suffer from analog noise which does not allow for error control. We will focus on analog computers based on active electrical networks comprised of resistors, capacitors, and operational amplifiers which are capable of simulating any linear ordinary differential equation. However, the class of nonlinear dynamics they can solve is limited. In this work, by adding memristors to the electrical network, we show that the analog computer can simulate a large variety of linear and nonlinear integro-differential equations by carefully choosing the conductance and the dynamics of the memristor state variable. We study the performance of these analog computers by simulating integro-differential models related to fluid dynamics, nonlinear Volterra equations for population growth, and quantum models describing non-Markovian memory effects, among others. Finally, we perform stability tests by considering imperfect analog components, obtaining robust solutions with up to 13% relative error for relevant timescales.</t>
  </si>
  <si>
    <t>Alvarado, Gabriel/GLS-6513-2022; Sanz, Mikel/W-8637-2019; Retamal, Juan/G-6425-2010; Solano, Enrique/C-2895-2017; Sanz, Mikel/A-8731-2019</t>
  </si>
  <si>
    <t>/0000-0002-8684-4209; SOLANO VILLANUEVA, ENRIQUE LEONIDAS/0000-0002-8602-1181; Retamal Abarzua, Juan Carlos/0000-0002-7174-7879; Sanz, Mikel/0000-0003-1615-9035</t>
  </si>
  <si>
    <t>SEP 10</t>
  </si>
  <si>
    <t>10.1038/s41598-019-49204-y</t>
  </si>
  <si>
    <t>WOS:000484984700003</t>
  </si>
  <si>
    <t>Benites, J; Guerrero-Castilla, A; Salas, F; Martinez, JL; Jara-Aguilar, R; Venegas-Casanova, EA; Suarez-Rebaza, L; Guerrero-Hurtado, J; Calderon, PB</t>
  </si>
  <si>
    <t>Benites, Julio; Guerrero-Castilla, Angelica; Salas, Felipe; Martinez, Jose L.; Jara-Aguilar, Rafael; Venegas-Casanova, Edmundo A.; Suarez-Rebaza, Luz; Guerrero-Hurtado, Juana; Calderon, Pedro Buc</t>
  </si>
  <si>
    <t>Chemical composition, in vitro cytotoxic and antioxidant activities of the essential oil of Peruvian Minthostachys mollis Griseb</t>
  </si>
  <si>
    <t>The composition of the essential oil obtained by hydrodistillation from Minthostachys mollis Griseb (Lamiaceae) aerial parts was determined by GC and GC/MS. Menthone (13.2%), pulegone (12.4%), cis-dihydrocarvone (9.8%) and carvacrol acetate (8.8%) were the main essential oil components. The cytotoxic activity of the essential oil was in vitro measured using the MTT colorimetric assay. IC50 values were calculated on healthy non-tumor cells (HEK-293) and three human cancer cell lines (T24, DU-145 and MCF-7). In such latter cells, the estimated values were around 0.2 mg/mL. In addition, the antioxidant activity was determined by interaction with the stable free radical 2,2-diphenyl-1-picrylhydrazyl. The essential oil was almost devoid of antioxidant activity indicating that its anti-proliferative action relies on other unknown mechanism.</t>
  </si>
  <si>
    <t>Martinez, Jose/AAA-1725-2020; Venegas-Casanova, Edmundo/Y-9852-2018; Benites, Julio/AAV-1672-2020; Suarez-Rebaza, Luz Angelica/X-7216-2018; Benites, Julio/W-9167-2018; VENEGAS CASANOVA, EDMUNDO ARTURO/W-8648-2018</t>
  </si>
  <si>
    <t>Suarez-Rebaza, Luz Angelica/0000-0001-5774-3196; Jara-Aguilar, Demetrio/0000-0002-4371-1967; Benites, Julio/0000-0002-8562-0078; Guerrero-Castilla, Angelica/0000-0002-2061-5200; Martinez, Jose/0000-0002-0177-4847; VENEGAS CASANOVA, EDMUNDO ARTURO/0000-0001-9284-9180</t>
  </si>
  <si>
    <t>WOS:000448822200003</t>
  </si>
  <si>
    <t>Albarrán-Arriagada, F; Lamata, L; Solano, E; Romero, G; Retamal, JC</t>
  </si>
  <si>
    <t>Albarran-Arriagada, F.; Lamata, L.; Solano, E.; Romero, G.; Retamal, J. C.</t>
  </si>
  <si>
    <t>Spin-1 models in the ultrastrong-coupling regime of circuit QED</t>
  </si>
  <si>
    <t>We propose a superconducting circuit platform for simulating spin-1 models. To this purpose we consider a chain of N ultrastrongly coupled qubit-resonator systems interacting through a grounded superconducting quantum interference device (SQUID). The anharmonic spectrum of the qubit-resonator system and the selection rules imposed by the global parity symmetry allow us to activate well controlled two-body quantum gates via ac pulses applied to the SQUID. We show that our proposal has the same simulation time for any number of spin-1 interacting particles. This scheme may be implemented within the state-of-the-art circuit QED in the ultrastrong coupling regime.</t>
  </si>
  <si>
    <t>Solano, Enrique/C-2895-2017; Lamata, Lucas/B-2439-2009; Retamal, Juan/G-6425-2010; Lamata, Lucas/CAG-6488-2022; Romero, Guillermo/C-8245-2009</t>
  </si>
  <si>
    <t>SOLANO VILLANUEVA, ENRIQUE LEONIDAS/0000-0002-8602-1181; Albarran-Arriagada, Francisco/0000-0001-8899-3673; Retamal Abarzua, Juan Carlos/0000-0002-7174-7879; Lamata, Lucas/0000-0002-9504-8685; Romero, Guillermo/0000-0003-2917-7814</t>
  </si>
  <si>
    <t>FEB 5</t>
  </si>
  <si>
    <t>10.1103/PhysRevA.97.022306</t>
  </si>
  <si>
    <t>WOS:000424087400007</t>
  </si>
  <si>
    <t>Fuertes, G; Navarrete, R; Alfaro, M; Millán, G; Vargas, M; Lagos, C</t>
  </si>
  <si>
    <t>DuranFaundez, C; Lefranc, G; FernandezFernandez, M; Munoz, C; Rubio, E</t>
  </si>
  <si>
    <t>Fuertes, Guillermo; Navarrete, Ricardo; Alfaro, Miguel; Millan, Ginno; Vargas, Manuel; Lagos, Carolina</t>
  </si>
  <si>
    <t>Adaptive equalization using artificial neural networks for a visible light communication system</t>
  </si>
  <si>
    <t>2018 IEEE INTERNATIONAL CONFERENCE ON AUTOMATION/XXIII CONGRESS OF THE CHILEAN ASSOCIATION OF AUTOMATIC CONTROL (ICA-ACCA)</t>
  </si>
  <si>
    <t>IEEE International Conference on Automation (ICA) / 23rd Congress of the Chilean-Association-of-Automatic-Control (ACCA)</t>
  </si>
  <si>
    <t>OCT 17-19, 2018</t>
  </si>
  <si>
    <t>Concepcion, CHILE</t>
  </si>
  <si>
    <t>IEEE,IEEE Chile Sect,Chilean Assoc Automat Control,Univ Bio Bio</t>
  </si>
  <si>
    <t>The LEDs as lighting technology reaches a percentage higher than 90%. This work proposes an alternative use as communication technology. The assembly of a communications system using visible light (VLC) using a white light LED spotlight is presented. In communications, the equalizer that feeds the decisions, known as decision feedback equalizer (DFE), is used in many applications for the minimization of intersymbol interference (ISI) of the received signal. The aim is to test the artificial neural networks (ANN) for the training of a DFE equalizer, in a communication system by light source in indoor environment; seeking to minimize the Bit Error Rate (BER), in order to combat the adverse effects introduced by the channel and obtain greater transmission distances through VLC.</t>
  </si>
  <si>
    <t>navarrete, ricardo/AAT-7489-2020; vargas, manuel/AAG-4780-2020; Fuertes, Guillermo/Q-2341-2016; Millán, Ginno/AAP-8680-2020</t>
  </si>
  <si>
    <t>978-1-5386-5586-3</t>
  </si>
  <si>
    <t>WOS:000458417600108</t>
  </si>
  <si>
    <t>Ramírez-Vélez, R; Silva-Moreno, C; Correa-Bautista, JE; González-Ruíz, K; Prieto-Benavides, DH; Villa-González, E; García-Hermoso, A</t>
  </si>
  <si>
    <t>Ramirez-Velez, Robinson; Silva-Moreno, Carolina; Enrique Correa-Bautista, Jorge; Gonzalez-Ruiz, Katherine; Humberto Prieto-Benavides, Daniel; Villa-Gonzalez, Emilio; Garcia-Hermoso, Antonio</t>
  </si>
  <si>
    <t>Self-Rated Health Status and Cardiorespiratory Fitness in a Sample of Schoolchildren from Bogota, Colombia. The FUPRECOL Study</t>
  </si>
  <si>
    <t>To evaluate the relationship between Self-Rated Health (SRH) and cardiorespiratory fitness (CRF) in a sample of children and adolescents enrolled in official schools in Bogota, Colombia. A cross-sectional study was performed with 7402 children and adolescents between 9 and 17 years of age. Participants were asked to rate their health based on eight validated questions, addressing the participants propensity for headache, stomach-ache, backache, feeling-low, irritability/bad mood, nervousness, sleeping-difficulties, and dizziness. The choices were rarely or never, almost every month, almost every week, and more than once a week/about every day. Participants performed the international course-navette shuttle run test to estimate CRF, and cut-off points for age and gender were used to categorize the healthy/unhealthy fitness zone according to the FITNESSGRAM (R) criteria. Overall, 16.4% of those surveyed reported a perception of irritability/bad mood more than once a week/about every day, followed by feeling-low and nervousness (both with 9.9%). Dizziness had the lowest prevalence with a percentage of 6.9%. Unhealthy CRF in boys increased the likelihood of headaches by 1.20 times, stomach aches by 1.31 times, feeling-low by 1.29 times, nervousness by 1.24 times, and dizziness by 1.29 times. In girls, unhealthy CRF increased the likelihood of headaches by 1.19 times, backache by 1.26 times, feeling-low by 1.28 times, irritability/bad mood by 1.17 times, sleeping-difficulties by 1.20 times, and dizziness by 1.27 times. SRH was associated with CRF in both genders. Early identification of children and adolescents with low CRF levels will permit interventions to promote healthy behaviors and prevent future diseases during adulthood.</t>
  </si>
  <si>
    <t>García-Hermoso, Antonio/ADU-2591-2022; González-Ruíz, Katherine/CAA-4624-2022; Correa-Bautista, Jorge Enrique/JDD-3131-2023; Villa-Gonzalez, Emilio/G-6421-2015; Garcia-Hermoso, Antonio/P-1857-2017; Correa-Bautista, Jorge Enrique/N-2741-2015; Ramirez-Velez, Robinson/D-5311-2016</t>
  </si>
  <si>
    <t>Villa-Gonzalez, Emilio/0000-0002-2815-2060; Garcia-Hermoso, Antonio/0000-0002-1397-7182; Gonzalez-Ruiz, Katherine/0000-0001-7518-0761; Correa-Bautista, Jorge Enrique/0000-0002-0646-2316; Ramirez-Velez, Robinson/0000-0003-3075-6960</t>
  </si>
  <si>
    <t>10.3390/ijerph14090952</t>
  </si>
  <si>
    <t>WOS:000411574400004</t>
  </si>
  <si>
    <t>Felicetti, S; Douce, T; Romero, G; Milman, P; Solano, E</t>
  </si>
  <si>
    <t>Felicetti, S.; Douce, T.; Romero, G.; Milman, P.; Solano, E.</t>
  </si>
  <si>
    <t>Parity-dependent State Engineering and Tomography in the ultrastrong coupling regime</t>
  </si>
  <si>
    <t>Reaching the strong coupling regime of light-matter interaction has led to an impressive development in fundamental quantum physics and applications to quantum information processing. Latests advances in different quantum technologies, like superconducting circuits or semiconductor quantum wells, show that the ultrastrong coupling regime (USC) can also be achieved, where novel physical phenomena and potential computational benefits have been predicted. Nevertheless, the lack of effective decoupling mechanism in this regime has so far hindered control and measurement processes. Here, we propose a method based on parity symmetry conservation that allows for the generation and reconstruction of arbitrary states in the ultrastrong coupling regime of light-matter interactions. Our protocol requires minimal external resources by making use of the coupling between the USC system and an ancillary two-level quantum system.</t>
  </si>
  <si>
    <t>Felicetti, Simone/X-3768-2019; Solano, Enrique/C-2895-2017; Romero, Guillermo/C-8245-2009; Felicetti, Simone/HDM-7753-2022</t>
  </si>
  <si>
    <t>Romero, Guillermo/0000-0003-2917-7814; Felicetti, Simone/0000-0003-0447-5380; SOLANO VILLANUEVA, ENRIQUE LEONIDAS/0000-0002-8602-1181</t>
  </si>
  <si>
    <t>JUL 8</t>
  </si>
  <si>
    <t>10.1038/srep11818</t>
  </si>
  <si>
    <t>WOS:000357576600001</t>
  </si>
  <si>
    <t>Cañon-Mancisidor, W; Gómez-Garcia, CJ; Espallargas, GM; Vega, A; Spodine, E; Venegas-Yazigi, D; Coronado, E</t>
  </si>
  <si>
    <t>Canon-Mancisidor, Walter; Gomez-Garcia, Carlos J.; Minguez Espallargas, Guillermo; Vega, Andres; Spodine, Evgenia; Venegas-Yazigi, Diego; Coronado, Eugenio</t>
  </si>
  <si>
    <t>Structural re-arrangement in two hexanuclear CuII complexes: from a spin frustrated trigonal prism to a strongly coupled antiferromagnetic soluble ring complex with a porous tubular structure</t>
  </si>
  <si>
    <t>CHEMICAL SCIENCE</t>
  </si>
  <si>
    <t>The addition of water to a chloroform solution of the Cu-6 trigonal prism complex [Cu-6(mu F-6)(mu 2OH)(mu 3OCH3)(2)(mu 2OCH3)(2)(3,5-Me(2)pz)(6)] (1) (3,5-Me(2)pz(-) = 3,5-dimethylpyrazolate) results in the formation of the Cu6 planar hexagonal ring complex [Cu-6(mu 2OH)(6)(3,5-Me(2)pz)(6)]center dot CH3CN center dot CHCl3 (2). A simple mechanism for this structural re-arrangement is proposed, in which 2 can be viewed as a hydrolysis product of 1. This process is clearly noticeable in the magnetic properties, which change from spin frustrated with a weak antiferromagnetic coupling in 1, to strongly antiferromagnetic in 2. Interestingly, the hexagonal ring complex 2 self-assembles in the solid state to form a porous hexagonal tubular structure containing guest solvent molecules that can be removed and CO2-exchanged without loss of crystallinity.</t>
  </si>
  <si>
    <t>Vega, Andres/B-2122-2010; Coronado, Eugenio/E-8960-2014; Venegas-Yazigi, Diego/C-5022-2009; Minguez Espallargas, Guillermo/D-3164-2013; Gomez Garcia, Carlos Jose/A-5626-2009; Canon-Mancisidor, Walter/K-8764-2014</t>
  </si>
  <si>
    <t>Venegas-Yazigi, Diego/0000-0001-7816-2841; Minguez Espallargas, Guillermo/0000-0001-7855-1003; Gomez Garcia, Carlos Jose/0000-0002-0015-577X; Vega, Andres/0000-0001-6501-4161; Canon-Mancisidor, Walter/0000-0003-1703-8729; Coronado Miralles, Eugenio/0000-0002-1848-8791</t>
  </si>
  <si>
    <t>2041-6520</t>
  </si>
  <si>
    <t>2041-6539</t>
  </si>
  <si>
    <t>10.1039/c3sc52628c</t>
  </si>
  <si>
    <t>WOS:000327601600041</t>
  </si>
  <si>
    <t>Pessoa-Mahana, H; González-Lira, C; Fierro, A; Zapata-Torres, G; Pessoa-Mahana, CD; Ortiz-Severin, J; Iturriaga-Vásquez, P; Reyes-Parada, M; Silva-Matus, P; Saitz-Barría, C; Araya-Maturana, R</t>
  </si>
  <si>
    <t>Pessoa-Mahana, Hernan; Gonzalez-Lira, Christian; Fierro, Angelica; Zapata-Torres, Gerald; David Pessoa-Mahana, C.; Ortiz-Severin, Javiera; Iturriaga-Vasquez, Patricio; Reyes-Parada, Miguel; Silva-Matus, Paul; Saitz-Barria, Claudio; Araya-Maturana, Ramiro</t>
  </si>
  <si>
    <t>Synthesis, docking and pharmacological evaluation of novel homo- and hetero-bis 3-piperazinylpropylindole derivatives at SERT and 5-HT1A receptor</t>
  </si>
  <si>
    <t>BIOORGANIC &amp; MEDICINAL CHEMISTRY</t>
  </si>
  <si>
    <t>A series of 3-(3-(4-(3-(1H-indol-3-yl)propyl)piperazin-1-yl)propyl)-1H-indole derivatives (3a-d and 5a-f) as homo-and hetero-bis-ligands, were synthesized and evaluated for in vitro affinity at the serotonin transporter (SERT) and the 5-HT1A receptor. Compounds 5b and 5f showed nanomolar affinities for both targets. The experimental data were rationalized according to results obtained from docking experiments. These findings are in agreement with our proposal that bis-indole derivatives can bind both targets, and might serve as leads in the quest of ligands endowed with a dual mechanism of action. (C) 2013 Elsevier Ltd. All rights reserved.</t>
  </si>
  <si>
    <t>Araya-Maturana, Ramiro/N-8747-2015; Fierro, Angelica/AAJ-2533-2020; SAITZ, CLAUDIO/I-1983-2013</t>
  </si>
  <si>
    <t>Fierro Huerta, Angelica/0000-0002-6507-4188; Pessoa-Mahana, David/0000-0002-9571-0173; Araya-Maturana, Ramiro/0000-0002-5082-9146</t>
  </si>
  <si>
    <t>0968-0896</t>
  </si>
  <si>
    <t>1464-3391</t>
  </si>
  <si>
    <t>DEC 15</t>
  </si>
  <si>
    <t>10.1016/j.bmc.2013.10.036</t>
  </si>
  <si>
    <t>WOS:000327766200007</t>
  </si>
  <si>
    <t>Adler, SL; Gamboa, J; Méndez, F; López-Sarrión, J</t>
  </si>
  <si>
    <t>Adler, Stephen L.; Gamboa, J.; Mendez, F.; Lopez-Sarrion, J.</t>
  </si>
  <si>
    <t>Axions and light shining through a wall: A detailed theoretical analysis</t>
  </si>
  <si>
    <t>ANNALS OF PHYSICS</t>
  </si>
  <si>
    <t>We give a detailed study of axion-photon and photon-axion conversion amplitudes, which enter the analysis of light shining through a wall experiments. Several different calculational methods are employed and compared, and in all cases we retain a nonzero axion mass. To leading order, we find that when the photon frequency w is very close to the axion mass m, there is a threshold cusp which significantly enhances the photon to axion conversion amplitude, by a factor w/ root w(2) - m(2) relative to the corresponding axion to photon conversion process. When m = 0, the enhancement factor reduces to unity and the results of previous calculations are recovered. Our calculations include an exact wave matching analysis, which shows how unitarity is maintained near threshold at w = m, and a discussion of the case when the magnetic field extends into the wall region. (C) 2008 Elsevier Inc. All rights reserved.</t>
  </si>
  <si>
    <t>Gamboa, Jorge/R-8744-2019</t>
  </si>
  <si>
    <t>Lopez Sarrion, Justo Javier/0000-0002-2868-194X; Mendez, Fernando/0000-0002-9257-9552</t>
  </si>
  <si>
    <t>0003-4916</t>
  </si>
  <si>
    <t>1096-035X</t>
  </si>
  <si>
    <t>10.1016/j.aop.2008.02.001</t>
  </si>
  <si>
    <t>WOS:000260441600011</t>
  </si>
  <si>
    <t>Pisani, E; Tsapis, N; Galaz, B; Santin, M; Berti, R; Taulier, N; Kurtisovski, E; Lucidarme, O; Ourevitch, M; Doan, BT; Beloeil, JC; Gillet, B; Urbach, W; Bridal, SL; Fattal, E</t>
  </si>
  <si>
    <t>Pisani, Emilia; Tsapis, Nicolas; Galaz, Belfor; Santin, Mathieu; Berti, Romain; Taulier, Nicolas; Kurtisovski, Erol; Lucidarme, Olivier; Ourevitch, Michele; Doan, Bich Thuy; Beloeil, Jean Claude; Gillet, Brigitte; Urbach, Wladimir; Bridal, S. Lori; Fattal, Elias</t>
  </si>
  <si>
    <t>Perfluorooctyl Bromide Polymeric Capsules as Dual Contrast Agents for Ultrasonography and Magnetic Resonance Imaging</t>
  </si>
  <si>
    <t>ADVANCED FUNCTIONAL MATERIALS</t>
  </si>
  <si>
    <t>Polymeric capsules with a thick shell made of biodegradable and biocompatible polymer and a liquid core of perfluorooctyl bromide (PFOB) were evaluated for stability as well as for ultrasound and magnetic resonance imaging (MRI) contrast enhancement. The method of preparation allows the mean capsule diameter to be regulated between 70 nm and 25 mu m and the capsule thickness-to-radius ratio from 0.25 to 0.54. Capsule diameter remains stable at 37 degrees C in phosphate buffer for at least 4 and 6 h for nanocapsules and microcapsules, respectively. The in vitro ultrasound signal-to-noise ratio (SNR) was measured from 40 to 60 MHz for 6 mu m and 150 nm capsules: the SNR increases with capsule concentration up to 20-25 mg mL(-1), and then reaches a plateau that depends on capsule diameter (13.5 +/- 1.5 dB for 6 mu m and 6 +/- 2 dB for the 150 nm capsules). The ultrasound SNR is stable for up to 20 min for microcapsules and for several hours for nanocapsules. For nanocapsules, the thinner the shell, the larger the SNR and the more compressible the capsules. Nanocapsule suspensions imaged in vitro with a commercial ultrasound imaging system (normal and tissue harmonic imaging modes, 7-14 MHz probe) were detected down to concentrations of 12.5 mg mL(-1). Injections of nanocapsules (200 mu g ml(-1)) in mice in vivo reveal that the initial bolus passage presents significant ultrasound enhancement of the blood pool during hepatic imaging (7-14 MHz probe, tissue harmonic imaging mode). F-19-MRI images were obtained in vitro at 9.4T using spin-echo and gradient echo sequences and allow detecting nanocapsules in suspension (50 mg mL(-1)). In conclusion, these results show initial feasibility for development of these capsules toward a dual-modality contrast agent.</t>
  </si>
  <si>
    <t>Lucidarme, Olivier/CAF-8228-2022; Bridal, Sharon/HGE-8535-2022; Santin, Mathieu/AAJ-2213-2020; Fattal, Elias/AAH-1769-2019; , Beloeil/I-5451-2014; Berti, Romain/B-9963-2008; URBACH, Wladimir/AAG-9004-2019; TAULIER, Nicolas/C-3965-2011; Tsapis, Nicolas/D-5606-2009; Fattal, Elias/F-7732-2010</t>
  </si>
  <si>
    <t>URBACH, Wladimir/0000-0002-1673-6923; TAULIER, Nicolas/0000-0003-1017-1068; Lucidarme, Olivier/0000-0003-0893-3764; Tsapis, Nicolas/0000-0003-2095-2626; Bridal, S. Lori/0000-0001-5053-5423; Fattal, Elias/0000-0002-3194-961X</t>
  </si>
  <si>
    <t>1616-301X</t>
  </si>
  <si>
    <t>10.1002/adfm.200800454</t>
  </si>
  <si>
    <t>WOS:000260398300014</t>
  </si>
  <si>
    <t>Kennedy, BF; Philippe, S; Surre, F; Bradley, AL; Landais, P</t>
  </si>
  <si>
    <t>Kennedy, B. F.; Philippe, S.; Surre, F.; Bradley, A. L.; Landais, P.</t>
  </si>
  <si>
    <t>Investigation of optimum wavelength converter based on nonlinear polarisation rotation in a bulk SOA</t>
  </si>
  <si>
    <t>IET OPTOELECTRONICS</t>
  </si>
  <si>
    <t>This work is focused on understanding and optimising the physical mechanisms responsible for wavelength conversion based on cross-polarisation modulation (XPolM) in a bulk semiconductor optical amplifier. A comparison is made between the conversion performance that can be achieved with cross-gain modulation (XGM) and XPolM in co- and counter-propagation configurations. Wavelength independent conversion can be achieved when nonlinear polarisation rotation and XGM effects are balanced in the case of non-inverted wavelength conversion.</t>
  </si>
  <si>
    <t>Landais, Pascal/AAI-2239-2020; Bradley, Louise/G-5108-2011; Kennedy, Brendan/C-2455-2013</t>
  </si>
  <si>
    <t>Kennedy, Brendan/0000-0003-4782-0498; Bradley, Louise/0000-0002-9399-8628; Surre, Frederic/0000-0003-1605-0531</t>
  </si>
  <si>
    <t>1751-8768</t>
  </si>
  <si>
    <t>1751-8776</t>
  </si>
  <si>
    <t>10.1049/iet-opt:20060047</t>
  </si>
  <si>
    <t>WOS:000247445400001</t>
  </si>
  <si>
    <t>Brasseur, G; Levican, G; Bonnefoy, V; Holmes, D; Jedlicki, E; Lemesle-Meunier, D</t>
  </si>
  <si>
    <t>Apparent redundancy of electron transfer pathways to oxygen in the extremophilic chemolithautotrophic bacterium acidithiobacillus ferrooxidans</t>
  </si>
  <si>
    <t>BIOCHIMICA ET BIOPHYSICA ACTA-BIOENERGETICS</t>
  </si>
  <si>
    <t>13th European Bioenergetics Conference (EBEC 2004)</t>
  </si>
  <si>
    <t>AUG 21-26, 2004</t>
  </si>
  <si>
    <t>Pisa, ITALY</t>
  </si>
  <si>
    <t>Levican, Gloria/R-5191-2019</t>
  </si>
  <si>
    <t>0005-2728</t>
  </si>
  <si>
    <t>WOS:000223500600335</t>
  </si>
  <si>
    <t>Cataldo, M; Cruz, N; del Campo, S; García, A</t>
  </si>
  <si>
    <t>Charged nonlinear three-dimensional black hole with Coulomb like field</t>
  </si>
  <si>
    <t>REVISTA MEXICANA DE FISICA</t>
  </si>
  <si>
    <t>12th Chilean Symposium of Physics</t>
  </si>
  <si>
    <t>NOV 22-24, 2000</t>
  </si>
  <si>
    <t>SANTIAGO, CHILE</t>
  </si>
  <si>
    <t>A nonlinear charged version of a static (2+1)-anti de Sitter black hole solution is derived. The source to the Einstein equations is a nonlinear electromagnetic field of the form E(r) = q/r(2), thus it has the Coulomb form of a point charge in the Minkowski spacetime. The energy momentum tensor of the nonlinear electromagnetic field is traceless. For vanishing cosmological constant one has an asymptotically flat space-time coupled with a Coulomb-like field. The obtained solution is singular at the origin of coordinates.</t>
  </si>
  <si>
    <t>0035-001X</t>
  </si>
  <si>
    <t>WOS:000180065500035</t>
  </si>
  <si>
    <t>Mallol, J; Aguirre, V; Rhem, R; Rodriguez, J; Dolovich, M</t>
  </si>
  <si>
    <t>Therapeutic equivalence of three metered-dose inhalers containing salbutamol (Albuterol) in protecting against methacholine-induced bronchoconstriction in children with asthma</t>
  </si>
  <si>
    <t>Many pharmaceutical companies sell salbutamol in metered-dose inhalers (MDI) for the treatment of asthma. However, the therapeutic equivalence of the more recently released generic products has not been compared with the original patented product in children. Twenty children with mild to moderate asthma, presently asymptomatic and with normal lung function, were randomly allocated to receive 200 mug of inhaled salbutamol (Albuterol) from three MDIs prepared by different manufacturers: the original Glaxo product and two generic products. The three drug formulations and placebo were given 10 min before a methacholine challenge test to determine the degree of protection provided against methacholine-induced bronchoconstriction (MIB) by each salbutamol aerosol. Tests were performed on 4 consecutive days. Doubling concentrations of methacholine were inhaled until the forced expired volume in 1 sec (FEV1) decreased by 20% from its baseline value. Compared to placebo, all patients increased significantly the provocation concentration that decreased FEV1 by 20% (PC20) by more than one doubling concentration after inhaling each of the three salbutamol aerosols. The effectiveness was not significantly different between medications (P=0.8). There was a small but significant difference among MDIs in aerosol particle size and total and fine-particle dose released per actuation. However, no relation was found between aerosol particle size or released dose and the protective effect. This study shows that the three tested brands of salbutamol MDI protected asthmatic children equally from MIB. When prescribing these salbutamol MDIs to prevent symptoms triggered by nonspecific stimuli in asthmatic children, the selection may be based on cost-benefit criteria. (C) 2001 Wiley-Liss, Inc.</t>
  </si>
  <si>
    <t>Mallol, Javier/0000-0003-2528-8672</t>
  </si>
  <si>
    <t>10.1002/ppul.1157</t>
  </si>
  <si>
    <t>WOS:000172461800006</t>
  </si>
  <si>
    <t>Mallol, J; Cortez, E; Amarales, L; Sánchez, I; Calvo, M; Soto, S; Strickler, A; Kyling, A; Sanhueza, I; Albornoz, C</t>
  </si>
  <si>
    <t>Prevalence of asthma in Chilean school age children.: Descriptive study in 24.470 children</t>
  </si>
  <si>
    <t>Background: There is little information about the preference of asthma in Latin American children. Aim: To determine the prevalence of asthma among Chilean school age children. Subjects and methods: The prevalence of respiratory symptoms related to asthma ill schoolchildren aged 7 and 13 years, coming from South Santiago Central Santiago, Valdivia and Punta Arenas, was determined using the methodology, of the International Study on Asthma and Allergies in, Childhood (ISMC). A random sample of school children aged 6-7 and 13-14 years from each locality was selected. This resulted in 24,470 surveyed children (11,723 aged 6-7 years and 12,747 aged 13-14 years). Results: The current prevalence of wheezing (wheezing in the last 12 months) ranged from 16.5% to 20.6% in, children aged 67 years, and from 6.8% to 11.7% in children aged 13-14 years. The cumulative prevalence, of asthma (asthma ever) ranged from 9.7% and 16.5% in the 6-7 years group and from 7.3% to 12.4% ill those aged 13-14 years. Conclusions: This study found much higher figures for prevalence of respiratory symptoms related to asthma in school children than those previously reported in this country, with a significantly variability between centers (p &lt; 0.05). The prevalence of asthma ill Chilean schoolchildren is as high and variable as that reported in industrialized countries.</t>
  </si>
  <si>
    <t>WOS:000086834800005</t>
  </si>
  <si>
    <t>Vicencio, F; Torres-Olivares, S; Miranda-Garnica, M; Flores, EIS; Málaga-Chuquitaype, C</t>
  </si>
  <si>
    <t>Vicencio, Felipe; Torres-Olivares, Sebastian; Miranda-Garnica, Maximiliano; Flores, Erick I. Saavedra; Malaga-Chuquitaype, Christian</t>
  </si>
  <si>
    <t>Seismic assessment of SSSI effects between adjacent Cross-Laminated Timber (CLT) buildings</t>
  </si>
  <si>
    <t>STRUCTURES</t>
  </si>
  <si>
    <t>Urban building designs have been performed considering the behaviour of individual structures in isolation, neglecting potential seismic interactions with neighbouring buildings. In densely populated metropolitan areas, the Structure-Soil-Structure Interaction (SSSI) becomes a significant factor, capable of either amplifying or reducing the seismic response of buildings. This suggests that there is an unquantified seismic risk in densely packed urban areas, which will need to be estimated to obtain designs for more resilient infrastructure. Despite the increasing popularity of CLT as a structurally competitive material, limited attention has been given to investigating dynamic interactions between timber structures. The reduced weight of CLT structures compared to traditional materials necessitates a focused examination of the effects imposed by nearby buildings under varying soil conditions, challenging the fixed-base assumptions commonly applied in seismic analyses. This study investigates the impact of SSSI between pairs of cross-laminated timber (CLT) buildings. Three distinct building heights are considered, exploring differences in storey ratios, under five different ground motions to evaluate seismic performance comprehensively. Sixty detailed high-order three-dimensional models, treating soil and buildings as unified systems, are developed as numerical dynamic simulations. Results reveal that SSSI can significantly influence the displacement and acceleration demands of buildings, with a more pronounced effect observed in loose soil conditions. Particularly, the presence of adjacent higher buildings leads to an increase in the seismic response of the smaller structure, showing amplification effects in peak values but maintaining similar dynamic behaviour. There has been observed a clear trend of increase in the roof displacements of the smaller structure when the storey ratio of neighbouring structures increases; however, the trend of behaviour is not clear in the maximum accelerations. The study underscores the importance of understanding how nearby buildings, particularly those with more storeys, can impact the seismic response on CLT structures.</t>
  </si>
  <si>
    <t>Vicencio, Felipe/AAH-6860-2021; Malaga-Chuquitaype, Christian/H-3854-2014</t>
  </si>
  <si>
    <t>Malaga-Chuquitaype, Christian/0000-0002-2538-7374; Vicencio, Felipe/0000-0001-6692-8192</t>
  </si>
  <si>
    <t>2352-0124</t>
  </si>
  <si>
    <t>10.1016/j.istruc.2024.107318</t>
  </si>
  <si>
    <t>SEP 2024</t>
  </si>
  <si>
    <t>WOS:001324322900001</t>
  </si>
  <si>
    <t>Paiva, S; Fritz, RA; Raj, S; Colón, YJ; Herrera, F</t>
  </si>
  <si>
    <t>Paiva, Simon; Fritz, Ruben A.; Raj, Sanoj; Colon, Yamil J.; Herrera, Felipe</t>
  </si>
  <si>
    <t>Efficient generation of polarization-entangled photons in metal-organic framework waveguides</t>
  </si>
  <si>
    <t>OPTICS EXPRESS</t>
  </si>
  <si>
    <t>Parametric nonlinear optical processes are instrumental in optical quantum technology for generating entangled light. However, the range of materials conventionally used for producing entangled photons is limited. Metal-organic frameworks (MOFs) have emerged as a novel class of optical materials with customizable nonlinear properties and proven chemical and optical stability. The large number of combinations of metal atoms and organic ligand from which bulk MOF crystals are known to form, facilitates the search of promising candidates for nonlinear optics. To accelerate the discovery of next-generation quantum light sources, we employ a multi-scale modeling approach to study phase-matching conditions for collinear degenerate type-II spontaneous parametric down conversion (SPDC) with MOF-based one dimensional waveguides. Using periodic-density-functional theory calculations to compute the nonlinear optical properties of selected zinc-based MOF crystals, we predict polarization-entangled pair generation rates of order 104 4 - 107 7 s-1mW-1 - 1 mW - 1 at 1064 nm for 10 mm crystals, improving the brightness of industry materials such as PPKTP and BBO in some cases. This work underscores the great potential of MOF single crystals as entangled light sources for applications in quantum communication and sensing.</t>
  </si>
  <si>
    <t>(FNU Sanoj), Sanoj/IWU-9253-2023; Herrera, Felipe/KHD-8453-2024</t>
  </si>
  <si>
    <t>Fritz Fritz, Ruben Alejandro/0000-0002-6691-4740; , Sanoj/0000-0002-4876-5921</t>
  </si>
  <si>
    <t>1094-4087</t>
  </si>
  <si>
    <t>AUG 12</t>
  </si>
  <si>
    <t>10.1364/OE.532747</t>
  </si>
  <si>
    <t>WOS:001300255500005</t>
  </si>
  <si>
    <t>Jofré-Saldía, E; Ojeda, AH; Molina, JA; Villalobos-Gorigoitía, A; Valladares-Ide, D; Bravo, M</t>
  </si>
  <si>
    <t>Jofre-Saldia, Emilio; Ojeda, Alvaro Huerta; Molina, Jimena Arriagada; Villalobos-Gorigoitia, Alvaro; Valladares-Ide, Denisse; Bravo, Maximiliano</t>
  </si>
  <si>
    <t>Incidence of Muscular Strength, Anthropometry, and Asymmetry in the General Index of Autonomy in Older Chilean Women</t>
  </si>
  <si>
    <t>Frailty affects the functional autonomy (FA) of older adults and could manifest itself in muscle imbalances in the limbs, resulting in a disparity in size and strength between them. In Chile, information on the relationship between muscle strength (MS) levels and FA asymmetries in older women is limited. This study related the levels of MS, anthropometric parameters, and asymmetries of the lower and upper limbs, with the FA of a group of older Chilean women. The study included 39 women who participated, and their FA was evaluated using the GDLAM index (IG). Based on the score obtained in the IG, they were classified by percentiles as Group 1 with favorable FA (P &lt;= 50) and Group 2 with low FA (P &gt; 50). Anthropometric parameters were BMI, fat percentage, bone mass, circumferences (arm, thigh, calf), diameters (humerus, femur) and upper/lower limb strength was evaluated to determine asymmetries. The differences between the covariates of both groups were evaluated using the student's t test and the Mann -Whitney test for independent samples. G1 presented less asymmetry (p &gt; 0.05) in the lower limbs and greater calf circumference than G2 (p &lt; 0.05). G1 presented greater bilateral strength (dominant and non -dominant limb) compared to G2 (p &lt; 0.05). The covariates of age, anthropometry, MS, and lower/upper limb asymmetries influence FA in older women.</t>
  </si>
  <si>
    <t>Molina, Jimena/KLY-3166-2024; Huerta Ojeda, Alvaro/AAE-7104-2021; Valladares-Ide, Denisse/AAE-6675-2019</t>
  </si>
  <si>
    <t>WOS:001208078600017</t>
  </si>
  <si>
    <t>da Costa, RF; Silva, AM; Masset, KVDB; Cesário, TD; Cabral, BGDT; Ferrari, G; Dantas, PMS</t>
  </si>
  <si>
    <t>da Costa, Roberto Fernandes; Silva, Analiza M.; Masset, Kalina Veruska da Silva Bezerra; Cesario, Tatianny de Macedo; Cabral, Breno Guilherme de Araujo Tinoco; Ferrari, Gerson; Dantas, Paulo Moreira Silva</t>
  </si>
  <si>
    <t>Development and cross-validation of a predictive equation for fat-free mass in Brazilian adolescents by bioelectrical impedance (vol 9 820736, 2022)</t>
  </si>
  <si>
    <t>Dantas, Paulo/E-6047-2018; Ferrari, Gerson/HHM-6173-2022; Costa, Roberto/C-7766-2011; Silva, Analiza/C-9858-2010; Ferrari, Gerson/P-1152-2014</t>
  </si>
  <si>
    <t>Ferrari, Gerson/0000-0003-3177-6576</t>
  </si>
  <si>
    <t>JAN 13</t>
  </si>
  <si>
    <t>10.3389/fnut.2022.1128979</t>
  </si>
  <si>
    <t>WOS:000922998000001</t>
  </si>
  <si>
    <t>Otaru, N; Ye, K; Mujezinovic, D; Berchtold, L; Constancias, F; Cornejo, FA; Krzystek, A; de Wouters, T; Braegger, C; Lacroix, C; Pugin, B</t>
  </si>
  <si>
    <t>Otaru, Nize; Ye, Kun; Mujezinovic, Denisa; Berchtold, Laura; Constancias, Florentin; Cornejo, Fabian A.; Krzystek, Adam; de Wouters, Tomas; Braegger, Christian; Lacroix, Christophe; Pugin, Benoit</t>
  </si>
  <si>
    <t>GABA Production by Human Intestinal Bacteroides spp.: Prevalence, Regulation, and Role in Acid Stress Tolerance</t>
  </si>
  <si>
    <t>The high neuroactive potential of metabolites produced by gut microbes has gained traction over the last few years, with metagenomic-based studies suggesting an important role of microbiota-derived gamma-aminobutyric acid (GABA) in modulating mental health. Emerging evidence has revealed the presence of the glutamate decarboxylase (GAD)-encoding gene, a key enzyme to produce GABA, in the prominent human intestinal genus Bacteroides. Here, we investigated GABA production by Bacteroides in culture and metabolic assays combined with comparative genomics and phylogenetics. A total of 961 Bacteroides genomes were analyzed in silico and 17 metabolically and genetically diverse human intestinal isolates representing 11 species were screened in vitro. Using the model organism Bacteroides thetaiotaomicron DSM 2079, we determined GABA production kinetics, its impact on milieu pH, and we assessed its role in mitigating acid-induced cellular damage. We showed that the GAD-system consists of at least four highly conserved genes encoding a GAD, a glutaminase, a glutamate/GABA antiporter, and a potassium channel. We demonstrated a high prevalence of the GAD-system among Bacteroides with 90% of all Bacteroides genomes (96% in human gut isolates only) harboring all genes of the GAD-system and 16 intestinal Bacteroides strains producing GABA in vitro (ranging from 0.09 to 60.84 mM). We identified glutamate and glutamine as precursors of GABA production, showed that the production is regulated by pH, and that the GAD-system acts as a protective mechanism against acid stress in Bacteroides, mitigating cell death and preserving metabolic activity. Our data also indicate that the GAD-system might represent the only amino acid-dependent acid tolerance system in Bacteroides. Altogether, our results suggest an important contribution of Bacteroides in the regulation of the GABAergic system in the human gut.</t>
  </si>
  <si>
    <t>CONSTANCIAS, Florentin/ABH-5947-2020; Braegger, Christian/ABC-9884-2021; Lacroix, Christophe/B-5139-2016; Pugin, Benoit/X-2984-2018</t>
  </si>
  <si>
    <t>Lacroix, Christophe/0000-0003-4360-2020; Braegger, Christian/0000-0001-8069-9875; Cornejo, Fabian/0000-0002-6633-392X; Pugin, Benoit/0000-0001-7132-9477; de Wouters, Tomas/0000-0002-4592-2338</t>
  </si>
  <si>
    <t>10.3389/fmicb.2021.656895</t>
  </si>
  <si>
    <t>WOS:000645110900001</t>
  </si>
  <si>
    <t>Vidal, P; Rodríguez, M; Silva, R; Lara, V; Ansaldo, M</t>
  </si>
  <si>
    <t>Molina, PV</t>
  </si>
  <si>
    <t>Vidal, Paula; Rodriguez, Marcelo; Silva, Rodrigo; Lara, Victor; Ansaldo, Manuek</t>
  </si>
  <si>
    <t>Good Living and Neoliberalism(s) in light of the world of work in Ecuador, Bolivia, Chile and Brazil (2014-2018)</t>
  </si>
  <si>
    <t>DILEMAS DEL TRABAJO Y LAS POLITICAS LABORALES: Entre Neoliberalismos y Buen Vivir en America Latina en el Siglo XXI</t>
  </si>
  <si>
    <t>978-956-6095-30-9</t>
  </si>
  <si>
    <t>10.26448/ae9789566095309.13</t>
  </si>
  <si>
    <t>WOS:000762317800014</t>
  </si>
  <si>
    <t>Castillo, X; Pizarro, J; Ortiz, C; Cid, H; Flores, M; De Canck, E; Van Der Voort, P</t>
  </si>
  <si>
    <t>Castillo, Ximena; Pizarro, Jaime; Ortiz, Claudia; Cid, Hector; Flores, Marcos; De Canck, Els; Van Der Voort, Pascal</t>
  </si>
  <si>
    <t>A cheap mesoporous silica from fly ash as an outstanding adsorbent for sulfate in water</t>
  </si>
  <si>
    <t>MICROPOROUS AND MESOPOROUS MATERIALS</t>
  </si>
  <si>
    <t>This research describes the development of a very cheap mesoporous silica material similar to hexagonal mesoporous silica (HMS) and using a silicate extract as precursor. This precursor is obtained from cheap fly ash by an easy calcination process at 850 degrees C and a green extraction with water. The obtained mesoporous fly ash material had a surface area of 282 m(2 )g(-1) and a pore size of 5.7 nm. It was functionalized with ethylene diamino moieties via the well-known SAMMS method, followed by a DRIFT analysis that clearly showed the successful functionalization. An excellent adsorbent was obtained for the adsorption of sulfate anions by the solid's modification with copper forming a copper-ethylenediamine complex. The adsorption of sulfates was studied in a batch system where the pH at highest adsorption 8 was and the adsorption time remarkably fast (5 min). The kinetic data were fitted according to a pseudo-second order model with a high coefficient of linear regression at different initial concentrations. The adsorption isotherm that best fitted the experimental data was the Freundlich model. The maximum sulfate adsorption capacity of this very cheap fly ash based adsorbent was 146.1 mg g(-1), 3 times greater than the values reported in literature and commercial adsorbent materials.</t>
  </si>
  <si>
    <t>De Canck, Els/I-6578-2015; Cid, Héctor/AAH-5471-2020; Van Der Voort, Pascal/D-3800-2012; Flores Carrasco, Marcos/E-8058-2012</t>
  </si>
  <si>
    <t>Van Der Voort, Pascal/0000-0002-1248-479X; Cid Silva, Hector A./0000-0001-5942-608X; Flores Carrasco, Marcos/0000-0002-9766-2830</t>
  </si>
  <si>
    <t>1387-1811</t>
  </si>
  <si>
    <t>1873-3093</t>
  </si>
  <si>
    <t>10.1016/j.micromeso.2018.06.014</t>
  </si>
  <si>
    <t>WOS:000445309600022</t>
  </si>
  <si>
    <t>Elettro, H; Vollrath, F; Antkowiak, A; Neukirch, S</t>
  </si>
  <si>
    <t>Elettro, Herve; Vollrath, Fritz; Antkowiak, Arnaud; Neukirch, Sebastien</t>
  </si>
  <si>
    <t>Drop-on-coilable-fibre systems exhibit negative stiffness events and transitions in coiling morphology</t>
  </si>
  <si>
    <t>SOFT MATTER</t>
  </si>
  <si>
    <t>We investigate the mechanics of elastic fibres carrying liquid droplets. In such systems, buckling may localize inside the drop cavity if the fibre is thin enough. This so-called drop-on-coilable-fibre system exhibits a surprising liquid-like response under compression and a solid-like response under tension. Here we analyze this unconventional behavior in further detail and find theoretical, numerical and experimental evidence of negative stiffness events. We find that the first and main negative stiffness regime owes its existence to the transfer of capillary-stored energy into mechanical curvature energy. The following negative stiffness events are associated with changes in the coiling morphology of the fibre. Eventually coiling becomes tightly locked into an ordered phase where liquid and solid deformations coexist.</t>
  </si>
  <si>
    <t>Elettro, Hervé/X-2780-2019; Antkowiak, Arnaud/C-3598-2012; Elettro, Herve/M-3837-2015</t>
  </si>
  <si>
    <t>Vollrath, Fritz/0000-0003-3484-9005; Elettro, Herve/0000-0002-4765-4656</t>
  </si>
  <si>
    <t>1744-683X</t>
  </si>
  <si>
    <t>1744-6848</t>
  </si>
  <si>
    <t>SEP 4</t>
  </si>
  <si>
    <t>10.1039/c7sm00368d</t>
  </si>
  <si>
    <t>WOS:000408437000003</t>
  </si>
  <si>
    <t>Godoy, F; Gómez, A; Agurto, N; Muñoz, M; Segura, R; Silva, CP; Pavez, J; Zagal, JH; Klahn, AH; Fuentealba, M; Ibañez, A; Garland, MT</t>
  </si>
  <si>
    <t>Godoy, Fernando; Gomez, Alejandra; Agurto, Nicolas; Munoz, Michelle; Segura, Rodrigo; Silva, Carlos P.; Pavez, Jorge; Zagal, Jose H.; Hugo Klahn, A.; Fuentealba, M.; Ibanez, Andres; Teresa Garland, Maria</t>
  </si>
  <si>
    <t>Synthesis, reactivity, electrochemical behaviour, and molecular structure of crown ether cyrhetrene complexes</t>
  </si>
  <si>
    <t>Cyrhetrenyl crown ether complexes [(eta(5)-C5H4CH=N-M)Re(CO)(3)] (where M = 4-benzo-15-crown-5 (3a), 4-benzo-18-crown-6 (3b), 2-methyl-15-crown-5 (3c), or 2-methyl-18-crown-6 (3d)) were synthesised from cyrhetrenylcarboxaldehyde (1) and the corresponding crown ether amines 2a-d. All the complexes were characterised by IR spectroscopy, H-1 and C-13 NMR spectroscopies, and mass spectrometry. The stereochemistry for imine compounds 3a-d were determined using the H-1 and C-13 NMR spectroscopy data, which indicated that these complexes have the anti-(E) conformation. This was also confirmed by the X-ray crystal structures of 3b and 3c in the solid state. Additionally, the electrochemical behaviours of 1 and 3a-d were studied. (C) 2015 Elsevier B.V. All rights reserved.</t>
  </si>
  <si>
    <t>zagal, jose/L-9648-2014; Silva, Carlos/IQS-5583-2023; Segura, Rodrigo/J-6696-2016; Fuentealba, Mauricio/F-3406-2011; PAVEZ, JORGE/K-6904-2014</t>
  </si>
  <si>
    <t>Klahn, Hugo/0000-0003-3979-2693; Fuentealba, Mauricio/0000-0002-2152-2102; Munoz-Osses, Michelle/0000-0001-7124-8773; Godoy, Fernando/0000-0002-3916-4753; Silva, Carlos P./0000-0001-5344-042X; Gomez San Martin, Alejandra/0000-0001-6483-1565; PAVEZ, JORGE/0000-0002-5100-6707; Segura, Rodrigo/0000-0001-5747-2357</t>
  </si>
  <si>
    <t>10.1016/j.jorganchem.2015.04.031</t>
  </si>
  <si>
    <t>WOS:000355336300007</t>
  </si>
  <si>
    <t>Navarro, NP; Figueroa, FL; Korbee, N; Mansilla, A; Matsuhiro, B; Barahona, T; Plastino, EM</t>
  </si>
  <si>
    <t>Navarro, Nelso P.; Figueroa, Felix L.; Korbee, Nathalie; Mansilla, Andres; Matsuhiro, Betty; Barahona, Tamara; Plastino, Estela M.</t>
  </si>
  <si>
    <t>The Effects of NO3- Supply on Mazzaella laminarioides (Rhodophyta, Gigartinales) from Southern Chile</t>
  </si>
  <si>
    <t>PHOTOCHEMISTRY AND PHOTOBIOLOGY</t>
  </si>
  <si>
    <t>The effects of nitrate supply on growth, pigments, mycosporine-like amino acids (MAAs), C:N ratios and carrageenan yield were investigated in Mazzaella laminarioides cultivated under solar radiation. This species is economically important in southern Chile where an increase of nitrogen in coastal waters is expected as a consequence of salmon aquaculture activity. Apical segments were cultivated in enriched seawater with five different NO3- concentrations (0, 0.09, 0.18, 0.38 and 0.75mm) during 18days. Although phycoerythrin and phycocyanin content, as well as C:N ratios, were reduced in the control treatment (without NO3- supply), when compared to NO3- treatments, total MAA concentration, carrageenan yield and growth rates were similar in all tested conditions. Nevertheless, during the experiment, an important synthesis of mycosporine-glycine took place in a nitrate concentration-dependent manner, with accumulation being saturated around 0.18mm of nitrate. These results indicate that exposure to high NO3- concentration of more than 100 times the values observed in the nature did not impair the photoprotection system, as determined by MAAs, nor did it have a deleterious effect on growth or carrageenan yield of M.laminarioides, a late successional species from Chile.</t>
  </si>
  <si>
    <t>Navarro, Nelso/AFP-8110-2022; Korbee Peinado, Nathalie/K-5995-2014; Lopez Figueroa, Felix Diego/K-7720-2014; Plastino, Estela/G-4083-2012</t>
  </si>
  <si>
    <t>Korbee Peinado, Nathalie/0000-0002-9780-4915; Lopez Figueroa, Felix Diego/0000-0003-3580-4693; Mansilla, Andres/0000-0003-3505-7018; Plastino, Estela/0000-0003-0269-4985</t>
  </si>
  <si>
    <t>0031-8655</t>
  </si>
  <si>
    <t>1751-1097</t>
  </si>
  <si>
    <t>NOV-DEC</t>
  </si>
  <si>
    <t>10.1111/php.12344</t>
  </si>
  <si>
    <t>WOS:000345217800013</t>
  </si>
  <si>
    <t>Kramer, V; Chana-Cuevas, P; Juri, C; Pruzzo, R; Amaral, A; Coudeu, I; Rösch, F; Amaral, H</t>
  </si>
  <si>
    <t>Kramer, Vasko; Chana-Cuevas, Pedro; Juri, Carlos; Pruzzo, Rossana; Amaral, Andres; Coudeu, Irene; Roesch, Frank; Amaral, Horacio</t>
  </si>
  <si>
    <t>18F-Desmethoxyfallypride PET for differential diagnosis of Parkinson's disease and atypical forms of parkinsonism</t>
  </si>
  <si>
    <t>JOURNAL OF NUCLEAR MEDICINE</t>
  </si>
  <si>
    <t>Annual Meeting of the Society-of-Nuclear-Medicine-and-Molecular-Imaging (SNMMI)</t>
  </si>
  <si>
    <t>JUN 07-11, 2014</t>
  </si>
  <si>
    <t>St Louis, MO</t>
  </si>
  <si>
    <t>Soc Nucl Med &amp; Mol Imaging</t>
  </si>
  <si>
    <t>Roesch, Frank/AAU-9403-2020; Chana-Cuevas, Pedro/AAM-8215-2020</t>
  </si>
  <si>
    <t>0161-5505</t>
  </si>
  <si>
    <t>1535-5667</t>
  </si>
  <si>
    <t>WOS:000361438103010</t>
  </si>
  <si>
    <t>Estiu, G; Ferraudi, G; Lappin, AG; Ruiz, GT; Vericat, C; Costamagna, J; Villagran, M</t>
  </si>
  <si>
    <t>Estiu, G.; Ferraudi, G.; Lappin, A. G.; Ruiz, G. T.; Vericat, C.; Costamagna, J.; Villagran, M.</t>
  </si>
  <si>
    <t>Photocatalytic reactions of a nickel(II) annulene complex incorporated in polymeric structures</t>
  </si>
  <si>
    <t>RSC ADVANCES</t>
  </si>
  <si>
    <t>The photochemical reactions of the Ni(II) annulene complex, [Ni-II([5,7,12,14]-tetra methyl dibenzo[2,3-b:2,3-b,i][1,4,8,11]tetraaza[14]annulenate)], grafted into a poly(isobutylene-alt-maleate) backbone were investigated in aqueous media. The grafted Ni(II) complex becomes soluble in aqueous and organic solvents where the strands form aggregates with medium-dependent shapes. Irradiation of the polymer at 532 or 351 nm produce charge-separated macrocyclic pendants, CS, with a lifetime tau similar to 30 ns. CS reacts with electron donors and acceptors before it decays with a lifetime tau similar to 1 mu s. In parallel to the decay of CS, an excited state-excited state annihilation process gives rise to luminescence whose spectrum spans wavelengths shorter than the wavelength of the irradiation, lambda(ex) &gt; 500 nm. Theoretical calculations were carried out with the aim of understanding the morphology and structures of strand aggregates, to confirm the nature of reaction products and to account for the spectroscopic and photochemical properties of the Ni(II) pendants. The endothermic reduction of CO2 to CO by S(IV) species was used as a test of the Ni(II) complex's ability to photocatalyze the reaction. In the photoprocess, the Ni(II) complex fulfills the double role of antenna and catalyst.</t>
  </si>
  <si>
    <t>Vericat, Carolina/L-4084-2014</t>
  </si>
  <si>
    <t>Vericat, Carolina/0000-0003-0900-2435</t>
  </si>
  <si>
    <t>2046-2069</t>
  </si>
  <si>
    <t>10.1039/c4ra08177c</t>
  </si>
  <si>
    <t>WOS:000344390000074</t>
  </si>
  <si>
    <t>Gutiérrez, G; Johansson, B</t>
  </si>
  <si>
    <t>Molecular dynamics study of structural properties of amorphous Al2O3 -: art. no. 104202</t>
  </si>
  <si>
    <t>The structural properties of amorphous aluminum oxide (Al2O3) have been investigated by means of the molecular dynamics technique. The simulations were done in a microcanonical ensemble, using a pairwise potential, on systems with up to 1800 particles. Three different systems, at densities ranging from 3.0 to 3.3 g/cm(3), were prepared by quenching from the melt. The network topology of our system is analyzed through partial pair correlations, coordination numbers, angle distributions, and ring statistics. A detailed analysis of the interatomic distances reveals that in the amorphous state there is a short-range order dominated by a slightly distorted (AlO4)(5-) tetrahedron, in agreement with recent experimental results. This conclusion is supported by the distribution of nearest-neighbor coordination numbers, where more than 75% of Al atoms have four O as nearest-neighbors. Ring statistics reveal the presence of two- to fivefold rings, with a peak at the fourfold ring and where the two- and threefold rings are planar. Comparison with available experimental data and earlier calculations shows that the structures of amorphous and liquid alumina are very similar. The amorphous structure also presents close similarities to the surface structure of gamma-alumina at room temperature. Simulations for systems at different densities show that the coordination number of the elementary unit increases as the density increases, suggesting that the tetrahedrally and octahedrally coordinated forms of amorphous alumina found experimentally correspond to different densities.</t>
  </si>
  <si>
    <t>Gutierrez, Gonzalo/A-4973-2008</t>
  </si>
  <si>
    <t>Gutierrez, Gonzalo/0000-0003-0676-0089</t>
  </si>
  <si>
    <t>10.1103/PhysRevB.65.104202</t>
  </si>
  <si>
    <t>WOS:000174548300043</t>
  </si>
  <si>
    <t>Arenas-Collao, K; Valdés-González, H; Reyes-Bozo, L; Salazar, JL</t>
  </si>
  <si>
    <t>Arenas-Collao, Katherine; Valdes-Gonzalez, Hector; Reyes-Bozo, Lorenzo; Salazar, Jose Luis</t>
  </si>
  <si>
    <t>The Water Management Impacts of Large-Scale Mining Operations: A Social and Environmental Perspective</t>
  </si>
  <si>
    <t>WATER</t>
  </si>
  <si>
    <t>This study investigates water consumption in two areas with limited water resources-the Salar de Atacama and Salar de Atacama-Vertiente Pacifico basins in Chile's Antofagasta Region-with the aim of developing strategies that incorporate social and environmental aspects into water management. A qualitative approach was employed that involved a focus group with twelve water management representatives and surveys of the general population (468 responses). Additionally, the current state of water rights in the two basins was examined and the feasibility of the proposed strategies was assessed. The findings reveal that the mining industry's development approach is mostly viewed as negative, mainly due to inadequate community engagement, confidential consumption data, and limited government oversight. The quantitative findings indicate that 53.8% of respondents see the main obstacle as the lack of a solution satisfying both parties. Additionally, 35.3%, 24.4%, and 22.4% believe transparency, objective information provision, and detailed resource usage disclosure by mining companies would help. Adopting a comprehensive water stewardship approach that considers social and environmental factors would enable a novel contribution to a more effective and sustainable water resource management system in northern Chile, mitigating communities' negative perceptions of the industry and facilitating the integration of communities and involved agents. Therefore, improved management and transparent collaboration among stakeholders are essential for responsible water resource use in mining.</t>
  </si>
  <si>
    <t>Salazar, Jose/KHC-7260-2024</t>
  </si>
  <si>
    <t>SALAZAR, JOSE LUIS/0000-0002-9922-9424; Reyes-Bozo, Lorenzo/0000-0002-4523-0139; Valdes Gonzalez, Hector/0009-0007-2010-886X</t>
  </si>
  <si>
    <t>2073-4441</t>
  </si>
  <si>
    <t>10.3390/w16121745</t>
  </si>
  <si>
    <t>WOS:001255911900001</t>
  </si>
  <si>
    <t>Carabias, D; Ciarlo, NC; Araya, C; Morales, C; Gutiérrez, F</t>
  </si>
  <si>
    <t>Carabias, Diego; Ciarlo, Nicolas C.; Araya, Carolina; Morales, Carla; Gutierrez, Felipe</t>
  </si>
  <si>
    <t>Ballasting a Mid-19th Century Chilean Navy Armed Transport: Archaeometallurgical Insights into Cast Iron Ingots Recovered from the Barque Infatigable (1855)</t>
  </si>
  <si>
    <t>HERITAGE</t>
  </si>
  <si>
    <t>Ballast is essential for vessels to lower their centre of gravity, improve stability, and ease their motion during sailing. During the modern period, heavy materials used for ballasting ships were an issue of particular concern for both authorities and ship owners, subjected to increasing control, regulation, and standardisation. These items represent a very common find in wreck sites and deserve special attention, as their characteristics, distribution, and provenance can deliver critical information for assessing where the vessel was ballasted, sailing routes, ship tonnage, and site formation processes. This article is centred on pig iron ingots, introduced in the early 18th century in sailing warships and shortly thereafter in sizeable merchant vessels, a type of ballast which is frequently overlooked in archaeological research. In particular, specimens retrieved from the Chilean Navy armed transport Infatigable (1855) were analysed through macroscopic and physicochemical characterisation using LM, SEM-EDS, WD-XRF, and IGF. The results obtained indicate the ingots were manufactured with cast iron of different quality, suggesting they may have come from different production centres. The investigation resulted in a better understanding of ballasting practices on a South American navy ship in the early post-independence period and provided new data for discussions of off-site and non-nautical technological issues, such as the materials, knowledge, and techniques associated with the production of pig iron in the mid-19th century.</t>
  </si>
  <si>
    <t>CIARLO, NICOLAS C./W-3843-2017; Carabias, Diego/AAN-5663-2021</t>
  </si>
  <si>
    <t>CIARLO, NICOLAS C./0000-0002-1995-6227; Carabias, Diego/0000-0001-8936-8482</t>
  </si>
  <si>
    <t>2571-9408</t>
  </si>
  <si>
    <t>10.3390/heritage6020114</t>
  </si>
  <si>
    <t>WOS:000939297300001</t>
  </si>
  <si>
    <t>Alaniz, AJ; Carvajal, MA; Marquet, PA; Vergara, PM; Meneses, L; Moreira-Arce, D</t>
  </si>
  <si>
    <t>Alaniz, Alberto J.; Carvajal, Mario A.; Marquet, Pablo A.; Vergara, Pablo M.; Meneses, Luis; Moreira-Arce, Dario</t>
  </si>
  <si>
    <t>Analyzing the Spatiotemporal Patterns of Forests Carbon Sink and Sources Between 2000 and 2019</t>
  </si>
  <si>
    <t>EARTHS FUTURE</t>
  </si>
  <si>
    <t>Here we present a global time-series of global forest above ground biomass from 2000 to 2019, analyzing spatiotemporal patterns of carbon balance, accounting for losses and gains. We generated a global Above-Ground Biomass (AGB) map for the year 2000 and assessed its correlation with different satellite products. We generated a multi-year analysis of AGB changes at the pixel level was generated, estimating carbon (C) loss and gain. Finally, we estimated the C losses due to forest clearing and wildfires analyzing their trends across biomes and countries. Our results show that the global mean annual loss was 2.88 +/- 0.33 PgC yr(-1), while global mean C gain was 2.95 +/- 0.43 PgC yr(-1), resulting in a neutral to sink behavior of -0.06 +/- 0.58 PgC yr(-1). The mean annual C loss by forest clearing was 1.04 +/- 0.03 PgC yr(-1), with an increasing trend of +0.03 +/- 0.01 PgC yr(-1). Eight biomes and 54 countries showed a significant increasing trend of C loss by forest clearing. Wildfires C losses reached 0.351 +/- 0.02 Pg C yr(-1), representing the 33.71% of forest clearing C losses. Boreal forest presented the highest C losses from wildfires, while significant increasing trends were evidenced in five biomes. We also find increasing trends of wildfire C loss in 20 countries while decreasing trends were identified in 10 countries. Our findings highlight the importance of designing strong policies to halt deforestation as agreed in the recent COP26 and provide information to identify priority areas to start implementing these policies in the short term.</t>
  </si>
  <si>
    <t>Vergara, Pablo/F-2519-2010; Alaniz, Alberto/J-3104-2019; Carvajal, Mario/GYU-2659-2022; Moreira-Arce, Dario/ABG-2898-2021; Marquet, Pablo A./B-7732-2009</t>
  </si>
  <si>
    <t>Alaniz, Alberto J./0000-0003-4878-8848; Vergara, Pablo/0000-0002-0024-1678; Marquet, Pablo A./0000-0001-6369-9339</t>
  </si>
  <si>
    <t>2328-4277</t>
  </si>
  <si>
    <t>e2021EF002560</t>
  </si>
  <si>
    <t>10.1029/2021EF002560</t>
  </si>
  <si>
    <t>WOS:000889524800001</t>
  </si>
  <si>
    <t>Parlar, A; Köprülü, REP; Arslan, SO; Çam, SA; Özdogan, FP; Yumrutas, Ö; Uçkardes, F; Ríos, M; Martinez, JL</t>
  </si>
  <si>
    <t>Parlar, Ali; Koprulu, Rabia Edibe Parlar; Arslan, Seyfullah Oktay; Cam, Saliha Aysenur; Ozdogan, Fidan Pesen; Yumrutas, Onder; Uckardes, Fatih; Rios, Miguel; Martinez, Jose L.</t>
  </si>
  <si>
    <t>Extract of Glycyrrhiza glabra root attenuates nociception in experimental pain models: The role of BKCa channels</t>
  </si>
  <si>
    <t>The aim of this study was to evaluate the functional interaction of Glycyrrhiza glabra root extract (GGRE) on the large conductance Ca2+-activated K+ (BKCa) channels expressed in the peripheral nervous system by using nociception and inflammation models in rodents in vivo. Besides toxicity studies and open field tests, nociception and inflammation tests were performed on rodents. Different doses of GGRE were given orally to rats and mice. Naloxone, indomethacin, morphine, NS1619 and iberiotoxin (IbTX) were administered. GGRE had both anti-nociceptive and anti-inflammatory activity in rats and mice. GGRE exhibited an analgesic effect by decreasing the time-course of the pain threshold or reaction time in some nociceptive tests. Furthermore, GGRE reduced level of pro-inflammatory cytokines, including TNF-alpha and IL-1 beta. As a conclusion, GGRE can alleviate the pain sensation of the afferent nerves and can reduce inflammation and associated pain by activating BKCa channels and reducing the levels of TNF-alpha, IL1 beta.</t>
  </si>
  <si>
    <t>Martinez, Jose/AAA-1725-2020; parlar, ali/U-6786-2019; ÜÇKARDEŞ, Fatih/MGT-0805-2025; köprülü, rabia edibe/GSI-6078-2022; Arslan, Seyfullah/IXN-3383-2023; CAM OZUNLU, SALIHA AYSENUR/A-9174-2018</t>
  </si>
  <si>
    <t>ARSLAN, SEYFULLAH OKTAY/0000-0001-9328-9373; Parlar Koprulu, Rabia Edibe/0000-0003-0052-3648; Martinez, Jose/0000-0002-0177-4847; Pesen Ozdogan, Fidan/0000-0001-6388-0584; CAM OZUNLU, SALIHA AYSENUR/0000-0003-3326-8487</t>
  </si>
  <si>
    <t>10.37360/blacpma.22.21.4.29</t>
  </si>
  <si>
    <t>WOS:000751452300005</t>
  </si>
  <si>
    <t>Ferrari, G; Giannichi, B; Resende, B; Paiva, L; Rocha, R; Falbel, F; Rache, B; Adami, F; Rezende, LFM</t>
  </si>
  <si>
    <t>Ferrari, G.; Giannichi, B.; Resende, B.; Paiva, L.; Rocha, R.; Falbel, F.; Rache, B.; Adami, F.; Rezende, L. F. M.</t>
  </si>
  <si>
    <t>The economic burden of overweight and obesity in Brazil: perspectives for the Brazilian Unified Health System</t>
  </si>
  <si>
    <t>PUBLIC HEALTH</t>
  </si>
  <si>
    <t>Objectives: Parallel to rising obesity prevalence in Brazil, there is expected to be increased direct health care costs related to non-communicable diseases (NCDs). In this study, we estimated the economic burden of NCDs attributable to overweight and obesity in the Brazilian Unified Health System (SUS). Methods: We used self-reported body mass index of 85,715 adults from the 2019 Brazilian National Health Survey. Annual costs (1 US$ = 2.281 Reais) with inpatient and outpatient procedures were obtained from the Hospital and Ambulatory Information Systems of the Brazilian SUS. Relative risks for cardiovascular disease, chronic respiratory disease, neoplasm, digestive disease, musculoskeletal disorders, diabetes and kidney diseases, sense organ diseases, and neurological disorders were retrieved from the Global Burden of Disease study. Results: Annually, US$ 654 million (95% uncertainty interval: US$ 418.4 to US$ 893.2) direct health care costs related to NCDs were attributable to overweight and obesity. Attributable costs were higher in women than men. Cardiovascular diseases had the highest attributable costs (US$ 289 million), followed by chronic respiratory diseases (US$ 110 million), neoplasms (US$ 96 million), digestive diseases (US$ 60 million), musculoskeletal disorders (US$ 44 million), diabetes and kidney disease (US$ 31 million), sense organ diseases (US$ 22 million) and neurological disorders (US$ 11 million). Conclusions: Overweight and obesity account for US$ 654 million direct costs of NCDs annually. Effective policies to promote healthy body weight may have economic benefits. (C) 2022 The Royal Society for Public Health. Published by Elsevier Ltd. All rights reserved.</t>
  </si>
  <si>
    <t>Ferrari, Gerson/ABG-6635-2021; da Silva Paiva, Laercio/B-3190-2015; Rezende, Leandro/C-1724-2012; Ferrari, Gerson/P-1152-2014</t>
  </si>
  <si>
    <t>da Silva Paiva, Laercio/0000-0003-3646-2621; Rezende, Leandro/0000-0002-7469-1399; Resende, Bruna/0000-0001-8720-8450; Ferrari, Gerson/0000-0003-3177-6576; Rocha, Rudi/0000-0003-0689-6963</t>
  </si>
  <si>
    <t>0033-3506</t>
  </si>
  <si>
    <t>1476-5616</t>
  </si>
  <si>
    <t>10.1016/j.puhe.2022.03.015</t>
  </si>
  <si>
    <t>MAY 2022</t>
  </si>
  <si>
    <t>WOS:000805909700002</t>
  </si>
  <si>
    <t>Galindo-Villegas, J; Bossier, P; Reyes-López, FE</t>
  </si>
  <si>
    <t>Galindo-Villegas, Jorge; Bossier, Peter; Reyes-Lopez, Felipe E.</t>
  </si>
  <si>
    <t>Editorial: Oral Immune-Enhancing Research in Fish</t>
  </si>
  <si>
    <t>Bossier, Peter/A-8118-2008; Reyes-López, Felipe/S-1760-2018; Galindo-Villegas, Jorge/K-7075-2014</t>
  </si>
  <si>
    <t>Reyes-Lopez, Felipe E./0000-0002-5001-457X; Galindo-Villegas, Jorge/0000-0002-4250-2477</t>
  </si>
  <si>
    <t>MAR 17</t>
  </si>
  <si>
    <t>10.3389/fimmu.2022.850026</t>
  </si>
  <si>
    <t>WOS:000786543500001</t>
  </si>
  <si>
    <t>Trejo, M; Romero, V; Hamm, E; Cerda, E</t>
  </si>
  <si>
    <t>Trejo, Miguel; Romero, Victor; Hamm, Eugenio; Cerda, Enrique</t>
  </si>
  <si>
    <t>Lateral indentation of a thin elastic film</t>
  </si>
  <si>
    <t>Indentation is a standard, widely used technique in mechanical assays and theoretical analysis. It unveils the fundamental modes of deformation and predicts the response of the material under more complex loads. Here we present an experimental setup for testing thin-film materials by studying the lateral indentation of a narrow opening cut into a film, triggering a cascade of buckling events. The force response F is dominated by bending and stretching effects for small displacements and slowly varies with indenter displacement F similar to d(2/5), to finally reach a wrinkled state that results in a robust nonlinear asymptotic relation, F similar to d(4). Experiments with films of various thicknesses and material properties, and numerical simulations confirm our analysis and help to define an order parameter that accounts for the different response regimes observed in experiments and simulations.</t>
  </si>
  <si>
    <t>Hamm, Eugenio/A-7927-2013; ROMERO, Victor/AAG-9796-2020</t>
  </si>
  <si>
    <t>ROMERO, Victor/0000-0001-6697-9918; Cerda, Enrique/0000-0003-3515-1442</t>
  </si>
  <si>
    <t>JAN 26</t>
  </si>
  <si>
    <t>10.1039/d1sm01348c</t>
  </si>
  <si>
    <t>WOS:000739498600001</t>
  </si>
  <si>
    <t>Dorairaj, DP; Haribabu, J; Chang, YL; Hsu, SCN; Echeverria, C; Echeverria, J; Karvembu, R</t>
  </si>
  <si>
    <t>Dorairaj, Dorothy Priyanka; Haribabu, Jebiti; Chang, Yu-Lun; Hsu, Sodio C. N.; Echeverria, Cesar; Echeverria, Javier; Karvembu, Ramasamy</t>
  </si>
  <si>
    <t>Effect of new Pd(II)-aroylthiourea complex on pancreatic cancer cells</t>
  </si>
  <si>
    <t>INORGANIC CHEMISTRY COMMUNICATIONS</t>
  </si>
  <si>
    <t>A Pd(II) complex bearing N-((2,6-diisopropylphenyl)carbamothioyl)-4-methylbenzamide (C1) has been prepared and characterized by various spectroscopic studies, and elemental analysis. Crystal structure of the ligand (L1) and C1 was confirmed by single crystal X-ray diffraction tool, which revealed the square planar (trans) geometry for C1. Binding ability of C1 with biomolecules (CT DNA and BSA) was studied by absorption and fluorescence methods, which showed good binding efficiency of the complex with targeted biomolecules. The intercalation binding mode was inferred for the Pd(II) complex with DNA. The stability of C1 was studied by NMR spectroscopy which indicated that C1 was stable up to 72 h. Further, L1 and C1 have been evaluated for their anticancer property against four pancreatic cancer (AsPC-1, BxPC-3, PANC-1 and MIA PaCa-2) and one normal (Vero) cell lines. C1 showed potential anticancer activity towards MIA PaCa-2 with an IC50 value of 15.27 mu M. Positively, L1 and C1 displayed less toxicity (&gt;100 mu M) towards Vero normal cells.</t>
  </si>
  <si>
    <t>Echeverría, Javier/AAK-3323-2020; ECHEVERRIA, CESAR/AAH-4994-2019; Haribabu, Jebiti/ABH-8428-2020; Karvembu, R./AFO-9760-2022; Hsu, Sodio/D-4438-2009</t>
  </si>
  <si>
    <t>Hsu, Sodio/0000-0002-2576-7289; ECHEVERRIA ECHEVERRIA, CESAR ANTONIO/0000-0001-5431-7183; Echeverria, Javier/0000-0002-1688-968X</t>
  </si>
  <si>
    <t>1387-7003</t>
  </si>
  <si>
    <t>1879-0259</t>
  </si>
  <si>
    <t>10.1016/j.inoche.2021.109018</t>
  </si>
  <si>
    <t>WOS:000718395500002</t>
  </si>
  <si>
    <t>Alister, F; Celentano, D; Signorelli, J; Bouchard, PO; Muñoz, DP; Cruchaga, M</t>
  </si>
  <si>
    <t>Alister, Francisco; Celentano, Diego; Signorelli, Javier; Bouchard, Pierre-Olivier; Pino Munoz, Daniel; Cruchaga, Marcela</t>
  </si>
  <si>
    <t>Viscoplastic and temperature behavior of Zn-Cu-Ti alloy sheets: experiments, characterization, and modeling</t>
  </si>
  <si>
    <t>JOURNAL OF MATERIALS RESEARCH AND TECHNOLOGY-JMR&amp;T</t>
  </si>
  <si>
    <t>It has been experimentally observed that the Zn-Cu-Ti zinc alloy shows a strong influence of strain rate and temperature on its plastic behavior. A significant change in the material response is seen with relatively small strain rate variations or temperature. In this work, these effects are addressed through the Cazacu-Plunket-Barlat 2006 (CPB-2006) yield criterion and the Johnson-Cook hardening law. The tests were carried out over the three main directions: rolling, diagonal, and transversal. Three strain rate conditions (0.002, 0.02, and 0.2 s(-1)) and three temperatures (20, 60, and 80 degrees C) were tested. Although the experi-mental results exhibit a significant influence of the strain rate and temperature on stress-strain curves for all tested directions, such two variables do not practically affect the Lankford coefficients. The proposed model calibration procedure is found to describe the material responses properly under the studied conditions. (C) 2021 The Author(s). Published by Elsevier B.V.</t>
  </si>
  <si>
    <t>Cruchaga, Marcela/M-7522-2014; Celentano, Diego/JQW-5027-2023; Pino Munoz, Daniel/I-5879-2018</t>
  </si>
  <si>
    <t>Alister, Francisco/0000-0002-7524-0872; Pino Munoz, Daniel/0000-0003-3969-6204</t>
  </si>
  <si>
    <t>2238-7854</t>
  </si>
  <si>
    <t>2214-0697</t>
  </si>
  <si>
    <t>10.1016/j.jmrt.2021.09.132</t>
  </si>
  <si>
    <t>WOS:000712094100007</t>
  </si>
  <si>
    <t>Marconcin, P; Peralta, M; Ferrari, G; de Matos, MG; Espanha, M; Murawska-Cialowicz, E; Marques, A</t>
  </si>
  <si>
    <t>Marconcin, Priscila; Peralta, Miguel; Ferrari, Gerson; de Matos, Margarida Gaspar; Espanha, Margarida; Murawska-Cialowicz, Eugenia; Marques, Adilson</t>
  </si>
  <si>
    <t>The Association of Grip Strength with Depressive Symptoms among Middle-Aged and Older Adults with Different Chronic Diseases</t>
  </si>
  <si>
    <t>Low grip strength has been associated with an increase in depressive symptoms, independent of age group or gender, although the literature has not investigated this association among different chronic diseases. The present study aims to investigate the association of grip strength and depressive symptoms among middle-aged and older adults with different chronic diseases. A cross-section of data from the Survey of Health, Ageing, and Retirement in Europe wave 6 (collected in 2015) was analysed. Grip strength was measured by a handgrip dynamometer, and the European Depression Symptoms 12-item scale (EURO-D) was used to assess depressive symptoms. Multivariable logistic regression analysis was conducted. Those in the high strength tertile had 42% (95% confidence interval: 0.50, 0.71; p &lt; 0.005) and 41% (95% confidence interval: 0.50, 0.70; p &lt; 0.001) lower odds of depressive symptoms in the 'no disease' and in the 'metabolic diseases' groups of participants, respectively, compared with those in the lower strength tertile. No statistically significant relationship between grip strength and depression was observed in the 'arthritis diseases' group of participants. The association of grip strength with depressive symptoms must consider, besides gender and age group, the chronic conditions that an individual could have.</t>
  </si>
  <si>
    <t>Murawska-Ciałowicz, Eugenia/X-5410-2019; Marconcin, Priscila/GRO-2708-2022; Ferrari, Gerson/ABG-6635-2021; de Matos, Margarida/H-3824-2012; Peralta, Miguel/H-1666-2017; Ferrari, Gerson/P-1152-2014; Marques, Adilson/K-4529-2014; Espanha, Margarida/V-9141-2017</t>
  </si>
  <si>
    <t>Peralta, Miguel/0000-0001-6072-6012; Marconcin, Priscila/0000-0002-1295-0826; Ferrari, Gerson/0000-0003-3177-6576; Marques, Adilson/0000-0001-9850-7771; Murawska-Cialowicz, Eugenia/0000-0001-8512-7278; Espanha, Margarida/0000-0002-9699-4200</t>
  </si>
  <si>
    <t>10.3390/ijerph17196942</t>
  </si>
  <si>
    <t>WOS:000586685200001</t>
  </si>
  <si>
    <t>Jara-Moroni, F; Mitchell, JE; Pang, JS; Wächter, A</t>
  </si>
  <si>
    <t>Jara-Moroni, Francisco; Mitchell, John E.; Pang, Jong-Shi; Wachter, Andreas</t>
  </si>
  <si>
    <t>An enhanced logical benders approach for linear programs with complementarity constraints</t>
  </si>
  <si>
    <t>This work extends the logical benders approach for solving linear programs with complementarity constraints proposed by Hu et al. (SIAM J Optim 19(1):445-471, 2008) and Bai et al. (Comput Optim Appl 54(3):517-554, 2013). We develop a novel interpretation of the logical Benders method as a reversed branch-and-bound search, where the whole exploration procedure starts from the leaf nodes in an enumeration tree. This insight enables us to provide a new framework over which we can combine master problem and cut generation in a single process. It also allows us to diversify the search, leading computationally to stronger cuts. We also present an optimization-based sparsification process which makes the cut generation more efficient. Numerical results are presented to show the effectiveness of this enhanced method. Results are also extended to problems with more complementarity constraints, exceeding those that can be handled by the original method in the cited references.</t>
  </si>
  <si>
    <t>Waechter, Andreas/G-2499-2011; Jara-Moroni, Francisco/ABD-6086-2020</t>
  </si>
  <si>
    <t>Mitchell, John/0000-0001-5087-4679; Jara-Moroni, Francisco/0000-0003-3381-3078</t>
  </si>
  <si>
    <t>10.1007/s10898-020-00905-z</t>
  </si>
  <si>
    <t>MAY 2020</t>
  </si>
  <si>
    <t>WOS:000531519900001</t>
  </si>
  <si>
    <t>Cid, HA; Flores, MI; Pizarro, JF; Castillo, XA; Barros, DE; Moreno-Piraján, JC; Ortiz, CA</t>
  </si>
  <si>
    <t>Cid, Hector A.; Flores, Marcos I.; Pizarro, Jaime F.; Castillo, Ximena A.; Barros, Daniel E.; Moreno-Pirajan, Juan C.; Ortiz, Claudia A.</t>
  </si>
  <si>
    <t>Mechanisms of Cu2+ biosorption on Lessonia nigrescens dead biomass: Functional groups interactions and morphological characterization</t>
  </si>
  <si>
    <t>JOURNAL OF ENVIRONMENTAL CHEMICAL ENGINEERING</t>
  </si>
  <si>
    <t>In this study, the biosorption mechanisms of Cu2+ by dead biomass of the brown seaweed Lessonia nigrescens were characterized, with special emphasis on the chemical environment provided by functional groups, their interactions with the metal, and the induced morphological changes triggered by the biosorption process. The morphological changes on the seaweed surface were characterized by SEM and AFM techniques, before and after the exposure of the biomass to Cu2+ ions. ATR-FTIR, EDS and XPS were used to characterize the chemical atomic environment on the seaweed biomass, to determine the biosorption saturation times of the founded functional groups, and the changes on the biomass surface composition, and main chemical bondings. The use of these techniques revealed that this seaweed biomass interacts with Cu2+ ions mainly through carboxyl, sulfonate and hydroxyl groups, by ionic and coordinative bonds by ligand multidentism, and rearrangements of the cell wall stiffness.</t>
  </si>
  <si>
    <t>Bruhn, Alejandro/AAH-2684-2019; Cid, Héctor/AAH-5471-2020; Flores Carrasco, Marcos/E-8058-2012</t>
  </si>
  <si>
    <t>Flores Carrasco, Marcos/0000-0002-9766-2830; Cid Silva, Hector A./0000-0001-5942-608X</t>
  </si>
  <si>
    <t>2213-3437</t>
  </si>
  <si>
    <t>10.1016/j.jece.2018.03.034</t>
  </si>
  <si>
    <t>WOS:000436927400114</t>
  </si>
  <si>
    <t>Vera, B; Vázquez, K; Mascayano, C; Tapia, RA; Espinosa, V; Soto-Delgado, J; Salas, CO; Paulino, M</t>
  </si>
  <si>
    <t>Vera, Brenda; Vazquez, Karina; Mascayano, Carolina; Tapia, Ricardo A.; Espinosa, Victoria; Soto-Delgado, Jorge; Salas, Cristian O.; Paulino, Margot</t>
  </si>
  <si>
    <t>Structural analysis and molecular docking of trypanocidal aryloxy-quinones in trypanothione and glutathione reductases: a comparison with biochemical data</t>
  </si>
  <si>
    <t>JOURNAL OF BIOMOLECULAR STRUCTURE &amp; DYNAMICS</t>
  </si>
  <si>
    <t>A set of aryloxy-quinones, previously synthesized and evaluated against Trypanosoma cruzi epimastigotes cultures, were found more potent and selective than nifurtimox. One of the possible mechanisms of the trypanocidal activity of these quinones could be inhibition of trypanothione reductase (TR). Considering that glutathione reductase (GR) is the equivalent of TR in humans, biochemical, kinetic, and molecular docking studies in TR and GR were envisaged and compared with the trypanocidal and cytotoxic data of a set of aryloxy-quinones. Biochemical assays indicated that three naphthoquinones (Nq-h, Nq-g, and Nq-d) selectively inhibit TR and the TR kinetic analyses indicated that Nq-h inhibit TR in a noncompetitive mechanism. Molecular dockings were performed in TR and GR in the following three putative binding sites: the catalytic site, the dimer interface, and the nicotinamide adenine dinucleotide phosphate-binding site. In TR and GR, the aryloxy-quinones were found to exhibit high affinity for a site near it cognate-binding site in a place in which the noncompetitive kinetics could be justified. Taking as examples the three compounds with TR specificity (TRS) (Nq-h, Nq-g, and Nq-d), the presence of a network of contacts with the quinonic ring sustained by the triad of Lys62, Met400, Ser464 residues, seems to contribute hardly to the TRS. Compound Nq-b, a naphthoquinone with nitrophenoxy substituent, proved to be the best scaffold for the design of trypanocidal compounds with low toxicity. However, the compound displayed only a poor and non-selective effect toward TR indicating that TR inhibition is not the main reason for the antiparasitic activity of the aryloxy-quinones.</t>
  </si>
  <si>
    <t>Salas, Cristian/IZE-2326-2023; Tapia, Ricardo/T-7170-2017; Soto-Delgado, Jorge/A-3775-2012</t>
  </si>
  <si>
    <t>Salas, Cristian/0000-0001-7620-2459; Soto-Delgado, Jorge/0000-0002-2983-1727; Mascayano Collado, Carolina Lorena/0000-0002-3488-9309; Vazquez, Karina/0000-0002-5081-0904; Tapia, Ricardo/0000-0003-4407-3845; Vazquez Cisneros, Karina Wendoline/0000-0001-8592-7515</t>
  </si>
  <si>
    <t>0739-1102</t>
  </si>
  <si>
    <t>1538-0254</t>
  </si>
  <si>
    <t>10.1080/07391102.2016.1195283</t>
  </si>
  <si>
    <t>WOS:000401432000012</t>
  </si>
  <si>
    <t>Torres-Ossandón, MJ; López, J; Vega-Gálvez, A; Galotto, MJ; Perez-Won, M; Di Scala, K</t>
  </si>
  <si>
    <t>Torres-Ossandon, M. J.; Lopez, J.; Vega-Galvez, A.; Galotto, M. J.; Perez-Won, M.; Di Scala, K.</t>
  </si>
  <si>
    <t>IMPACT OF HIGH HYDROSTATIC PRESSURE ON PHYSICOCHEMICAL CHARACTERISTICS, NUTRITIONAL CONTENT AND FUNCTIONAL PROPERTIES OF CAPE GOOSEBERRY PULP (PHYSALIS PERUVIANA L.)</t>
  </si>
  <si>
    <t>JOURNAL OF FOOD PROCESSING AND PRESERVATION</t>
  </si>
  <si>
    <t>The aim of this research was to assess the effect of high hydrostatic pressure (HHP) treatments (300, 400 and 500 MPa/5 min) on physicochemical, nutritional and functional properties of Cape gooseberry pulp immediately after processing and after 30 days of refrigerated storage. Results showed that HHP as well as storage time clearly influenced sugars, vitamin C, beta-carotene, mineral contents and antioxidant capacity. However, the physicochemical characteristics were not influenced by HHP. Pressurization led to a significant increase in fructose and glucose at 300-500 MPa both on day 0 and day 30 (P &lt; 0.05). Potassium content increased 8-10% at 300 and 500 MPa, while phosphorus content increased 65% compared with control sample at 400 MPa at day 0 (P &lt; 0.05). The antioxidant activity (2,2-diphenyl-1-picrylhydrazyl) increased after 30 days of storage in pressurized samples at 300 and 500 MPa. A maximum antioxidant activity value was observed at 300 MPa by means of the oxygen radical absorbance capacity analysis (P &lt; 0.05).</t>
  </si>
  <si>
    <t>Vega-Galvez, Antonio/F-1089-2015; Lopez, Jessica/IQT-7114-2023</t>
  </si>
  <si>
    <t>Vega-Galvez, Antonio/0000-0001-9991-6139; Lopez, Jessica/0000-0001-5064-4486</t>
  </si>
  <si>
    <t>0145-8892</t>
  </si>
  <si>
    <t>1745-4549</t>
  </si>
  <si>
    <t>10.1111/jfpp.12535</t>
  </si>
  <si>
    <t>WOS:000368126300250</t>
  </si>
  <si>
    <t>Fleming, GD; Koch, R; Perez, JM; Cabrera, JL</t>
  </si>
  <si>
    <t>Diaz Fleming, Guillermo; Koch, Rainer; Munoz Perez, Jose; Llanos Cabrera, Jeanette</t>
  </si>
  <si>
    <t>Raman and SERS study of N-acetyl-5-methoxytryptamine, melatonin-The influence of the different molecular fragments on the SERS effect</t>
  </si>
  <si>
    <t>In this work a detailed experimental Raman and SERS study on melatonin is reported. Additional density functional theory (DFT) with the hybrid exchange-correlation functional B3LYP, in combination with the 6-311++G(d,p) basis set have been performed. Scaled quantum mechanical force field (SQM FF) method for the prediction of the vibrational spectra is used to determine the geometrical, energetic and vibrational characteristics of the molecule. The DFT-computed structural parameters and harmonic vibrational wavenumbers reproduce the experimental data very well and help to characterize the vibrational behaviour of the adsorbed species. The assignment of the normal modes obtained by calculations was supported by previous vibrational studies on the distinct functional groups present in melatonin. The SERS study was carried out with particular emphasis on the interaction and adsorption of the different parts of the molecule to the gold colloidal surface. Furthermore, the adsorption behavior of melatonin on colloidal Au surface is deduced from the SERS selection rules and analysis of the calculated molecular electrostatic potential (MEP). (C) 2015 Elsevier B.V. All rights reserved.</t>
  </si>
  <si>
    <t>Perez, Jose/AAD-9564-2021; Koch, Rainer/JAC-7601-2023; Koch, Rainer/A-7339-2009</t>
  </si>
  <si>
    <t>Koch, Rainer/0000-0003-4419-4671</t>
  </si>
  <si>
    <t>10.1016/j.vibspec.2015.08.002</t>
  </si>
  <si>
    <t>WOS:000362858900012</t>
  </si>
  <si>
    <t>Martínez-Cifuentes, M; Salazar, R; Escobar, CA; Weiss-López, BE; Santos, LS; Araya-Maturana, R</t>
  </si>
  <si>
    <t>Martinez-Cifuentes, Maximiliano; Salazar, Ricardo; Escobar, Carlos A.; Weiss-Lopez, Boris E.; Santos, Leonardo S.; Araya-Maturana, Ramiro</t>
  </si>
  <si>
    <t>Correlating experimental electrochemistry and theoretical calculations in 2′-hydroxy chalcones: the role of the intramolecular hydrogen bond</t>
  </si>
  <si>
    <t>In this work we present a study on the molecular structure and electrochemical behavior of a series of methoxylated 2'-hydroxychalcones, whose antitumor activity has been previously described. Cyclic voltammetry was used to quantitatively characterize the formation and stability of the anion radicals. The molecular structure of the neutral compounds and their anion radicals, particularly the intramolecular hydrogen bonds (IHB), were investigated through density functional theory (DFT) calculations. Geometrical and frontier orbital changes in the anion, relative to the neutral species, were examined and the adiabatic and vertical electron affinities (AEA, VEA) as well as vertical detachment energy (VDE) were calculated. Natural bond orbital (NBO) analysis was used to obtain insights into the electronic characteristics of the IHB and the results were correlated with H-1-NMR chemical shifts. A direct relation among the substitution pattern on rings A and B, the strength of the IHBs and the reduction potentials was found. NBO energies (Delta E-ij((2))) show that the main contributions to the stabilization of the IHBs arises from LP -&gt; sigma* interactions. The strength of IHBs, given by Delta E-ij((2)), exhibit a notable quantitative correlation with the experimental reduction potential, which, at least to the best of our knowledge, has not been described before for any type of molecule. The results show the importance of the methoxy substitution pattern on the IHB and redox properties of these compounds. Our findings have potential implications in the design of antitumor chalcones.</t>
  </si>
  <si>
    <t>Santos, Leonardo/A-7953-2008; Martínez-Cifuentes, Maximiliano/AAD-3117-2020; Salazar, Ricardo/L-7870-2013; Araya-Maturana, Ramiro/N-8747-2015; Martinez Cifuentes, Maximiliano/F-9353-2015</t>
  </si>
  <si>
    <t>Santos, Leonardo/0000-0002-1697-4200; Salazar-Gonzalez, Ricardo/0000-0003-2180-6022; Escobar Zapata, Carlos Alfonso/0000-0003-4627-638X; Araya-Maturana, Ramiro/0000-0002-5082-9146; Martinez Cifuentes, Maximiliano/0000-0003-2959-3164</t>
  </si>
  <si>
    <t>10.1039/c5ra10140a</t>
  </si>
  <si>
    <t>WOS:000356303000034</t>
  </si>
  <si>
    <t>Matus, FJ; Escudey, M; Förster, JE; Gutiérrez, M; Chang, AC</t>
  </si>
  <si>
    <t>Matus, Francisco J.; Escudey, Mauricio; Foerster, Juan E.; Gutierrez, Marlen; Chang, Andrew C.</t>
  </si>
  <si>
    <t>Is the Walkley-Black Method Suitable for Organic Carbon Determination in Chilean Volcanic Soils?</t>
  </si>
  <si>
    <t>COMMUNICATIONS IN SOIL SCIENCE AND PLANT ANALYSIS</t>
  </si>
  <si>
    <t>Although dry combustion (DC) carbon dioxide (CO2) is an accurate method to measure total soil carbon (C), it is a rather expensive one. Therefore, wet oxidation by the Walkley-Black (WB) method is widely used in acidic Chilean volcanic soils, although there are no studies comparing both WB and DC. The aim of this article was to compare DC and WB in a range of volcanic soils containing between 2% and 9% of soil C on a regional scale. Results indicated that the recovery (R) of soil C by WB with respect to DC varied between 70% and 82%. Consequently, the correction factor (100 / R) ranged between 1.26 and 1.47. The standardized major axis regression analysis indicated that the slope and the intercept of the fitted line on volcanic soils were similar to 1:1 line. In conclusion, WB was an economically suitable method to determine the soil C content of Chilean volcanic soils.</t>
  </si>
  <si>
    <t>Matus, Francisco/AAY-9383-2020</t>
  </si>
  <si>
    <t>0010-3624</t>
  </si>
  <si>
    <t>1532-2416</t>
  </si>
  <si>
    <t>11-12</t>
  </si>
  <si>
    <t>PII 912055654</t>
  </si>
  <si>
    <t>10.1080/00103620902896746</t>
  </si>
  <si>
    <t>WOS:000274285000010</t>
  </si>
  <si>
    <t>Varas, M; Castro-Rojas, J; Contreras-Porcia, L; Ureta-Zañartu, MS; Blanco, E; Escalona, N; Muñoz, E; Garrido-Ramírez, E</t>
  </si>
  <si>
    <t>Varas, Magdalena; Castro-Rojas, Jorge; Contreras-Porcia, Loretto; Ureta-Zanartu, Maria Soledad; Blanco, Elodie; Escalona, Nestor; Munoz, Edmundo; Garrido-Ramirez, Elizabeth</t>
  </si>
  <si>
    <t>Enhancing the Biosorption Capacity of Macrocystis pyrifera: Effects of Acid and Alkali Pretreatments on Recalcitrant Organic Pollutants Removal</t>
  </si>
  <si>
    <t>The effects of acid and alkali pretreatments on the physicochemical and textural properties of Macrocystis pyrifera were evaluated to assess its potential for removing recalcitrant organic pollutants from aquatic systems. Untreated (UB), acid-pretreated (ACPB), and alkali-pretreated (ALPB) seaweed biomass were characterized using SEM, FTIR-ATR, N2 adsorption-desorption, and potentiometric titrations. Adsorption isotherms and kinetic studies, using methylene blue (MB) as a model pollutant, were conducted to evaluate removal performance. All biosorbents exhibited Langmuir behavior, with maximum adsorption capacities of 333 mg g-1 (UB), 189 mg g-1 (ACPB), and 526 mg g-1 (ALPB). FTIR-ATR and SEM analyses revealed that alkali pretreatment increased the abundance of hydroxyl, carboxylate, and sulfonated functional groups on the seaweed cell walls, along with greater porosity and surface roughness, resulting in enhanced MB adsorption. In contrast, acid pretreatment increased the exposure of carboxylic, amine, and amide functional groups, reducing the electrostatic interactions. The adsorption energy values further supported this, while the intra-particle diffusion model indicated a two-step process involving MB diffusion onto the seaweed surface, followed by diffusion into internal pores. These findings highlight the potential application of Macrocystis pyrifera-based biosorbents in the treatment of wastewater containing recalcitrant organic pollutants.</t>
  </si>
  <si>
    <t>Ureta-Zañartu, Maria/G-5239-2019; Contreras-Porcia, Loretto/F-9593-2016; Blanco, Elodie/AAI-9600-2020</t>
  </si>
  <si>
    <t>Blanco, Elodie/0000-0001-9955-8394</t>
  </si>
  <si>
    <t>APR 2</t>
  </si>
  <si>
    <t>10.3390/ijms26073307</t>
  </si>
  <si>
    <t>WOS:001464011000001</t>
  </si>
  <si>
    <t>Castillo-Rivera, C; Bravo, M; Calisto, I; Gonzalez, J; Urra, B; Benavente, R; Foppiano, A; Figueroa, D; Ovalle, E</t>
  </si>
  <si>
    <t>Castillo-Rivera, Carlos; Bravo, Manuel; Calisto, Ignacia; Gonzalez, Juan; Urra, Benjamin; Benavente, Roberto; Foppiano, Alberto; Figueroa, Dante; Ovalle, Elias</t>
  </si>
  <si>
    <t>Detection of near- and far-field traveling ionospheric disturbances during Tsunami Events over South Pacific</t>
  </si>
  <si>
    <t>Large earthquakes and tsunamis often occur around the Pacific Ring of Fire, in which Traveling Ionospheric Disturbances (TIDs) have been observed after these events. Sometimes (depending on seismic source features), TIDs can be observed near the epicenter of the generated earthquake due to the shock-acoustic wave. Additionally, TIDs can be induced by tsunamis due to the generated gravity waves and be detected several thousand kilometers away from the source. TIDs can be detected by analyzing Total Electron Content (TEC), which is calculated, indirectly, using signals from Global Navigation Satellite System (GNSS) receivers. The procedure allows for studying the ionospheric disturbance with a good spatial and temporal resolution. This study aims to identify tsunami-induced TIDs in the near- and far-fields following significant events in the Oriental and Occidental South Pacific Ocean. The selection criteria covering 14 tsunamis that occurred between 2010 and 2021 generated by earthquakes with Mw P 7:8 and depth less than 50 km. Tsunamis were modeled and compared with the TIDs obtained from TEC deviations. Near-field and far-field TIDs observed in hodochrons differ primarily in the clarity of their association with tsunamis. The simulated tidal gauges show a possible connection with the observed TEC anomalies, behaving similarly but with different delay times, showing some events even hours in advance. This potential correlation between TID parameters and tsunamis propagated in the Pacific Ocean can contribute to understanding the involved mechanisms and facilitate the development of near real-time early warning systems. (c) 2024 COSPAR. Published by Elsevier B.V. All rights are reserved, including those for text and data mining, AI training, and similar technologies.</t>
  </si>
  <si>
    <t>Benavente, Roberto/AAC-7709-2022; Gonzalez, Juan/AAU-8912-2021; Bravo, Manuel/AAD-8540-2020</t>
  </si>
  <si>
    <t>Castillo Rivera, Carlos/0009-0009-0381-5946; Gonzalez, Juan/0000-0002-7200-1024; Bravo Sepulveda, Manuel Alejandro/0000-0002-5648-429X</t>
  </si>
  <si>
    <t>10.1016/j.asr.2024.10.020</t>
  </si>
  <si>
    <t>DEC 2024</t>
  </si>
  <si>
    <t>WOS:001392513200001</t>
  </si>
  <si>
    <t>Tamborelli, A; Vaschetti, V; Viada, B; Mujica, ML; Bollo, S; Venegas-Yazigi, D; Hermosilla-Ibáñez, P; Rivas, G; Dalmasso, P</t>
  </si>
  <si>
    <t>Tamborelli, Alejandro; Vaschetti, Virginia; Viada, Benjamin; Mujica, Michael Lopez; Bollo, Soledad; Venegas-Yazigi, Diego; Hermosilla-Ibanez, Patricio; Rivas, Gustavo; Dalmasso, Pablo</t>
  </si>
  <si>
    <t>Multi-walled carbon nanotubes functionalized with a new Schiff base containing phenylboronic acid residues: application to the development of a bienzymatic glucose biosensor using a response surface methodology approach</t>
  </si>
  <si>
    <t>MICROCHIMICA ACTA</t>
  </si>
  <si>
    <t>An innovative supramolecular architecture is reported for bienzymatic glucose biosensing based on the use of a nanohybrid made of multi-walled carbon nanotubes (MWCNTs) non-covalently functionalized with a Schiff base modified with two phenylboronic acid residues (SB-dBA) as platform for the site-specific immobilization of the glycoproteins glucose oxidase (GOx) and horseradish peroxidase (HRP). The analytical signal was obtained from amperometric experiments at - 0.050 V in the presence of 5.0 x 10-4 M hydroquinone as redox mediator. The concentration of GOx and HRP and the interaction time between the enzymes and the nanohybrid MWCNT-SB-dBA deposited at glassy carbon electrodes (GCEs) were optimized through a central composite design (CCD)/response surface methodology (RSM). The optimal concentrations of GOx and HRP were 3.0 mg mL-1 and 1.50 mg mL-1, respectively, while the optimum interaction time was 3.0 min. The bienzymatic biosensor presented a sensitivity of (24 +/- 2) x 102 mu A dL mg-1 ((44 +/- 4) x 102 mu A M-1), a linear range between 0.06 mg dL-1 and 21.6 mg dL-1 (3.1 mu M-1.2 mM) (R2 = 0.9991), and detection and quantification limits of 0.02 mg dL-1 (1.0 mu M) and 0.06 mg dL-1 (3.1 mu M), respectively. The reproducibility for five sensors prepared with the same MWCNT-SB-dBA nanohybrid was 6.3%, while the reproducibility for sensors prepared with five different nanohybrids and five electrodes each was 7.9%. The GCE/MWCNT-SB-dBA/GOx-HRP was successfully used for the quantification of glucose in artificial human urine and commercial human serum samples.</t>
  </si>
  <si>
    <t>Bollo, Soledad/B-5257-2011; Rivas, Gustavo/AAB-2141-2020; Venegas-Yazigi, Diego/C-5022-2009; Hermosilla-Ibanez, Patricio/Y-7454-2018</t>
  </si>
  <si>
    <t>Venegas-Yazigi, Diego/0000-0001-7816-2841; Lopez Mujica, Michael/0000-0002-8585-3920; Viada, Benjamin/0000-0001-9377-0001; Bollo, Soledad/0000-0003-0868-4294; Hermosilla-Ibanez, Patricio/0000-0002-2272-9690</t>
  </si>
  <si>
    <t>0026-3672</t>
  </si>
  <si>
    <t>1436-5073</t>
  </si>
  <si>
    <t>10.1007/s00604-024-06608-6</t>
  </si>
  <si>
    <t>WOS:001297114700001</t>
  </si>
  <si>
    <t>Guaramato, J; Fuentes, F; Rivera, R; Oliveros, D; Mora, JR; Reiber, A; Avila, E; Otero, Y; Garcia-Garfido, JM</t>
  </si>
  <si>
    <t>Guaramato, Jeremy; Fuentes, Franmerly; Rivera, Rocio; Oliveros, Deivi; Mora, Jose R.; Reiber, Andreas; Avila, Edward; Otero, Yomaira; Garcia-Garfido, Juan M.</t>
  </si>
  <si>
    <t>Catalytic Insights of Copper(I) Complexes with phosphole Ligands in three-component reactions to produce propargylamines and 1,4-substituted 1,2,3-triazoles.</t>
  </si>
  <si>
    <t>The catalytic activity of two complexes, 2a ([CuCl{k1(P)-1a}{k2(P,N)-1a}]; 1a = 2,5-bis(2-pyridyl)-1-phenylphosphole) and 2b ([CuCl{k1(P)-1b}2]; 1b = 2,5-bis(2-thienyl)-1-phenylphosphole), was investigated in threecomponent reactions for the synthesis of propargylamines and 1,4-substituted 1,2,3-triazoles. This article introduces the first -time synthesis and characterization of complex 2a, while complex 2b has been previously reported by us. An X-ray crystallographic analysis revealed that the copper(I) complex 2a exhibits a pseudotetrahedral geometry with two phosphole ligands demonstrating k1(P)- and k2(P,N)-coordination, in contrast to complex 2b, which adopts a trigonal planar geometry. In a solution environment, 1a exhibits hemilability, leading to a dynamic equilibrium between the tetra-coordinated complex (2a) and its tri-coordinated counterpart (2a'). This behavior is substantiated by theoretical calculations, which confirm a preference for the tetracoordinated geometry. Regarding catalytic activity, 2a and 2b exhibited effective catalytic activity in A3- coupling reactions and the direct synthesis of 1,4-disubstituted 1,2,3-triazoles. However, 2b demonstrated superior catalytic performance in both reactions compared to 2a. Theoretical calculations suggest that the stronger N-Cu sigma-bond in 2a hinders the interaction of the alkyne with the copper center, whereas the trigonal planar geometry of 2b facilitates better copper-alkyne pi-interactions.</t>
  </si>
  <si>
    <t>Oliveros, Deivi/LTZ-4882-2024; Mora, José/AAD-1270-2020</t>
  </si>
  <si>
    <t>Oliveros Rosario, Deivi Alejandro/0000-0002-6573-0894</t>
  </si>
  <si>
    <t>MAR 15</t>
  </si>
  <si>
    <t>10.1016/j.jorganchem.2024.123063</t>
  </si>
  <si>
    <t>WOS:001202800700001</t>
  </si>
  <si>
    <t>Konrad, R; Vergara-Barros, P; Alcorta, J; Alcamán-Arias, ME; Levicán, G; Ridley, C; Díez, B</t>
  </si>
  <si>
    <t>Konrad, Ricardo; Vergara-Barros, Pablo; Alcorta, Jaime; Alcaman-Arias, Maria E.; Levican, Gloria; Ridley, Christina; Diez, Beatriz</t>
  </si>
  <si>
    <t>Distribution and Activity of Sulfur-Metabolizing Bacteria along the Temperature Gradient in Phototrophic Mats of the Chilean Hot Spring Porcelana</t>
  </si>
  <si>
    <t>MICROORGANISMS</t>
  </si>
  <si>
    <t>In terrestrial hot springs, some members of the microbial mat community utilize sulfur chemical species for reduction and oxidization metabolism. In this study, the diversity and activity of sulfur-metabolizing bacteria were evaluated along a temperature gradient (48-69 &amp; DEG;C) in non-acidic phototrophic mats of the Porcelana hot spring (Northern Patagonia, Chile) using complementary meta-omic methodologies and specific amplification of the aprA (APS reductase) and soxB (thiosulfohydrolase) genes. Overall, the key players in sulfur metabolism varied mostly in abundance along the temperature gradient, which is relevant for evaluating the possible implications of microorganisms associated with sulfur cycling under the current global climate change scenario. Our results strongly suggest that sulfate reduction occurs throughout the whole temperature gradient, being supported by different taxa depending on temperature. Assimilative sulfate reduction is the most relevant pathway in terms of taxonomic abundance and activity, whereas the sulfur-oxidizing system (Sox) is likely to be more diverse at low rather than at high temperatures. Members of the phylum Chloroflexota showed higher sulfur cycle-related transcriptional activity at 66 &amp; DEG;C, with a potential contribution to sulfate reduction and oxidation to thiosulfate. In contrast, at the lowest temperature (48 &amp; DEG;C), Burkholderiales and Acetobacterales (both Pseudomonadota, also known as Proteobacteria) showed a higher contribution to dissimilative sulfate reduction/oxidation as well as to thiosulfate metabolism. Cyanobacteriota and Planctomycetota were especially active in assimilatory sulfate reduction. Analysis of the aprA and soxB genes pointed to members of the order Burkholderiales (Gammaproteobacteria) as the most dominant and active along the temperature gradient for these genes. Changes in the diversity and activity of different sulfur-metabolizing bacteria in photoautotrophic microbial mats along a temperature gradient revealed their important role in hot spring environments, especially the main primary producers (Chloroflexota/Cyanobacteriota) and diazotrophs (Cyanobacteriota), showing that carbon, nitrogen, and sulfur cycles are highly linked in these extreme systems.</t>
  </si>
  <si>
    <t>Díez, Beatriz/AAG-2244-2021; Alcorta, Jaime/IVV-6724-2023; Levican, Gloria/R-5191-2019; Diez, Beatriz/P-8131-2018</t>
  </si>
  <si>
    <t>Diez, Beatriz/0000-0002-9371-8083; Ridley, Christina M/0000-0003-4632-8055; Vergara-Barros, Pablo/0000-0001-9565-2711; Levican, Gloria/0000-0002-1275-7399; Alcaman-Arias, Maria Estrella/0000-0003-2464-9480; Alcorta, Jaime/0000-0001-7662-239X</t>
  </si>
  <si>
    <t>2076-2607</t>
  </si>
  <si>
    <t>10.3390/microorganisms11071803</t>
  </si>
  <si>
    <t>WOS:001039023600001</t>
  </si>
  <si>
    <t>Hayes-Ortiz, T; Suárez-Reyes, M; Galgani, JE; Zbinden-Foncea, H; Fernández-Verdejo, R</t>
  </si>
  <si>
    <t>Hayes-Ortiz, Thomas; Suarez-Reyes, Monica; Galgani, Jose E.; Zbinden-Foncea, Hermann; Fernandez-Verdejo, Rodrigo</t>
  </si>
  <si>
    <t>Time reallocation of physical behaviours induced by endurance exercise in physically active individuals</t>
  </si>
  <si>
    <t>EUROPEAN JOURNAL OF SPORT SCIENCE</t>
  </si>
  <si>
    <t>Increasing moderate-vigorous physical activity (MVPA) through exercise requires reallocating time from other physical behaviour(s). We aimed to determine the reallocations induced by endurance exercise in physically active individuals. We also searched for behavioural compensatory responses, and explored the effect of exercise on daily energy expenditure. Fourteen participants (8 women; median age 37.8 [IQR 29.9-48.5] yr) exercised on Monday, Wednesday, and Friday mornings (cycling MVPA, 65 min/session; exercise days), and avoided exercising on Tuesday and Thursday (rest days). Time spent on sleep, sedentary behaviour, light-intensity physical activity, and MVPA was determined each day by accelerometers and logs. An energy expenditure index was computed considering minutes spent on each behaviour and fixed metabolic equivalents. We found that all participants had lower sleep and higher total (including exercise) MVPA on exercise days compared to rest days. Thus, on exercise vs. rest days, sleep was lower (490 [453-553] vs. 553 [497-599] min/day, respectively, P &lt; 0.001), and total MVPA was higher (86 [80-101] vs. 23 [15-45] min/day, respectively; P &lt; 0.001). No differences in other physical behaviours were detected. Notably, exercise not only induced reallocations (i.e. less time in other behaviours) but also behavioural compensatory responses in some participants (e.g. increased sedentary behaviour). This rearrangement of physical behaviours manifested in exercise-induced increases in energy expenditure from 96 to 232 MET x min/day. In conclusion, active individuals reallocated time from sleep to accommodate morning exercise. Yet exercise induced variable rearrangements of behaviours, with some individuals manifesting compensatory responses. Understanding individual rearrangements may help improve exercise interventions.</t>
  </si>
  <si>
    <t>Suarez-Reyes, Monica/JQV-9348-2023; Fernández-Verdejo, Rodrigo/ITV-7233-2023; Zbinden, hermann/KWT-6869-2024; Galgani, Jose/HPF-1058-2023</t>
  </si>
  <si>
    <t>Hayes-Ortiz, Thomas/0009-0006-8457-5435; Fernandez-Verdejo, Rodrigo/0000-0002-5948-2281</t>
  </si>
  <si>
    <t>1746-1391</t>
  </si>
  <si>
    <t>1536-7290</t>
  </si>
  <si>
    <t>AUG 3</t>
  </si>
  <si>
    <t>10.1080/17461391.2023.2193944</t>
  </si>
  <si>
    <t>WOS:000973205100001</t>
  </si>
  <si>
    <t>Moens, N; Poniatowski, LG; Hennicker, L; Sundqvist, JO; El Mellah, I; Kee, ND</t>
  </si>
  <si>
    <t>Moens, N.; Poniatowski, L. G.; Hennicker, L.; Sundqvist, J. O.; El Mellah, I; Kee, N. D.</t>
  </si>
  <si>
    <t>First 3D radiation-hydrodynamic simulations of Wolf-Rayet winds</t>
  </si>
  <si>
    <t>Context. Classical Wolf-Rayet (WR) stars are direct supernova progenitors undergoing vigorous mass loss. Understanding the dense and fast outflows of such WR stars is thus crucial for understanding advanced stages of stellar evolution and the dynamical feedback of massive stars on their environments, and for characterizing the distribution of black hole masses. Aims. In this paper, we develop the first time-dependent, multidimensional, radiation-hydrodynamical models of the extended optically thick atmospheres and wind outflows of hydrogen-free classical WR stars. Methods. A flux-limiting radiation hydrodynamics approach is used on a finite volume mesh to model WR outflows. The opacities are described using a combination of tabulated Rosseland mean opacities and the enhanced line opacities expected within a supersonic flow. Results. For high-luminosity models, a radiation-driven, dense, supersonic wind is launched from deep subsurface regions associated with peaks in the Rosseland mean opacity. For a model with lower luminosity, on the other hand, the Rosseland mean opacity is not sufficient to sustain a net-radial outflow in the subsurface regions. Instead, what develops in this case, is a standard line-driven wind launched from the optically thin regions above an extended, moderately inflated, and highly turbulent atmosphere. We thus find here a natural transition from optically thick outflows of classical WR stars to optically thin winds of hot, compact subdwarfs; in our simulations, this transition occurs approximately at a luminosity that is similar to 40% of the Eddington luminosity. Because of the changing character of the wind-launching mechanism, this transition is also accompanied by a large drop (on the low-luminosity end) in the average mass-loss rate. Since the subsurface opacity peaks are further associated with convective instabilities, the flows are highly structured and turbulent, consisting of coexisting regions of outflowing, stagnated, and even pockets of infalling gas. Typical velocity dispersions in our 3D models are high, 100-300 km s(-1), but the clumping factors are rather modest, f(cl) = /(2) similar to 2. We further find that, while the low-density gas in our simulations is strongly radiation-driven, the overdense structures are, after their initial launch, primarily advected outward by ram-pressure gradients. This inefficient radiative acceleration of dense clumps reflects the inverse dependence of line driving on mass density and leads to a general picture wherein high-density gas parcels move significantly slower than the mean and low-density wind material.</t>
  </si>
  <si>
    <t>Kee, N./JVZ-7158-2024; Sundqvist, Jon/CAH-3004-2022</t>
  </si>
  <si>
    <t>EL MELLAH, Ileyk/0000-0003-1075-0326; Sundqvist, Jon/0000-0003-1729-1273; Poniatowski, Luka/0000-0002-6871-6350; Moens, Nicolas/0000-0001-6601-2926; Kee, Nathaniel Dylan/0000-0001-7322-5401</t>
  </si>
  <si>
    <t>SEP 7</t>
  </si>
  <si>
    <t>A42</t>
  </si>
  <si>
    <t>10.1051/0004-6361/202243451</t>
  </si>
  <si>
    <t>WOS:000850639800002</t>
  </si>
  <si>
    <t>Carvajal, MA; Alaniz, AJ; Gutiérrez-Gómez, C; Vergara, PM; Sejian, V; Bozinovic, F</t>
  </si>
  <si>
    <t>Carvajal, Mario A.; Alaniz, Alberto J.; Gutierrez-Gomez, Constanza; Vergara, Pablo M.; Sejian, Veerasamy; Bozinovic, Francisco</t>
  </si>
  <si>
    <t>Increasing importance of heat stress for cattle farming under future global climate scenarios</t>
  </si>
  <si>
    <t>SCIENCE OF THE TOTAL ENVIRONMENT</t>
  </si>
  <si>
    <t>In the last decades, livestock species have been severely affected by heat stress because of increasing temperatures, which has threatened animal welfare and decreased production. Based on thermal comfort indices and ensemble climate projections, we analyzed the current and future global spatiotemporal patterns of the heat exposure of cattle in 10 agroclimatic zones. The results show that similar to 7% of the global cattle population is currently exposed to dangerous heat conditions. This percentage is projected to increase to similar to 48% before 2100 under a scenario of growing emissions. Tropical agroclimatic zones are expected to face an early increase in the exposure to intense heat before 2050. Heat exposure was negatively correlated with the socioeconomic variables, showing that poor and livestock-dependent tropical countries are the most affected. Our results demonstrate the near future consequences of heat stress on livestock, emphasizing the limited time available to implement effective abatement strategies. (C) 2021 Elsevier B.V. All rights reserved.</t>
  </si>
  <si>
    <t>Alaniz, Alberto/J-3104-2019; Sejian, Veerasamy/W-6115-2019; Carvajal, Mario/GYU-2659-2022; Vergara, Pablo/F-2519-2010; Gutierrez-Gomez, Constanza/T-6620-2018</t>
  </si>
  <si>
    <t>Alaniz, Alberto J./0000-0003-4878-8848; Gutierrez-Gomez, Constanza/0000-0001-5726-585X; Vergara, Pablo/0000-0002-0024-1678</t>
  </si>
  <si>
    <t>0048-9697</t>
  </si>
  <si>
    <t>1879-1026</t>
  </si>
  <si>
    <t>DEC 20</t>
  </si>
  <si>
    <t>10.1016/j.scitotenv.2021.149661</t>
  </si>
  <si>
    <t>WOS:000701899300008</t>
  </si>
  <si>
    <t>Eynard-Bontemps, H; Navas, A</t>
  </si>
  <si>
    <t>Eynard-Bontemps, Helene; Navas, Andres</t>
  </si>
  <si>
    <t>Mather invariant, distortion, and conjugates for diffeomorphisms of the interval</t>
  </si>
  <si>
    <t>We relate the Mather invariant of diffeomorphisms of the (closed) interval to their asymptotic distortion. For maps with only parabolic fixed points, we show that the former is trivial if and only if the latter vanishes. As a consequence, we obtain that such a diffeomorphism of the interval with no fixed point in the interior contains the identity in the closure of its C1+ bv conjugacy class if and only if it is the time-1 map of a C-1 vector field. A corollary of this is that diffeomorphisms that do not arise from vector fields are undistorted in the whole group of intervaldiffeomorphisms. Several related results in other regularity classes are obtained, and many open questions are addressed. (C) 2021 Elsevier Inc. All rights reserved.</t>
  </si>
  <si>
    <t>Navas Flores, Andres Ignacio/0000-0002-0853-5136</t>
  </si>
  <si>
    <t>NOV 1</t>
  </si>
  <si>
    <t>10.1016/j.jfa.2021.109149</t>
  </si>
  <si>
    <t>WOS:000686348800002</t>
  </si>
  <si>
    <t>Arros-Aravena, HA; Rojas, GF; López, VE; Bravo, CP</t>
  </si>
  <si>
    <t>Alejandro Arros-Aravena, Horacio; Farias Rojas, Gabriel; Esgueva Lopez, Victoria; Parra Bravo, Cristian</t>
  </si>
  <si>
    <t>A BIOGRAPHICAL DISCOURSE ON GABRIELA MISTRAL AS REPRESENTED BY IMAGES ABOUT HER</t>
  </si>
  <si>
    <t>PERSPECTIVAS DE LA COMUNICACION</t>
  </si>
  <si>
    <t>The objective of this article is to establish a semiotic journey of Gabriela's canonical account, which has been officially installed to corroborate the written versions of her biography; this is done without ignoring a parallel journey of rebellious images that help decentralize the first traditional life-based account from different perspectives. Likewise, it is essential to give an account of a third tour of post-mortem images of Gabriela Mistral, which, from the creative freedom of those who manipulate and publish them, can lead to other understandings about Mistral, given the fact that they are not necessarily related to Mistral's either canonical life or rebellious life. For this categorization and analysis, it was necessary to focus on Paleotti's theory (2002) of divine and profane images, and then add this third moment of a series of images shown after Mistral's death. The results, in addition to showing semiotic-biographical journeys about the poet, refer to an existing itinerary of images that has been almost overlooked, as biographical studies have been mainly focusing on written aspects to provide an account of Gabriela Mistral's biography.</t>
  </si>
  <si>
    <t>Parra Bravo, Cristian Felipe/0000-0001-5954-2734</t>
  </si>
  <si>
    <t>0718-4867</t>
  </si>
  <si>
    <t>JUL-DEC</t>
  </si>
  <si>
    <t>WOS:000732830800001</t>
  </si>
  <si>
    <t>Firoozabadi, AD; Irarrazaval, P; Adasme, P; Zabala-Blanco, D; Palacios-Játiva, P; Azurdia-Meza, C</t>
  </si>
  <si>
    <t>Dehghan Firoozabadi, Ali; Irarrazaval, Pablo; Adasme, Pablo; Zabala-Blanco, David; Palacios-Jativa, Pablo; Azurdia-Meza, Cesar</t>
  </si>
  <si>
    <t>3D Multiple Sound Source Localization by Proposed Cuboids Nested Microphone Array in Combination with Adaptive Wavelet-Based Subband GEVD</t>
  </si>
  <si>
    <t>ELECTRONICS</t>
  </si>
  <si>
    <t>Sound source localization is one of the applicable areas in speech signal processing. The main challenge appears when the aim is a simultaneous multiple sound source localization from overlapped speech signals with an unknown number of speakers. Therefore, a method able to estimate the number of speakers, along with the speaker's location, and with high accuracy is required in real-time conditions. The spatial aliasing is an undesirable effect of the use of microphone arrays, which decreases the accuracy of localization algorithms in noisy and reverberant conditions. In this article, a cuboids nested microphone array (CuNMA) is first proposed for eliminating the spatial aliasing. The CuNMA is designed to receive the speech signal of all speakers in different directions. In addition, the inter-microphone distance is adjusted for considering enough microphone pairs for each subarray, which prepares appropriate information for 3D sound source localization. Subsequently, a speech spectral estimation method is considered for evaluating the speech spectrum components. The suitable spectrum components are selected and the undesirable components are denied in the localization process. The speech information is different in frequency bands. Therefore, the adaptive wavelet transform is used for subband processing in the proposed algorithm. The generalized eigenvalue decomposition (GEVD) method is implemented in sub-bands on all nested microphone pairs, and the probability density function (PDF) is calculated for estimating the direction of arrival (DOA) in different sub-bands and continuing frames. The proper PDFs are selected by thresholding on the standard deviation (SD) of the estimated DOAs and the rest are eliminated. This process is repeated on time frames to extract the best DOAs. Finally, K-means clustering and silhouette criteria are considered for DOAs classification in order to estimate the number of clusters (speakers) and the related DOAs. All DOAs in each cluster are intersected for estimating the position of the 3D speakers. The closest point to all DOA planes is selected as a speaker position. The proposed method is compared with a hierarchical grid (HiGRID), perpendicular cross-spectra fusion (PCSF), time-frequency wise spatial spectrum clustering (TF-wise SSC), and spectral source model-deep neural network (SSM-DNN) algorithms based on the accuracy and computational complexity of real and simulated data in noisy and reverberant conditions. The results show the superiority of the proposed method in comparison with other previous works.</t>
  </si>
  <si>
    <t>Meza, Cesar/D-6948-2014; Adasme, Pablo/U-1735-2019; Dehghan Firoozabadi, Ali/AAD-4858-2019; Irarrazaval, Pablo/F-8232-2013; Palacios Játiva, Pablo/AAE-8235-2019</t>
  </si>
  <si>
    <t>Adasme, Pablo/0000-0003-2500-3294; Dehghan Firoozabadi, Ali/0000-0002-6391-6863; Azurdia, Cesar/0000-0003-3461-4484; Palacios, Pablo/0000-0002-3958-503X; Zabala-Blanco, David/0000-0002-5692-5673; Irarrazaval, Pablo/0000-0002-5186-2642</t>
  </si>
  <si>
    <t>2079-9292</t>
  </si>
  <si>
    <t>10.3390/electronics9050867</t>
  </si>
  <si>
    <t>WOS:000549854600166</t>
  </si>
  <si>
    <t>Rojas, K; Canales, D; Amigo, N; Montoille, L; Cament, A; Rivas, LM; Gil-Castell, O; Reyes, P; Ulloa, MT; Ribes-Greus, A; Zapata, PA</t>
  </si>
  <si>
    <t>Rojas, Karina; Canales, Daniel; Amigo, Nicolas; Montoille, Lissette; Cament, Alejandro; Rivas, Lina M.; Gil-Castell, O.; Reyes, Pablo; Teresa Ulloa, Maria; Ribes-Greus, A.; Zapata, Paula A.</t>
  </si>
  <si>
    <t>Effective antimicrobial materials based on low-density polyethylene (LDPE) with zinc oxide (ZnO) nanoparticles</t>
  </si>
  <si>
    <t>Effective antimicrobial polymeric nanocomposites were prepared with low density polyethylene (LDPE) and zinc oxide nanoparticles by melt compounding. These nanoparticles (similar to 17 nm) obtained by the sol-gel method, were used both as-synthesized and modified organically with oleic acid (Mod-ZnO). Young's modulus increased similar to 15 and 18% for LDPE/ZnO and LDPE/Mod-ZnO, respectively, compared to neat LDPE. When these composites were irradiated with white light, they showed an increase with nanoparticle incorporation, and the antimicrobial properties against E. coli were similar to 96-99%. The release of the Zn cations was related to the antimicrobial properties. These nanocomposites are attractive for use as food packaging without external irradiation.</t>
  </si>
  <si>
    <t>Canales Arévalo, Daniel/HSG-6748-2023; Ribes-Greus, Amparo/ABB-7643-2020; Gil-Castell, Oscar/C-5812-2015; Reyes-Contreras, Pablo/A-1997-2016; Ribes-Greus, Amparo/K-1089-2014</t>
  </si>
  <si>
    <t>Gil-Castell, Oscar/0000-0001-6293-080X; Zapata, Paula Andrea/0000-0003-3361-6226; Reyes-Contreras, Pablo/0000-0002-9263-8743; Ribes-Greus, Amparo/0000-0003-2460-8291; Canales, Daniel A./0000-0002-2691-6864</t>
  </si>
  <si>
    <t>10.1016/j.compositesb.2019.05.054</t>
  </si>
  <si>
    <t>WOS:000482513400019</t>
  </si>
  <si>
    <t>Gutiérrez, G; Davis, S; Palma, G</t>
  </si>
  <si>
    <t>Gutierrez, Gonzalo; Davis, Sergio; Palma, Guillermo</t>
  </si>
  <si>
    <t>Configurational temperature in constrained systems: the case of spin dynamics</t>
  </si>
  <si>
    <t>JOURNAL OF PHYSICS A-MATHEMATICAL AND THEORETICAL</t>
  </si>
  <si>
    <t>A general mathematical expression to estimate the temperature in computer simulations of constrained systems is obtained. Using a recently derived theorem which relates the ensemble average of thermodynamics conjugate variables we obtain a family of temperature estimators for constrained systems based solely on the configurational state. We present explicit formulas for the case of a classical spin system governed by Heisenberg type Hamiltonians. The expressions can be considered an extension of the equipartition theorem for spin variables, and are useful in practical situations to monitor the temperature in spin dynamics simulation, as well as to gain a deeper understanding of the meaning of temperature.</t>
  </si>
  <si>
    <t>Davis, Sergio/U-7227-2019; Gutierrez, Gonzalo/A-4973-2008</t>
  </si>
  <si>
    <t>Gutierrez, Gonzalo/0000-0003-0676-0089; Davis, Sergio/0000-0003-2757-332X</t>
  </si>
  <si>
    <t>1751-8113</t>
  </si>
  <si>
    <t>1751-8121</t>
  </si>
  <si>
    <t>NOV 9</t>
  </si>
  <si>
    <t>10.1088/1751-8121/aae163</t>
  </si>
  <si>
    <t>WOS:000448102500003</t>
  </si>
  <si>
    <t>Olivares-Espinoza, B; Müller, MIW; Reyes-Espejo, MI; Torres, HB; Rivas, MM</t>
  </si>
  <si>
    <t>Olivares-Espinoza, Barbara; Winkler Mueller, Maria Ines; Isabel Reyes-Espejo, Maria; Berroeta Torres, Hector; Montero Rivas, Maritza</t>
  </si>
  <si>
    <t>And if we Think about the Community with Rights?: Community Psychology, Rights and Public Policies. A Complex Relationship</t>
  </si>
  <si>
    <t>UNIVERSITAS PSYCHOLOGICA</t>
  </si>
  <si>
    <t>This article presents results from the third stage of an investigation called Ethics and Politics: Dimensions forgotten in Community Psychology?, where he reflects on the rights of communities participating in community interventions. A qualitative methodology was used and applied techniques as focus groups and interviews with users of social programs of different nature. As a result a list of rights of the community that can be summarized in was developed: right to clear and transparent information; right to participation and decision making; right to respect and recognition of the community; right to autonomy of the community; right to receive quality interventions.</t>
  </si>
  <si>
    <t>Reyes Espejo, Maria Isabel/0000-0003-0454-0584</t>
  </si>
  <si>
    <t>1657-9267</t>
  </si>
  <si>
    <t>10.11144/Javeriana.upsy17-2.pcdp</t>
  </si>
  <si>
    <t>WOS:000433023600012</t>
  </si>
  <si>
    <t>Marcos, JL; Galleguillos, D; Pelissier, T; Hernández, A; Velásquez, L; Villanueva, L; Constandil, L</t>
  </si>
  <si>
    <t>Marcos, J. L.; Galleguillos, D.; Pelissier, T.; Hernandez, A.; Velasquez, L.; Villanueva, L.; Constandil, L.</t>
  </si>
  <si>
    <t>Role of the spinal TrkB-NMDA receptor link in the BDNF-induced long-lasting mechanical hyperalgesia in the rat: A behavioural study</t>
  </si>
  <si>
    <t>EUROPEAN JOURNAL OF PAIN</t>
  </si>
  <si>
    <t>BackgroundIntrathecal/intracisternal BDNF in rodents produces long-lasting hyperalgesia/allodynia, which implies BDNF plays a role in the establishment and maintenance of central sensitization. Both self-regeneration of endogenous BDNF and neuroplastic modifications of spinal NMDA receptors downstream TrkB signalling could be involved in such enduring hyperalgesia. We investigated to what extent BDNF by itself could participate in the generation and maintenance of mechanical hyperalgesia using pharmacological tools. MethodsWe studied sensitivity of mechanical hyperalgesia induced by a single intrathecal (i.t.) injection of BDNF (3ng/10L i.t.) administered at time zero, for: (1) chronic NMDA receptor inhibition with subcutaneously implanted 7-day delivery osmotic pumps loaded with ketamine; (2) TrkB receptor inhibition with intraperitoneal (i.p.) cyclotraxine-B; and (3) chronic glial inhibition with repeated propentofylline i.t. injections. Nociceptive threshold to paw pressure, tested on days -3, 0, 3, 7, 10 and 14, was used as the index of central sensitization. Locomotor patterns and food and water consumption were assessed with LABORAS. ResultsChronic ketamine prevented the mechanical hyperalgesia induced by BDNF, without affecting locomotion and food and water consumption. After pump depletion, a late hyperalgesic response to paw pressure stimulation emerged, which can be lastingly antagonized by cyclotraxine-B. Chronic propentofylline treatment irreversibly suppressed BDNF-induced hyperalgesia. ConclusionActivation of NMDA receptors downstream to TrkB signalling is essential for behavioural expression of the mechanical hyperalgesia induced by intrathecal BDNF. However, maintenance of the hyperalgesia depends mainly from self-regenerating glial BDNF rather than from a NMDA receptor-dependent form of neuroplasticity. SignificanceIntrathecal BDNF induces long-lasting central sensitization via a glial-likely BDNF self-regenerating mechanism, whose behavioural expression depends on downstream activation of NMDA receptors. This knowledge suggests that TrkB antagonists could represent an interesting lead for the development of novel therapeutic strategies for some chronic pain conditions.</t>
  </si>
  <si>
    <t>Hernandez, Alejandro/M-4796-2019; VILLANUEVA, LUIS/AAX-2817-2020</t>
  </si>
  <si>
    <t>Constandil, Luis/0000-0002-2504-0119; Villanueva, Luis/0000-0003-3872-9211; Velasquez, Luis/0000-0002-9479-1792; Marcos Camus, Jose Luis/0000-0003-1991-610X; Hernandez, Alejandro/0000-0001-9222-6522</t>
  </si>
  <si>
    <t>1090-3801</t>
  </si>
  <si>
    <t>1532-2149</t>
  </si>
  <si>
    <t>10.1002/ejp.1075</t>
  </si>
  <si>
    <t>WOS:000412603400007</t>
  </si>
  <si>
    <t>Amirpour, M; Das, R; Flores, EIS</t>
  </si>
  <si>
    <t>Amirpour, Maedeh; Das, Raj; Saavedra Flores, Erick I.</t>
  </si>
  <si>
    <t>Bending analysis of thin functionally graded plate under in-plane stiffness variations</t>
  </si>
  <si>
    <t>The paper developed a new analytical solution for elastic deformation of thin rectangular functionally graded (FG) plates with in-plane stiffness (Young's modulus) variation, which has important applications in various thin-walled structures. Also the problem was solved numerically using the graded finite element method (FEM). The relevant governing equations of elasticity were solved assuming static analysis and power law distribution of the material stiffness. The plate deflections and stresses from the well-known through-the thickness stiffness variation solution were used to verify the graded finite element method. The analytical solutions for the displacements and stresses were derived for in-plane stiffness variations. The finite element (FE) solutions were obtained both using linear hexa-hedral solid elements and shell elements with spatially graded stiffness distribution, implemented in the ABAQUS FE software. These solutions were verified against the finite element (FE) solutions, and are in very good agreement for various stiffness gradients. The analytical solution based on CPT was compared with that provided by higher shear deformation theory (HSDT) and graded solid element FE solution. The results obtained demonstrate that the direction of material stiffness gradient and the nature of its variation have significant effects on the mechanical behavior of FG plate. Moreover, the good agreement found between the exact solution and the numerical simulation demonstrates the effectiveness of graded solid elements in the modeling of FG plate deflection under bending. The types of analytical solutions obtained can be used to obtain deflections and stresses in thin structures with specified stiffness gradients induced by manufacturing processes, such as multi-material 3D printing. (C) 2017 Elsevier Inc. All rights reserved.</t>
  </si>
  <si>
    <t>Flores, Erick/I-7646-2012</t>
  </si>
  <si>
    <t>Amirpour, Maedeh/0000-0003-0390-2846; Das, Raj/0000-0001-9977-6201</t>
  </si>
  <si>
    <t>10.1016/j.apm.2017.02.009</t>
  </si>
  <si>
    <t>WOS:000401208500032</t>
  </si>
  <si>
    <t>Ramírez-Vélez, R; Anzola, A; Martinez-Torres, J; Vivas, A; Tordecilla-Sanders, A; Prieto-Benavides, D; Izquierdo, M; Correa-Bautista, JE; Garcia-Hermoso, A</t>
  </si>
  <si>
    <t>Ramirez-Velez, Robinson; Anzola, Alejandro; Martinez-Torres, Javier; Vivas, Andres; Tordecilla-Sanders, Alejandra; Prieto-Benavides, Daniel; Izquierdo, Mikel; Enrique Correa-Bautista, Jorge; Garcia-Hermoso, Antonio</t>
  </si>
  <si>
    <t>Metabolic Syndrome and Associated Factors in a Population-Based Sample of Schoolchildren in Colombia: The FUPRECOL Study</t>
  </si>
  <si>
    <t>METABOLIC SYNDROME AND RELATED DISORDERS</t>
  </si>
  <si>
    <t>Background: In contrast to the definition of metabolic syndrome (MetS) in adults, there is no standard definition of MetS in pediatric populations. We aimed at assessing the differences in the prevalence of MetS in children and adolescents aged 9-17 years using four different operational definitions for these age groups and at examining the associated variables. Methods: A total of 675 children and 1247 adolescents attending public schools in Bogota (54.4% girls; age range 9-17.9 years) were included. The prevalence of MetS was determined by the definitions provided by the International Diabetes Federation (IDF) and three published studies by Cook et al., de Ferranti et al., and Ford et al. In addition, we further examined the associations between each definition of MetS in the total sample and individual risk factors using binary logistic regression models adjusted for gender, age, pubertal stage, weight status, and inflammation in all participants. Results: The prevalence of MetS was 0.3%, 6.3%, 7.8%, and 11.0% according to the definitions by IDF, Cook et al., Ford et al., and de Ferranti et al., respectively. The most prevalent components were low high-density lipoprotein cholesterol and high triglyceride levels, whereas the least prevalent components were higher waist circumference and hyperglycemia. Overall, the prevalence of MetS was higher in obese than in non-obese schoolchildren. Conclusions: MetS diagnoses in schoolchildren strongly depend on the definition chosen. These findings may be relevant to health promotion efforts for Colombian youth to develop prospective studies and to define which cut-offs are the best indicators of future morbidity.</t>
  </si>
  <si>
    <t>García-Hermoso, Antonio/ADU-2591-2022; Correa-Bautista, Jorge Enrique/N-2741-2015; Ramirez-Velez, Robinson/D-5311-2016; Tordecilla-Sanders, Alejandra/O-6276-2017; Izquierdo, Mikel/A-4894-2010; Garcia-Hermoso, Antonio/P-1857-2017</t>
  </si>
  <si>
    <t>Correa-Bautista, Jorge Enrique/0000-0002-0646-2316; Ramirez-Velez, Robinson/0000-0003-3075-6960; Martinez Torres, Javier/0000-0001-8991-5079; Tordecilla-Sanders, Alejandra/0000-0002-7461-8124; Izquierdo, Mikel/0000-0002-1506-4272; Vivas, Andres/0000-0001-8169-1664; Prieto Benavides, Daniel Humberto/0000-0001-5493-8182; Garcia-Hermoso, Antonio/0000-0002-1397-7182</t>
  </si>
  <si>
    <t>1540-4196</t>
  </si>
  <si>
    <t>1557-8518</t>
  </si>
  <si>
    <t>10.1089/met.2016.0058</t>
  </si>
  <si>
    <t>WOS:000387222700006</t>
  </si>
  <si>
    <t>Espinoza, M; Cárdenas, R; Díaz, M; Mora, A; Soto, D</t>
  </si>
  <si>
    <t>Espinoza, Mauricio; Cardenas, Roberto; Diaz, Matias; Mora, Andres; Soto, Diego</t>
  </si>
  <si>
    <t>Modelling and Control of the Modular Multilevel Converter in Back to Back Configuration for High Power Induction Machine Drives</t>
  </si>
  <si>
    <t>PROCEEDINGS OF THE IECON 2016 - 42ND ANNUAL CONFERENCE OF THE IEEE INDUSTRIAL ELECTRONICS SOCIETY</t>
  </si>
  <si>
    <t>42nd Annual Conference of the IEEE-Industrial-Electronics-Society (IECON)</t>
  </si>
  <si>
    <t>OCT 24-27, 2016</t>
  </si>
  <si>
    <t>Florence, ITALY</t>
  </si>
  <si>
    <t>IEEE Ind Elect Soc,Inst Elect &amp; Elect Engineers</t>
  </si>
  <si>
    <t>Drives based on modular multilevel topologies are the next generation of high-power/voltage converters. In this paper, the Modular Multilevel Converter model is extended to the Back to Back scheme, allowing its control as an unique system, instead two separated converters. Additionally, the proposed control strategy is able to regulate the ac ports and to perform the voltage balancing in both converters by using circulating currents and common mode voltage, providing independence between the converters and the ac ports. Extensive computer simulation and a laboratory prototype of a Modular Multilevel Converter with eighteen power cells feeding an induction machine validate the effectiveness of the presented control algorithm.</t>
  </si>
  <si>
    <t>Mora, Andres/I-6953-2015; Espinoza, Mauricio/AAH-8647-2019; Cardenas, Roberto/C-6395-2011; Diaz, Matias/R-7570-2018</t>
  </si>
  <si>
    <t>Cardenas, Roberto/0000-0003-3853-7703; Diaz, Matias/0000-0003-4489-9532; MORA, ANDRES/0000-0002-5606-2783</t>
  </si>
  <si>
    <t>978-1-5090-3474-1</t>
  </si>
  <si>
    <t>WOS:000399031205051</t>
  </si>
  <si>
    <t>Antonova, EE; Vorobjev, VG; Kirpichev, IP; Yagodkina, OI; Stepanova, MV</t>
  </si>
  <si>
    <t>Antonova, E. E.; Vorobjev, V. G.; Kirpichev, I. P.; Yagodkina, O. I.; Stepanova, M. V.</t>
  </si>
  <si>
    <t>Problems with mapping the auroral oval and magnetospheric substorms</t>
  </si>
  <si>
    <t>EARTH PLANETS AND SPACE</t>
  </si>
  <si>
    <t>Accurate mapping of the auroral oval into the equatorial plane is critical for the analysis of aurora and substorm dynamics. Comparison of ion pressure values measured at low altitudes by Defense Meteorological Satellite Program (DMSP) satellites during their crossings of the auroral oval, with plasma pressure values obtained at the equatorial plane from Time History of Events and Macroscale Interactions during Substorms (THEMIS) satellite measurements, indicates that the main part of the auroral oval maps into the equatorial plane at distances between 6 and 12 Earth radii. On the nightside, this region is generally considered to be a part of the plasma sheet. However, our studies suggest that this region could form part of the plasma ring surrounding the Earth. We discuss the possibility of using the results found here to explain the ring-like shape of the auroral oval, the location of the injection boundary inside the magnetosphere near the geostationary orbit, presence of quiet auroral arcs in the auroral oval despite the constantly high level of turbulence observed in the plasma sheet, and some features of the onset of substorm expansion.</t>
  </si>
  <si>
    <t>Kirpichev, Igor/HHM-2487-2022; Vorobjev, Vyacheslav/A-5957-2017; Antonova, Elizaveta/A-2716-2012; Yagodkina, Oksana/A-5689-2017; Stepanova, Marina/D-6329-2011</t>
  </si>
  <si>
    <t>Antonova, Elizaveta/0000-0001-6980-3993; Yagodkina, Oksana/0000-0002-3773-3051; Stepanova, Marina/0000-0002-1053-3375</t>
  </si>
  <si>
    <t>1880-5981</t>
  </si>
  <si>
    <t>OCT 12</t>
  </si>
  <si>
    <t>10.1186/s40623-015-0336-6</t>
  </si>
  <si>
    <t>WOS:000362631900001</t>
  </si>
  <si>
    <t>Ponce, I; Aragonès, AC; Darwish, N; Pla-Vilanova, P; Oñate, R; Rezende, MC; Zagal, JH; Sanz, F; Pavez, J; Díez-Pérez, I</t>
  </si>
  <si>
    <t>Ponce, Ingrid; Aragones, Albert C.; Darwish, Nadim; Pla-Vilanova, Pepita; Onate, Ruben; Caroli Rezende, Marcos; Zagal, Jose H.; Sanz, Fausto; Pavez, Jorge; Diez-Perez, Ismael</t>
  </si>
  <si>
    <t>Building Nanoscale Molecular Wires Exploiting Electrocatalytic Interactions</t>
  </si>
  <si>
    <t>Herein, we present a novel method to design nanoscale molecular wires by exploiting well-established electrocatalytic molecular platforms based on metallophthalocyanine blocks. Metallophthalocyanines exhibit high catalytic activity for a wide variety of electrochemical reactions of practical interests. To this aim, metallophthalocyanine molecules can be attached to an electrode surface via a conjugated mercaptopyridine axial ligand that provides (i) stable chemical binding to the metal surface through the thiol-anchoring group, and (ii) a good electrical communication between the metallophthalocyanine ring and the electrode surface. Our previous work demonstrates that long mercaptopyridinium blocks act as excellent linkers in such electrocatalytic platform, resulting in an optimal electrocatalytic activity of the metallophthalocyanine unit. Here we profit from this optimized electrocatalytic molecular platform to design new molecular wires that connect a metal nanoscale junction in a highly efficient and tunable way. To this aim, we use an STM break-junction approach to control the formation of a nanometric gap between two Au electrodes, both functionalized with mercaptopyridinium (bottom) and mercaptopyridine (top). When metallophthalocyanine is introduced into the functionalized metal nanojunction, stable molecular connections between the two electrodes are formed through axial coordination to the top and bottom pyridine moieties. We show that the highest conductance of the resulting nanoscale molecular wire corresponds to an Fe-phthalocyanine as compare to a Cu-phthalocyanine, which follows the electrocatalytic trend for such molecular systems. These results not only demonstrate a new strategy to design new families of highly conductive and tunable nanoscale molecular wires, but it also brings a new nanoscale electrical platform to help understanding some fundamental mechanistic aspects of molecular electrocatalysis. (C) 2015 Elsevier Ltd. All rights reserved.</t>
  </si>
  <si>
    <t>Pla-Vilanova, Pepita/AAA-3348-2022; Caroli, Marcos/H-3570-2019; Ponce, Ingrid/L-9679-2014; zagal, jose/L-9648-2014; PAVEZ, JORGE/K-6904-2014; Aragones, Albert C/P-8182-2018; Diez-Perez, Ismael/F-6402-2014</t>
  </si>
  <si>
    <t>Rezende, Marcos/0000-0003-2040-9009; PAVEZ, JORGE/0000-0002-5100-6707; Ponce Hormazabal, Ingrid/0000-0002-3896-9576; Aragones, Albert C/0000-0002-1829-6941; Pla Vilanova, Pepita/0000-0002-4790-3114; Diez-Perez, Ismael/0000-0003-0513-8888; Darwish, Nadim/0000-0002-6565-1723</t>
  </si>
  <si>
    <t>OCT 10</t>
  </si>
  <si>
    <t>10.1016/j.electacta.2015.03.150</t>
  </si>
  <si>
    <t>WOS:000362292200072</t>
  </si>
  <si>
    <t>Fuentes, S; Muñoz, P; Barraza, N; Chávez-Angel, E; Torres, CMS</t>
  </si>
  <si>
    <t>Fuentes, S.; Munoz, P.; Barraza, N.; Chavez-Angel, E.; Sotomayor Torres, C. M.</t>
  </si>
  <si>
    <t>Structural characterisation of slightly Fe-doped SrTiO3 grown via a sol-gel hydrothermal synthesis</t>
  </si>
  <si>
    <t>JOURNAL OF SOL-GEL SCIENCE AND TECHNOLOGY</t>
  </si>
  <si>
    <t>A detailed structural study of the incorporation of Fe into SrTiO3 nanoparticles is reported. Slightly iron-doped strontium titanate nanoparticles with 0, 1, 3 and 5 mol% concentration of iron were grown using a sol-gel hydrothermal process and characterised using Raman scattering, X-ray photoelectron and X-ray diffraction spectroscopy. The amorphisation of the nanostructures was observed as the iron content increased, which was confirmed by the TEM images. The XPS results indicated that the oxidation states of the Sr atoms were maintained in 2+. However, a mixture of Fe3+ and Fe4+ atoms was observed as the Fe content increased, resulting in a significant number of oxygen vacancies in the perovskite structure. The analysis of Raman spectra indicated that the intensity, linewidth and frequency shift of the TO4 phonon can be used as an indicator of the Fe content as well as a local temperature probe for future thermal analysis. Graphical abstract Temperature evolution of the Raman spectra of STO:Fe1 mol%. The peaks with star correspond to the second-order processes. (b) Temperature dependence of the TO4 phonon mode. Blue dots denote measured Raman spectra, and the red solid lines are the Lorentzian fits to respective spectra. [GRAPHICS] .</t>
  </si>
  <si>
    <t>Fuentes, Sandra/LLL-2264-2024; Sotomayor Torres, Clivia M/E-8418-2010; Chavez-Angel, Emigdio/A-3333-2012</t>
  </si>
  <si>
    <t>Sotomayor Torres, Clivia M/0000-0001-9986-2716; Barraza, Nancy/0009-0006-5923-3505; Chavez-Angel, Emigdio/0000-0002-9783-0806</t>
  </si>
  <si>
    <t>0928-0707</t>
  </si>
  <si>
    <t>1573-4846</t>
  </si>
  <si>
    <t>10.1007/s10971-015-3730-4</t>
  </si>
  <si>
    <t>WOS:000359360500012</t>
  </si>
  <si>
    <t>Abarca, G; Brown, K; Moya, SA; Bayón, JC; Aguirre, PA</t>
  </si>
  <si>
    <t>Abarca, Gabriel; Brown, Kareen; Moya, Sergio A.; Bayon, J. Carles; Aguirre, Pedro A.</t>
  </si>
  <si>
    <t>Methoxycarbonylation of Styrene Using a New Type of Palladium Complexes Bearing P,N-donor Ligands as Catalysts</t>
  </si>
  <si>
    <t>CATALYSIS LETTERS</t>
  </si>
  <si>
    <t>Palladium complexes of the type [Pd(L)Cl(PPh3)]Cl (L = 2-diphenylphosphinoamino)pyrimidine, or 2-diphenylphosphinoaniline), generated in situ by addition of one equivalent of PPh3 to the corresponding neutral complexes [Pd(L)Cl-2], were tested as catalysts for the methoxycarbonylation of styrene. The catalyst containing the pyrimidinyl ligand shows almost complete chemo- and regioselectivity together with a high conversion rate. However, in identical conditions, the [Pd(Ph2PNHC6H4PPh2)Cl-2] complex, where the P,N-ligand has been replaced by a related bidentate P-donor one, shows a significantly lesser performance. [GRAPHICS] .</t>
  </si>
  <si>
    <t>Abarca, Gabriel/O-3451-2019; Abarca Anjari, Gabriel/L-4006-2016</t>
  </si>
  <si>
    <t>Abarca Anjari, Gabriel/0000-0001-8477-2275</t>
  </si>
  <si>
    <t>1011-372X</t>
  </si>
  <si>
    <t>1572-879X</t>
  </si>
  <si>
    <t>10.1007/s10562-015-1502-y</t>
  </si>
  <si>
    <t>WOS:000357481900005</t>
  </si>
  <si>
    <t>Ansoleaga, E; Montaño, R; Vézina, M</t>
  </si>
  <si>
    <t>Ansoleaga, Elisa; Montano, Rosa; Vezina, Michel</t>
  </si>
  <si>
    <t>Psychosocial Risk at Work and Hazardous Alcohol Consumption Among Chile's Working Adults</t>
  </si>
  <si>
    <t>CANADIAN JOURNAL OF PUBLIC HEALTH-REVUE CANADIENNE DE SANTE PUBLIQUE</t>
  </si>
  <si>
    <t>OBJECTIVE: Karasek's demand-control model and Siegrist's effort-reward imbalance model have accumulated solid evidence regarding the associations between exposure to psychosocial risk at work (PSRW) and mental health of workers. However, there is scarce such evidence with regard to its associations with alcohol consumption. This study proposed to estimate the associations between exposure to PSRW and hazardous alcohol consumption (HAC) in Chile's working adult population. METHOD: The study was cross-sectional and a nationally representative survey was applied to 3,010 workers (65% male and 35% female, ages 20 to 65). The analysis included prevalences and logistic regression controlling for covariables. RESULTS: The adjusted analyses show that male workers exposed to low social support (OR=1.47; 95% CI: 1.14-1.89), low reward (OR=1.38; 95% CI: 1.07-1.78) and effort-reward imbalance (OR=1.34; 95% CI: 1.04-1.73) have a higher chance of presenting with HAC compared to those who are not exposed. Female workers exposed to effort-reward imbalance (OR=2.34; 95% CI: 1.10-5.58) have twice the risk of HAC compared with their reference group. CONCLUSION: This study shows evidence of the associations between HAC and exposure to a set of psychosocial risk factors from the Karasek and Siegrist models. For future research, it is recommended that HAC and PSRW factors be examined in a longitudinal study in order to control for possible confounding effects on these associations.</t>
  </si>
  <si>
    <t>Ansoleaga, Elisa/0000-0003-0182-0126</t>
  </si>
  <si>
    <t>0008-4263</t>
  </si>
  <si>
    <t>1920-7476</t>
  </si>
  <si>
    <t>E502</t>
  </si>
  <si>
    <t>E508</t>
  </si>
  <si>
    <t>10.17269/cjph.104.4045</t>
  </si>
  <si>
    <t>WOS:000336445900015</t>
  </si>
  <si>
    <t>Sierra, D; Klahn, AH; Ramirez-Tagle, R; Arratia-Perez, R; Godoy, F; Garland, MT; Fuentealba, M</t>
  </si>
  <si>
    <t>Sierra, Diego; Hugo Klahn, A.; Ramirez-Tagle, Rodrigo; Arratia-Perez, Ramiro; Godoy, Fernando; Teresa Garland, Maria; Fuentealba, Mauricio</t>
  </si>
  <si>
    <t>Heterobimetallic Re=Pd complexes bridged by η1:η5-Ph2PC5H4 ligand. Synthesis, electronic and crystal structure of (CO)2(PR3)(η5-C5H4(PPh2)Re-P)over bardCl2, R = Me and OMe</t>
  </si>
  <si>
    <t>DALTON TRANSACTIONS</t>
  </si>
  <si>
    <t>The new rhenium complexes (eta(5)-C5H4PPh2) Re(CO)(2)(PR3) (R = Me (1) andOMe (2)) were prepared photochemically from (eta(5)-C5H4PPh2)Re(CO)(3) in the presence of PMe3 or P(OMe)(3). Further reaction of these ligands with PdCl2(NCPh)(2) in chloroform, produces the heterobimetallic complexes (CO)(2)(PMe3)(eta(5)-C5H4 &lt;(PPh2)Re P)over bar&gt;dCl(2) (3) and (CO)(2)(P(OMe)(3))(eta(5)-C5H4 &lt;(PPh2)Re P)over bar&gt;dCl(2) (4). IR spectroscopy reveals that both complexes possess a Re-Pd interaction which was confirmed by X-ray crystallography (Re-Pd bond distance = 2.762 angstrom in 3 and 2.774 angstrom in 4). Relativistic functional density theory calculations have also been carried out in order to probe the bonding in these compounds.</t>
  </si>
  <si>
    <t>Ramirez, Rodrigo/L-3519-2017; Arratia-Perez, Ramiro/AAG-2648-2019; Fuentealba, Mauricio/F-3406-2011</t>
  </si>
  <si>
    <t>Fuentealba, Mauricio/0000-0002-2152-2102; Klahn, Hugo/0000-0003-3979-2693</t>
  </si>
  <si>
    <t>1477-9226</t>
  </si>
  <si>
    <t>10.1039/b927265h</t>
  </si>
  <si>
    <t>WOS:000279388500020</t>
  </si>
  <si>
    <t>Allende, S; Altbir, D; Nielsch, K</t>
  </si>
  <si>
    <t>Allende, S.; Altbir, D.; Nielsch, K.</t>
  </si>
  <si>
    <t>Magnetic cylindrical nanowires with single modulated diameter</t>
  </si>
  <si>
    <t>Nucleation and propagation of a domain wall along a modulated wire as a function of its geometry has been investigated. In all the cases, nucleation began at the thicker section and propagated toward the thinner section, regardless of the reversal mode. At the interface, the wall was pinned and a higher nucleation field was required to continue the propagation of the wall. This behavior led to the existence of two nucleation fields along each branch of the hysteresis curve.</t>
  </si>
  <si>
    <t>Nielsch, Kornelius/S-3196-2016; Altbir, Dora/R-6781-2018</t>
  </si>
  <si>
    <t>Altbir, Dora/0000-0002-2945-4909; Nielsch, Kornelius/0000-0003-2271-7726</t>
  </si>
  <si>
    <t>1098-0121</t>
  </si>
  <si>
    <t>10.1103/PhysRevB.80.174402</t>
  </si>
  <si>
    <t>WOS:000272310400046</t>
  </si>
  <si>
    <t>Araya, MA; Tantateán, JC; Pérez, JM; Fuentes, DE; Calderón, LL; Saavedra, CP; Burra, R; Chasteen, TG; Vásquez, CC</t>
  </si>
  <si>
    <t>Araya, Manuel A.; Tantatean, Juan C.; Perez, Jose M.; Fuentes, Derie E.; Calderon, Ivan L.; Saavedra, Claudia P.; Burra, Radhika; Chasteen, Thomas G.; Vasquez, Claudio C.</t>
  </si>
  <si>
    <t>Cloning, purification and characterization of Geobacillus stearothermophilus V uroporphyrinogen-III C-methyltransferase: evaluation of its role in resistance to potassium tellurite in Escherichia coli</t>
  </si>
  <si>
    <t>RESEARCH IN MICROBIOLOGY</t>
  </si>
  <si>
    <t>The Geobacillus stearothermophilus V cobA gene encoding uroporphyrinogen-III C-methyltransferase (also referred to as SUMT) was cloned into Escherichia coli and the recombinant enzyme was overexpressed and purified to homogeneity. The enzyme binds S-adenosyl-L-methionine and catalyzes the production of III methyl uroporphyrinogen in vitro. E. coli cells expressing the G. stearothermophilus V cobA gene exhibited increased resistance to potassium tellurite and potassium tellurate. Site-directed mutagenesis of cobA abolished tellurite resistance of the mesophilic, heterologous host and SUMT activity in vitro. No methylated, volatile derivatives of tellurium were found in the headspace of tellurite-exposed cobA-expressing E. coli, suggesting that the role of SUMT methyltransferase in tellurite(ate) detoxification is not related to tellurium volatilization. (C) 2008 Elsevier Masson SAS. All rights reserved.</t>
  </si>
  <si>
    <t>CALDERON, IVAN/JDD-2701-2023; Chasteen, Thomas/B-6601-2009; Fuentes, Derie/GLS-8773-2022; Perez-Donoso, Jose/G-3668-2013</t>
  </si>
  <si>
    <t>Perez-Donoso, Jose/0000-0002-9506-1716; TANTALEAN, JUAN/0000-0002-9541-7102; Fuentes, Derie/0000-0002-8189-8515</t>
  </si>
  <si>
    <t>0923-2508</t>
  </si>
  <si>
    <t>1769-7123</t>
  </si>
  <si>
    <t>10.1016/j.resmic.2008.12.004</t>
  </si>
  <si>
    <t>WOS:000264611200005</t>
  </si>
  <si>
    <t>Günther, B; Morgado, E; Cociña, M</t>
  </si>
  <si>
    <t>Two alternative models concerning the perialveolar microcirculation in mammalian lungs</t>
  </si>
  <si>
    <t>BIOLOGICAL RESEARCH</t>
  </si>
  <si>
    <t>Despite the fact that the concept of sheet-flow in the pulmonary microcirculation of mammals was introduced more than three decades ago, the capillary circulatory model still prevails in the physiological literature. Since cardiac Output is identical in the systemic and in pulmonary circulations, it is noteworthy that in the former. the resulting arterial pressure is five times higher than that of the latter, which means that the corresponding microcirculations must be radically different. The present study addresses this problem from both morphological and physiological perspectives.</t>
  </si>
  <si>
    <t>0716-9760</t>
  </si>
  <si>
    <t>0717-6287</t>
  </si>
  <si>
    <t>WOS:000229899100007</t>
  </si>
  <si>
    <t>Patel, V; Araya, R; de Lima, M; Ludermir, A; Todd, C</t>
  </si>
  <si>
    <t>Women, poverty and common mental disorders in four restructuring societies</t>
  </si>
  <si>
    <t>SOCIAL SCIENCE &amp; MEDICINE</t>
  </si>
  <si>
    <t>Background: Poverty and female gender have been found to be associated with depression and anxiety in developed countries. The rationale behind this paper was to bring together five epidemiological data sets from four low to middle income countries to examine whether key economic and development indicators such as income and poor education, and female gender, were associated with common mental disorders. Method: The paper is based on five datasets: three based on primary care attenders in Goa, India; Harare, Zimbabwe and Santiago, Chile; and two based on community samples in Pelotas, Brazil and Olinda, Brazil. All five studies estimated prevalence of common mental disorders along with variables to measure economic deprivation and education. Findings: In all five studies, female gender, low education and poverty were strongly associated with common mental disorders. When income was divided into tertiles, with the lowest tertile as a reference value, there was a significant trend for reduced morbidity for the lower two tertiles. Discussion: These findings have considerable implications since the rapid economic changes in all four societies have been associated with rising income disparity and economic inequality. Examples of population based prevention strategies based on increasing the proportion of those who complete schooling and on high-risk strategies such as providing loan facilities to the impoverished are potential outcomes of these findings. Development agencies who focus on women as a priority group have failed to recognize their unique vulnerability to common mental disorders and need to reorient their priorities accordingly. (C) 1999 Published by Elsevier Science Ltd. All rights reserved.</t>
  </si>
  <si>
    <t>Araya, Ricardo/S-3144-2019; Ludermir, Ana/A-9026-2009</t>
  </si>
  <si>
    <t>Araya, Ricardo/0000-0002-0420-5148</t>
  </si>
  <si>
    <t>0277-9536</t>
  </si>
  <si>
    <t>10.1016/S0277-9536(99)00208-7</t>
  </si>
  <si>
    <t>WOS:000082689500002</t>
  </si>
  <si>
    <t>Carreño, A; Morales-Guevara, R; Cepeda-Plaza, M; Páez-Hernández, D; Preite, M; Polanco, R; Barrera, B; Fuentes, I; Marchant, P; Fuentes, JA</t>
  </si>
  <si>
    <t>Carreno, Alexander; Morales-Guevara, Rosaly; Cepeda-Plaza, Marjorie; Paez-Hernandez, Dayan; Preite, Marcelo; Polanco, Ruben; Barrera, Boris; Fuentes, Ignacio; Marchant, Pedro; Fuentes, Juan A.</t>
  </si>
  <si>
    <t>Synthesis, Physicochemical Characterization, and Antimicrobial Evaluation of Halogen-Substituted Non-Metal Pyridine Schiff Bases</t>
  </si>
  <si>
    <t>MOLECULES</t>
  </si>
  <si>
    <t>Four synthetic Schiff bases (PSB1 [(E)-2-(((4-aminopyridin-3-yl)imino)methyl)-4,6-dibromophenol], PSB2 [(E)-2-(((4-aminopyridin-3-yl)imino)methyl)-4,6-diiodophenol], PSB3 [(E)-2-(((4-aminopyridin-3-yl)imino)methyl)-4-iodophenol], and PSB4 [(E)-2-(((4-aminopyridin-3-yl)imino)methyl)-4-chloro-6-iodophenol]) were fully characterized. These compounds exhibit an intramolecular hydrogen bond between the hydroxyl group of the phenolic ring and the nitrogen of the azomethine group, contributing to their stability. Their antimicrobial activity was evaluated against various Gram-negative and Gram-positive bacteria, and it was found that the synthetic pyridine Schiff bases, as well as their precursors, showed no discernible antimicrobial effect on Gram-negative bacteria, including Salmonella Typhi (and mutant derivatives), Salmonella Typhimurium, Escherichia coli, and Morganella morganii. In contrast, a more pronounced biocidal effect against Gram-positive bacteria was found, including Bacillus subtilis, Streptococcus agalactiae, Streptococcus pyogenes, Enterococcus faecalis, Staphylococcus aureus, and Staphylococcus haemolyticus. Among the tested compounds, PSB1 and PSB2 were identified as the most effective against Gram-positive bacteria, with PSB2 showing the most potent biocidal effects. Although the presence of reactive oxygen species (ROS) was noted after treatment with PSB2, the primary mode of action for PSB2 does not appear to involve ROS generation. This conclusion is supported by the observation that antioxidant treatment with vitamin C only partially mitigated bacterial inhibition, indicating an alternative biocidal mechanism.</t>
  </si>
  <si>
    <t>Carreno, Alexander/I-6374-2019; Cepeda Plaza, Marjorie/KDN-5729-2024; Páez-Hernández, Dayán/AAJ-3317-2020; Preite, Marcelo/P-6281-2019; Fuentes, Ignacio/JPW-9447-2023; Morales-Guevara, Rosaly/LJL-1907-2024</t>
  </si>
  <si>
    <t>Fuentes, Juan A./0000-0002-9374-0707; Morales-Guevara, Rosaly/0000-0002-1147-619X</t>
  </si>
  <si>
    <t>1420-3049</t>
  </si>
  <si>
    <t>10.3390/molecules29194726</t>
  </si>
  <si>
    <t>WOS:001332628500001</t>
  </si>
  <si>
    <t>Arias-Esquivel, Y; Cárdenas, R; Urrutia, M; Diaz, M; Tarisciotti, L; Clare, JC</t>
  </si>
  <si>
    <t>Arias-Esquivel, Yeiner; Cardenas, Roberto; Urrutia, Matias; Diaz, Matias; Tarisciotti, Luca; Clare, Jon C.</t>
  </si>
  <si>
    <t>Continuous Control Set Model Predictive Control of a Modular Multilevel Converter for Drive Applications</t>
  </si>
  <si>
    <t>IEEE TRANSACTIONS ON INDUSTRIAL ELECTRONICS</t>
  </si>
  <si>
    <t>The modular multilevel converter is a good alternative for high-power, medium-voltage drive applications due to its modularity and scalability. However, the control is complex and typically involves several highly coupled circulating current feedback loops implemented using single-input single-output design tools. In addition, each circulating current has many different frequency components and electrical sequences to increase the degrees of freedom in the controller. In this work, the use of continuous control set model predictive control is proposed in order to include cross-coupling and interactions between the state variables and to consider the system constraints, such as maximum current and maximum output voltage. The controller is intended for drive applications and is designed to operate with good dynamic performance over the entire speed range of the machine. The control methodology proposed is experimentally validated using an 18-cell MMC prototype driving a cage machine. Additional experimental tests are performed using PLECS-RT HIL platforms.</t>
  </si>
  <si>
    <t>Arias-Esquivel, Yeiner/IVU-6694-2023; Unab, Energy Transformation Center/IQV-7083-2023; Cardenas, Roberto/C-6395-2011; Diaz, Matias/R-7570-2018; Clare, Jon/M-2032-2018</t>
  </si>
  <si>
    <t>Arias-Esquivel, Yeiner/0000-0002-5340-3933; Cardenas, Roberto/0000-0003-3853-7703; Urrutia, Matias/0000-0001-5208-8620; Tarisciotti, Luca/0000-0002-0860-5261; Diaz, Matias/0000-0003-4489-9532; Clare, Jon/0000-0001-8243-4280</t>
  </si>
  <si>
    <t>0278-0046</t>
  </si>
  <si>
    <t>1557-9948</t>
  </si>
  <si>
    <t>10.1109/TIE.2022.3210515</t>
  </si>
  <si>
    <t>WOS:000975959600011</t>
  </si>
  <si>
    <t>Ispolatov, Y; Doebeli, C; Doebeli, M</t>
  </si>
  <si>
    <t>Ispolatov, Yaroslav; Doebeli, Carlos; Doebeli, Michael</t>
  </si>
  <si>
    <t>On the evolutionary emergence of predation</t>
  </si>
  <si>
    <t>JOURNAL OF THEORETICAL BIOLOGY</t>
  </si>
  <si>
    <t>In models for the evolution of predation from initially purely competitive species interactions, the propensity of predation is most often assumed to be a direct consequence of the relative morphological and physiological traits of interacting species. Here we explore a model in which predation ability is an independently evolving phenotypic feature, so that even when the relative morphological or physiological traits allow for predation, predation only occurs if the predation ability of individuals has independently evolved to high enough values. In addition to delineating the conditions for the evolutionary emergence of predation, the model reproduces stationary and non-stationary multilevel food webs with the top predators not necessarily having size superiority.</t>
  </si>
  <si>
    <t>Doebeli, Carlos/0000-0001-9502-2824; Ispolatov, Iaroslav/0000-0002-0201-3396</t>
  </si>
  <si>
    <t>0022-5193</t>
  </si>
  <si>
    <t>1095-8541</t>
  </si>
  <si>
    <t>10.1016/j.jtbi.2023.111578</t>
  </si>
  <si>
    <t>WOS:001046992400001</t>
  </si>
  <si>
    <t>Fu, C; Xu, XX; Xie, YK; Liu, YF; Liu, M; Chen, A; Blamey, JM; Shi, JP; Zhao, SW; Sun, JS</t>
  </si>
  <si>
    <t>Fu, Cong; Xu, Xuexia; Xie, Yukang; Liu, Yufei; Liu, Min; Chen, Ai; Blamey, Jenny M.; Shi, Jiping; Zhao, Suwen; Sun, Junsong</t>
  </si>
  <si>
    <t>Rational design of GDP-d-mannose mannosyl hydrolase for microbial l-fucose production</t>
  </si>
  <si>
    <t>MICROBIAL CELL FACTORIES</t>
  </si>
  <si>
    <t>Backgroundl-Fucose is a rare sugar that has beneficial biological activities, and its industrial production is mainly achieved with brown algae through acidic/enzymatic fucoidan hydrolysis and a cumbersome purification process. Fucoidan is synthesized through the condensation of a key substance, guanosine 5 '-diphosphate (GDP)-l-fucose. Therefore, a more direct approach for biomanufacturing l-fucose could be the enzymatic degradation of GDP-l-fucose. However, no native enzyme is known to efficiently catalyze this reaction. Therefore, it would be a feasible solution to engineering an enzyme with similar function to hydrolyze GDP-l-fucose.ResultsHerein, we constructed a de novo l-fucose synthetic route in Bacillus subtilis by introducing heterologous GDP-l-fucose synthesis pathway and engineering GDP-mannose mannosyl hydrolase (WcaH). WcaH displays a high binding affinity but low catalytic activity for GDP-l-fucose, therefore, a substrate simulation-based structural analysis of the catalytic center was employed for the rational design and mutagenesis of selected positions on WcaH to enhance its GDP-l-fucose-splitting efficiency. Enzyme mutants were evaluated in vivo by inserting them into an artificial metabolic pathway that enabled B. subtilis to yield l-fucose. WcaH(R36Y/N38R) was found to produce 1.6 g/L l-fucose during shake-flask growth, which was 67.3% higher than that achieved by wild-type WcaH. The accumulated l-fucose concentration in a 5 L bioreactor reached 6.4 g/L.ConclusionsIn this study, we established a novel microbial engineering platform for the fermentation production of l-fucose. Additionally, we found an efficient GDP-mannose mannosyl hydrolase mutant for L-fucose biosynthesis that directly hydrolyzes GDP-l-fucose. The engineered strain system established in this study is expected to provide new solutions for l-fucose or its high value-added derivatives production.</t>
  </si>
  <si>
    <t>Liu, Yufei/IQU-1016-2023; Blamey, Jenny/M-2637-2014; Min, Liu/JDD-0613-2023; Xu, Xuexia/HOF-5473-2023; Ouyang, Weizhi/AAB-9307-2022</t>
  </si>
  <si>
    <t>1475-2859</t>
  </si>
  <si>
    <t>MAR 24</t>
  </si>
  <si>
    <t>10.1186/s12934-023-02060-y</t>
  </si>
  <si>
    <t>WOS:000959546900001</t>
  </si>
  <si>
    <t>Granados-Tavera, K; Zambrano-Angulo, M; Montenegro-Pohlhammer, N; Atmaca, GY; Sobotta, L; Güzel, E; Cárdenas-Jirón, G; Erdogmus, A; Gürek, A</t>
  </si>
  <si>
    <t>Granados-Tavera, Kevin; Zambrano-Angulo, Michael; Montenegro-Pohlhammer, Nicolas; Atmaca, Goknur Yasa; Sobotta, Lukasz; Guzel, Emre; Cardenas-Jiron, Gloria; Erdogmus, Ali; Gurek, AyseGul</t>
  </si>
  <si>
    <t>Synergistic effect of ultrasound and light to efficient singlet oxygen formation for photodynamic purposes</t>
  </si>
  <si>
    <t>DYES AND PIGMENTS</t>
  </si>
  <si>
    <t>As cancer is one of the leading causes of death globally, it is highly desirable to explore the therapeutic potential of new sensitizers in photodynamic therapy (PDT). In recent years, PDT applications performed with the help of ultrasound have attracted attention. Also, the importance of phthalocyanines, which are used as sensitizers in photodynamic and/or sonodynamic therapy (SDT), is increasing. The most important properties of phthalocy-anines for therapeutic applications are their ability to generate reactive oxygen species (ROS) at the appropriate wavelength. To improve ROS production by phthalocyanines applying ultrasounds seems to be the reasonable pathway of development for this treatment method. In this context, to evaluate potentials for sonophotodynamic therapy (SPDT), the syntheses of highly soluble non-peripherally substituted metal-free (2), gallium (3), and indium (4) phthalocyanines were completed by substituting 3-methoxybenzyloxy groups. All prepared com-pounds were elucidated using many different spectroscopic approaches encompassing Fourier transform infrared (FT-IR), ultraviolet-visible (UV-Vis), 1H NMR, and matrix-assisted laser deionization/ionization time-of-flight mass spectroscopy (MALDI-TOF MS) techniques. Additionally, photophysical, photochemical, and sono-photochemical evaluations of the novel phthalocyanines are presented. The combination of ultrasound and light had an enhancing effect on singlet oxygen production in all phthalocyanine derivatives (2-4). Singlet oxygen quantum yields increased between 50% and 80% for metal-free, gallium, and indium phthalocyanines. Density Functional Theory (DFT) and time-dependent (TD-DFT) were used for the description of optical and electronic properties of metal-free, gallium, and indium phthalocyanines. The Spin Orbital Coupling Constant (SOCC) for these molecules was also calculated through the quasi-degenerate perturbation theory method. Considering the singlet and triplet states of lower energy, we have calculated the most probable intersystem spin crossing (ISC) pathways. Our results suggest that all the phthalocyanines have potential application in PDT, however, indium phthalocyanine has greater applicability in PDT.</t>
  </si>
  <si>
    <t>Atmaca, Goknur/KOD-0922-2024; Sobotta, Lukasz/B-2505-2013; Erdoğmuş, Ali/V-7213-2019; Montenegro-Pohlhammer, Nicolas/HJZ-2914-2023; Gurek, Ayse/AAG-5919-2019; Cardenas-Jiron, Gloria/H-9508-2012; Guzel, Emre/H-2692-2018</t>
  </si>
  <si>
    <t>Granados-Tavera, Kevin/0000-0002-7585-4022; YASA ATMACA, GOKNUR/0000-0002-5264-7100; Cardenas-Jiron, Gloria/0000-0003-4305-8088; Guzel, Emre/0000-0002-1142-3936; Montenegro-Pohlhammer, Nicolas/0000-0003-3574-2955</t>
  </si>
  <si>
    <t>0143-7208</t>
  </si>
  <si>
    <t>1873-3743</t>
  </si>
  <si>
    <t>10.1016/j.dyepig.2022.110986</t>
  </si>
  <si>
    <t>DEC 2022</t>
  </si>
  <si>
    <t>WOS:000916948200006</t>
  </si>
  <si>
    <t>Soto, A; Guillén-Grima, F; Morales, G; Muñoz, S; Aguinaga-Ontoso, I; Vanegas, J</t>
  </si>
  <si>
    <t>Soto, Alvaro; Guillen-Grima, Francisco; Morales, Gladys; Munoz, Sergio; Aguinaga-Ontoso, Ines; Vanegas, Jairo</t>
  </si>
  <si>
    <t>Trends in Mortality from Stroke in Latin America and the Caribbean, 1979-2015</t>
  </si>
  <si>
    <t>GLOBAL HEART</t>
  </si>
  <si>
    <t>Background: Stroke is the second largest single cause of death and disability in Latin America and the Caribbean (LAC). There have been large overall declines in stroke mortality rates in most LAC countries in recent decades. Objective: To analyze trends in mortality caused by stroke in LAC countries in the period 1979-2015. Methods: We extracted data for age-standardized stroke mortality rates per 100,000 in LAC for the period 1979-2015 from the World Health Organization Mortality Database. Joinpoint regression was used to analyze the trends and compute the annual percent change (APC) in LAC as a whole and by country. Analyses were conducted by gender, region and World Bank income classification. Results: Mortality from stroke has decreased in LAC over the study period by an average APC of -1.9%. Most countries showed significant downward trends, with the sharpest decreases in Chile, Colombia and Uruguay. We recorded statistically significant decreases of -1.4% and -2.4% in mortality rates in men and women, respectively, in the whole LAC. Southern and high-income countries showed the steepest decreases. Conclusions: Stroke mortality has decreased in LAC, in both sexes, especially in southern and high-income countries. Our results could serve as a reference for the development of primary prevention and acute management of stroke policies focused on countries with higher mortality.</t>
  </si>
  <si>
    <t>Vanegas, Jairo/AAK-4264-2020; Aguinaga-Ontoso, Ines/AAW-6947-2021; Soto, Alvaro/P-9392-2019; Morales, Gladys/MBI-0581-2025; Guillen-Grima, FRANCISCO/H-3359-2012</t>
  </si>
  <si>
    <t>Guillen-Grima, FRANCISCO/0000-0001-9749-8076; Munoz, Sergio/0000-0001-8383-6599; Morales, Gladys/0000-0001-7194-8833; Vanegas Lopez, Jairo Javier/0000-0001-5281-483X</t>
  </si>
  <si>
    <t>2211-8160</t>
  </si>
  <si>
    <t>2211-8179</t>
  </si>
  <si>
    <t>10.5334/gh.1114</t>
  </si>
  <si>
    <t>WOS:000788940000001</t>
  </si>
  <si>
    <t>Valdebenito, G; Parra-Melipán, S; López, V; Aranda, B; García, E; Vega, A; Negrete-Vergara, C; Moya, SA; Aguirre, P</t>
  </si>
  <si>
    <t>Valdebenito, Gonzalo; Parra-Melipan, Sebastian; Lopez, Vicente; Aranda, Braulio; Garcia, Eryck; Vega, Andres; Negrete-Vergara, Camila; Moya, Sergio A.; Aguirre, Pedro</t>
  </si>
  <si>
    <t>Selective hydrogenation of furfural to furfuryl alcohol catalysed by ruthenium complexes containing phosphorus-nitrogen ligands</t>
  </si>
  <si>
    <t>Two ruthenium (II) complexes containing heterobidentated phosphorous-nitrogen ligands were studied as homogeneous catalysts in the hydrogenation of furfural, a key step in the transformation of biomass to biofuels or renewable chemicals. The catalysts exhibited high percentages of conversion towards the formation of furfuryl alcohol. The studied ruthenium (II) complexes are able to maintain their catalytic activities in substrate/catalyst ratios ranging from 1000/1 to 6000/1. The reaction is sensitive to hydrogen pressure and the substrate concentration. The maximum conversion is achieved at a pressure of 40 bar and a substrate/catalyst ratio of 3000/1 (TOF 3000 h(-1)). In situ H-1-NMR (proton nuclear magnetic resonance) analysis suggests that the presence of a phosphorous-nitrogen ligand improves the catalytic activity of the complex by stabilizing the intermediate ruthenium-dihydride, which is considered the active species in the hydrogenation reactions.</t>
  </si>
  <si>
    <t>Negrete, Camila/GQZ-2620-2022; Vega, Andres/B-2122-2010</t>
  </si>
  <si>
    <t>Valdebenito, Gonzalo/0000-0003-2931-9288; Garcia Labarca, Eryck/0000-0002-8564-4352; Vega, Andres/0000-0001-6501-4161; Aranda, Braulio/0000-0001-6260-3374; Lopez, Vicente/0000-0002-8149-553X; Negrete Vergara, Camila/0000-0003-1488-9106; Parra-Melipan, Sebastian/0000-0003-2026-3935</t>
  </si>
  <si>
    <t>e6382</t>
  </si>
  <si>
    <t>10.1002/aoc.6382</t>
  </si>
  <si>
    <t>WOS:000673851700001</t>
  </si>
  <si>
    <t>Silva-Rodríguez, EA; Gálvez, N; Swan, GJF; Cusack, JJ; Moreira-Arce, D</t>
  </si>
  <si>
    <t>Silva-Rodriguez, Eduardo A.; Galvez, Nicolas; Swan, George J. F.; Cusack, Jeremy J.; Moreira-Arce, Dario</t>
  </si>
  <si>
    <t>Urban wildlife in times of COVID-19: What can we infer from novel carnivore records in urban areas?</t>
  </si>
  <si>
    <t>The onset of the COVID-19 pandemic brought an unusual decrease in human activity associated with partial and total lockdowns. Simultaneously, a series of wildlife sightings-mainly in urban areas-have been brought to public attention and often attributed to lockdown measures. Here we report on a series of wild carnivore records, including threatened species, obtained through camera traps set in urban forests, campuses, suburbs, and peri-urban areas of two cities in Chile, during partial lockdown measures. Our records are novel for Chile, a country where urban carnivore ecology is mostly unknown, and include the detection of four native carnivores, including the vulnerable guina (Leopardus guigna) and the endangered southern river otter (Lontra provocax). These records also constitute a valuable baseline collected during partial lockdown measures in two cities of the Global South. We emphasize, however, that these findings cannot be used to argue for or against an effect of lockdown measures on wildlife. More generally, we call for caution in the interpretation of seemingly novel carnivore records during periods of lockdown and stress the value of international collaboration in evaluating the effects of the Anthropause on wildlife. (C) 2020 Elsevier B.V. All rights reserved.</t>
  </si>
  <si>
    <t>Moreira-Arce, Dario/ABG-2898-2021; Swan, George/AAO-9724-2020; Silva-Rodriguez, Eduardo A./B-1854-2010</t>
  </si>
  <si>
    <t>Silva-Rodriguez, Eduardo A./0000-0001-9416-8653; Galvez, Nicolas/0000-0002-5129-0090; Moreira Arce, Dario/0000-0002-1188-496X</t>
  </si>
  <si>
    <t>10.1016/j.scitotenv.2020.142713</t>
  </si>
  <si>
    <t>WOS:000616232300140</t>
  </si>
  <si>
    <t>Diaz, M; Dobson, RC; Ibaceta, E; Mora, A; Urrutia, M; Espinoza, M; Rojas, F; Wheeler, P</t>
  </si>
  <si>
    <t>Diaz, Matias; Cardenas Dobson, Roberto; Ibaceta, Efrain; Mora, Andres; Urrutia, Matias; Espinoza, Mauricio; Rojas, Felix; Wheeler, Patrick</t>
  </si>
  <si>
    <t>An Overview of Applications of the Modular Multilevel Matrix Converter</t>
  </si>
  <si>
    <t>ENERGIES</t>
  </si>
  <si>
    <t>The modular multilevel matrix converter is a relatively new power converter topology suitable for high-power alternating current (AC)-to-AC applications. Several publications in the literature have highlighted the converter capabilities, such as full modularity, fault-redundancy, control flexibility and input/output power quality. However, the topology and control of this converter are relatively complex to realise, considering that the converter has a large number of power-cells and floating capacitors. To the best of the authors' knowledge, there are no review papers where the applications of the modular multilevel matrix converter are discussed. Hence, this paper aims to provide a comprehensive review of the state-of-the-art of the modular multilevel matrix converter, focusing on implementation issues and applications. Guidelines to dimensioning the key components of this converter are described and compared to other modular multilevel topologies, highlighting the versatility and controllability of the converter in high-power applications. Additionally, the most popular applications for the modular multilevel matrix converter, such as wind turbines, grid connection and motor drives, are discussed based on analyses of simulation and experimental results. Finally, future trends and new opportunities for the use of the modular multilevel matrix converter in high-power AC-to-AC applications are identified.</t>
  </si>
  <si>
    <t>Rojas, Felix/U-3305-2019; Espinoza, Mauricio/AAH-8647-2019; Mora, Andres/I-6953-2015; Cardenas, Roberto/C-6395-2011; Diaz, Matias/R-7570-2018</t>
  </si>
  <si>
    <t>Cardenas, Roberto/0000-0003-3853-7703; MORA, ANDRES/0000-0002-5606-2783; Diaz, Matias/0000-0003-4489-9532; Rojas, Felix/0000-0001-6145-2826; Wheeler, Patrick/0000-0003-0307-581X</t>
  </si>
  <si>
    <t>1996-1073</t>
  </si>
  <si>
    <t>10.3390/en13215546</t>
  </si>
  <si>
    <t>WOS:000589034600001</t>
  </si>
  <si>
    <t>Bravo, M; Martínez-Ledesma, M; Foppiano, A; Urra, B; Ovalle, E; Villalobos, C; Souza, J; Carrasco, E; Muñoz, PR; Tamblay, L; Vega-Jorquera, P; Marín, J; Pacheco, R; Rojo, E; Leiva, R; Stepanova, M</t>
  </si>
  <si>
    <t>Bravo, M.; Martinez-Ledesma, M.; Foppiano, A.; Urra, B.; Ovalle, E.; Villalobos, C.; Souza, J.; Carrasco, E.; Munoz, P. R.; Tamblay, L.; Vega-Jorquera, P.; Marin, J.; Pacheco, R.; Rojo, E.; Leiva, R.; Stepanova, M.</t>
  </si>
  <si>
    <t>First Report of an Eclipse From Chilean Ionosonde Observations: Comparison With Total Electron Content Estimations and the Modeled Maximum Electron Concentration and Its Height</t>
  </si>
  <si>
    <t>JOURNAL OF GEOPHYSICAL RESEARCH-SPACE PHYSICS</t>
  </si>
  <si>
    <t>The ionospheric responses to the total solar eclipse on 2 July 2019 over low latitudes in southern South America are presented. Ionosonde observations were used within the totality path at La Serena (LS: 29.9 degrees S, 71.3 degrees W) and at Tucuman (TU: 26.9 degrees S, 65.4 degrees W) and Jicamarca (JI: 12.0 degrees S, 76.8 degrees W), with 85% and 52% obscuration, respectively. Total electron content (TEC) estimations over the South American continent were analyzed. The ionospheric impact of the eclipse was simulated using the Sheffield University Plasmasphere-Ionosphere Model (SUPIM) at the Instituto Nacional de Pesquisas Espaciais (INPE). The significant variability of the diurnal variations of the various ionospheric characteristics over equatorial and low latitudes on geomagnetically quiet days makes it difficult to unambiguously determine the ionospheric responses to the eclipse. Nonetheless, some specific issues can be derived, mainly using simulation results. The E and F1 layer critical frequencies and densities below 200 km are found to consistently depend on decreasing solar radiation. However, the F1 layer stratification observed at both TU and LS cannot be related to the eclipse or other processes. The F2 layer does not follow the changes in direct solar radiation during the eclipse. The SUPIM-INPE-modeled F region critical frequency and TEC are overestimated before the eclipse at LS and particularly at TU. However, these overestimations are within the observed large day-to-day variability. When an artificial prereversal enhancement is added, the simulations during the eclipse better reproduce the observations at JI, are qualitatively better for LS, and are out of phase for TU. The simulations are consistent with conjugate location effects.</t>
  </si>
  <si>
    <t>Vega-Jorquera, Pedro/AAX-7402-2021; Bravo, Manuel/AAD-8540-2020; Foppiano, Alberto/LJM-1122-2024; Munoz Gutberlet, Pablo/L-3683-2013; Souza, Jonas/B-3514-2013; Stepanova, Marina/D-6329-2011; Martinez-Ledesma, Miguel/F-9831-2015</t>
  </si>
  <si>
    <t>Munoz Gutberlet, Pablo/0000-0002-3435-6422; Souza, Jonas/0000-0001-7725-7785; ovalle, elias/0000-0001-9192-9824; Villalobos, Carlos/0000-0002-1637-2349; Bravo Sepulveda, Manuel Alejandro/0000-0002-5648-429X; Stepanova, Marina/0000-0002-1053-3375; Carrasco, Enrique/0000-0003-0356-5835; Urra Pacheco, Benjamin/0000-0003-3645-818X; Martinez-Ledesma, Miguel/0000-0001-6932-1249</t>
  </si>
  <si>
    <t>2169-9380</t>
  </si>
  <si>
    <t>2169-9402</t>
  </si>
  <si>
    <t>e2020JA027923</t>
  </si>
  <si>
    <t>10.1029/2020JA027923</t>
  </si>
  <si>
    <t>WOS:000600989000013</t>
  </si>
  <si>
    <t>Urzúa-Morales, JG; Sepulveda-Rojas, JP; Alfaro, M; Fuertes, G; Ternero, R; Vargas, M</t>
  </si>
  <si>
    <t>Guillermo Urzua-Morales, Juan; Pedro Sepulveda-Rojas, Juan; Alfaro, Miguel; Fuertes, Guillermo; Ternero, Rodrigo; Vargas, Manuel</t>
  </si>
  <si>
    <t>Logistic Modeling of the Last Mile: Case Study Santiago, Chile</t>
  </si>
  <si>
    <t>SUSTAINABILITY</t>
  </si>
  <si>
    <t>This research proposes a new distribution system of goods in the historical center of the city of Santiago, Chile. For the design of the urban logistic system, the methodology city logistics and last mile are used. This design incorporates to the freight transport flexible solutions that improve the efficiency of the distribution process and trade supply, minimizing the environmental impact of the atmospheric pollution (AP). The proposal was made through the data collection, the characterization of the sector and the diagnosis of the urban logistics processes. The analysis of the factors allowed to evaluate the costs of the AP negative externalities. The causes were used as design criteria for the proposals, with the aim of improving the quality of life of the city users. The physical location selection of the Cross-Docking was made through an optimization model of maximum coverage. The optimization algorithm of the nearest neighbor was proposed for vehicle routing. The analytic hierarchy process (AHP) was used to generate a ranking of the best non-polluting vehicles to be used in the zone. Finally, the results obtained allowed a 53 ton decrease in carbon dioxide in the square kilometer and reduced 1103 h of interruptions per year in the vehicular congestion of the sector.</t>
  </si>
  <si>
    <t>vargas, manuel/AAG-4780-2020; Sepulveda-Rojas, Juan Pedro/C-1799-2013; Fuertes, Guillermo/Q-2341-2016</t>
  </si>
  <si>
    <t>Alfaro, Miguel/0000-0002-1633-8853; Vargas Guzman, Manuel Eduardo/0000-0003-4161-6621; Sepulveda-Rojas, Juan Pedro/0000-0002-6725-7295; Fuertes, Guillermo/0000-0003-3044-5919</t>
  </si>
  <si>
    <t>2071-1050</t>
  </si>
  <si>
    <t>10.3390/su12020648</t>
  </si>
  <si>
    <t>WOS:000516824600206</t>
  </si>
  <si>
    <t>Cádiz, L; Torres, A; Valdés, R; Vera, G; Gutiérrez, D; Levine, MM; Montero, DA; O'Ryan, M; Rasko, DA; Stine, OC; Vidal, R; Del Canto, F</t>
  </si>
  <si>
    <t>Cadiz, Leandro; Torres, Alexia; Valdes, Raul; Vera, Gabriel; Gutierrez, Daniela; Levine, Myron M.; Montero, David A.; O'Ryan, Miguel; Rasko, David A.; Stine, O. Colin; Vidal, Roberto; Del Canto, Felipe</t>
  </si>
  <si>
    <t>Coli Surface Antigen 26 Acts as an Adherence Determinant of Enterotoxigenic Escherichia coli and Is Cross-Recognized by Anti-CS20 Antibodies</t>
  </si>
  <si>
    <t>The coli surface antigen 26 (CS26) of enterotoxigenic Escherichia coli (ETEC) had been described as a putative adhesive pilus based on the partial sequence of the crsH gene, detected in isolates from children with diarrhea in Egypt. However, its production and activity as adherence determinant has not been experimentally addressed. The crsH was identified as a homolog of genes encoding structural subunits of ETEC colonization factors (CFs) CS12, CS18, and CS20. These CFs, along with the recently discovered CS30, belong to the gamma(2) family of pili assembled by the chaperone-usher pathway (CU pili). Further, the complete CS26 locus, crsHBCDEFG, was described in an O141 ETEC strain (ETEC 100664) obtained from a diarrhea case in The Gambia, during the Global Enterics Multicenter Study. Here, we report that CS26 is a pilus of similar to 10 nm in diameter, with the capacity to increase the cell adherence of the nonpathogenic strain E. coli DH10B. As for other related pili, production of CS26 seems to be regulated by phase variation. Deletion of crsHBCDEFG in ETEC 100664 significantly decreased its adherence capacity, which was recovered by in trans complementation. Furthermore, CrsH was cross-recognized by polyclonal antibodies directed against the major structural subunit of CS20, CsnA, as determined by Western blotting and immunogold labeling. ETEC CS26+ strains were found to harbor the heat-labile enterotoxin only, within three different sequence types of phylogroups A and B1, the latter suggesting acquisition through independent events of horizontal transfer. Overall, our results demonstrate that CS26 is an adhesive pilus of human ETEC. In addition, cross-reactivity with anti-CsnA antibodies indicate presence of common epitopes in gamma(2)-CFs.</t>
  </si>
  <si>
    <t>ORyan, Miguel/AHD-6209-2022; Del Canto, Felipe/P-1707-2014; Montero, David/AAC-3260-2020</t>
  </si>
  <si>
    <t>Vidal, Roberto/0000-0003-4223-1985; Cadiz, Leandro/0000-0002-8098-4796; Montero Forero, David Arturo/0000-0003-3421-4325; David, Rasko/0000-0002-7337-7154</t>
  </si>
  <si>
    <t>OCT 16</t>
  </si>
  <si>
    <t>10.3389/fmicb.2018.02463</t>
  </si>
  <si>
    <t>WOS:000447387800001</t>
  </si>
  <si>
    <t>Martínez, A; Rayas, JA; Cordero, RR; Balieiro, D; Labbe, F</t>
  </si>
  <si>
    <t>Martinez, Amalia; Rayas, J. A.; Cordero, Raul R.; Balieiro, Daniela; Labbe, Fernando</t>
  </si>
  <si>
    <t>Leaf cuticle topography retrieved by using fringe projection</t>
  </si>
  <si>
    <t>OPTICS AND LASERS IN ENGINEERING</t>
  </si>
  <si>
    <t>The combination (often referred to as phase-stepping profilometry, PSP) of the fringe projection technique and the phase-stepping method allowed us to retrieve topographic maps of cuticles isolated from the abaxial surface of leaves; these were in turn sampled from an apple tree (Malus domestica) of the variety Golden Delicious. The topographic maps enabled us to assess the natural features on the illuminated surface and also to detect the whole-field spatial variations in the thickness of the cuticle. Most of our attention was paid to retrieve the highly-resolved elevation information from the cuticle surface, which included the trace (in the order of tens of micrometers) left by ribs and veins. We expect that the PSP application for retrieving the cuticle topography will facilitate further studies on the dispersion and coverage of state-of-the-art agrochemical compounds meant to improve the defending properties of the cuticle. Methodological details are provided below. (C) 2011 Elsevier Ltd. All rights reserved.</t>
  </si>
  <si>
    <t>Rayas, Juan/CAG-8266-2022; Cordero, Raul/M-7979-2017</t>
  </si>
  <si>
    <t>Cordero, Raul R./0000-0001-7607-7993; Rayas, Juan Antonio/0000-0001-6809-2368</t>
  </si>
  <si>
    <t>0143-8166</t>
  </si>
  <si>
    <t>1873-0302</t>
  </si>
  <si>
    <t>10.1016/j.optlaseng.2011.08.011</t>
  </si>
  <si>
    <t>WOS:000297872800021</t>
  </si>
  <si>
    <t>Acuña, L; Galdames, IS; Zavando, D; Elgueta, S; Velásquez, L; Vilos, C; Cantín, M</t>
  </si>
  <si>
    <t>Acuna, Luis; Galdames, Ivan Suazo; Zavando, Daniela; Elgueta, Samanta; Velasquez, Luis; Vilos, Cristian; Cantin, Mario</t>
  </si>
  <si>
    <t>Morphometric and Histopathologic Changes in Skeletal Muscle Induced for Injectable PLGA Microparticles</t>
  </si>
  <si>
    <t>The administration of microencapsulated drug in a matrix acid poly(lactic-co-glycolic acid) (PLGA) by intramuscular (IM) in humans has been approved by the FDA for various applications though it is not clear what effect they have on the morphological parameters of muscle tissue. The aim of this study was to analyze the morphological changes in the skeletal muscle tissue with their use. We used 12 adult female Sprague Dawley rats (Rattus novergicus) that were injected into their right gastrocnemius muscle belly with: sterile vehicle solution (01, n = 4), 0.5 mg PLGA microparticle (02, n = 4) and 0.75 mg PLGA microparticle (03, n = 4), both dissolved in a sterile vehicle solution. At 14 days post injection the number and diameter of muscle fibers, the level of inflammation and histology appearance in terms of organization of muscle fibers, cellular distribution, tissue morphology and the presence of polymer waste were determined and the results between the groups compared. The administration of the compound in a single dose did not alter the morphometric parameters (number and diameter of muscle fibers) despite generating a mild inflammation in the tissue associated with the presence of polymeric residues, suggesting that the PLGA microparticles were well tolerated by the muscle tissue at concentrations tested (0.5 and 0.75 mg).</t>
  </si>
  <si>
    <t>Ortiz, Cristian/F-9162-2014; Suazo, Iván/A-3064-2009; Cantin, Mario/L-9054-2013; SUAZO GALDAMES, IVAN/AAW-9318-2020</t>
  </si>
  <si>
    <t>Vilos, Cristian/0000-0001-5619-3348; Cantin, Mario/0000-0002-1749-8672; SUAZO GALDAMES, IVAN/0000-0002-1689-1632</t>
  </si>
  <si>
    <t>10.4067/S0717-95022011000200016</t>
  </si>
  <si>
    <t>WOS:000293661000016</t>
  </si>
  <si>
    <t>Fudym, O; Batsale, JC; Battaglia, JL</t>
  </si>
  <si>
    <t>Fudym, O.; Batsale, J. C.; Battaglia, J. L.</t>
  </si>
  <si>
    <t>Thermophysical properties mapping in semi-infinite longitudinally cracked plates by temperature image processing</t>
  </si>
  <si>
    <t>Symposium on Inverse Problems, Design and Optimization</t>
  </si>
  <si>
    <t>MAR 17-19, 2004</t>
  </si>
  <si>
    <t>Rio de Janeiro, BRAZIL</t>
  </si>
  <si>
    <t>Thermophysical properties mapping in a solid plate from transient temperature imaging analysis is widely developed, but most usual methods are based on very restrictive assumptions such as the independence of the pixels (local one-dimensional diffusion in the sample). The challenge envisioned in this study is to take into account the three-dimensional spatial correlation between pixels. Moreover, the estimation of the thermophysical properties field from two-dimensional measurements is an ill-posed problem, and the practical implementation of the estimation is affected by the large amount of data to be processed. A semi-numerical analysis with spatially random front face excitation is proposed here in order to overcome such problems. A theoretical new method is proposed for the detection of cracks laid perpendicular to the excitation surface. The estimation method is implemented from a spatial autoregressive method.</t>
  </si>
  <si>
    <t>Battaglia, Jean-Luc/R-4623-2017</t>
  </si>
  <si>
    <t>Battaglia, Jean-Luc/0000-0003-1176-5714</t>
  </si>
  <si>
    <t>10.1080/17415970600873928</t>
  </si>
  <si>
    <t>WOS:000243666700007</t>
  </si>
  <si>
    <t>Arraztoa, JA; Zhou, J; Marcu, D; Cheng, C; Bonner, R; Chen, M; Xiang, C; Brownstein, M; Maisey, K; Imarai, M; Bondy, C</t>
  </si>
  <si>
    <t>Identification of genes expressed in primate primordial oocytes</t>
  </si>
  <si>
    <t>HUMAN REPRODUCTION</t>
  </si>
  <si>
    <t>Background: The factors involved in oocyte survival and transition from quiescence to the growing phenotype remain unknown. Herein we report genes that are differentially expressed in the primordial oocyte revealed by DNA arrays. Methods: Primordial oocytes were captured selectively in rhesus monkey ovary sections using laser capture microdissection. The RNA was extracted and amplified in two rounds by T7-based linear RNA amplification, fluorescence labelled and then hybridized to human cDNA arrays containing 7680 elements. RNA from human placenta served as a reference sample. Results: Ninety-five genes were found to be consistently expressed at a higher level in primordial oocytes. Expression of several of these genes in the oocyte has been reported before, e.g. deleted in azoospermia (DAZ), prohibitin and transglutaminase 2. Oocyte expression of several novel transcripts revealed on array hybridization, such as gene 33, ubiquitin-conjugating enzyme E2A, G(1) to S phase transition 1, growth arrest and DNA damage-inducible (GADD), and dendritic cell-derived ubiquitin-like protein (DC-UbP) was confirmed by in situ hybridization. Some array-identified gene products [integrin beta3, alpha-tubulin, regulatory telomere elongation protein (RAP1) and cellular repressor of EIA-stimulated genes (CREG protein)] were detected in human oocytes by immunofluorescence. Bioinformatic analysis of the oocyte-enriched transcripts reveals a functional profile summarized as follows: cell cycle (14%); transporter (13%); signal transduction (10%); cytoskeletal (7%); transcription factor (5%); immune response (5%); apoptosis-related (5%); RNA processing (5%); and the remainder of miscellaneous categories. Conclusions: These observations may contribute to the elucidation of molecular pathways involved in oocyte survival and maturation.</t>
  </si>
  <si>
    <t>Bratu, Ovidiu/L-3040-2019; Maisey, Kevin/AAP-2886-2021; Bonner, Robert/C-6783-2015</t>
  </si>
  <si>
    <t>Maisey, Kevin/0000-0002-7423-6329; Imarai, Monica/0000-0001-8767-9180</t>
  </si>
  <si>
    <t>0268-1161</t>
  </si>
  <si>
    <t>1460-2350</t>
  </si>
  <si>
    <t>10.1093/humrep/deh498</t>
  </si>
  <si>
    <t>WOS:000226611300025</t>
  </si>
  <si>
    <t>Derpich, I; Duran, C; Carrasco, R; Moreno, F; Fernandez-Campusano, C; Espinosa-Leal, L</t>
  </si>
  <si>
    <t>Derpich, Ivan; Duran, Claudia; Carrasco, Raul; Moreno, Fabricio; Fernandez-Campusano, Christian; Espinosa-Leal, Leonardo</t>
  </si>
  <si>
    <t>Pursuing Optimization Using Multimodal Transportation System: A Strategic Approach to Minimizing Costs and CO2 Emissions</t>
  </si>
  <si>
    <t>JOURNAL OF MARINE SCIENCE AND ENGINEERING</t>
  </si>
  <si>
    <t>The core problem of a multimodal transportation system is integrating various transportation modes into a cohesive, efficient, and user-friendly network. This study introduces a novel centralized load concentration approach for regions facing geographic challenges. The principal aim is improving multimodal transportation systems by mitigating CO2 emissions and improving operational efficiency. This will significantly reduce high logistics costs and the environmental impact caused by greenhouse gas emissions, particularly in land transportation, aligning with the global sustainable development goals and offering a promising path towards a more sustainable future. The proposed method implicates direct cargo transportation from its origin to the export ports without passing through intermediate centers. The mathematical model determines the most efficient means of transportation for each route, considering variables such as distance, volume, and type of cargo. Research results indicate that multiple hubs may not be necessary in scenarios with high freight concentration, which could streamline transportation and logistics operations. The modal preferences vary depending on regional dynamics and cargo characteristics, with rail and sea transport emerging as preferable options in specific circumstances, outperforming road transport. The proposed model shows reductions in logistics costs and CO2 emissions compared to road-focused scenarios. This study provides an adaptable framework for optimizing multimodal transportation systems in regions with similar geographic and logistical attributes. It offers a versatile solution to various contexts and needs. Lastly, the strategic integration of multiple modes of transportation is fundamental to improving efficiency and sustainability.</t>
  </si>
  <si>
    <t>Fernández-Campusano, Christian/M-8749-2018; derpich, ivan/T-1160-2019; Duran, Claudia/S-1175-2019; Leal, Leonardo/AAS-1236-2020; Carrasco, Raul/G-5440-2015</t>
  </si>
  <si>
    <t>Duran, Claudia/0000-0002-0903-4333; Moreno-Baca, Fabricio/0000-0002-5669-2160; Derpich, Ivan/0000-0001-9759-7285; Carrasco, Raul/0000-0002-5023-9349; Fernandez-Campusano, Christian/0000-0001-7033-4178; Espinosa Leal, Leonardo Andres/0000-0001-6861-8024</t>
  </si>
  <si>
    <t>2077-1312</t>
  </si>
  <si>
    <t>10.3390/jmse12060976</t>
  </si>
  <si>
    <t>WOS:001257107600001</t>
  </si>
  <si>
    <t>Gil, Y; de Santana, RC; Vega, A; Aravena, D; Spodine, E</t>
  </si>
  <si>
    <t>Gil, Yolimar; de Santana, Ricardo Costa; Vega, Andres; Aravena, Daniel; Spodine, Evgenia</t>
  </si>
  <si>
    <t>Influence of symmetry on the magneto-optical properties of a bifunctional macrocyclic DyIII complex</t>
  </si>
  <si>
    <t>In this work, a novel complex, [Dy(L-Pr)(NO3)(2)](H2O)(NO3) (1), containing a highly distorted macrocyclic ligand (L-Pr) and weak axial anions (NO3-), was synthesized and characterized. Even though this coordination environment is not ideal for maximizing the magnetic anisotropy of a Dy-III ion, a magneto-structural analysis reveals that the high distortion of the macrocycle promotes a disposition of the hard plane and easy axis opposite to the expected one. This results in a quite symmetrical environment which allows obtaining a field induced SMM behaviour. The magnetic relaxation properties of this complex were rationalized with the aid of ab initio multireference calculations. Moreover, 1 showed the characteristic emission bands of Dy-III ion, indicating that the macrocyclic ligand acts as an efficient sensitizer in the energy transfer process to the emissive state of the Dy-III ion. Due to the symmetric environment of 1, the Y/B intensity ratio (0.61) results in CIE coordinates (0.278; 0.314), close to those of the white light region. To gain further insight into the mechanism leading to the luminescence properties, ab initio calculations were performed to elucidate the key factors controlling the Y/B intensity ratio in this bifunctional complex.</t>
  </si>
  <si>
    <t>Vega, Andres/B-2122-2010; Santana, Ricardo/H-1579-2012; Aravena, Daniel/F-2174-2011</t>
  </si>
  <si>
    <t>Vega, Andres/0000-0001-6501-4161; Santana, Ricardo/0000-0002-6484-7484; Aravena, Daniel/0000-0003-3140-4852; Gil Sanchez, Yolimar/0000-0002-1756-2726</t>
  </si>
  <si>
    <t>1477-9234</t>
  </si>
  <si>
    <t>DEC 12</t>
  </si>
  <si>
    <t>10.1039/d3dt03042c</t>
  </si>
  <si>
    <t>WOS:001114835500001</t>
  </si>
  <si>
    <t>Firoozabadi, AD; Adasme, P; Zabala-Blanco, D; Játiva, PP; Azurdia-Meza, C</t>
  </si>
  <si>
    <t>Firoozabadi, Ali Dehghan; Adasme, Pablo; Zabala-Blanco, David; Palacios Jativa, Pablo; Azurdia-Meza, Cesar</t>
  </si>
  <si>
    <t>Speaker Counting Based on a Novel Hive Shaped Nested Microphone Array by WPT and 2D Adaptive SRP Algorithms in Near-Field Scenarios</t>
  </si>
  <si>
    <t>Speech processing algorithms, especially sound source localization (SSL), speech enhancement, and speaker tracking are considered to be the main fields in this application. Most speech processing algorithms require knowing the number of speakers for real implementation. In this article, a novel method for estimating the number of speakers is proposed based on the hive shaped nested microphone array (HNMA) by wavelet packet transform (WPT) and 2D sub-band adaptive steered response power (SB-2DASRP) with phase transform (PHAT) and maximum likelihood (ML) filters, and, finally, the agglomerative classification and elbow criteria for obtaining the number of speakers in near-field scenarios. The proposed HNMA is presented for aliasing and imaging elimination and preparing the proper signals for the speaker counting method. In the following, the Blackman-Tukey spectral estimation method is selected for detecting the proper frequency components of the recorded signal. The WPT is considered for smart sub-band processing by focusing on the frequency bins of the speech signal. In addition, the SRP method is implemented in 2D format and adaptively by ML and PHAT filters on the sub-band signals. The SB-2DASRP peak positions are extracted on various time frames based on the standard deviation (SD) criteria, and the final number of speakers is estimated by unsupervised agglomerative clustering and elbow criteria. The proposed HNMA-SB-2DASRP method is compared with the frequency-domain magnitude squared coherence (FD-MSC), i-vector probabilistic linear discriminant analysis (i-vector PLDA), ambisonics features of the correlational recurrent neural network (AF-CRNN), and speaker counting by density-based classification and clustering decision (SC-DCCD) algorithms on noisy and reverberant environments, which represents the superiority of the proposed method for real implementation.</t>
  </si>
  <si>
    <t>Adasme, Pablo/U-1735-2019; Palacios Játiva, Pablo/AAE-8235-2019; Dehghan Firoozabadi, Ali/AAD-4858-2019; Meza, Cesar/D-6948-2014</t>
  </si>
  <si>
    <t>Azurdia, Cesar/0000-0003-3461-4484; Adasme, Pablo/0000-0003-2500-3294; Dehghan Firoozabadi, Ali/0000-0002-6391-6863; Palacios, Pablo/0000-0002-3958-503X; Zabala-Blanco, David/0000-0002-5692-5673</t>
  </si>
  <si>
    <t>10.3390/s23094499</t>
  </si>
  <si>
    <t>WOS:000988167800001</t>
  </si>
  <si>
    <t>Rojas, M; Prado, Y; Tapia, P; Carreño, LJ; Cabello-Verrugio, C; Simon, F</t>
  </si>
  <si>
    <t>Rojas, Macarena; Prado, Yolanda; Tapia, Pablo; Carreno, Leandro J.; Cabello-Verrugio, Claudio; Simon, Felipe</t>
  </si>
  <si>
    <t>Oxidized High-Density Lipoprotein Induces Endothelial Fibrosis Promoting Hyperpermeability, Hypotension, and Increased Mortality</t>
  </si>
  <si>
    <t>ANTIOXIDANTS</t>
  </si>
  <si>
    <t>During systemic inflammation, reactive oxygen species (ROS) are generated in the bloodstream, producing large amounts of oxidized HDL (oxHDL). OxHDL loses the vascular protective features of native HDL, acquiring detrimental actions. Systemic inflammation promotes endothelial fibrosis, characterized by adhesion protein downregulation and fibrotic-specific gene upregulation, disrupting endothelial monolayer integrity. Severe systemic inflammatory conditions, as found in critically ill patients in the intensive care unit (ICU), exhibit endothelial hyperpermeability, hypotension, and organ hypoperfusion, promoting organ dysfunction and increased mortality. Because endothelial fibrosis disturbs the endothelium, it is proposed that it is the cellular and molecular origin of endothelial hyperpermeability and the subsequent deleterious consequences. However, whether oxHDL is involved in this process is unknown. The aim of this study was to investigate the fibrotic effect of oxHDL on the endothelium, to elucidate the underlying molecular and cellular mechanism, and to determine its effects on vascular permeability, blood pressure, and mortality. The results showed that oxHDL induces endothelial fibrosis through the LOX-1/NOX-2/ROS/NF-kappa B pathway, TGF-beta secretion, and ALK-5/Smad activation. OxHDL-treated rats showed endothelial hyperpermeability, hypotension, and an enhanced risk of death and mortality, which was prevented using an ALK-5 inhibitor and antioxidant diet consumption. Additionally, the ICU patients showed fibrotic endothelial cells, and the resuscitation fluid volume administered correlated with the plasma oxHDL levels associated with an elevated risk of death and mortality. We conclude that oxHDL generates endothelial fibrosis, impacting blood pressure regulation and survival.</t>
  </si>
  <si>
    <t>Cabello-Verrugio, Claudio/AAD-1454-2020; Tapia, Pablo/J-2096-2016; Carreno, Leandro J/H-4571-2014</t>
  </si>
  <si>
    <t>Carreno, Leandro J/0000-0003-2037-7158; Prado Angulo, Yolanda patricia/0000-0002-3808-5703; Simon, Felipe/0000-0002-2653-9798; Cabello-Verrugio, Claudio/0000-0001-7273-2102</t>
  </si>
  <si>
    <t>2076-3921</t>
  </si>
  <si>
    <t>10.3390/antiox11122469</t>
  </si>
  <si>
    <t>WOS:000902100000001</t>
  </si>
  <si>
    <t>Toro, SA; Ridruejo, A; González, C; Monclús, MA; Fernández-Blázquez, JP</t>
  </si>
  <si>
    <t>Andres Toro, Sebastian; Ridruejo, Alvaro; Gonzalez, Carlos; Monclus, Miguel A.; Fernandez-Blazquez, Juan P.</t>
  </si>
  <si>
    <t>Optimization of Processing Conditions and Mechanical Properties for PEEK/PEI Multilayered Blends</t>
  </si>
  <si>
    <t>POLYMERS</t>
  </si>
  <si>
    <t>The goal of producing polyetheretherketone/polyetherimide (PEEK/PEI) blends is to combine the outstanding properties that both polymers present separately. Despite being miscible polymers, it is possible to achieve PEEK/PEI multilayered blends in which PEEK crystallinity is not significantly inhibited, as opposed to conventional extruding processes that lead to homogeneous mixtures with total polymer chain interpenetration. This study investigated a 50/50 (volume fraction) PEEK/PEI multilayered polymer blend in which manufacturing parameters were tailored to simultaneously achieve PEEK-PEI adhesion while keeping PEEK crystallinity in order to optimize the mechanical properties of this heterogeneous polymer blend. The interface adhesion was characterized with the use of three-point bending tests, which proved that a processing temperature below the melting point of PEEK produced weak PEEK-PEI interfaces. Results from differential scanning calorimetry (DSC), dynamic mechanical analysis (DMA), and X-ray diffraction analysis (XRD) showed that under a 350 degrees C consolidation temperature, there is a partial mixing of PEEK and PEI layers in the interface that provides good adhesion. The thickness of the mixed homogeneous region at this temperature exhibits reduced sensitivity to processing time, which ensures that both polymers essentially remain separate phases. This also entails that multilayered blends with good mechanical properties can be reliably produced with short manufacturing cycles. The combination of mechanical performance and potential joining capability supports their use in a wide range of applications in the automotive, marine, and aerospace industries.</t>
  </si>
  <si>
    <t>Monclús, Miguel/ABA-7251-2021; Ridruejo, Alvaro/I-1082-2015; Toro, Sebastian/CAH-7489-2022; González, Carlos/AAC-4265-2020; FERNANDEZ, JUAN PEDRO/C-3938-2008; Gonzalez, Carlos/M-9897-2014</t>
  </si>
  <si>
    <t>FERNANDEZ, JUAN PEDRO/0000-0003-0458-3293; Gonzalez, Carlos/0000-0002-0724-138X; Toro, Sebastian Andres/0000-0002-2004-1382; Monclus Palazon, Miguel Alberto/0000-0003-3421-3322</t>
  </si>
  <si>
    <t>2073-4360</t>
  </si>
  <si>
    <t>10.3390/polym14214597</t>
  </si>
  <si>
    <t>WOS:000883526200001</t>
  </si>
  <si>
    <t>Rodríguez, B; Ramírez, S; Gutiérrez, P; Silva, N; Díaz-Aburto, I; García, A; Martínez, I</t>
  </si>
  <si>
    <t>Rodriguez, Barbara; Ramirez, Sara; Gutierrez, Pablo; Silva, Nataly; Diaz-Aburto, Isaac; Garcia, Andreina; Martinez, Ivan</t>
  </si>
  <si>
    <t>Oxide copper nanoparticles stabilized by acrylonitrile and methyl methacrylate polar monomers through a ligand exchange reaction</t>
  </si>
  <si>
    <t>MATERIALS RESEARCH EXPRESS</t>
  </si>
  <si>
    <t>This research reports the synthesis of copper oxide nanoparticles (CuONP) functionalized by the polar monomers acrylonitrile (ACN) and methyl methacrylate (MMA). The synthesis was achieved by a practical exchange ligand reaction from CuONP previously stabilized by hexadecyltrimethylammonium bromide (CTAB). The replacement of CTAB by ACN or MMA produced the functionalized nanoparticles CuONP-ACN and CuONP-MMA, respectively. The functionalized nanoparticles were characterized by ultraviolet-visible spectroscopy (UV-vis), Fourier transform infrared spectroscopy (FTIR), field emission scanning electron microscopy (SEM), dynamic light scattering (DLS), Zeta potential, x-ray diffraction (XRD), high-resolution-transmission electron microscopy (HR-TEM), and selected area electron diffraction (SAED) analysis. Changes in surface plasmon resonance (SPR) band and the functional group bands observed in UV-vis and FTIR spectra confirmed the efficient replacement of CTAB by polar monomers. Moreover, CuONP-ACN and CuONP-MMA showed a negative surface charge with spherical morphology. X-ray diffraction (XRD) analysis showed that a monoclinic CuO crystal system was formed.</t>
  </si>
  <si>
    <t>DIAZ-ABURTO, ISAAC/AAN-4170-2021; Rodríguez, Bárbara/HTO-6313-2023; Martínez, Iván/IST-4290-2023</t>
  </si>
  <si>
    <t>DIAZ-ABURTO, ISAAC/0000-0002-4850-1125; Martinez Diaz, Ivan/0000-0002-4434-5970; Ramirez Pasten, Sara/0000-0003-2109-0490; Rodriguez, Barbara E./0000-0001-6091-358X</t>
  </si>
  <si>
    <t>2053-1591</t>
  </si>
  <si>
    <t>10.1088/2053-1591/abf0bb</t>
  </si>
  <si>
    <t>WOS:000637347000001</t>
  </si>
  <si>
    <t>Herrera-Valenzuela, T; Miccono-González, G; Fazekas-Molina, M; Astorga-Rojas, G; Valdés-Badilla, P; Ojeda-Aravena, A; Franchini, E</t>
  </si>
  <si>
    <t>Herrera-Valenzuela, Tomas; Miccono-Gonzalez, Gricelle; Fazekas-Molina, Margaret; Astorga-Rojas, Gonzalo; Valdes-Badilla, Pablo; Ojeda-Aravena, Alex; Franchini, Emerson</t>
  </si>
  <si>
    <t>Relationship between Movement change in karate position Test and neuromuscular performance in karate athletes: A pilot study</t>
  </si>
  <si>
    <t>Background: Karate is a high-intensity interval sport with aerobic and anaerobic characteristics. Velocity and explosive strength are crucial physical abilities for karate athletes during the combat. Problem and Aim: The main objective of this study was to examine the relationship of the Movement Change in Karate Position Test MCKPT with the neuromuscular performance measured through jump tests in junior karate athletes category Methods: A team of 10 karate athletes, distributed in 4 men (age: 17.3 +/- 2.1 years; body mass: 69.0 +/- 15.8 kg; height: 1.74 +/- 0.04 m) and 6 women (age: 17.3 +/- 1.6 years; body mass: 57.9 +/- 2.5 kg; height: 1.59 +/- 0.04 m), belonging to the Chilean national junior team was evaluated. Results: We observed a correlation between the MCKPT with the bilateral long jump (r = -.68, p = .03), squat jump (r = -.65, p = .04), countermovement jump (r = -. 70, p = .02), and countermovement jump with aims (r = -.68, p = .03). Conclusions: MCKPT is significantly related to neuromuscular performance in karate athletes.</t>
  </si>
  <si>
    <t>Ojeda Aravena, Alex/KRQ-5703-2024; Herrera-Valenzuela, Tomas/L-1819-2019; Franchini, Emerson/B-9119-2012</t>
  </si>
  <si>
    <t>Franchini, Emerson/0000-0002-0769-8398; Valdes-Badilla, Pablo/0000-0002-3948-8280</t>
  </si>
  <si>
    <t>WOS:000577432400001</t>
  </si>
  <si>
    <t>Hernandez-Duran, EI; Ros-Yanez, T; Castro-Cerda, FM; Petrov, RH</t>
  </si>
  <si>
    <t>Hernandez-Duran, E., I; Ros-Yanez, T.; Castro-Cerda, F. M.; Petrov, R. H.</t>
  </si>
  <si>
    <t>The influence of the heating rate on the microstructure and mechanical properties of a peak annealed quenched and partitioned steel</t>
  </si>
  <si>
    <t>MATERIALS SCIENCE AND ENGINEERING A-STRUCTURAL MATERIALS PROPERTIES MICROSTRUCTURE AND PROCESSING</t>
  </si>
  <si>
    <t>In this study an Fe-0.28C-1.91Mn-1.44Si cold-rolled steel was subjected to conventional (10 degrees C/s) and ultrafast (100 degrees C/s - 700 degrees C/s) heating peak annealing treatments, followed by quenching and partitioning (Q&amp;P). The microstructural characterization results showed that grain refinement of the parent austenite and its transformation products occurred with the increment of the heating rate from 10 degrees C/s to 100 degrees C/s, without further refining at 700 degrees C/s. The formation of complex microstructures after the end of the thermal treatment, accompanied by the reduction in the retained austenite carbon content, suggested that local chemical heterogeneities in austenite appear upon ultrafast heating. Regardless of the prior heating rate, similar mechanical properties and strain hardening were measured, revealing that both, the microstructure development and the extent of austenite stabilization during quenching and partitioning stage play a fundamental role on the mechanical behavior of the peak annealed Q&amp;P steels.</t>
  </si>
  <si>
    <t>Petrov, Roumen/0000-0003-0551-9058; Castro Cerda, Felipe Manuel/0000-0001-8126-5593</t>
  </si>
  <si>
    <t>0921-5093</t>
  </si>
  <si>
    <t>1873-4936</t>
  </si>
  <si>
    <t>OCT 21</t>
  </si>
  <si>
    <t>10.1016/j.msea.2020.140061</t>
  </si>
  <si>
    <t>WOS:000579487100018</t>
  </si>
  <si>
    <t>Ramírez, M; González, RI; Baltazar, SE; Rojas-Nunez, J; Allende, S; Valdivia, JA; Rogan, J; Kiwi, M; Valencia, FJ</t>
  </si>
  <si>
    <t>Ramirez, Max; Gonzalez, Rafael I.; Baltazar, Samuel E.; Rojas-Nunez, Javier; Allende, Sebastian; Alejandro Valdivia, Juan; Rogan, Jose; Kiwi, Miguel; Valencia, Felipe J.</t>
  </si>
  <si>
    <t>Thermal stability of aluminum oxide nanoparticles: role of oxygen concentration</t>
  </si>
  <si>
    <t>INORGANIC CHEMISTRY FRONTIERS</t>
  </si>
  <si>
    <t>Oxygen absorption and the thermal stability of Al-147 nanoparticles were studied by means of classical molecular dynamics simulations and Monte Carlo methods. The results suggest that for the studied sizes, oxygen incorporation yields an Al2O3 nanoparticle with a Janus-like morphology, contrary to the expected core-shell nanostructure observed in simulations and experiments of nanometer-size nanoparticles. A simulated annealing, introduced to support this assumption, shows that the Janus-like morphology has a lower energy than that of Al@Al2O3 with a core@shell conformation. Also, the thermal behavior of a Janus-like Al/Al2O3 nanoparticle as a function of oxygen concentration was investigated. It is observed that the partial oxidation reduces the nanoparticle melting temperature because the number of pure aluminum atoms is reduced. In fact, the melting point can be as low as 400 K for an Al147O30 nanoparticle. The melting process leads to a solid alumina region that coexists with liquid-like aluminum nanoparticles. The oxide never adopts a protective shell covering configuration of the aluminum nanoparticle.</t>
  </si>
  <si>
    <t>Rojas, Javier/JYP-5531-2024; Baltazar, Samuel/E-1814-2011; Ramirez, Max/B-5045-2008; Rogan, José/B-8819-2008; Valdivia, Juan/A-3631-2008; Kiwi, Miguel/D-3401-2013; Valencia, Felipe/D-9223-2015; Gonzalez, Rafael I./I-8560-2015</t>
  </si>
  <si>
    <t>Rogan, Jose/0000-0003-1080-2739; Valencia, Felipe J./0000-0002-5461-6885; Baltazar, Samuel/0000-0001-9826-9400; Rojas-Nunez, Javier/0000-0002-2343-3533; Valdivia, Juan Alejandro/0000-0003-3381-9904; Kiwi, Miguel/0000-0001-8580-1912; Ramirez, Max/0000-0002-3019-0015; Gonzalez, Rafael I./0000-0003-2599-8404</t>
  </si>
  <si>
    <t>2052-1553</t>
  </si>
  <si>
    <t>10.1039/c8qi01398e</t>
  </si>
  <si>
    <t>WOS:000475394700008</t>
  </si>
  <si>
    <t>Quintero, AP; Bonilla-Vargas, KJ; Correa-Bautista, JE; Domínguez-Sanchéz, MA; Triana-Reina, HR; Velasco-Orjuela, GP; García-Hermoso, A; Villa-González, E; Esteban-Cornejo, I; Correa-Rodríguez, M; Ramírez-Vélez, R</t>
  </si>
  <si>
    <t>Quintero, Andrea P.; Johana Bonilla-Vargas, Kely; Correa-Bautista, Jorge E.; Dominguez-Sanchez, Maria A.; Triana-Reina, Hector R.; Velasco-Orjuela, Gina P.; Garcia-Hermoso, Antonio; Villa-Gonzalez, Emilio; Esteban-Cornejo, Irene; Correa-Rodriguez, Maria; Ramirez-Velez, Robinson</t>
  </si>
  <si>
    <t>Acute effect of three different exercise training modalities on executive function in overweight inactive men: A secondary analysis of the BrainFit study</t>
  </si>
  <si>
    <t>PHYSIOLOGY &amp; BEHAVIOR</t>
  </si>
  <si>
    <t>There is currently a consensus about the positive effects of physical exercise on cognition. However, the exercise intensity-dependent effect on executive function remains unclear. Thus, the aim of this study was to compare the acute effects of high-intensity aerobic interval training (HIIT), progressive resistance training (PRT), or combined training (PRT + HIIT) on executive function indicators in overweight inactive adult men (aged 18-30 years old). The participants were screened and excluded for medical conditions known to impact cognitive functioning, which was measured with the Montreal Cognitive Assessment (MoCA) screening cognitive test. A randomised, parallel-group clinical trial was conducted among 36 adults who were randomly assigned to a HIIT (n = 12), PRT (n = 7), PRT + HIIT (n = 7), or control group (n = 10) until the energy expenditure of 400-500 kcal. Cognitive inhibition and attention capacity were examined using the Stroop test and d2 test of attention, respectively, and were obtained pre-exercise for baseline measurement and 1 min post-exercise for each exercise training modality. Cognitive inhibition measured by the Stroop test was improved after the HIIT protocol for the domains of reading by +5.89 (eta(2) = 0.33), colour naming +9.0 (eta(2) = 0.60), interference +10.1 (eta(2) = 0.39), and index interference +6.0 (eta(2) = 0.20). Additionally, the PRT + HIIT group had an increase for the reading condition of +7.1 (eta(2) = 0.40), colour naming +7.5 (eta(2) = 0.80), and interference +5.8 (eta(2) = 0.39). In regard to attentional capacity, the HIIT group elicited small to medium improvements in the concentration level domain of +21.7 (eta(2) = 0.44), total performance domain +56.6 (eta(2) = 0.50), and consistency domain 3.0 (eta(2) = 0.27). These results were similar in the PRT and PRT + HIIT groups in the concentration level and items processed domains (P &lt; 0.05). In conclusion, acute HIIT and PRT + HIIT sessions reported important effect sizes than PRT alone for cognitive inhibition and attention capacity. Taken together, the results suggest that even short-term exercise interventions can enhance overweight adults' executive functions.</t>
  </si>
  <si>
    <t>Triana-Reina, Héctor/JMP-5055-2023; García-Hermoso, Antonio/ADU-2591-2022; Esteban-Cornejo, Irene/AGR-6997-2022; Villa-González, Emilio/G-6421-2015; Correa-Bautista, Jorge Enrique/JDD-3131-2023; Correa-Bautista, Jorge Enrique/N-2741-2015; Garcia-Hermoso, Antonio/P-1857-2017; Ramirez-Velez, Robinson/D-5311-2016; Correa-Rodriguez, Maria/G-1793-2018</t>
  </si>
  <si>
    <t>Correa-Bautista, Jorge Enrique/0000-0002-0646-2316; Garcia-Hermoso, Antonio/0000-0002-1397-7182; Dominguez Sanchez, Maria Andrea/0000-0003-0830-7990; TRIANA-REINA, HECTOR REYNALDO/0000-0002-6334-7082; Ramirez-Velez, Robinson/0000-0003-3075-6960; Correa-Rodriguez, Maria/0000-0001-9165-4349</t>
  </si>
  <si>
    <t>0031-9384</t>
  </si>
  <si>
    <t>10.1016/j.physbeh.2018.09.010</t>
  </si>
  <si>
    <t>WOS:000449132300004</t>
  </si>
  <si>
    <t>Mallol, J; Solé, D; Aguirre, V; Chong, H; Rosario, N; García-Marcos, L; Aranda, C; Della Bianca, C; Toledo, EC; de Oliveira, CM; Moraes, LSL; Takano, OA; Urrutia-Pereira, M; Ivancevich, JC; Jorge, PPD; Niederbacher-Velásquez, J; Cuadros-Mendoza, CA; Archila-Santamaria, DC; Ballesteros-Chaparro, L; Joya-Moreno, JM; Mallol, J; Aguirre, V; Szulman, GA; Behrends, I; de Gentile, AS; Arruda-Chaves, E; Cachay-Chávez, S; Mory-Arciniega, C; Pinchak, C; Akiki, A; Brea, S; Márquez, MN; Moreira, I; Muino, A; Valentin, M; Marcos, LG; Pérez-Fernández, V; Martínez-Torres, A</t>
  </si>
  <si>
    <t>Mallol, Javier; Sole, Dirceu; Aguirre, Viviana; Chong, Herberto; Rosario, Nelson; Garcia-Marcos, Luis; Aranda, Carolina; Della Bianca, Caroline; Toledo, Eliana C.; de Oliveira, Cibele Matsuura; Moraes, Lillian Sanchez-Lacerda; Takano, Olga Akiko; Urrutia-Pereira, Marilyn; Ivancevich, Juan Carlos; de Oliveira Jorge, Patricia Polles; Niederbacher-Velasquez, Jurg; Cuadros-Mendoza, Carlos A.; Archila-Santamaria, Diana C.; Ballesteros-Chaparro, Leonela; Joya-Moreno, Juan M.; Mallol, Javier; Aguirre, Viviana; Szulman, Gabriela A.; Behrends, Ilse; Spagnuolo de Gentile, Angela; Arruda-Chaves, Erika; Cachay-Chavez, Silvia; Mory-Arciniega, Claudia; Pinchak, Catalina; Akiki, Anabel; Brea, Silvia; Nelly Marquez, Maria; Moreira, Isabel; Muino, Adriana; Valentin, Marilyn; Marcos, Luis-Garcia; Perez-Fernandez, Virginia; Martinez-Torres, Antonela</t>
  </si>
  <si>
    <t>EISL Study Grp</t>
  </si>
  <si>
    <t>Changes in the prevalence and severity of recurrent wheezing in infants: The results of two surveys administered 7 years apart</t>
  </si>
  <si>
    <t>JOURNAL OF ASTHMA</t>
  </si>
  <si>
    <t>Objective:To identify changes in the prevalence and severity of recurrent wheezing (RW) in infants using data obtained from two surveys administered seven years apart.Methods: A cross-sectional, international, population-based study in infants aged 12-15 months was conducted. Data were obtained from two surveys (S1 and S2, in 2005 and 2012, respectively) using the same methodology in three large Latin American cities: Curitiba (Brazil), Sao Paulo (Brazil), and Santiago (Chile).Results: A decrease in the overall prevalence of RW was identified between S1 (23.3%) and S2 (20.4%), p = 0.004, but it was mainly driven by the reduction observed in Sao Paulo; in Curitiba and Santiago, this change was not significant. The mean prevalence of the following RW severity indicators remained high and stable: severe wheezing episodes (56.9% in S1 and 54.2% in S2, p = 0.32) and emergency department (ED) visits for wheezing (S1 = 68.1%, S2 70.9%, p = 0.21). A significant increase in admissions for wheezing (21.1% to 26.7%, p = 0.004) was observed. In Curitiba and Sao Paulo, there were significant increases in the prevalence of physician-diagnosed asthma and in the use of inhaled corticosteroids and oral antileukotrienes.Conclusions: The prevalence and severity of RW during the first year of life remained high over time, with remarkably high rates of ED visits, admissions for wheezing and use of asthma medications. This study suggests the need for considering early asthma diagnosis and to establish an appropriate treatment in infants with recurrent and severe asthma-like symptoms.</t>
  </si>
  <si>
    <t>Moreira, Isabel/M-4609-2019; Perez-Fernandez, Virginia/AAA-5690-2019; Ivancevich, Juan/AAB-4937-2020; Solé, Dirceu/JAO-0340-2023; TAKANO, OLGA/AAA-8473-2019; Chong Neto, Herberto Jose/K-4077-2013</t>
  </si>
  <si>
    <t>Perez-Fernandez, Virginia/0000-0003-1877-3055; Garcia-Marcos, Luis/0000-0002-0925-3851; Mallol, Javier/0000-0003-2528-8672; Chong Neto, Herberto Jose/0000-0002-7960-3925</t>
  </si>
  <si>
    <t>0277-0903</t>
  </si>
  <si>
    <t>1532-4303</t>
  </si>
  <si>
    <t>NOV 2</t>
  </si>
  <si>
    <t>10.1080/02770903.2017.1403625</t>
  </si>
  <si>
    <t>WOS:000458675000007</t>
  </si>
  <si>
    <t>Jara, P; Likerman, J; Charrier, R; Herrera, S; Pinto, L; Villarroel, M; Winocur, D</t>
  </si>
  <si>
    <t>Jara, Pamela; Likerman, Jeremias; Charrier, Reynaldo; Herrera, Sebastian; Pinto, Luisa; Villarroel, Matias; Winocur, Diego</t>
  </si>
  <si>
    <t>Closure type effects on the structural pattern of an inverted extensional basin of variable width: Results from analogue models</t>
  </si>
  <si>
    <t>JOURNAL OF SOUTH AMERICAN EARTH SCIENCES</t>
  </si>
  <si>
    <t>1st Symposium on South American Tectonics (Atecsud)</t>
  </si>
  <si>
    <t>NOV 14-16, 2016</t>
  </si>
  <si>
    <t>Univ Chile, Santiago, CHILE</t>
  </si>
  <si>
    <t>Univ Chile</t>
  </si>
  <si>
    <t>In order to further understand the controls on the structural configuration of inverted basins, previous research has vastly explored the role of rift-stage stress field variations on the resulting structure produced by basin inversion. Analogue modeling has broadly enabled geoscientists to gain insight into the controls on the structural evolution during basin inversion, such as: the inherited structural array of the basin, sedimentary load or sedimentary thickness, plan-view shape of the basin (length and width), and variations on the governing stress field, among other factors. This work sheds light on the influence exerted by the closure style on inversion of an elongated model basin with a variable width, generated by differential extension. We subsequently induced inversion by modifying the orientation of the post-rift contractional stress field: (i) in a first model, contraction is homogeneous along-strike (parallel to the major axis of the basin); and (ii) in a second model, contraction is heterogeneous along-strike and exerted in the same orientation and amount in which extension was induced (about a pivot point). We focus on the three-dimensional geometry of the structures generated by inversion, their vergence and surficial trace, and where they are prone to concentrate within the basin, to finally analyze and compare our results with natural examples of inverted Andean basin systems. Our results indicate that most of the contractional deformation imposed in the analog models is absorbed in the interiors of the basin in its widest zones by means of inverted normal faults and backthrusts. However, when the amount of shortening is higher than extension, deformation is propagated outside the basin where shortcuts and new oblique reverse faults are dominant, which promote a major uplift. (C) 2017 Elsevier Ltd. All rights reserved.</t>
  </si>
  <si>
    <t>Herrera, Sebastian/IAO-7096-2023; Pinto, Luisa/GXF-0087-2022; Pinto, Luisa/I-1562-2013</t>
  </si>
  <si>
    <t>Jara, Pamela/0000-0002-9717-9283; Villarroel Lastra, Matias/0009-0005-1524-351X; Pinto, Luisa/0000-0002-2176-2958; Likerman, Jeremias/0000-0003-3844-2085</t>
  </si>
  <si>
    <t>0895-9811</t>
  </si>
  <si>
    <t>10.1016/j.jsames.2017.10.018</t>
  </si>
  <si>
    <t>WOS:000449246000011</t>
  </si>
  <si>
    <t>García, C; Navarro, F; Celis, F; Ruiz, D; Toledo, S; Sanhueza, L; Quiñones, A; Aguirre, MJ</t>
  </si>
  <si>
    <t>Garcia, Camilo; Navarro, Freddy; Celis, Freddy; Ruiz, Domingo; Toledo, Sofa; Sanhueza, Luis; Quinones, Arturo; Aguirre, Maria J.</t>
  </si>
  <si>
    <t>Electrochemical, spectroscopic and electrochemiluminescent characterization of self-assembled 3-aminopropyltriethoxysilane/CdTe quantum dots hybrids on screen-printed electrodes</t>
  </si>
  <si>
    <t>This work describes the electrochemical, spectroscopic and electrochemiluminescent (ECL) characterization of graphite screen-printed electrodes (SPE) modified with a multilayer electrostatic assembly between 3-aminopropyltriethoxysilane (APTES) and CdTe quantum dots stabilized with glutathione (GSH) as the cationic and the negative layers, respectively. The characterization of the obtained system was performed by cyclic voltammetry, electrochemical impedance spectroscopy, scanning electron microscopy and Raman spectroscopy, which confirm the homogeneous presence of CdTe quantum dots on the multilayer assembly. The electrochemiluminescent properties were measured in a potentiostat coupled with a photodiode detector, showing stable and repetitive electrochemiluminescent signals. The ECL response was studied using potassium persulfate and hydrogen peroxide as co-reactants, and the measurements were carried out at different scan rates, pH values and concentrations. The ECL properties of the studied system at specific experimental conditions demonstrated different mechanisms by changing the co-reactants associated with the electrochemical step to generate the radical species and its interaction with the SPE/APTES/CdTe (GSH) reduced system, obtaining a more intense ECL signal with H2O2 than with S2O82-. Some analytical parameters, such as the linear range and the limit of detection for SPE/APTES/CdTe (GSH) in ECL H2O2 detection, were obtained. (C) 2018 Elsevier Ltd. All rights reserved.</t>
  </si>
  <si>
    <t>Navarro, Freddy/KIA-4345-2024; Aguirre, Maria/A-3935-2013; León, Domingo/AAE-7630-2019; Celis, Freddy/GPT-0287-2022</t>
  </si>
  <si>
    <t>Celis, Freddy/0000-0003-3195-3018; Ruiz Leon, Domingo/0000-0002-0950-6919; Aguirre, Maria/0000-0003-1134-4469; Navarro, Freddy/0000-0003-0056-5266; Sanhueza Vega, Luis/0000-0002-3763-6948</t>
  </si>
  <si>
    <t>JUN 20</t>
  </si>
  <si>
    <t>10.1016/j.electacta.2018.04.147</t>
  </si>
  <si>
    <t>WOS:000433042500007</t>
  </si>
  <si>
    <t>Diaz, M; Cardenas, R; Espinoza, M; Rojas, F; Mora, A; Clare, JC; Wheeler, P</t>
  </si>
  <si>
    <t>Diaz, Matias; Cardenas, Roberto; Espinoza, Mauricio; Rojas, Felix; Mora, Andres; Clare, Jon C.; Wheeler, Pat</t>
  </si>
  <si>
    <t>Control of Wind Energy Conversion Systems Based on the Modular Multilevel Matrix Converter</t>
  </si>
  <si>
    <t>The nominal power of single wind energy conversion systems (WECS) has been steadily increasing, now reaching power ratings close to 10 MW. In the power conversion stage, medium-voltage power converters are replacing the conventional low-voltage back-to-back topology. Modular multilevel converters have appeared as a promising solution for multi-MW WECSs, due to their modularity and the capability to reach high nominal voltages. This paper discusses the application of the modular multilevel matrix converter to drive multi-MW WECSs. The modeling and control systems required for this application are extensively analyzed and discussed in this paper. The proposed control strategies enable decoupled operation of the converter, provide maximum power point tracking capability at the generator side, grid code compliance at the grid side (including low-voltage ride-through control) and good steady state and dynamic performance for balancing the capacitor voltages in all the clusters. Finally, the effectiveness of the proposed control strategy is validated using simulation and through experimental results obtained with a 27-power-cell prototype.</t>
  </si>
  <si>
    <t>Clare, Jon/M-2032-2018; Rojas, Felix/U-3305-2019; Mora, Andres/I-6953-2015; Espinoza, Mauricio/AAH-8647-2019; Cardenas, Roberto/C-6395-2011; Diaz, Matias/R-7570-2018</t>
  </si>
  <si>
    <t>Wheeler, Patrick/0000-0003-0307-581X; Cardenas, Roberto/0000-0003-3853-7703; MORA, ANDRES/0000-0002-5606-2783; Diaz, Matias/0000-0003-4489-9532; Rojas, Felix/0000-0001-6145-2826</t>
  </si>
  <si>
    <t>10.1109/TIE.2017.2733467</t>
  </si>
  <si>
    <t>WOS:000412579300041</t>
  </si>
  <si>
    <t>Diaz, M; Cárdenas, R; Espinoza, M; Mora, A; Wheeler, P</t>
  </si>
  <si>
    <t>Diaz, Matias; Cardenas, Roberto; Espinoza, Mauricio; Mora, Andres; Wheeler, Pat</t>
  </si>
  <si>
    <t>Modelling and Control of the Modular Multilevel Matrix Converter and its application to Wind Energy Conversion Systems</t>
  </si>
  <si>
    <t>In the last past years, some countries are enforcing stringent grid codes to regulate the connection of Wind Energy Conversion Systems (WECSs) to the electrical network, mainly because of the high penetration of electric power from this renewable source. Additionally, the trend of wind turbines has shown an ongoing power rating growth, reaching sizes up to 10 MW. Multilevel converters have appeared as a solution for large WECSs, due to its high reliability, controllability and the capability to reach high power ratings. This paper presents a control strategy for the application of the Modular Multilevel Matrix Converter in Multimegawatts Wind Turbines. Extensive computer simulations and a downscaled laboratory prototype, with twenty-seven power cells, are presented to validate the effectiveness of the proposed control system.</t>
  </si>
  <si>
    <t>WOS:000399031205052</t>
  </si>
  <si>
    <t>Severinov, K; Ispolatov, I; Semenova, E</t>
  </si>
  <si>
    <t>Severinov, Konstantin; Ispolatov, Iaroslav; Semenova, Ekaterina</t>
  </si>
  <si>
    <t>The Influence of Copy-Number of Targeted Extrachromosomal Genetic Elements on the Outcome of CRISPR-Cas Defense</t>
  </si>
  <si>
    <t>FRONTIERS IN MOLECULAR BIOSCIENCES</t>
  </si>
  <si>
    <t>Prokaryotic type I CRISPR-Cas systems respond to the presence of mobile genetic elements such as plasmids and phages in two different ways. CRISPR interference efficiently destroys foreign DNA harboring protospacers fully matching CRISPR RNA spacers. In contrast, even a single mismatch between a spacer and a protospacer can render CRISPR interference ineffective but causes primed adaptation-efficient and specific acquisition of additional spacers from foreign DNA into the CRISPR array of the host. It has been proposed that the interference and primed adaptation pathways are mediated by structurally different complexes formed by the effector Cascade complex on matching and mismatched protospacers. Here, we present experimental evidence and present a simple mathematical model that shows that when plasmid copy number maintenance/phage genome replication is taken into account, the two apparently different outcomes of the CRISPR-Cas response can be accounted for by just one kind of effector complex on both targets. The results underscore the importance of consideration of targeted genome biology when considering consequences of CRISPR-Cas systems action.</t>
  </si>
  <si>
    <t>Ispolatov, Yaroslav/E-8544-2010; Severinov, Konstantin/C-8545-2016</t>
  </si>
  <si>
    <t>Semenova, Ekaterina/0000-0001-6816-8879</t>
  </si>
  <si>
    <t>2296-889X</t>
  </si>
  <si>
    <t>10.3389/fmolb.2016.00045</t>
  </si>
  <si>
    <t>WOS:000455328600045</t>
  </si>
  <si>
    <t>Cárdenas, R; Peña, R; Wheeler, P; Clare, J; Muñoz, A; Sureda, A</t>
  </si>
  <si>
    <t>Cardenas, Roberto; Pena, Ruben; Wheeler, Patrick; Clare, Jon; Munoz, Andres; Sureda, Alvaro</t>
  </si>
  <si>
    <t>Control of a wind generation system based on a Brushless Doubly-Fed Induction Generator fed by a matrix converter</t>
  </si>
  <si>
    <t>ELECTRIC POWER SYSTEMS RESEARCH</t>
  </si>
  <si>
    <t>The Doubly-Fed Induction Generator (DFIG) is one of the most widely used generators for wind energy applications with more than 50% of installed Wind Energy Conversion Systems (WECS) using this variable speed technology. However, the conventional DFIG requires brushes and copper slip-rings to connect a power converter to the rotor windings. The use of brushes decreases the WECS' robustness and extra maintenance is required to periodically inspect/replace these elements. In this work a new topology for a Brushless Doubly-Fed Induction Generator (BDFIG) is presented. As an alternative to conventional Voltage Source Inverters (VSI) a matrix converter is used to regulate the current supplied to the stator of the doubly-fed machine, supplying the excitation energy to the WECS. The proposed generation system is mathematically analysed in this paper and the design of the control loops is discussed. Because the power spectrum density of the wind speed is dominated by low frequency components, in this work some simplifications of the transfer functions of the system are proposed. Experimental results obtained from a 3 kW prototype of a cascaded DFIG, are presented and fully discussed. (C) 2013 Elsevier B.V. All rights reserved.</t>
  </si>
  <si>
    <t>Munoz, Andres/HGC-8739-2022; pena, ruben/H-1806-2018; Munoz, Andres/G-5106-2015; Cardenas, Roberto/C-6395-2011; Clare, Jon/M-2032-2018</t>
  </si>
  <si>
    <t>Wheeler, Patrick/0000-0003-0307-581X; Munoz, Andres/0000-0002-8491-4592; Cardenas, Roberto/0000-0003-3853-7703; Clare, Jon/0000-0001-8243-4280</t>
  </si>
  <si>
    <t>0378-7796</t>
  </si>
  <si>
    <t>1873-2046</t>
  </si>
  <si>
    <t>10.1016/j.epsr.2013.04.006</t>
  </si>
  <si>
    <t>WOS:000322939700007</t>
  </si>
  <si>
    <t>Luz-Crawford, P; Noël, D; Fernandez, X; Khoury, M; Figueroa, F; Carrión, F; Jorgensen, C; Djouad, F</t>
  </si>
  <si>
    <t>Luz-Crawford, Patricia; Noel, Daniele; Fernandez, Ximena; Khoury, Maroun; Figueroa, Fernando; Carrion, Flavio; Jorgensen, Christian; Djouad, Farida</t>
  </si>
  <si>
    <t>Mesenchymal Stem Cells Repress Th17 Molecular Program through the PD-1 Pathway</t>
  </si>
  <si>
    <t>MSC display potent suppressive properties initially described a decade ago. More recently, MSC suppressive activities on T-cell effector pathways have been investigated. MSC modulate CD4 differentiation through different mechanisms depending on culture conditions and display disparate activities on T cells according to their differentiation status. A significant amount of evidence for MSC effects on Th17 cells revealed that MSC could be suppressive under diverse circumstances but also enhance Th17 cell activity under other conditions. In the present study, we investigated the suppressive effects of MSC on Th1 and Th17 subsets of T cells using T cells undergoing Th1 and Th17 polarization or mature Th1 and Th17 cells. MSC inhibited the proliferation of T cells during their differentiation toward Th1 cells and mature Th1 cells. This suppressive effect was maintained in a transwell cell culture insert demonstrating the major role played by soluble factors. Using the transwell cell separation barrier, we observed that MSC decrease the number of T cells undergoing Th17 differentiation whereas they did not affect IL-17 production by mature Th17, demonstrating the need for cell contact for suppressing Th17 cell function. Moreover, we reported that PD-L1 is highly expressed on MSC co-cultured with differentiating or polarized Th1 and Th17 cells. Using neutralizing antibodies specific for PD-L1 and PD-1 we showed that the mechanisms by which MSC mediate Th17 cell repolarization depend on PD-L1 expression on MSC. Taken together our results demonstrated a cell-to-cell contact depend mechanism in the selective immunosuppression of MSC on mature Th17 cells through up-regulation of PD-L1.</t>
  </si>
  <si>
    <t>Fernández, Ximena/AAH-6629-2020; Noel, Daniele/E-5719-2016; CARRION, FLAVIO/AAP-7907-2021; Figueroa, Fernando E./AAO-5228-2020</t>
  </si>
  <si>
    <t>Djouad, Farida/0000-0001-8248-6822; Luz Crawford, Patricia/0000-0003-0067-7743; jorgensen, christian/0000-0001-6947-8094; Noel, Daniele/0000-0002-3498-3776; Figueroa, Fernando E./0000-0002-9387-094X; Carrion, Flavio/0000-0002-4086-6867; Khoury, Maroun/0000-0002-9965-6266</t>
  </si>
  <si>
    <t>SEP 17</t>
  </si>
  <si>
    <t>e45272</t>
  </si>
  <si>
    <t>10.1371/journal.pone.0045272</t>
  </si>
  <si>
    <t>WOS:000309742800047</t>
  </si>
  <si>
    <t>Barreto, ACH; Maia, FJN; Santiago, VR; Ribeiro, VGP; Denardin, JC; Mele, G; Carbone, L; Lomonaco, D; Mazzetto, SE; Fechine, PBA</t>
  </si>
  <si>
    <t>Barreto, A. C. H.; Maia, F. J. N.; Santiago, V. R.; Ribeiro, V. G. P.; Denardin, J. C.; Mele, Giuseppe; Carbone, L.; Lomonaco, Diego; Mazzetto, S. E.; Fechine, P. B. A.</t>
  </si>
  <si>
    <t>Novel ferrofluids coated with a renewable material obtained from cashew nut shell liquid</t>
  </si>
  <si>
    <t>MICROFLUIDICS AND NANOFLUIDICS</t>
  </si>
  <si>
    <t>In this work, we present the synthesis and characterization of a new surfactant molecule obtained from a byproduct of the cashew nut processing (diphosphorylated cardol, DPC). It is herein used to overcoat magnetic nanoparticles showing spinel structures in order to create new ferrofluids. The nanoparticle structure and magnetic properties have been deeply investigated. DPC-functionalized Fe3O4 and NiFe2O4 samples exhibit higher magnetic saturation than DPC-CoFe2O4. These new ferrofluids reveal appealing as possible nanoparticle stabilizing molecules, magnetic resonance imaging agents, storage systems or in any material science field that requires the employment of biocompatible magnetic stable fluids.</t>
  </si>
  <si>
    <t>Barreto, Antonio/Y-4744-2019; Ribeiro, Viviane/KXQ-9792-2024; Mazzetto, Selma/R-5406-2016; Maia, Francisco/A-7078-2013; Denardin, Juliano/S-6407-2019; Carbone, Luigi/AAY-5320-2020; Carbone, Luigi/O-2193-2015; LOMONACO, DIEGO/F-3430-2013; Fechine, Pierre/B-7937-2013; Mele, Giuseppe/N-9765-2015</t>
  </si>
  <si>
    <t>Carbone, Luigi/0000-0002-1369-6890; LOMONACO, DIEGO/0000-0001-5763-4336; Honorato Barreto, Antonio Cesar/0000-0002-5757-334X; Mazzetto, Selma Elaine/0000-0002-6879-3209; Fechine, Pierre/0000-0002-7822-2354; Denardin, Juliano/0000-0002-1373-6207; Gomes Pereira Ribeiro, Viviane/0000-0003-1516-2195; Mele, Giuseppe/0000-0002-6684-990X</t>
  </si>
  <si>
    <t>1613-4982</t>
  </si>
  <si>
    <t>1613-4990</t>
  </si>
  <si>
    <t>10.1007/s10404-011-0910-6</t>
  </si>
  <si>
    <t>WOS:000300670200001</t>
  </si>
  <si>
    <t>Cortés, JL; Gamboa, J; Lepe, S; Lopez-Sarrión, J</t>
  </si>
  <si>
    <t>An adiabatic approximation to the path integral for relativistic fermionic fields</t>
  </si>
  <si>
    <t>PHYSICS LETTERS B</t>
  </si>
  <si>
    <t>A new approach to the path integral over fermionic fields, based on the extension of a reformulation of the adiabatic approximation to some quantum-mechanical systems, is presented. A novel non-analytic contribution to the effective fermionic action for a fermion field coupled to a non-Abelian vector field is identified. The possible interpretation of this contribution as a violation of the decoupling theorem in quantum field theory (QFT) is discussed. The generalization of the approach to the case of finite temperature and density suggests the possibility to apply it to the understanding of non-perturbative properties in QFT and their dependence on temperature and density. (c) 2005 Elsevier B.V. All rights reserved.</t>
  </si>
  <si>
    <t>Gamboa, Jorge/R-8744-2019; cortes, jose/C-3257-2012</t>
  </si>
  <si>
    <t>Lopez Sarrion, Justo Javier/0000-0002-2868-194X; cortes, jose/0000-0002-8282-3435</t>
  </si>
  <si>
    <t>0370-2693</t>
  </si>
  <si>
    <t>1873-2445</t>
  </si>
  <si>
    <t>JUL 21</t>
  </si>
  <si>
    <t>10.1016/j.physletb.2005.04.044</t>
  </si>
  <si>
    <t>WOS:000230373400023</t>
  </si>
  <si>
    <t>Torres, R; Faini, F; Delle Monache, F; Delle Monache, G</t>
  </si>
  <si>
    <t>Two new O-geranyl coumarins from the resinous exudate of Haplopappus multifolius</t>
  </si>
  <si>
    <t>From the resinous exudate of leaves of Haplopappus multifolius two new coumarins were isolated and assigned the structures 6-hydroxy-7-(5'-hydroxy-3',7'-dimethylocta-2',6'-dien)oxycoumarin (1) and 6-hydroxy-7-(7'-hydroxy-3',7'-dimethylocta-2',5'-dien)-oxy coumarin (2). (C) 2003 Elsevier B.V. All rights reserved.</t>
  </si>
  <si>
    <t>10.1016/j.fitote.2003.06.003</t>
  </si>
  <si>
    <t>WOS:000188125800002</t>
  </si>
  <si>
    <t>Olivares, IE; Duarte, AE; Saravia, EA; Duarte, FJ</t>
  </si>
  <si>
    <t>Lithium isotope separation with tunable diode lasers</t>
  </si>
  <si>
    <t>APPLIED OPTICS</t>
  </si>
  <si>
    <t>A laser-isotope-separation study of lithium has been performed with two-step excitation involving UV laser radiation and a visible tunable-diode laser. The method yields a high degree of selectivity by tuning the narrow-linewidth diode laser to the D-1 or D-2 levels of the lithium atom. Selective laser excitation is simplified by the use of the tunable diode laser and the overall approach benefits from the application of a compact mass selector that includes a precision magnetic sector and an ion beam that is designed specifically for light atoms such as lithium. (C) 2002 Optical Society of America.</t>
  </si>
  <si>
    <t>Olivares, Ignacio/AAU-9355-2021; Duarte, Fernando/AAF-4712-2020</t>
  </si>
  <si>
    <t>Duarte, F. J./0000-0001-6275-4674; Olivares, Ignacio/0000-0001-8440-7665</t>
  </si>
  <si>
    <t>1559-128X</t>
  </si>
  <si>
    <t>2155-3165</t>
  </si>
  <si>
    <t>10.1364/AO.41.002973</t>
  </si>
  <si>
    <t>WOS:000175697300031</t>
  </si>
  <si>
    <t>Loyo, C; Cordoba, A; Palza, H; Canales, D; Melo, F; Vivanco, JF; Baier, RV; Millán, C; Corrales, T; Zapata, PA</t>
  </si>
  <si>
    <t>Loyo, Carlos; Cordoba, Alexander; Palza, Humberto; Canales, Daniel; Melo, Francisco; Vivanco, Juan F.; Baier, Raul Vallejos; Millan, Carola; Corrales, Teresa; Zapata, Paula A.</t>
  </si>
  <si>
    <t>Effect of Gelatin Coating and GO Incorporation on the Properties and Degradability of Electrospun PCL Scaffolds for Bone Tissue Regeneration</t>
  </si>
  <si>
    <t>Polymer-based nanocomposites such as polycaprolactone/graphene oxide (PCL/GO) have emerged as alternatives for bone tissue engineering (BTE) applications. The objective of this research was to investigate the impact of a gelatin (Gt) coating on the degradability and different properties of PCL nanofibrous scaffolds fabricated by an electrospinning technique with 1 and 2 wt% GO. Uniform PCL/GO fibers were obtained with a beadless structure and rough surface. PCL/GO scaffolds exhibited an increase in their crystallization temperature (Tc), attributed to GO, which acted as a nucleation agent. Young's modulus increased by 32 and 63% for the incorporation of 1 and 2 wt% GO, respectively, in comparison with neat PCL. A homogeneous Gt coating was further applied to these fibers, with incorporations as high as 24.7 wt%. The introduction of the Gt coating improved the hydrophilicity and degradability of the scaffolds. Bioactivity analysis revealed that the hydroxyapatite crystals were deposited on the Gt-coated scaffolds, which made them different from their uncoated counterparts. Our results showed the synergic effect of Gt and GO in enhancing the multifunctionality of the PCL, in particular the degradability rate, bioactivity, and cell adhesion and proliferation of hGMSC cells, making it an interesting biomaterial for BTE.</t>
  </si>
  <si>
    <t>Melo, Francisco/M-3923-2014; Palza, Humberto/H-2782-2014; corrales, teresa/AAN-5978-2020; Canales Arévalo, Daniel/HSG-6748-2023; Cordoba, Alexander/HPH-1337-2023; Loyo, Carlos/AAZ-6777-2021</t>
  </si>
  <si>
    <t>Vivanco, Juan F./0000-0002-2659-368X; Corrales, Teresa/0000-0002-0171-2283; Loyo Davila, Carlos David/0000-0003-4177-2958; Canales, Daniel A./0000-0002-2691-6864; Cordoba, Alexander/0000-0002-0750-467X; Zapata, Paula Andrea/0000-0003-3361-6226; Melo, Francisco Esteban/0000-0001-6818-5476</t>
  </si>
  <si>
    <t>10.3390/polym16010129</t>
  </si>
  <si>
    <t>WOS:001140615100001</t>
  </si>
  <si>
    <t>Jasemi, SV; Khazaei, H; Morovati, MR; Joshi, T; Aneva, IY; Farzaei, MH; Echeverría, J</t>
  </si>
  <si>
    <t>Jasemi, Seyed Vahid; Khazaei, Hosna; Morovati, Mohammad Reza; Joshi, Tanuj; Aneva, Ina Yosifova; Farzaei, Mohammad Hosein; Echeverria, Javier</t>
  </si>
  <si>
    <t>Phytochemicals as treatment for allergic asthma: Therapeutic effects and mechanisms of action</t>
  </si>
  <si>
    <t>PHYTOMEDICINE</t>
  </si>
  <si>
    <t>Background: Allergic asthma is an inflammatory disease caused by the immune system's reaction to allergens, inflammation and narrowing of the airways, and the production of more than normal mucus. One of the main reasons is an increased production of inflammatory cytokines in the lungs that leads to the appearance of symptoms of asthma, including inflammation and shortness of breath. On the other hand, it has been proven that phytochemicals with their antioxidant and anti-inflammatory properties can be useful in improving allergic asthma. Purpose: Common chemical treatments for allergic asthma include corticosteroids, which have many side effects and temporarily relieve symptoms but are not a cure. Therefore, taking the help of natural compounds toimprove the quality of life of asthmatic patients can be a valuable issue that has been evaluated in the present review. Study design and Methods: In this study, three databases (Scopus, PubMed, and Cochrane) with the keywords: allergic asthma, phytochemical, plant, and herb were evaluated. The primary result was 5307 articles. Non-English, repetitive, and review articles were deleted from the study. Results and discussion: Finally, after carefully reading the articles, 102 were included in the study (2006-2022). The results of this review state that phytochemicals suppress the inflammatory pathways via inhibition of inflammatory cytokines production/secretion, genes, and proteins involved in the inflammation process, reducing oxidative stress indicators and symptoms of allergic asthma, such as cough and mucus production in the lungs. Conclusion: With their antioxidant effects, this study concluded that phytochemicals suppress cytokines and other inflammatory indicators and thus can be considered an adjunctive treatment for improving allergic asthma.</t>
  </si>
  <si>
    <t>Echeverría, Javier/E-9989-2011; Joshi, Tanuj/AAV-2610-2020; Farzaei, Mohammad/M-5779-2017; Aneva, Ina/AAI-4487-2020</t>
  </si>
  <si>
    <t>0944-7113</t>
  </si>
  <si>
    <t>1618-095X</t>
  </si>
  <si>
    <t>10.1016/j.phymed.2023.155149</t>
  </si>
  <si>
    <t>WOS:001103695300001</t>
  </si>
  <si>
    <t>Sanhueza, L; Garrido, K; Celis, F; Garcia, M; Caceres, C; Moczko, E; Diaz, R; Aguirre, MJ; Garcia, C</t>
  </si>
  <si>
    <t>Sanhueza, Luis; Garrido, Karla; Celis, Freddy; Garcia, Macarena; Caceres, Cesar; Moczko, Ewa; Diaz, Ramiro; Aguirre, Maria J.; Garcia, Camilo</t>
  </si>
  <si>
    <t>Tailoring the electroactive area of carbon screen-printed electrodes by simple activation steps towards rutin determination</t>
  </si>
  <si>
    <t>Screen-printed electrodes (SPEs) have the advantage of being considered electrochemical cells that can be implemented in portable sensor applications. With the aim to improve the SPE performance, herein, we present different electrochemical surface modifications of carbon-based SPEs by cyclic voltammetry in hydrogen peroxide or sodium peroxide solution. SPEs were characterized using contact angle, Raman spectroscopy, laser-induced breakdown spectroscopy (LIBS), and electrochemical methods, including cyclic voltammetry (CV), electrochemical impedance spectroscopy, and square wave voltammetry (SVW). Main results agree with the observed changes by Raman spectroscopy and the sp(2)/sp(3) ratio (I-D/I-G) of carbon vibrational bands. The diminishing of C-2 Swan signal determined by LIBS suggests that the activation steps produced defects onto the working electrode in the SPE. Considering that the different intermolecular forces of the redox couples are useful to indirectly evaluate the different functional groups, the activated SPEs were studied in the presence of rutin and [Fe(CN)(6)](3-)/[Fe(CN)(6)](4-) redox couples. Main results show that the electrochemical response of the activated electrode surfaces can be properly used to improve the rutin electrochemical determination.</t>
  </si>
  <si>
    <t>Aguirre, Maria/A-3935-2013; Garcia, Macarena/KFQ-4863-2024; Celis, Freddy/GPT-0287-2022</t>
  </si>
  <si>
    <t>Celis, Freddy/0000-0003-3195-3018; Sanhueza Vega, Luis/0000-0002-3763-6948</t>
  </si>
  <si>
    <t>10.1007/s10008-023-05435-8</t>
  </si>
  <si>
    <t>WOS:000946437800001</t>
  </si>
  <si>
    <t>Velásquez, E; Vidal, CP; Copello, G; de Dicastillo, CL; Pérez, CJ; Guarda, A; Galotto, MJ</t>
  </si>
  <si>
    <t>Velasquez, Eliezer; Vidal, Cristian Patino; Copello, Guillermo; Lopez de Dicastillo, Carol; Perez, C. J.; Guarda, Abel; Galotto, Maria Jose</t>
  </si>
  <si>
    <t>Developing Post-Consumer Recycled Flexible Polypropylene and Fumed Silica-Based Nanocomposites with Improved Processability and Thermal Stability</t>
  </si>
  <si>
    <t>Collection and mechanical recycling of post-consumer flexible polypropylene packaging is limited, principally due to polypropylene being very light-weight. Moreover, service life and thermal-mechanical reprocessing degrade PP and change its thermal and rheological properties according to the structure and provenance of recycled PP. This work determined the effect of incorporating two fumed nanosilica (NS) types on processability improvement of post-consumer recycled flexible polypropylene (PCPP) through ATR-FTIR, TGA, DSC, MFI and rheological analysis. Presence of trace polyethylene in the collected PCPP increased the thermal stability of the PP and was significantly maximized by NS addition. The onset decomposition temperature raised around 15 degrees C when 4 and 2 wt% of a non-treated and organically modified NS were used, respectively. NS acted as a nucleating agent and increased the crystallinity of the polymer, but the crystallization and melting temperatures were not affected. The processability of the nanocomposites was improved, observed as an increase in viscosity, storage and loss moduli with respect to the control PCPP, which were deteriorated due to chain scission during recycling. The highest recovery in viscosity and reduction in MFI were found for the hydrophilic NS due to a greater impact of hydrogen bond interactions between the silanol groups of this NS and the oxidized groups of the PCPP.</t>
  </si>
  <si>
    <t>Patiño Vidal, Cristian Javier/JDM-7961-2023; Lopez-de-Dicastillo, Carol/C-6347-2019; Copello, Guillermo/N-2878-2015</t>
  </si>
  <si>
    <t>Lopez-de-Dicastillo, Carol/0000-0003-0067-9765; Patino Vidal, Cristian Javier/0000-0002-5633-6908; Copello, Guillermo/0000-0003-2689-8202; VELASQUEZ, ELIEZER/0000-0001-8858-8926; Perez, Claudio J./0000-0003-1934-501X</t>
  </si>
  <si>
    <t>10.3390/polym15051142</t>
  </si>
  <si>
    <t>WOS:000948248700001</t>
  </si>
  <si>
    <t>Miarka, B; Perez, DIV; Aedo-Munoz, E; Da Costa, LOF; Barreto, LBM; Brito, CJ</t>
  </si>
  <si>
    <t>Miarka, Bianca; Valenzuela Perez, Diego Ignacio; Aedo-Munoz, Esteban; Fernandes Da Costa, Lucas Oliveira; Mota Barreto, Lindsei Brabec; Jose Brito, Ciro</t>
  </si>
  <si>
    <t>Technical report on a time-motion analysis of male judo cadets' combats between weight divisions</t>
  </si>
  <si>
    <t>IDO MOVEMENT FOR CULTURE-JOURNAL OF MARTIAL ARTS ANTHROPOLOGY</t>
  </si>
  <si>
    <t>Methods. Time-motion analysis data of cadet-athletes (age: 15.95 +/- 0.68 years-old) were grouped by weight divisions, according to the following criteria: lightweight Lighters (n = 224 combats of -50kg, -55kg and -60kg), middleweight Middlers (n = 76 combats of -66kg, -73kg and -81kg) and heavyweight Heavies (n = 50 combats of -90kg and +90kg) at four state judo championships. Total and sequential time-motion analyses were observed, according to each combat phase (i.e. standing combat, approach, gripping, attack, groundwork combat, and pause phases) and compared by weight divisions, p &lt;= 0.05. Results. The main results indicated significant differences between combat time, with lightweight Lighters (234.4s +/- 122.3s) &gt; middleweight Middlers (191.6s +/- 118.2s) and heavyweight competitors Heavies (176.8s +/- 131s), standing combat time, with Lighters (125.4s +/- 67.4s) &gt; Middlers (99.6s +/- 70.8s) and Heavies (91.1s +/- 63.6s), approach phase, with Lighters (41.5s +/- 26s) &gt; Middlers (27.2s +/- 18.2s) and gripping phase, with Lighters (75.5s +/- 49.2s) &gt;Heavies (51.3s +/- 36.9s). Conclusions. Our results suggest that individual training programs should be adjusted for cadets according to their weight divisions with consideration given to the temporal structure of the competitive environment.</t>
  </si>
  <si>
    <t>Brito, Ciro/AAC-9104-2019; Miarka, Bianca/V-7395-2017; Aedo-Muñoz, Esteban/R-5623-2019; Brabec Mota Barreto, Lindsei/AAW-2501-2020</t>
  </si>
  <si>
    <t>Brabec Mota Barreto, Lindsei/0000-0001-5941-4409; brito, ciro/0000-0002-9678-1977</t>
  </si>
  <si>
    <t>2084-3763</t>
  </si>
  <si>
    <t>2082-7571</t>
  </si>
  <si>
    <t>10.14589/ido.22.1.2</t>
  </si>
  <si>
    <t>WOS:000739116000002</t>
  </si>
  <si>
    <t>Guerra, CF; Reyes-Bozo, L; Vyhmeister, E; Caparrós, MJ; Salazar, JL; Clemente-Jul, C</t>
  </si>
  <si>
    <t>Funez Guerra, C.; Reyes-Bozo, L.; Vyhmeister, E.; Jaen Caparros, M.; Luis Salazar, Jose; Clemente-Jul, C.</t>
  </si>
  <si>
    <t>Technical-economic analysis for a green ammonia production plant in Chile and its subsequent transport to Japan</t>
  </si>
  <si>
    <t>RENEWABLE ENERGY</t>
  </si>
  <si>
    <t>Green ammonia can be produced using fossil fuels or any renewable energy source combined with heat or electricity. Chile has one of the highest rates of solar irradiation and also the environmental conditions that support the development of solar industry. Other renewable sources of energy are the wind and the hydraulic dams. These energies could be used to generate ammonia by a standard method such as the Haber-Bosch process, which transforms hydrogen and nitrogen using high temperatures and a catalyst. The ammonia has several desirable characteristics that suggest its use as a way to store hydrogen. Firstly, it can be liquified under mild conditions. Secondly, the ammonia has a high weight fraction of hydrogen. Thus, it is deemed necessary to study technical and economic variables that may support the use of green ammonia as an energy carrier for hydrogen. The aim of this work is to develop a technical-economic analysis about the production of ammonia using hydrogen by means of electrolysis (carried out with solar, wind, and hydraulic renewable energies). The aforementioned green ammonia would be produced in Chile and it would be necessary to transport it to Japan. Sensitivity analysis of main parameters (plant operating hours, size of the ammonia synthesis plant - related to the capacity of the electrolysis plant size in MW-, electricity price, electrolyzer cost, Haber-Bosch cycle cost, and ammonia sales price) was performed to report what factors are primordial at the moment of carried out techno-economic analyses. An optimization process that minimize the NPV was run in order to settle the most convenient size of the electrolyser stack. A net present value (NPV) of base case is V77,414,525 and 7.62 years of pay-back period were calculated for this green ammonia production plant, which considered hydrogen production via electrolysis, Haber-Bosch processes, and trade values of different operational units. The sensitivity analysis has determined that the main variables affecting the NPV are the size of the ammonia synthesis plant and the electricity price. Furthermore, by considering triangular probability distribution of specific variables, it was observed that with a 95% of confidence, the NPV would be positive with a 76.1% of occurrence. The optimization process defined that a stack of 164.21 MW would be the most convenient electrolyser stack dimension, which was estimated by considering all different effects over the operational expenditure (OPEX), capital expenditure (CAPEX), and investments risk. Therefore, the hydrogen production in Chile and its transportation to Japan using ammonia as an energy carrier would be a technically viable and profitable solution, which also has environmental benefits. (C) 2020 Elsevier Ltd. All rights reserved.</t>
  </si>
  <si>
    <t>SALAZAR, JOSE LUIS/0000-0002-9922-9424</t>
  </si>
  <si>
    <t>0960-1481</t>
  </si>
  <si>
    <t>10.1016/j.renene.2020.05.041</t>
  </si>
  <si>
    <t>WOS:000541747100032</t>
  </si>
  <si>
    <t>Wu, HY; Li, SJ; Ji, MH; Chen, Q; Shi, JP; Blamey, JM; Sun, JS</t>
  </si>
  <si>
    <t>Wu, Haiying; Li, Sijie; Ji, Minghua; Chen, Qiao; Shi, Jiping; Blamey, Jenny M.; Sun, Junsong</t>
  </si>
  <si>
    <t>Improvement of polyhydroxybutyrate production by deletion of csrA in Escherichia coli</t>
  </si>
  <si>
    <t>Background: Poly-3-hydroxybutyrate (PHB) can be efficiently produced in recombinant Escherichia coli by the overexpression of an operon (NphaCAB) encoding PHB synthetase. Strain improvement is considered to be one of critical factors to lower the production cost of PHB in recombinant system. In this study, one of key regulators that affect the cell growth and PHB content was confirmed and analyzed. Result: S17-3, a mutant E. coli strain derived from S17-1, was found to be able to achieve high cell density when expressing NphaCAB with the plasmid pBhya-CAB. Whole genome sequencing of S17- 3 revealed genetic alternations on the upstream regions of csrA, encoding a global regulator cross-talking between stress response, catabolite repression and other metabolic activities. Deletion of csrA or expression of mutant csrA resulted in improved cell density and PHB content. Conclusion: The impact of gene deletion of csrA was determined, dysfunction of the regulators improved the cell density of recombinant E. coli and PHB production, however, the detail mechanism needs to be further clarified. (C) 2020 Pontificia Universidad Catolica de Valparaiso. Production and hosting by Elsevier B.V. All rights reserved.</t>
  </si>
  <si>
    <t>Blamey, Jenny/M-2637-2014</t>
  </si>
  <si>
    <t>Chen, Qiao(Alex)/0000-0003-4078-069X</t>
  </si>
  <si>
    <t>10.1016/j.ejbt.2020.04.005</t>
  </si>
  <si>
    <t>WOS:000557952300002</t>
  </si>
  <si>
    <t>Guerrero-Hernández, GR; Fernández-Ugalde, RA</t>
  </si>
  <si>
    <t>Guerrero-Hernandez, Gonzalo R.; Fernandez-Ugalde, Rocio A.</t>
  </si>
  <si>
    <t>Teachers as researchers: Reflecting on the challenges of research-practice partnerships between school and university in Chile</t>
  </si>
  <si>
    <t>LONDON REVIEW OF EDUCATION</t>
  </si>
  <si>
    <t>Teachers have tended to be underestimated as experts of their own practice and relegated to a technical role. In this context, action research appears as a form to legitimate teachers as active agents and producers of educational knowledge. This article aims to examine how a collaborative research-practice partnership between schools and universities in Chile fosters teachers' role as researchers. It adopts a qualitative methodology based on thematic analysis of data collected from questionnaires and focus groups. In particular, it reports perceptions of inservice teacher researchers who conducted research projects between 2016 and 2017 as a part of a researcher-practitioner partnership strategy implemented by a university in Chile. The findings suggest that the partnerships were highly valued among teachers because the partnerships allowed them to develop pedagogical reflection towards the improvement of their practices and required particular awareness and recognition of roles and the relationships between practical and theoretical knowledge. Finally, possibilities for strengthening teachers' role as researchers and collaborative research are presented at the end of the article.</t>
  </si>
  <si>
    <t>Fernandez Ugalde, Rocio/0000-0003-4991-8034; Guerrero, Gonzalo/0000-0002-7207-4880</t>
  </si>
  <si>
    <t>1474-8460</t>
  </si>
  <si>
    <t>1474-8479</t>
  </si>
  <si>
    <t>10.14324/LRE.18.3.07</t>
  </si>
  <si>
    <t>WOS:000639452700007</t>
  </si>
  <si>
    <t>Correa-Bautista, JE; Vivas, A; Mota, J; Garcia-Hermoso, A; Prieto-Benavidez, DH; Ramírez-Vélez, R</t>
  </si>
  <si>
    <t>Correa-Bautista, Jorge E.; Vivas, Andres; Mota, Jorge; Garcia-Hermoso, Antonio; Prieto-Benavidez, Daniel H.; Ramirez-Velez, Robinson</t>
  </si>
  <si>
    <t>Maximal Oxygen Uptake Equations To Discriminate The Cardiometabolic Risk In Colombian Children And Adolescents: The Fuprecol Study</t>
  </si>
  <si>
    <t>mota, jorge/B-2980-2013; Ramírez-Vélez, Robinson/D-5311-2016; Correa-Bautista, Jorge Enrique/JDD-3131-2023; García-Hermoso, Antonio/ADU-2591-2022; Correa-Bautista, Jorge Enrique/N-2741-2015; Garcia-Hermoso, Antonio/P-1857-2017</t>
  </si>
  <si>
    <t>10.1249/01.mss.0000519968.27014.59</t>
  </si>
  <si>
    <t>WOS:000415216000741</t>
  </si>
  <si>
    <t>Gili, F; Echeverría, J; Stovel, E; Deibel, M; Niemeyer, HM</t>
  </si>
  <si>
    <t>Gili, Francisca; Echeverria, Javier; Stovel, Emily; Deibel, Michael; Niemeyer, Hermann M.</t>
  </si>
  <si>
    <t>THE CERAMIC PIPES OF SALT FLAT OF ATACAMA: REEVALUATING ITS ORIGIN AND USE</t>
  </si>
  <si>
    <t>This article provides a survey of ceramic pipes from archaeological sites near the salar de Atacama and describes their morphological attributes, paste elemental composition and combustion residue composition. Pipes exhibit a shape distinctive of the SA: pipe stems with everted lips and bowls with abstract zoo- or anthropomorphic motifs. The pastes present attributes of local origin and the residues lack of tryptamines and traces of nicotine and a variety of generic compounds of plant and animal origin. These results suggest that consumption of hallucinogens was not the primary use of the pipes; this allows hypothesizing that they may have been used as incense burners. An exploratory comparison of the results with those of pipes from Northwestern Argentina is presented.</t>
  </si>
  <si>
    <t>Echeverría, Javier/AAK-3323-2020; Niemeyer, Hermann/I-1100-2013</t>
  </si>
  <si>
    <t>Echeverria, Javier/0000-0002-1688-968X</t>
  </si>
  <si>
    <t>WOS:000416108300003</t>
  </si>
  <si>
    <t>Bubnovich, V; Martín, PS; Henríquez-Vargas, L; Orlovskaya, N; González-Rojas, HA</t>
  </si>
  <si>
    <t>Bubnovich, Valeri; Martin, Pedro San; Henriquez-Vargas, Luis; Orlovskaya, Nina; Gonzalez-Rojas, Hernan A.</t>
  </si>
  <si>
    <t>ELECTRIC POWER GENERATION FROM COMBUSTION IN POROUS MEDIA</t>
  </si>
  <si>
    <t>JOURNAL OF POROUS MEDIA</t>
  </si>
  <si>
    <t>Combustion of lean air/fuel mixtures in an inert porous medium provides an efficient way to convert chemical energy of hydrocarbons into thermal energy. The porous medium effectively redistributes the heat allowing the reacting mixture to be preheated before the combustion front. For a lean propane/air mixture (equivalence ratio Phi similar to 0.6), the combustion front is steady and the combustion temperature is subadiabatic. At lower equivalence ratios the heat wave in the porous media and the combustion front can move synchronously downstream developing superadiabatic temperatures. This superadiabatic effect allows to operate at the range of ultralean mixtures (Phi similar to 0.1). Thermal energy generated by the combustion process can be converted into electricity by thermoelectric modules (TEMs). In this work, a cylindrical porous burner is designed to absorb the heat of combustion of lean propane/air mixtures. The burner is inserted in a rectangular steel block. The surface of the block is covered by a set of operating TEMs. Confining the combustion front is stabilized by using porous media with different pore sizes. Temperatures are recorded in different regions of the burner by using surface and immersion thermocouples. Adjusting the equivalence ratio, the flow rate of the gaseous mixture, the properties of the porous media, and the TEM characteristics, a quasi-static burn rate is achieved with the surrounding surface at the nominal temperatures required by the TEMs. The maximum electrical power of 9.42 W and the overall conversion efficiency of 2.93% are reached with a voltage of 5.93 V and a current of 1.59 A using a setup of four TEMs electrically connected in series.</t>
  </si>
  <si>
    <t>González Rojas, Hernán A./HTQ-1244-2023; Henríquez-Vargas, Luis/Q-3617-2019</t>
  </si>
  <si>
    <t>Gonzalez Rojas, Hernan Alberto/0000-0001-8911-0115</t>
  </si>
  <si>
    <t>1091-028X</t>
  </si>
  <si>
    <t>1934-0508</t>
  </si>
  <si>
    <t>10.1615/JPorMedia.v19.i10.10</t>
  </si>
  <si>
    <t>WOS:000385397000001</t>
  </si>
  <si>
    <t>Velásquez, EA; Altbir, D; Mazo-Zuluaga, J; Duque, LF; Mejía-López, J</t>
  </si>
  <si>
    <t>Velasquez, E. A.; Altbir, D.; Mazo-Zuluaga, J.; Duque, L. F.; Mejia-Lopez, J.</t>
  </si>
  <si>
    <t>Searching for the nanoscopic-macroscopic boundary</t>
  </si>
  <si>
    <t>Several studies have focused on the size-dependent properties of elements, looking for a unique definition of the nanoscopicmacroscopic boundary. By using a novel approach consisting of an energy variational method combined with a quantum Heisenberg model, here we address the size at which the ordering temperature of a magnetic nanoparticle reaches its bulk value. We consider samples with sizes in the range 1500 nm, as well as several geometries and crystalline lattices and observe that, contrarily to what is commonly argued, the nanoscopic-microscopic boundary depends on both factors: shape and crystalline structure. This suggests that the surface-to-volume ratio is not the unique parameter that defines the behavior of a nanometric sample whenever its size increases reaching the bulk dimension. Comparisons reveal very good agreement with experimental evidence with differences less than 2%. Our results have broad implications for practical issues in measurements on systems at the nanometric scale. (c) 2013 Elsevier B.V. All rights reserved.</t>
  </si>
  <si>
    <t>Duque, Luis/AAE-1939-2019; Mazo-Zuluaga, Johan/AAL-7141-2021; Mejia-Lopez, Jose/T-6773-2017; Altbir, Dora/R-6781-2018</t>
  </si>
  <si>
    <t>Velasquez, Ever/0000-0002-5058-8530; Mazo Zuluaga, Johan/0000-0002-3512-6530; Mejia-Lopez, Jose/0000-0003-0301-3408; Altbir, Dora/0000-0002-2945-4909</t>
  </si>
  <si>
    <t>10.1016/j.jmmm.2013.08.029</t>
  </si>
  <si>
    <t>WOS:000324812400025</t>
  </si>
  <si>
    <t>Tello-Ireland, C; Lemus-Mondaca, R; Vega-Gálvez, A; López, J; Di Scala, K</t>
  </si>
  <si>
    <t>Tello-Ireland, Cristian; Lemus-Mondaca, Roberto; Vega-Galvez, Antonio; Lopez, Jessica; Di Scala, Karina</t>
  </si>
  <si>
    <t>Influence of hot-air temperature on drying kinetics, functional properties, colour, phycobiliproteins, antioxidant capacity, texture and agar yield of alga Gracilaria chilensis</t>
  </si>
  <si>
    <t>LWT-FOOD SCIENCE AND TECHNOLOGY</t>
  </si>
  <si>
    <t>Effect of air temperature on drying kinetics, functional properties, phycobiliproteins (PE and PC), colour, antioxidant capacity, total phenolic content, texture and agar yield during drying of algae Gracilaria chilensis were studied. Drying curves were satisfactorily simulated with the Weibull model at 40, 50, 60 and 70 degrees C. Both, Rehydration Ratio and Water Holding Capacity decreased with increasing temperature. Low drying temperatures showed higher PE and PC concentration than higher temperatures (e.g. 60 and 70 degrees C). In particular, dehydration at 50 degrees C presented the higher values of these two pigments. The three chromatic coordinates (L*, a* and b*) were influenced by the treatments showing the highest Delta E value at 50 degrees C. Antioxidant activity as well as texture were notably influenced by increasing drying temperatures. At 70 degrees C, a maximum agar yield of 40 g/100 g was obtained. Results indicated that agar yield and quality of dried algae showed opposite behaviours leading to a compromise decision on operating conditions involved in the overall process. According to these results, optimization of the process based on economical aspects of the final dried product is required. (C) 2011 Elsevier Ltd. All rights reserved.</t>
  </si>
  <si>
    <t>Vega-Galvez, Antonio/F-1089-2015; Lopez, Jessica/IQT-7114-2023; Lemus-Mondaca, Roberto/E-8348-2017</t>
  </si>
  <si>
    <t>Vega-Galvez, Antonio/0000-0001-9991-6139; Lopez, Jessica/0000-0001-5064-4486; Lemus-Mondaca, Roberto/0000-0002-1252-2573</t>
  </si>
  <si>
    <t>0023-6438</t>
  </si>
  <si>
    <t>1096-1127</t>
  </si>
  <si>
    <t>10.1016/j.lwt.2011.06.008</t>
  </si>
  <si>
    <t>WOS:000295115800021</t>
  </si>
  <si>
    <t>Antonova, EE; Kornilova, TA; Kornilov, IA; Stepanova, MV</t>
  </si>
  <si>
    <t>Semenov, VS</t>
  </si>
  <si>
    <t>Antonova, E. E.; Kornilova, T. A.; Kornilov, I. A.; Stepanova, M. V.</t>
  </si>
  <si>
    <t>AURORAL ARC SPLITTING OBSERVED BY GROUND-BASED TELEVISION OBSERVATIONS AND ITS POSSIBLE EXPLANATION</t>
  </si>
  <si>
    <t>PROCEEDINGS OF THE 8TH INTERNATIONAL CONFERENCE PROBLEMS OF GEOCOSMOS</t>
  </si>
  <si>
    <t>8th International Conference on Problems of Geocosmos</t>
  </si>
  <si>
    <t>SEP 20-24, 2010</t>
  </si>
  <si>
    <t>St Petersburg, RUSSIA</t>
  </si>
  <si>
    <t>The splitting of auroral arcs was observed January 26, 2000 near zenith of Lovozero station. Auroral data were provided by SIT vidicon television (TV) camera with all-sky lens. Computer framegraber videocard and special software allowed digitization of TV frames and the arbitrary chosen frame fragments. The special methods for the television images processing were used to detect fine subvisual structures and to trace the details of motion of fine auroral structures. The process of splitting is discussed taking into account the growth of large-scale field aligned currents. The model, which can explain the process of splitting, is suggested.</t>
  </si>
  <si>
    <t>Kornilova, Tatyana/A-6533-2017; Stepanova, Marina/D-6329-2011; Antonova, Elizaveta/A-2716-2012</t>
  </si>
  <si>
    <t>978-5-9651-0504-5</t>
  </si>
  <si>
    <t>WOS:000394208800002</t>
  </si>
  <si>
    <t>do O, JM; Lorca, S; Sánchez, J; Ubilla, P</t>
  </si>
  <si>
    <t>do O, J. M.; Lorca, S.; Sanchez, J.; Ubilla, P.</t>
  </si>
  <si>
    <t>Positive solutions for a class of multiparameter ordinary elliptic systems</t>
  </si>
  <si>
    <t>JOURNAL OF MATHEMATICAL ANALYSIS AND APPLICATIONS</t>
  </si>
  <si>
    <t>Using a fixed point theorem due to M.A. Krasnosel'skii, the upper-lower solutions method and fixed point index theory, we study existence, non-existence and multiplicity of positive solutions for a class of systems of second-order ordinary differential equations. We give a new notion of superlinearity for nonlinearities. Observe that the nonlinearities may even be, in some sense, singular. As an application, we show multiplicity results for a class of semilinear elliptic systems in both bounded annular domains and exterior domains. In addition, we apply our results to fourth-order boundary value problems. (C) 2006 Elsevier Inc. All rights reserved.</t>
  </si>
  <si>
    <t>Sánchez, Justino/AAB-8477-2022</t>
  </si>
  <si>
    <t>do O, Joao Marcos/0000-0001-7039-4365; Sanchez, Justino/0000-0002-9607-5204</t>
  </si>
  <si>
    <t>0022-247X</t>
  </si>
  <si>
    <t>1096-0813</t>
  </si>
  <si>
    <t>10.1016/j.jmaa.2006.10.063</t>
  </si>
  <si>
    <t>WOS:000247120600036</t>
  </si>
  <si>
    <t>Marco, JF; Gancedo, JR; Cong, HN; del Canto, M; Gautier, JL</t>
  </si>
  <si>
    <t>Marco, J. F.; Gancedo, J. R.; Cong, H. Nguyen; del Canto, M.; Gautier, J. L.</t>
  </si>
  <si>
    <t>Characterization of Cu1.4Mn1.6O4/PPy composite electrodes</t>
  </si>
  <si>
    <t>SOLID STATE IONICS</t>
  </si>
  <si>
    <t>In this work, we have studied the multilayered polypyrrole(PPy)/oxide composite electrode on glassy carbon (GC) having the structure GC/PPy/PPy (Cu1.4Mn1.6O4)/PPy using X-ray Photoelectron Spectroscopy and Mn K-edge and Cu K-edge XANES and EXAFS. The mixed oxide particles have been incorporated into the PPy matrix simultaneously to the electropolymerization of Py from a solution containing 0.1 M Py+0.15 M KCl + Cu1.4Mn1.6O4. The XPS data have shown Thai prior to the incorporation of the oxide into the PPy matrix, it contains Cu+, Cu2+, Mn3+ and Mn4+. The XPS, XANES and EXAFS results have shown that when the oxide is incorporated into the PPy matrix, the Cu+ present in the original oxide suffers dismutation to give Cu2+ and metallic Cu. The metallic Cu is segregated out of the spinel structure. The. Mn K-edge XANES and EXAFS data show that, after the incorporation into the PPy matrix, Mn is present as Mn3+ and Mn4+ occupying octahedral sites in a spinel-related structure while the Cu K-edge XANES and EXAFS data indicate that copper occupies tetrahedral sites predominantly in that structure but having a large degree of disorder in the second and higher coordination shells. (c) 2006 Elsevier B.V. All rights reserved.</t>
  </si>
  <si>
    <t>0167-2738</t>
  </si>
  <si>
    <t>1872-7689</t>
  </si>
  <si>
    <t>15-16</t>
  </si>
  <si>
    <t>10.1016/j.ssi.2006.06.007</t>
  </si>
  <si>
    <t>WOS:000241351900021</t>
  </si>
  <si>
    <t>Juica, N; Bustos-Quevedo, G; Devis, S; Oneto, N; Klagges, C; Retamal, J; Constandil, L</t>
  </si>
  <si>
    <t>Juica, Natalia; Bustos-Quevedo, Gonzalo; Devis, Sindy; Oneto, Nicolas; Klagges, Carolina; Retamal, Jeffri; Constandil, Luis</t>
  </si>
  <si>
    <t>Acaricidal activity of geraniol-loaded lignin nanoparticles for the control of Brevipalpus chilensis: an eco-friendly approach to crop protection</t>
  </si>
  <si>
    <t>ENVIRONMENTAL SCIENCE-NANO</t>
  </si>
  <si>
    <t>The environmental pollution and health risks associated with synthetic pesticides have driven increasing interest in plant-derived biopesticides like geraniol. However, their practical application is limited by high volatility and low solubility. In this study, lignin nanoparticles were used as a carrier system to enhance the stability and acaricidal efficacy of geraniol against Brevipalpus chilensis. The nanoprecipitation process enabled the synthesis of spherical geraniol-loaded lignin nanoparticles with an average size of 200 +/- 27.2 nm, a surface charge of -29 +/- 3.9 mV and an encapsulation efficiency of 46.5%. The release profile of encapsulated geraniol was assessed, and UV exposure assays demonstrated significantly improved stability compared to free geraniol. Bioassays revealed significantly higher mortality rates of Brevipalpus chilensis when treated with geraniol-loaded nanoparticles compared to free geraniol, highlighting the enhanced efficacy of the encapsulated compound. Additionally, nanoparticle formulations exhibited low cytotoxicity in HeLa cells. Overall, this study underscores the potential of lignin nanoparticles as a promising delivery system for optimizing biopesticide formulations in sustainable agriculture.</t>
  </si>
  <si>
    <t>2051-8153</t>
  </si>
  <si>
    <t>2051-8161</t>
  </si>
  <si>
    <t>2025 MAR 28</t>
  </si>
  <si>
    <t>10.1039/d5en00155b</t>
  </si>
  <si>
    <t>MAR 2025</t>
  </si>
  <si>
    <t>WOS:001461027600001</t>
  </si>
  <si>
    <t>Vega-Macaya, F; Villarreal, P; Peña, TA; Abarca, V; Cofré, AA; Oporto, C; Mardones, W; Nespolo, RF; Cubillos, FA</t>
  </si>
  <si>
    <t>Vega-Macaya, Franco; Villarreal, Pablo; Pena, Tomas A.; Abarca, Valentina; Cofre, Agustin A.; Oporto, Christian, I; Mardones, Wladimir; Nespolo, Roberto F.; Cubillos, Francisco A.</t>
  </si>
  <si>
    <t>Experimental evolution and hybridization enhance the fermentative capacity of wild Saccharomyces eubayanus strains</t>
  </si>
  <si>
    <t>FEMS YEAST RESEARCH</t>
  </si>
  <si>
    <t>Lager beer is traditionally fermented using Saccharomyces pastorianus. However, the limited availability of lager yeast strains restricts the potential range of beer profiles. Recently, Saccharomyces eubayanus strains showed the potential to impart novel aromas to beer, with slower fermentation rates than commercial strains. Here, we applied experimental evolution to nine S. eubayanus strains using three different selective conditions to generate improved strains to fermentative environments. We observed environment-dependent fitness changes across strains, with ethanol-enriched media resulting in the greatest fitness improvement. We identified subtelomeric genomic changes in a deficient fermentative strain underlying the greatest fitness improvement. Gene expression analysis and genome sequencing identified genes associated with oxidative stress, amino acid metabolism, sterol biosynthesis, and vacuole morphology underlying differences between evolved and the ancestral strain, revealing the cellular processes underlying fermentation improvement. A hybridization strategy between two evolved strains allowed us to expand the phenotypic space of the F2 segregants, obtaining strains with a 13.7% greater fermentative capacity relative to the best evolved parental strains. Our study highlights the potential of integrating experimental evolution and hybridization to enhance the fermentation capacity of wild yeast strains, offering strengthened solutions for industrial applications and highlighting the potential of Patagonian S. eubayanus in brewing. Experimental evolution of Saccharomyceseubayanus Patagonian strains, followed by hybridization allows genetic improvement for beer fermentation.</t>
  </si>
  <si>
    <t>Cubillos, Francisco/MIT-2389-2025; Nespolo, Roberto/D-5601-2015</t>
  </si>
  <si>
    <t>1567-1356</t>
  </si>
  <si>
    <t>1567-1364</t>
  </si>
  <si>
    <t>foaf004</t>
  </si>
  <si>
    <t>10.1093/femsyr/foaf004</t>
  </si>
  <si>
    <t>WOS:001436204500001</t>
  </si>
  <si>
    <t>Fernández, AM; Barbato, MT; Barone, P; Zavalla, B; Rivera-Ottenberger, D; Guzmán-González, M</t>
  </si>
  <si>
    <t>Fernandez, Ana Maria; Barbato, Maria Teresa; Barone, Pamela; Zavalla, Belen; Rivera-Ottenberger, Diana; Guzman-Gonzalez, Monica</t>
  </si>
  <si>
    <t>What Is the Link of Closeness and Jealousy in Romantic Relationships?</t>
  </si>
  <si>
    <t>BEHAVIORAL SCIENCES</t>
  </si>
  <si>
    <t>From an evolutionary perspective, love and attachment foster closeness, while jealousy ensures exclusivity in romantic relationships. This study examined the links between jealousy and affective aspects of love, hypothesizing positive associations despite their apparent opposition. An online sample of 265 individuals in Chile and Spain completed measures of digital jealousy, closeness, love, felt loved, and attachment. Results revealed higher jealousy in Chile than in Spain. Across both countries, anxious attachment and closeness were significant predictors of jealousy, explaining nearly 30% of its variance. In Chile, feeling loved negatively predicted jealousy, suggesting that reassurance of the romantic bond may reduce jealousy in this cultural context. Notably, affective closeness-conceptualized as the inclusion of the self in the other-emerged as a novel predictor of jealousy, extending beyond the established role of anxious attachment. These findings underscore the nuanced interplay between cultural context, affective closeness, and attachment in shaping jealousy.</t>
  </si>
  <si>
    <t>Guzman, Monica/A-4402-2012; Barone, Pamela/AAA-1963-2020; Fernandez, Ana Maria/E-6429-2011</t>
  </si>
  <si>
    <t>Zavalla Cordero, Belen/0009-0007-6631-8918; Fernandez, Ana Maria/0000-0003-4132-5891</t>
  </si>
  <si>
    <t>2076-328X</t>
  </si>
  <si>
    <t>10.3390/bs15020132</t>
  </si>
  <si>
    <t>WOS:001430576400001</t>
  </si>
  <si>
    <t>Tamborelli, A; Mujica, ML; Sánchez-Velasco, OA; Hormazábal-Campos, C; Pérez, EG; Gutierrez-Cutiño, M; Venegas-Yazigi, D; Dalmasso, P; Rivas, G; Hermosilla-Ibáñez, P</t>
  </si>
  <si>
    <t>Tamborelli, Alejandro; Mujica, Michael Lopez; Sanchez-Velasco, Oriel A.; Hormazabal-Campos, Cristobal; Perez, Edwin G.; Gutierrez-Cutino, Marlen; Venegas-Yazigi, Diego; Dalmasso, Pablo; Rivas, Gustavo; Hermosilla-Ibanez, Patricio</t>
  </si>
  <si>
    <t>A new strategy to build electrochemical enzymatic biosensors using a nanohybrid material based on carbon nanotubes and a rationally designed schiff base containing boronic acid</t>
  </si>
  <si>
    <t>TALANTA</t>
  </si>
  <si>
    <t>We report a nanohybrid material obtained by non-covalent functionalization of multi-walled carbon nanotubes (MWCNTs) with the new ligand (((1E,1 ' E)-(naphthalene-2,3-diylbis(azaneylylidene))bis(methaneylylidenedene)) bis (4-hyoxy-3,1-phenylene))doronic acid (SB-dBA), rationally designed to mimic some recognition properties of biomolecules like concanavalin A, for the development of electrochemical biosensors based on the use of glycobiomolecules as biorecognition element. We present, as a proof-of-concept, a hydrogen peroxide biosensor obtained by anchoring horseradish peroxidase (HRP) at a glassy carbon electrode (GCE) modified with the nanohybrid prepared by sonication of 2.0 mg mL- 1 MWCNTs and 0.50 mg mL- 1 SB-dBA in N,N-dimethyl formamide (DMF) for 30 min. The hydrogen peroxide biosensing was performed at -0.050 V in the presence of 5.0 x 10-4 M hydroquinone. The analytical characteristics of the resulting biosensor are the following: linear range between 0.175 mu M and 6.12 mu M, detection limit of 58 nM, and reproducibility of 2.0 % using the same nanohybrid (6 biosensors), and 9.0 % using three different nanohybrids. The sensor was successfully used to quantify hydrogen peroxide in enriched milk and human blood serum samples and in a commercial disinfector.</t>
  </si>
  <si>
    <t>Rivas, Gustavo/AAB-2141-2020; Sanchez-Velasco, Oriel A/ITV-7977-2023; Perez, Edwin/KVY-5791-2024; Venegas-Yazigi, Diego/C-5022-2009; Hermosilla-Ibanez, Patricio/Y-7454-2018</t>
  </si>
  <si>
    <t>Venegas-Yazigi, Diego/0000-0001-7816-2841; sanchez, oriel/0000-0003-3460-6177; Hormazabal Campos, Cristobal/0009-0005-8722-7404; Hermosilla-Ibanez, Patricio/0000-0002-2272-9690; Perez, Edwin/0000-0002-3777-6297</t>
  </si>
  <si>
    <t>0039-9140</t>
  </si>
  <si>
    <t>1873-3573</t>
  </si>
  <si>
    <t>10.1016/j.talanta.2023.125520</t>
  </si>
  <si>
    <t>DEC 2023</t>
  </si>
  <si>
    <t>WOS:001147515800001</t>
  </si>
  <si>
    <t>Cumsille, P; Rojas-Díaz, O; Conca, C</t>
  </si>
  <si>
    <t>Cumsille, Patricio; Rojas-Diaz, Oscar; Conca, Carlos</t>
  </si>
  <si>
    <t>A general modeling framework for quantitative tracking, accurate prediction of ICU, and assessing vaccination for COVID-19 in Chile</t>
  </si>
  <si>
    <t>FRONTIERS IN PUBLIC HEALTH</t>
  </si>
  <si>
    <t>BackgroundOne of the main lessons of the COVID-19 pandemic is that we must prepare to face another pandemic like it. Consequently, this article aims to develop a general framework consisting of epidemiological modeling and a practical identifiability approach to assess combined vaccination and non-pharmaceutical intervention (NPI) strategies for the dynamics of any transmissible disease. Materials and methodsEpidemiological modeling of the present work relies on delay differential equations describing time variation and transitions between suitable compartments. The practical identifiability approach relies on parameter optimization, a parametric bootstrap technique, and data processing. We implemented a careful parameter optimization algorithm by searching for suitable initialization according to each processed dataset. In addition, we implemented a parametric bootstrap technique to accurately predict the ICU curve trend in the medium term and assess vaccination. ResultsWe show the framework's calibration capabilities for several processed COVID-19 datasets of different regions of Chile. We found a unique range of parameters that works well for every dataset and provides overall numerical stability and convergence for parameter optimization. Consequently, the framework produces outstanding results concerning quantitative tracking of COVID-19 dynamics. In addition, it allows us to accurately predict the ICU curve trend in the medium term and assess vaccination. Finally, it is reproducible since we provide open-source codes that consider parameter initialization standardized for every dataset. ConclusionThis work attempts to implement a holistic and general modeling framework for quantitative tracking of the dynamics of any transmissible disease, focusing on accurately predicting the ICU curve trend in the medium term and assessing vaccination. The scientific community could adapt it to evaluate the impact of combined vaccination and NPIs strategies for COVID-19 or any transmissible disease in any country and help visualize the potential effects of implemented plans by policymakers. In future work, we want to improve the computational cost of the parametric bootstrap technique or use another more efficient technique. The aim would be to reconstruct epidemiological curves to predict the combined NPIs and vaccination policies' impact on the ICU curve trend in real-time, providing scientific evidence to help anticipate policymakers' decisions.</t>
  </si>
  <si>
    <t>Cumsille, Patricio/AAE-7493-2020; Rojas, Oscar/ABG-3625-2021</t>
  </si>
  <si>
    <t>Rojas Diaz, Oscar/0000-0002-7754-9996</t>
  </si>
  <si>
    <t>2296-2565</t>
  </si>
  <si>
    <t>MAR 31</t>
  </si>
  <si>
    <t>10.3389/fpubh.2023.1111641</t>
  </si>
  <si>
    <t>WOS:000968533700001</t>
  </si>
  <si>
    <t>Becerra, R; Baeza, CG; Fernandez, AM; Preece, DA</t>
  </si>
  <si>
    <t>Becerra, Rodrigo; Baeza, Carmen Gloria; Fernandez, Ana Maria; Preece, David A.</t>
  </si>
  <si>
    <t>Assessing Alexithymia: Psychometric Properties of the Perth Alexithymia Questionnaire in a Spanish-Speaking Sample</t>
  </si>
  <si>
    <t>FRONTIERS IN PSYCHIATRY</t>
  </si>
  <si>
    <t>Alexithymia is a trait composed of difficulties identifying feelings (DIF), difficulties describing feelings (DDF), and externally orientated thinking (EOT). It is an important transdiagnostic risk factor for psychosomatic disorders and other types of emotion-based psychopathologies, and can reduce the efficacy of some treatment approaches. Alexithymia assessments are therefore important in psychiatric and research settings. The Perth Alexithymia Questionnaire (PAQ) was recently developed to enable more comprehensive alexithymia assessments, however, its psychometric properties need further examination and it is so far only available in English. In this study, we sought to address this by translating the PAQ into Spanish and testing its psychometric properties in an adult sample from Chile (N = 370). Confirmatory factor analyses found the PAQ to have a theoretically congruent factor structure, supporting the contemporary status of alexithymia as a multifaceted construct and the PAQ's capacity to assess the DIF, DDF, and EOT facets of alexithymia across negative and positive emotions. All subscale and composite scores had high internal consistency reliability, and demonstrated good concurrent and discriminant validity. The PAQ therefore appears to provide a robust and detailed alexithymia profile. This Spanish version should help to enable more comprehensive cross-cultural research into alexithymia and its role in and psychological disorders.</t>
  </si>
  <si>
    <t>Preece, David/AAW-2768-2020; Fernández, Ana/E-6429-2011</t>
  </si>
  <si>
    <t>Becerra, Rodrigo/0000-0001-8286-7254; Baeza Ugarte, Carmen Gloria/0000-0001-5316-3397; Preece, David/0000-0003-1060-2024</t>
  </si>
  <si>
    <t>1664-0640</t>
  </si>
  <si>
    <t>10.3389/fpsyt.2021.710398</t>
  </si>
  <si>
    <t>WOS:000713436100001</t>
  </si>
  <si>
    <t>Guerra, CF; Reyes-Bozo, L; Vyhmeister, E; Salazar, JL; Caparrós, MJ; Clemente-Jul, C</t>
  </si>
  <si>
    <t>Guerra, Carlos Funez; Reyes-Bozo, Lorenzo; Vyhmeister, Eduardo; Salazar, Jose Luis; Caparros, Maria Jaen; Clemente-Jul, Carmen</t>
  </si>
  <si>
    <t>Sustainability of hydrogen refuelling stations for trains using electrolysers</t>
  </si>
  <si>
    <t>Hydrogen has the potential to become a powerful energy vector with different applications in many sectors (industrial, residential, transportation and other applications) as it offers a clean, sustainable, and flexible alternative. Hydrogen trains use compressed hydrogen as fuel to generate electricity using a hybrid system (combining fuel cell and batteries) to power traction motors and auxiliaries. This hydrogen trains are fuelled with hydrogen at the central train depot, like diesel locomotives. The main goal of this paper is to perform a techno-economic analysis for a hydrogen refuelling stations using on-site production, based on PEM electrolyser technology in order to supply hydrogen to a 20 hydrogen-powered trains captive fleet. A sensitivity analysis on the main parameters will be performed as well, in order to acquire the knowledge required to take any decisions on implementation regarding electricity cost, hydrogen selling price, number of operation hours and number of trains for the captive fleet.The main methodology considers the evaluation of the project based on the Net Present Value calculation and the sensitivity analysis through standard method using Oracle Crystal Ball. The main result shows that the use of hydrogen as an alternative fuel for trains is a sustainable and profitable solution from the economic, environmental and safety points of view.The economic analysis concludes with the need to negotiate an electricity cost lower than 50 (sic)/MWh, in order to be able to establish the hydrogen selling price at a rate higher than 4.5(sic)/kg. The number of operating hours should be higher than 4800 h per year, and the electrolyser system capacity (or hydrogen refuelling station capacity) should be greater than 3.5 MW in order to reach a Net Present Value of 7,115,391 V with a Return of Investment set to 9 years. The result of the multiparametric sensitivity analysis for the Net Present Value (NPV) shows an 85.6% certainty that the project will have a positive result (i.e. profitability) (NPV&gt; 0). The two main variables with the largest impact on Net Present Value are the electrolyser capacity (or hydrogen refuelling station capacity) and the hydrogen selling price. Moreover, a margin of improvement (higher NPV) could be reached with the monetization of the heat, oxygen by-product and CO2 emission reduction. (C) 2020 Hydrogen Energy Publications LLC. Published by Elsevier Ltd. All rights reserved.</t>
  </si>
  <si>
    <t>SALAZAR, JOSE LUIS/0000-0002-9922-9424; Vyhmeister, Eduardo/0000-0003-1922-2706</t>
  </si>
  <si>
    <t>APR 14</t>
  </si>
  <si>
    <t>10.1016/j.ijhydene.2020.10.044</t>
  </si>
  <si>
    <t>WOS:000636315800009</t>
  </si>
  <si>
    <t>Donoso, G; Casas, F; Rubio, A; Céspedes, C</t>
  </si>
  <si>
    <t>Donoso, Gonzalo; Casas, Ferran; Rubio, Andres; Cespedes, Cristian</t>
  </si>
  <si>
    <t>Mediation of Problematic Use in the Relationship Between Types of Internet Use and Subjective Well-Being in Schoolchildren</t>
  </si>
  <si>
    <t>FRONTIERS IN PSYCHOLOGY</t>
  </si>
  <si>
    <t>Subjective well-being is a broad category of phenomena that includes people's emotional responses, domain satisfactions, and global judgments of life satisfaction. This research investigates how schoolchildren's subjective well-being is affected by the different types of technology use, in personal contexts, and, concurrently, whether these effects are different when the use of technology is problematic. The central hypotheses are as follows: (1) the use of the Internet affects the subjective well-being of schoolchildren negatively only when this use is problematic and (2) the effect on subjective well-being is different according to the type of Internet use. To respond to the objectives of the research, a survey was applied to 15-year-old adolescents (2,579 cases), distributed in 330 public schools, beneficiaries of a government program for the delivery of personal computers and Internet for a year. The different uses of the Internet were measured using frequency scales by type of activity (social, recreational, and educational). Problematic use scale measured the perception of negative consequences of the intensity of Internet use on a daily basis. Subjective well-being was measured by the Personal Well-Being Index-School Children (PWI-SC). Subsequently, for analytical purposes, three simple mediation models were created, whose dependent variable was PWI-SC, while its independent variables were Internet use scales differentiated by purpose (social, recreational, and educational) and problematic use as a mediating variable, as well as attributes of the subjects and their social environment, which were incorporated as control variables. The main results show that only if Internet use is expressed as problematic does it negatively affect subjective well-being. On the contrary, when the use of the Internet is not problematic, the effect is positive and even greater than the simple effect (without mediation) between these two variables. This finding is relevant, since it allows us to provide evidence that suggests that, when studying the effect that the intensity of the Internet, firstly, one must consider the mediating effect exerted by the network's problematic use and, secondly, that not all types of use have the same impact. Therefore, it is useful to enrich the discussion on subjective well-being and social integration of schoolchildren in the digital age.</t>
  </si>
  <si>
    <t>Rubio, Andres/HTQ-9075-2023; Cespedes Carreno, Cristian/JCD-8625-2023; Casas, Ferran/B-8474-2011</t>
  </si>
  <si>
    <t>Cespedes-Carreno, Cristian/0000-0002-6547-3445; Donoso, Gonzalo/0000-0002-9232-0428; Rubio, Andres/0000-0001-8806-0697</t>
  </si>
  <si>
    <t>1664-1078</t>
  </si>
  <si>
    <t>MAR 16</t>
  </si>
  <si>
    <t>10.3389/fpsyg.2021.641178</t>
  </si>
  <si>
    <t>WOS:000634705900001</t>
  </si>
  <si>
    <t>Urdiales, C; Gacitua, M; Villacura, L; Pizarro, C; Escudey, M; Canales, C; Antilén, M</t>
  </si>
  <si>
    <t>Urdiales, Cristian; Gacitua, Manuel; Villacura, Loreto; Pizarro, Carmen; Escudey, Mauricio; Canales, Camila; Antilen, Monica</t>
  </si>
  <si>
    <t>Variable surface charge of humic acid-ferrihydrite composite: Influence of electrolytes on ciprofloxacin adsorption</t>
  </si>
  <si>
    <t>Antimicrobial compounds are found in a range of environments as pollutants. Here, we evaluated the influence of two common anions, NO3- and PO43-, on ciprofloxacin adsorption on humic acid/ferrihydrite composite (HADIG/Fh), synthetic ferrihydrite (Fh), and humic acid (HA-DIG) under controlled pH (7.0), ionic strength (0.1 M) and temperature (25 degrees C). All materials were characterized by isoelectric point (IEP), while the composite and the iron oxide were characterized by Miissbauer spectroscopy. Kinetic and isotherm adsorption studies were carried out using cyclic voltammetry (in KH2PO4) and square wave voltammetry (in KNO3). The application of kinetic models for both anions revealed Fh to fit to a pseudo second order model (R-2 = 0.941); while HA-DIG (R-2 = 0.950) and HA-DIG/Fh (R-2 = 0.993) were fitted to pseudo first order models. The adsorption results showed a high dependency electrolyte, especially in Fh, where different shape curves (H-type in KNO3 and Ctype in KH2PO4) and maximum experimental adsorbed amount C m were observed. This finding is supported by the distinct IEP values and change in sign of surface charge between the two ions. Finally, results suggest that HA-DIG could be potentially used in environmental remediation to remove antibiotics from natural matrices, though the risk of antibiotic transportation increased with depth in the soil profile.</t>
  </si>
  <si>
    <t>Villacura, Loreto Jacqueline/GQZ-8465-2022; Urdiales, Cristian/L-3246-2018; Gacitua, Manuel/R-8868-2019</t>
  </si>
  <si>
    <t>Antilen-Lizana, Monica/0000-0003-0512-4267; Canales, Camila/0000-0002-4966-3601; Urdiales, Cristian/0000-0002-5373-832X; Pizarro, Carmen/0000-0003-4927-5681; Villacura Monsalves, Loreto/0000-0001-8769-3134; Gacitua, Manuel/0000-0003-0807-2677</t>
  </si>
  <si>
    <t>MAR 5</t>
  </si>
  <si>
    <t>10.1016/j.jhazmat.2019.121520</t>
  </si>
  <si>
    <t>WOS:000509618300015</t>
  </si>
  <si>
    <t>Aldunate, N; Villena-González, M; Rojas-Thomas, F; López, V; Bosman, CA</t>
  </si>
  <si>
    <t>Aldunate, Nerea; Villena-Gonzalez, Mario; Rojas-Thomas, Felipe; Lopez, Vladimir; Bosman, Conrado A.</t>
  </si>
  <si>
    <t>Mood Detection in Ambiguous Messages: The Interaction Between Text and Emoticons</t>
  </si>
  <si>
    <t>Face-to-face communication has several sources of contextual information that enables language comprehension. This information is used, for instance, to perceive mood of interlocutors, clarifying ambiguous messages. However, these contextual cues are absent in text-based communication. Emoticons have been proposed as cues used to stress the emotional intentions on this channel of communication. Most studies have suggested that their role is to contribute to a more accurate perception of emotions. Nevertheless, it is not clear if their influence on disambiguation is independent of their emotional valence and its interaction with text message valence. In the present study, we designed an emotional congruence paradigm, where participants read a set of messages composed by a positive or negative emotional situation sentence followed by a positive or negative emoticon. Participants were instructed to indicate if the sender was in a good or bad mood. With the aim of analyzing the disambiguation process and observing if the role of the emoticons in disambiguation is different according their valence, we measure the rate of responses of perceived mood and the reaction times (RTs) for each condition. Our results showed that the perceived mood in ambiguous messages tends to be more negative regardless of emotion valence. Nonetheless, we observed that this tendency was not the same for positive and negative emoticons. Specifically, negative mood perception was higher for incongruent positive emoticons. On the other hand, RTs for positive emoticons were faster than for the negative ones. Responses for incongruent messages were slower than for the congruent ones. However, the incongruent condition showed different RTs depending on the emoticons' valence. In the incongruent condition, responses for negative emoticons was the slowest. Results are discussed taking into account previous observations about the potential role of emoticons in mood perception and cognitive processing. We concluded that the role of emoticons in disambiguation and mood perception is due to the interaction of emoticon valence with the entire message.</t>
  </si>
  <si>
    <t>Aldunate, Nerea/AAP-7739-2020; Bosman, Conrado/I-6617-2019; Lopez, Vladimir/N-7188-2017</t>
  </si>
  <si>
    <t>Villena-Gonzalez, Mario/0000-0003-2080-8413; Bosman, Conrado A./0000-0003-2433-6126; Aldunate, Nerea/0000-0002-7020-9403; Rojas-Thomas, Felipe/0000-0003-4600-2610; Lopez, Vladimir/0000-0001-5794-9338</t>
  </si>
  <si>
    <t>APR 4</t>
  </si>
  <si>
    <t>10.3389/fpsyg.2018.00423</t>
  </si>
  <si>
    <t>WOS:000429242600001</t>
  </si>
  <si>
    <t>Martínez, C; Briones, F; Rojas, P; Aguilar, C; Guzman, D; Ordoñez, S</t>
  </si>
  <si>
    <t>Martinez, C.; Briones, F.; Rojas, P.; Aguilar, C.; Guzman, D.; Ordonez, S.</t>
  </si>
  <si>
    <t>Microstructural and mechanical characterization of copper, nickel, and Cu-based alloys obtained by mechanical alloying and hot pressing</t>
  </si>
  <si>
    <t>MATERIALS LETTERS</t>
  </si>
  <si>
    <t>Mechanical alloying and uniaxial compaction were used to obtain configurations of: elemental powders of Cu and Ni; binary alloys (Cu-Ni and Cu-Zr); and a ternary alloy (Cu-Ni-Zr) under the same mechanical milling and hot pressing conditions. Microstructure and mechanical properties of these were investigated. According to XRD results, hot pressing process increases crystallite size and decreases microstrain in the compact samples, due to the release of crystalline defects without crystallization of amorphous alloys. The milled powder samples have a higher hardness than the unmilled samples, since crystal defects are incorporated into microstructural refinement during milling. The ternary alloy Cu-40Ni-10Zr had the highest hardness of all systems studied, reaching 689 HV0.5. Compression tests at 5% strain determined that Zr-containing samples (amorphous phase) become more fragile after processing, and have the lowest values of compressive strength. In contrast, Ni samples and Cu-Ni binary alloys are more resistant to compression. (C) 2017 Elsevier B.V. All rights reserved.</t>
  </si>
  <si>
    <t>Rojas, Paula/AFS-1987-2022; Briones, Francisco/F-9537-2019; Martinez Ugalde, Carola/P-5399-2018</t>
  </si>
  <si>
    <t>Rojas, Paula/0000-0002-2529-993X; Martinez Ugalde, Carola/0000-0001-5247-6703; Briones, Francisco Guillermo/0000-0003-4481-2978; Guzman Mendez, Danny/0000-0002-8020-9247</t>
  </si>
  <si>
    <t>0167-577X</t>
  </si>
  <si>
    <t>1873-4979</t>
  </si>
  <si>
    <t>10.1016/j.matlet.2017.08.082</t>
  </si>
  <si>
    <t>WOS:000413124300129</t>
  </si>
  <si>
    <t>García-Hermoso, A; Saavedra, JM; Olloquequi, J; Ramírez-Vélez, R</t>
  </si>
  <si>
    <t>Garcia-Hermoso, Antonio; Saavedra, Jose M.; Olloquequi, Jordi; Ramirez-Velez, Robinson</t>
  </si>
  <si>
    <t>Associations between the duration of active commuting to school and academic achievement in rural Chilean adolescents</t>
  </si>
  <si>
    <t>ENVIRONMENTAL HEALTH AND PREVENTIVE MEDICINE</t>
  </si>
  <si>
    <t>Background: Habitual active commuting to school may be positively associated with academic achievement. The aim of this study was to examine the relationship between duration of walking or otherwise actively commuting to school and academic achievement. Methods: This cross-sectional study included 389 adolescents from seven rural schools (12-13 years). Mode and duration of active commuting to school (use of active means such as walking or biking to and from school) and screen time were self-reported. Academic achievement was determined by the outcome in basic grades (language and mathematics). Results: Active commuting to school was not associated with higher scores in any grades after adjustment for potential confounders. No evidence was found of interactions between gender and academic achievement, but there was interaction with duration of walking (&lt; 30 min, 30-60 min, and &gt; 60 min). Adjusted binary logistic regression analysis suggested that adolescents who spent between 30 and 60 min actively commuting were more likely to obtain high academic achievement (language and mathematics). Conclusions: Thirty to 60 min of ACS may have a positive influence on academic achievement in adolescents, so, it is necessary to make recommendations for the children to walk from and/or to school. This could help society to recognize the relevance of physical activity to health as well as to academic performance.</t>
  </si>
  <si>
    <t>Saavedra, Jose/C-2490-2011; Olloquequi, Jordi/ITR-9680-2023; García-Hermoso, Antonio/ADU-2591-2022; Ramirez-Velez, Robinson/D-5311-2016; Garcia-Hermoso, Antonio/P-1857-2017</t>
  </si>
  <si>
    <t>Olloquequi, Jordi/0000-0002-6492-2739; Ramirez-Velez, Robinson/0000-0003-3075-6960; Garcia-Hermoso, Antonio/0000-0002-1397-7182</t>
  </si>
  <si>
    <t>1342-078X</t>
  </si>
  <si>
    <t>1347-4715</t>
  </si>
  <si>
    <t>10.1186/s12199-017-0628-5</t>
  </si>
  <si>
    <t>WOS:000401410700018</t>
  </si>
  <si>
    <t>Ferraudi, G; Lappin, AG; Ruiz, GT; Matsuhiro, B</t>
  </si>
  <si>
    <t>Ferraudi, Guillermo; Lappin, Alexander G.; Ruiz, Gustavo T.; Matsuhiro, Betty</t>
  </si>
  <si>
    <t>Photoinduced oxidation reactions of the pendent macrocyclic complexes: Al(III) phthalocyanine and Ni(II) annulene mechanistic considerations</t>
  </si>
  <si>
    <t>The goal of the work was to expand the understanding of the photoinduced redox reactions of the Al(III) sulfonated phthalocyanine, HOAl(III)tspc, and Ni(II) tertramethyldibenzotetraazaannnulene, [Ni-II(tmdbTAA)], as components of polymeric structures in which poly(ethyleneimino) and poly(isobutyl-alt-maleate) are the respective backbones of poly(HOA(IIII)tspc) and poly([Ni-III(tmdbTAA)]). Saccharide and flavonoid glycosides form adducts that quench the photo-generated oxidizing radicals in the case of poly(HOAl(III)tspc) with rate constants approximate to 1 x 10(4) s(-1), largely independent of reductant structure. The charge-separated intermediate, CS, in the case of poly([Ni-II(tmdbTAA)]) shows greater reactivity with the saccharides and flavonoid glycosides, particularly with the flavonoid glycoside rutin where the rate constant is 2.7 x 10(6) s(-1). While phthalocyanine-centered radicals in poly(HOAl(III)tspc) were reduced by dAMP (adenosine-5-monophosphate) and CT-DNA, energy transfer with these reagents competed with the formation of the CS intermediate in poly([Ni(II)tmdbTAA)]). A study of the intensity of the upper conversion luminescence (lambda(em) &lt; 500 nm), modulated by the concentration of dAMP suggests that this is attributed to the formation of adducts of polyaNi(II)(tmdbTAA)]) with dAMP that affect the deactivation of the electronically excited Ni(II) tetraazaannnulene pendants before the formation of the CS intermediate. (C) 2016 Elsevier Ltd. All rights reserved.</t>
  </si>
  <si>
    <t>10.1016/j.poly.2016.06.014</t>
  </si>
  <si>
    <t>WOS:000384384500045</t>
  </si>
  <si>
    <t>Kumar, R; Singh, RK; Singh, DP</t>
  </si>
  <si>
    <t>Kumar, Rajesh; Singh, Rajesh Kumar; Singh, Dinesh Pratap</t>
  </si>
  <si>
    <t>Natural and waste hydrocarbon precursors for the synthesis of carbon based nanomaterials: Graphene and CNTs</t>
  </si>
  <si>
    <t>RENEWABLE &amp; SUSTAINABLE ENERGY REVIEWS</t>
  </si>
  <si>
    <t>Carbon nanomaterials have huge potential in the field of energy and environmental applications. However, a wide range of greener and environment friendly synthesis methods utilizing natural, renewable, cheaper waste materials has to be developed. This will lead to the reduction of green house gases, exploitation of toxic materials and helps in the development of sustainable technologies. In this review, the details progress made in the last ten years concerning the synthesis of new one dimensional (carbon nanotubes CNT, carbon nanofiber) and two dimensional (graphene) carbon based materials using natural precursors and waste materials is summarized. The aim of this review paper is to provide a comprehensive scientific progress of synthesis of graphene and carbon nanotubes using natural precursor and waste materials for the future perspective. This paper also concludes with a brief discussion on the impact of natural precursor for the graphene and CNTs for environment, its toxicological effects and its future prospects in this rapidly emerging field. Natural precursors and waste carbon containing products are emerging as a new class of materials that have efficiency to produce graphene and CNTs. The various synthesis processes of graphene, CNTs and carbon dots has been reported using several natural hydrocarbon precursors (turpentine oil, eucalyptus oil, palm oil, neern oil, sunflower oil, castor oil, biodiesel, tea-tree extract, honey, milk, sugar, butter, egg etc.). Also, some research groups have used foods wastes (cookie and chocolate), vegetation wastes (woods, leaf, grass, fruit wastes), animal/bird/insect wastes (bone and cow dung, dog feces, chicken feather) and agro waste (sugarcane bagasse) for the synthesis of graphene and CNTs. Research on natural hydrocarbon precursors and wastage materials has increased in recent years as they promise to produce better and high quality of graphene and CNTs in large quantities. The fascinating aspect of this research area is that it guides the use of natural hydrocarbons to explore the possibilities of improving graphene stability and robustness suitable for different type of applications. (C) 2015 Elsevier Ltd. All rights reserved.</t>
  </si>
  <si>
    <t>Kumar, Dr. Rajesh/H-6510-2011; Singh, Rajesh kumar/B-2721-2008; SINGH, DINESH/A-2509-2011</t>
  </si>
  <si>
    <t>Kumar, Rajesh/0000-0001-7065-3259; Singh, Rajesh kumar/0000-0001-8884-8775; SINGH, DINESH/0000-0002-2893-7749</t>
  </si>
  <si>
    <t>1364-0321</t>
  </si>
  <si>
    <t>10.1016/j.rser.2015.12.120</t>
  </si>
  <si>
    <t>WOS:000371948100083</t>
  </si>
  <si>
    <t>Salinas, F; de Boer, CG; Abarca, V; García, V; Cuevas, M; Araos, S; Larrondo, LF; Martínez, C; Cubillos, FA</t>
  </si>
  <si>
    <t>Salinas, Francisco; de Boer, Carl G.; Abarca, Valentina; Garcia, Veronica; Cuevas, Mara; Araos, Sebastian; Larrondo, Luis F.; Martinez, Claudio; Cubillos, Francisco A.</t>
  </si>
  <si>
    <t>Natural variation in non-coding regions underlying phenotypic diversity in budding yeast</t>
  </si>
  <si>
    <t>Linkage mapping studies in model organisms have typically focused their efforts in polymorphisms within coding regions, ignoring those within regulatory regions that may contribute to gene expression variation. In this context, differences in transcript abundance are frequently proposed as a source of phenotypic diversity between individuals, however, until now, little molecular evidence has been provided. Here, we examined Allele Specific Expression (ASE) in six F1 hybrids from Saccharomyces cerevisiae derived from crosses between representative strains of the four main lineages described in yeast. ASE varied between crosses with levels ranging between 28% and 60%. Part of the variation in expression levels could be explained by differences in transcription factors binding to polymorphic cis-regulations and to differences in trans-activation depending on the allelic form of the TF. Analysis on highly expressed alleles on each background suggested ASN1 as a candidate transcript underlying nitrogen consumption differences between two strains. Further promoter allele swap analysis under fermentation conditions confirmed that coding and non-coding regions explained aspartic and glutamic acid consumption differences, likely due to a polymorphism affecting Uga3 binding. Together, we provide a new catalogue of variants to bridge the gap between genotype and phenotype.</t>
  </si>
  <si>
    <t>Martinez, Claudio/MGS-9961-2025; Cubillos, Francisco/MIT-2389-2025; García, Verónica/AAM-1175-2021; Salinas, Francisco/W-3269-2017; Larrondo, Luis/J-1086-2016; Cubillos, Francisco/G-5195-2019</t>
  </si>
  <si>
    <t>Salinas, Francisco/0000-0002-8391-8145; garcia, veronica/0000-0002-5312-925X; Martinez, Claudio/0000-0001-8564-9287; Larrondo, Luis/0000-0002-8832-7109; de Boer, Carl/0000-0001-8935-5921; Cubillos, Francisco/0000-0003-3022-469X</t>
  </si>
  <si>
    <t>FEB 22</t>
  </si>
  <si>
    <t>10.1038/srep21849</t>
  </si>
  <si>
    <t>WOS:000370516000002</t>
  </si>
  <si>
    <t>González-Prida, V; Orchard, M; Martín, C; Guillén, A; Shambhu, J; Shariff, S</t>
  </si>
  <si>
    <t>Gonzalez-Prida, V.; Orchard, M.; Martin, C.; Guillen, A.; Shambhu, J.; Shariff, S.</t>
  </si>
  <si>
    <t>Case Study based on Inequality Indices for the Assessments of Industrial Fleets</t>
  </si>
  <si>
    <t>IFAC PAPERSONLINE</t>
  </si>
  <si>
    <t>3rd IFAC Workshop on Advanced Maintenance Engineering, Services and Technology (AMEST)</t>
  </si>
  <si>
    <t>OCT 19-21, 2016</t>
  </si>
  <si>
    <t>Biarritz, FRANCE</t>
  </si>
  <si>
    <t>Int Federat Automat Control, Tech Comm 5 1 Mfg Plant Control,Int Federat Automat Control, Tech Comm 4 1 Components &amp; Technologies Control,Int Federat Automat Control, Tech Comm 5 2 Mfg Modelling Management &amp; Control,Int Federat Automat Control, Tech Comm 6 4 Fault Detect, Supervis &amp; Safety Tech Proc,Int Federat Automat Control, WG 5 1 Advances Prod Management Syst,European Safety &amp; Reliabil Assoc</t>
  </si>
  <si>
    <t>This contribution illustrates the advantages of measures and indicators based on the notions of Shannon entropy which is widely implemented in thermodynamics, information theory, econometrics, and biology. The presented case study applies these indicators to a fleet of industrial assets, introducing innovatively the entropy concept to the field of availability. There is no reason to deal the effect of performance variables in assets independently without taking into account disparities in terms of reliability, operation hours, applied maintenance, operating conditions, and usage profiles, etc. Therefore, the characteristic of the method and their independence from the heterogeneity of the sample that compares is intended to be promising for applications in availability analysis. In other words, this research presents a derivation from well-known concepts such as the Gini, Hoover and Theil indices illustrating their application by the support of an example where attributes for different groups of assets are compared. To illustrate the application we are using two relevant and innovative scenarios as case study examples. (C) 2016, IFAC (International Federation of Automatic Control) Hosting by Elsevier Ltd. All rights reserved.</t>
  </si>
  <si>
    <t>Shariff, Samir/AAB-7500-2020; Gonzalez-Prida Diaz, Vicente/L-5088-2014</t>
  </si>
  <si>
    <t>Guillen Lopez, Antonio Jesus/0000-0001-6747-0486; Gonzalez-Prida Diaz, Vicente/0000-0001-5257-8224</t>
  </si>
  <si>
    <t>2405-8963</t>
  </si>
  <si>
    <t>10.1016/j.ifacol.2016.11.043</t>
  </si>
  <si>
    <t>WOS:000401258400043</t>
  </si>
  <si>
    <t>Muñoz-Reyes, JA; Fernández, AM; Flores-Prado, L; Guerra, R; Turiégano, E</t>
  </si>
  <si>
    <t>Antonio Munoz-Reyes, Jose; Maria Fernandez, Ana; Flores-Prado, Luis; Guerra, Romulo; Turiegano, Enrique</t>
  </si>
  <si>
    <t>Fighting ability influences mate value in late adolescent men</t>
  </si>
  <si>
    <t>PERSONALITY AND INDIVIDUAL DIFFERENCES</t>
  </si>
  <si>
    <t>Several studies have demonstrated the relationship between handgrip strength (HGS) and fighting ability in men, which is a relevant trait for intrasexual competition to increase the probability of obtaining a mate. However, few studies have determined a relationship between fighting ability and men's self-perceived capacity to find, attract and retain a mate. This capacity is a complex compound of several traits that evolutionary psychology has called mate value. In the present study, in a population of late adolescent men from Chile (M +/- SD = 16.94 +/- .89 years), we explored the relationship between fighting ability, estimated by both HGS and a self-perceived fighting ability questionnaire, and mate value, assessed with a self-perceived mate value components questionnaire. The results show a strong influence of fighting ability on mate value. This influence affects the subscales of views from the opposite sex, sociality and relationship history. However, we did not find an effect on the subscales of wealth, parenting or fear to failure. The relationship between mate value and fighting ability indicates that fighting ability is a relevant component in understanding men's reproductive behaviour, including intrasexual competition and intersexual selection. This effect was observed in adolescents, who have less mating experience than adults. (C) 2015 Elsevier Ltd. All rights reserved.</t>
  </si>
  <si>
    <t>Turiegano, Enrique/M-8679-2013; Munoz Reyes, Jose Antonio/D-2822-2012; Fernandez, Ana Maria/E-6429-2011</t>
  </si>
  <si>
    <t>Munoz Reyes, Jose Antonio/0000-0001-6275-8456; Flores-Prado, Luis/0000-0002-3373-8154; Fernandez, Ana Maria/0000-0003-4132-5891; Turiegano, Enrique/0000-0003-4620-7894</t>
  </si>
  <si>
    <t>0191-8869</t>
  </si>
  <si>
    <t>10.1016/j.paid.2015.02.026</t>
  </si>
  <si>
    <t>WOS:000352038500009</t>
  </si>
  <si>
    <t>Freire, RM; Freitas, PGC; Ribeiro, TS; Vasconcelos, IF; Denardin, JC; Mele, G; Carbone, L; Mazzetto, SE; Fechine, PBA</t>
  </si>
  <si>
    <t>Freire, R. M.; Freitas, P. G. C.; Ribeiro, T. S.; Vasconcelos, I. F.; Denardin, J. C.; Mele, G.; Carbone, L.; Mazzetto, S. E.; Fechine, P. B. A.</t>
  </si>
  <si>
    <t>Effect of solvent composition on the structural and magnetic properties of MnZn ferrite nanoparticles obtained by hydrothermal synthesis</t>
  </si>
  <si>
    <t>Samples of manganese-zinc (MnZn) ferrites were successfully prepared by hydrothermal syntheses using different compositions of the reactive system (H2O)(1-x) :(EG) (x) (x = 0, 0.2, 0.4, 0.6, 0.8, and 1.0), where EG = ethylene glycol. The samples were fully investigated by powder X-ray diffraction, Fourier transform infrared spectroscopy for both liquid and solid specimens, Mossbauer spectroscopy, vibrating sample magnetometer, and transmission electron microscopy. All the MnZn ferrites presented spinel phase and average particle diameters between 3.1 and 12.1 nm. The increase in the x values results in a decrease in the particle sizes. The FTIR spectra performed in liquid phase showed significant interaction between EG and metallic precursors used in the synthesis. Magnetic features as for instance saturation magnetization (M (S)) also decreases upon increasing the x values. In addition, all synthesized samples exhibited a superparamagnetic character at room temperature. The experimental methodology presented in this work is used to obtain superparamagnetic nanoparticles with controlled size (smaller than 13 nm) and morphology.</t>
  </si>
  <si>
    <t>Mazzetto, Selma/R-5406-2016; Carbone, Luigi/AAY-5320-2020; Denardin, Juliano/S-6407-2019; Fechine, Pierre/B-7937-2013; Carbone, Luigi/O-2193-2015; Frota de Vasconcelos, Igor/G-6800-2012; Mele, Giuseppe/N-9765-2015</t>
  </si>
  <si>
    <t>Mazzetto, Selma Elaine/0000-0002-6879-3209; Fechine, Pierre/0000-0002-7822-2354; Carbone, Luigi/0000-0002-1369-6890; Frota de Vasconcelos, Igor/0000-0002-6172-805X; Mele, Giuseppe/0000-0002-6684-990X; Denardin, Juliano/0000-0002-1373-6207</t>
  </si>
  <si>
    <t>10.1007/s10404-013-1290-x</t>
  </si>
  <si>
    <t>WOS:000338835300015</t>
  </si>
  <si>
    <t>Velez, JH; Aguirre, MJ; Cattin, L; Makhad, M; Bernede, JC</t>
  </si>
  <si>
    <t>Velez, Jorge H.; Aguirre, M. Jesus; Cattin, Linda; Makhad, Mohammed; Bernede, Jean C.</t>
  </si>
  <si>
    <t>Small molecules organic photovoltaic devices based on the planar heterojunction porphyrin derivates/fullerene</t>
  </si>
  <si>
    <t>In this paper, we studied of photoelectric properties of multilayer organic photovoltaic cells (OPV cells). The active organic layers consisted of a planar heterojunction between a layer of (meso-tetrakis(5-bromo-2-thienyl)porphyrin), (TBrTP) as electron donor (ED) and a layer fullerene molecules. For the manufacture of photovoltaic devices we use a the technique of high vacuum by thermal sublimation that allows multilayer devices realization easily by successive depositions, and it does not require solvents, achieving purer films with reproducible characteristics. The TBrTP allows achieving OPVCs exhibiting promising efficiencies when the ABL is the MoO3/CuI DABL. The CuI improves the current in the organic layer by one order of magnitude, which allows decreasing the series resistance of the OPVCs and therefore improving the OPVCs.</t>
  </si>
  <si>
    <t>Cifuentes, Jorge/P-7533-2018; Aguirre, Maria/A-3935-2013; Cattin, Linda/A-2792-2012; Bernede, Jean/A-3065-2012</t>
  </si>
  <si>
    <t>CATTIN, Linda/0000-0002-8222-5929; Aguirre, Maria/0000-0003-1134-4469; Bernede, Jean Christian/0000-0002-1457-1117</t>
  </si>
  <si>
    <t>10.1142/S1088424613501253</t>
  </si>
  <si>
    <t>WOS:000339010300001</t>
  </si>
  <si>
    <t>Alvarez, C; Tapia, T; Cornejo, V; Fernandez, W; Muñoz, A; Camus, M; Alvarez, M; Devoto, L; Carvallo, P</t>
  </si>
  <si>
    <t>Alvarez, Carolina; Tapia, Teresa; Cornejo, Valeria; Fernandez, Wanda; Munoz, Alex; Camus, Mauricio; Alvarez, Manuel; Devoto, Luigi; Carvallo, Pilar</t>
  </si>
  <si>
    <t>Silencing of tumor suppressor genes RASSF1A, SLIT2, and WIF1 by promoter hypermethylation in hereditary breast cancer</t>
  </si>
  <si>
    <t>MOLECULAR CARCINOGENESIS</t>
  </si>
  <si>
    <t>Promoter hypermethylation is gaining strength as one of the main mechanisms through which tumor suppressor genes are silenced during tumor progression. Three tumor suppressor genes are frequently found methylated in their promoter, in concordance with absence of expression, RASSF1A, SLIT2, and WIF1. In addition, a previous array-CGH analysis from our group showed that these genes are found in deleted genomic regions observed in hereditary breast cancer tumors. In the present work we analyzed the methylation status of these three tumor suppressor gene promoters in 47 hereditary breast cancer tumors. Promoter methylation status analysis of hereditary breast tumors revealed high methylation frequencies for the three genes (67% RASSF1A, 80% SLIT2, and 72% WIF1). Additionally, the presence of methylated PCR products was associated with absence of protein expression for the three genes and statistically significant for RASSF1A and WIF1. Interestingly, methylation of all the three genes was found in 4 out of 6 grade I invasive ductal carcinoma tumors. Association between RASSF1A methylation and DCIS tumors was found. These results suggest that silencing of these tumor suppressor genes is an early event in hereditary breast cancer, and could be a marker for pre-malignant phenotypes. (c) 2012 Wiley Periodicals, Inc.</t>
  </si>
  <si>
    <t>0899-1987</t>
  </si>
  <si>
    <t>10.1002/mc.21881</t>
  </si>
  <si>
    <t>WOS:000317984500006</t>
  </si>
  <si>
    <t>Saeed, NP; Horsfield, MA; Jara, JL; Panerai, RB; Robinson, TG</t>
  </si>
  <si>
    <t>Saeed, N. P.; Horsfield, M. A.; Jara, J. L.; Panerai, R. B.; Robinson, T. G.</t>
  </si>
  <si>
    <t>Dynamic cerebral autoregulation assessed by magnetic resonance imaging and transcranial Doppler: a comparative study in acute ischaemic stroke</t>
  </si>
  <si>
    <t>CEREBROVASCULAR DISEASES</t>
  </si>
  <si>
    <t>Horsfield, Mark/C-6569-2013; Jara, JL/J-7254-2015</t>
  </si>
  <si>
    <t>1015-9770</t>
  </si>
  <si>
    <t>WOS:000323941700055</t>
  </si>
  <si>
    <t>Castro, SA; Daehler, CC; Silva, L; Torres-Santana, CW; Reyes-Betancort, JA; Atkinson, R; Jaramillo, P; Guezou, A; Jaksic, FM</t>
  </si>
  <si>
    <t>Castro, Sergio A.; Daehler, Curtis C.; Silva, Luis; Torres-Santana, Christian W.; Reyes-Betancort, Jorge A.; Atkinson, Rachel; Jaramillo, Patricia; Guezou, Anne; Jaksic, Fabian M.</t>
  </si>
  <si>
    <t>Floristic homogenization as a teleconnected trend in oceanic islands</t>
  </si>
  <si>
    <t>DIVERSITY AND DISTRIBUTIONS</t>
  </si>
  <si>
    <t>Aim We searched for evidence of floristic homogenization in widespread oceanic archipelagos. Location Twelve oceanic archipelagos in the Atlantic and Pacific oceans: Ascension, Azores, Canary, Cape Verde, Desventuradas, Easter, Galapagos, Hawaii, Juan Fernandez, Madeira, Puerto Rico and Savage. Methods By using Jaccard's index, we established the floristic similarity between pairs of archipelagos at two stages: original (pre-European; J(o)) and current flora (J(c)). Then, we calculated Delta J = J(c)-J(o), where positive differences imply that similarity has increased floristic homogenization. Results We found that floristic similarity increased fourfold on average, from 1.6% to 6.3% for original and current floras, respectively. In fact, we recorded 64 cases in which floristic similarity increased and only two in which it decreased. The importance of invasions exceeds that of extirpations as a driver of biotic change by more than an order of magnitude (2679 versus 142 species, respectively). Main conclusions The vascular floras of these 12 insular oceanic systems have increased in compositional similarity, a phenomenon consistent with the trend towards biotic homogenization. It can be characterized as a teleconnected process that operates across vast geographical distances, driven by the unprecedented capacity of humans for translocation. Trends in biotic homogenization differ depending on the geographical location (i.e. Pacific &lt; Atlantic archipelagos) and phylogenetic groups (island vascular plants &gt; island birds reported in a previous study), emphasizing the complexity of biotic change.</t>
  </si>
  <si>
    <t>Reyes-Betancort, J./AAF-9007-2021; Daehler, Curtis/AFT-4821-2022; Dias e Silva, Luis/AAH-1365-2020; Jaksic, Fabian M./G-1705-2014</t>
  </si>
  <si>
    <t>Jaksic, Fabian M./0000-0003-0098-0291; Silva, Luis/0000-0002-3434-6056; Jaramillo Diaz, Patricia/0000-0003-4969-0383</t>
  </si>
  <si>
    <t>1366-9516</t>
  </si>
  <si>
    <t>1472-4642</t>
  </si>
  <si>
    <t>10.1111/j.1472-4642.2010.00695.x</t>
  </si>
  <si>
    <t>WOS:000283375900003</t>
  </si>
  <si>
    <t>Pedreschi, F; León, J; Mery, D; Moyano, P; Pedreschi, R; Kaack, K; Granby, K</t>
  </si>
  <si>
    <t>Pedreschi, Franco; Leon, Jorge; Mery, Domingo; Moyano, Pedro; Pedreschi, Romina; Kaack, Karl; Granby, Kit</t>
  </si>
  <si>
    <t>Color development and acrylamide content of pre-dried potato chips</t>
  </si>
  <si>
    <t>JOURNAL OF FOOD ENGINEERING</t>
  </si>
  <si>
    <t>The objective of this work was to study the development of color formation in pre-dried potato slices during frying and acrylamide formation in the final potato chips. Color measurement was done by using an inexpensive computer vision technique which allowed quantifying representatively and precisely the color of complex surfaces such as those of potato chips in L*a*b* units from RGB images. Prior to frying, potato slices (Desiree variety, diameter: 37 mm, width: 2.2 mm) were blanched in hot water at 85 degrees C for 3.5 min. Unblanched slices were considered as the control. Slices of the same dimensions were blanched as in the previous step, and then air-dried until reaching a moisture content of 60% (wet basis). These samples were called pre-dried potato slices. Potato slices were fried at 120 degrees C, 140 degrees C, 160 degrees C and 180 degrees C until reaching moisture contents of similar to 1.8% (total basis) for color quantification. Acrylamide concentration was determined only in final chips fried at 120 degrees C, 150 degrees C and 180 degrees C and compared with that of two brands of commercial chips produced in Chile (Moms and Frito Lay). Color values in L*a*b* units were recorded at different sampling times during frying at the four mentioned temperatures using the total color difference parameter (Delta E). Pre-drying did not affect the color of potato chips considerably when compared against blanched chips; however when fried at 180 degrees C, pre-dried potato chips present 44%, 22%, 44% lower acrylamide content than that of the control, Moms and Frito Lay chips, respectively. (c) 2006 Elsevier Ltd. All rights reserved.</t>
  </si>
  <si>
    <t>pedreschi, franco/F-8844-2013; Granby, Kit/J-7271-2016; Mery, Domingo/D-1385-2014; Pedreschi, Romina/F-9744-2016</t>
  </si>
  <si>
    <t>Granby, Kit/0000-0002-5264-1577; Mery, Domingo/0000-0003-4748-3882; Pedreschi, Romina/0000-0001-9927-2919</t>
  </si>
  <si>
    <t>0260-8774</t>
  </si>
  <si>
    <t>1873-5770</t>
  </si>
  <si>
    <t>10.1016/j.jfoodeng.2006.03.001</t>
  </si>
  <si>
    <t>WOS:000242281200007</t>
  </si>
  <si>
    <t>Gutiérrez, G; Taga, A; Johansson, B</t>
  </si>
  <si>
    <t>Theoretical structure determination of γ-Al2O3 -: art. no. 012101</t>
  </si>
  <si>
    <t>gamma-alumina is usually described as a defect spinel structure with cation site vacancies distributed randomly between octahedral and tetrahedral positions, Its structure and properties are still not well understood. Using ab initio calculations based on density functional theory and plane-wave pseudopotentials, we investigate all possible vacancy configurations within a 40-atom unit cell, which are consistent with the crystallographic data available. We find that the minimum energy structure has all the vacancies located at octahedral sites. Results are presented for the atomic configuration, bulk modulus, and electronic density of states of this structure.</t>
  </si>
  <si>
    <t>10.1103/PhysRevB.65.012101</t>
  </si>
  <si>
    <t>WOS:000173186000001</t>
  </si>
  <si>
    <t>Aranda, P; Segurado, J</t>
  </si>
  <si>
    <t>Aranda, Pedro; Segurado, Javier</t>
  </si>
  <si>
    <t>A Crack-Length Control Technique for Phase-Field Fracture in FFT Homogenization</t>
  </si>
  <si>
    <t>INTERNATIONAL JOURNAL FOR NUMERICAL METHODS IN ENGINEERING</t>
  </si>
  <si>
    <t>Modeling the propagation of cracks at the microscopic level is fundamental to understand the effect of the microstructure on the fracture process. Nevertheless, microscopic propagation is often unstable and when using phase-field fracture poor convergence is found or, in the case of using staggered algorithms, leads to the presence of jumps in the evolution of the cracks. In this work, a novel method is proposed to perform micromechanical simulations with phase-field fracture imposing monotonic increases of crack length and allowing the use of monolithic implementations, being able to resolve all the snap-backs during the unstable propagation phases. The method is derived for FFT-based solvers in order to exploit its very high numerical performance in micromechanical problems, but an equivalent method is also developed for Finite Elements (FE) showing the equivalence of both implementations. It is shown that the stress-strain curves and the crack paths obtained using the crack control method are superposed in stable propagation regimes to those obtained using strain control with a staggered scheme. J-integral calculations confirm that during the propagation process in the crack control method, the energy release rate remains constant and equal to an effective fracture energy that has been determined as a function of the concretization for FFT simulations. Finally, to show the potential of the method, the technique is applied to simulate crack propagation through the microstructure of composites and porous materials providing an estimation of the effective fracture toughness.</t>
  </si>
  <si>
    <t>Segurado, Javier/M-7713-2014</t>
  </si>
  <si>
    <t>Segurado, Javier/0000-0002-3617-2205</t>
  </si>
  <si>
    <t>0029-5981</t>
  </si>
  <si>
    <t>1097-0207</t>
  </si>
  <si>
    <t>e7664</t>
  </si>
  <si>
    <t>10.1002/nme.7664</t>
  </si>
  <si>
    <t>WOS:001399304700001</t>
  </si>
  <si>
    <t>Abarca-Ortega, A; González-Bermúdez, B; Castro-Domínguez, C; Alvarez-López, A; Díaz-Alcaraz, C; Garvía-Rodríguez, M; Guinea, G; Plaza, GR</t>
  </si>
  <si>
    <t>Abarca-Ortega, Aldo; Gonzalez-Bermudez, Blanca; Castro-Dominguez, Cristina; Alvarez-Lopez, Aroa; Diaz-Alcaraz, Cristina; Garvia-Rodriguez, Maria; Guinea, Gustavo, V; Plaza, Gustavo R.</t>
  </si>
  <si>
    <t>Single-cell mechanical characterization in constriction-based cytometry</t>
  </si>
  <si>
    <t>INTERNATIONAL JOURNAL OF MECHANICAL SCIENCES</t>
  </si>
  <si>
    <t>Mechanical characterization of suspended cells by constriction-based microfluidic devices has currently various limitations related to the available analysis models. In this work, we propose a new methodology to analyze the experiments. This approach is based on numerical simulations to describe fluid forces and cell deformation and on an extension of the quasi-linear viscoelasticity theory developed by Fung. The cells are considered visco-hyperelastic, homogeneous, and isotropic. The approach allows for assessing the mechanical parameters of individual cells, which is not possible using previous approaches, notably increasing the power of the constriction-based microfluidic technique. A practical procedure to compute mechanical parameters is proposed and demonstrated by analyzing experiments with suspended cells. The methodology developed in this work provides a convenient tool to overcome critical limitations of the state of the art and to leverage the potential of these microfluidic devices.</t>
  </si>
  <si>
    <t>Gonzalez-Bermudez, Blanca/AAA-6726-2019; Abarca Ortega, Aldo Fabian/ABE-4995-2020; Plaza, Gustavo R./E-4455-2012; GUINEA TORTUERO, GUSTAVO VICTOR/N-1241-2014</t>
  </si>
  <si>
    <t>Abarca Ortega, Aldo Fabian/0000-0002-1600-8555; Plaza, Gustavo R./0000-0002-5555-5498; GUINEA TORTUERO, GUSTAVO VICTOR/0000-0002-4326-3746</t>
  </si>
  <si>
    <t>0020-7403</t>
  </si>
  <si>
    <t>1879-2162</t>
  </si>
  <si>
    <t>10.1016/j.ijmecsci.2024.108979</t>
  </si>
  <si>
    <t>JAN 2024</t>
  </si>
  <si>
    <t>WOS:001164195800001</t>
  </si>
  <si>
    <t>dos Santos, MAF; Soto, DAS; Fernandes, JR; Brito, CJ; Aedo-Munoz, E; Miarka, B</t>
  </si>
  <si>
    <t>dos Santos, Marco Antonio Ferreira; Soto, Dany Alexis Sobarzo; Fernandes, Jose Raimundo; Brito, Ciro Jose; Aedo-Munoz, Esteban; Miarka, Bianca</t>
  </si>
  <si>
    <t>Frami-software for Brazilian Jiu-jitsu: development and validation of the protocol for technical-tactical analysis</t>
  </si>
  <si>
    <t>Background. This research is characterized as an applied technological and descriptive study that addresses the following aspects: development of technical-tactical modeling, description, and correlation of actions in the context of Brazilian Jiu-Jitsu (BJJ) combat. Aims. The present study aims to create and validate the Frami software with a BJJ technical-tactical analysis protocol. Methods. From 2,607 BJJ matches, considering all weight divisions, ranked as the best in the world and qualified for the 2018 and 2019 Abu Dhabi Professional Jiu-Jitsu World Championships, 20 Jiu-Jitsu combat presentations were selected, and used in two moments (First analysis x same analysis after 24 hours). The indicators were identified in previous reports (i.e., approach phase, gripping, guard, mounting, attack/ defense phase, and low-intensity movement phase). The model was performed intra- and inter-specialist validation, p &lt;= 0.05. Results. The general average level of Reliability among all evaluators when classifying the phases of the combat and technical actions of the athletes subdivided by stage resulted in Alpha 0.90 (0.86; 0.93), classified as excellent. Conclusion. In developing the specific instrument for the BJJ, we suggested nine BJJ combat phases. Thus, this instrument is a pioneer technical-tactical tool in BJJ and could help coaches and athletes to develop new contextual training based on detailed analysis.</t>
  </si>
  <si>
    <t>Santos, Marcos/A-6049-2013; Miarka, Bianca/V-7395-2017; Aedo-Muñoz, Esteban/R-5623-2019; Brito, Ciro/ABH-2245-2020</t>
  </si>
  <si>
    <t>10.14589/ido.24.4.3</t>
  </si>
  <si>
    <t>WOS:001332744200003</t>
  </si>
  <si>
    <t>Zada, M; Zada, S; Ali, M; Jun, ZY; Contreras-Barraza, N; Castillo, D</t>
  </si>
  <si>
    <t>Zada, Muhammad; Zada, Shagufta; Ali, Mudassar; Jun, Zhang Yong; Contreras-Barraza, Nicolas; Castillo, Dante</t>
  </si>
  <si>
    <t>How Classy Servant Leader at Workplace? Linking Servant Leadership and Task Performance During the COVID-19 Crisis: A Moderation and Mediation Approach</t>
  </si>
  <si>
    <t>The COVID-19 pandemic has caused a record global crisis, particularly and extremely, for the service sectors. Due to extensive security measures, many service sector employees have to work remotely to maintain services. Drawing upon the conservation of resources theory, this research investigates the impact of servant leadership on the task performance of employees in virtual working environments during the COVID-19 crisis. Our theoretical model was tested using data collected from 335 individual employees in the education sector of Pakistan. SPSS version 26.0 was applied to find the hypothesized relationship between the study variables. To find the indirect mediating effect, we applied Model 4; for moderation, we applied Model 1; and for the moderation and mediation effect, we applied Model 7 of the Process Macro model of Hayes. The results of the study revealed that servant leadership is positively related to task performance in a virtual environment during crises. Furthermore, psychological empowerment partially mediates the relationship between servant leadership and task performance. Perceived supervisor support positively moderates the relationship between servant leadership and task performance. Moreover, the indirect effect of servant leadership on task performance via psychological empowerment is moderated by perceived supervisor support. The results provided guidance to the educational sector on how to lead effectively in times of crisis when service sector employees work predominantly in virtual environments. The theoretical and practical implications of these findings are discussed.</t>
  </si>
  <si>
    <t>Zada, Muhammad/AEI-6298-2022; ali, Mudassar/AAP-8451-2021; Contreras-Barraza, Nicolás/HTP-2328-2023; Zhang, Yongjun/HTL-8236-2023</t>
  </si>
  <si>
    <t>Contreras-Barraza, Nicolas/0000-0001-6729-4398; Ali, Mudassar/0000-0002-8869-2421; zada, Muhammad/0000-0003-0466-4229</t>
  </si>
  <si>
    <t>MAR 23</t>
  </si>
  <si>
    <t>10.3389/fpsyg.2022.810227</t>
  </si>
  <si>
    <t>WOS:000781770500001</t>
  </si>
  <si>
    <t>Sanhueza, L; Garcia, P; Gimenez, B; Benito, JM; Matos, M; Gutierrez, G</t>
  </si>
  <si>
    <t>Sanhueza, Leyla; Garcia, Paula; Gimenez, Begona; Benito, Jose Manuel; Matos, Maria; Gutierrez, Gemma</t>
  </si>
  <si>
    <t>Encapsulation of Pomegranate Peel Extract (Punica granatum L.) by Double Emulsions: Effect of the Encapsulation Method and Oil Phase</t>
  </si>
  <si>
    <t>FOODS</t>
  </si>
  <si>
    <t>Pomegranate peel is an agro-industrial waste that can be used as source of punicalagin, a polyphenolic compound with several beneficial effects on health. Since, once extracted, punicalagin is prone to degradation, its encapsulation by double emulsions can be an alternative to protect the active compound and control its release. The aim of this investigation was to evaluate the feasibility of encapsulating pomegranate peel extract (PPE) in double emulsions using different types of oils (castor, soybean, sunflower, Miglyol and orange) in a ratio of 70:30 (oil:PPE) and emulsification methods (direct membrane emulsification and mechanical agitation), using polyglycerol polyricinoleate (PGPR) and Tween 80 as lipophilic and hydrophilic emulsifiers, respectively. Direct membrane emulsification (DME) led to more stable emulsions during storage. Droplet size, span values, morphology and encapsulation efficiency (EE) were better for double emulsions (DEs) prepared by DME than for mechanical agitation (MA). DEs formulated using Miglyol or sunflower oil as the oily phase could be considered as suitable food grade systems to encapsulate punicalagin with concentrations up to 11,000 mg/L of PPE.</t>
  </si>
  <si>
    <t>GARCIA, PAULA/H-3149-2018; Matos, Maria/KFA-9736-2024; Benito, Jose Manuel/H-6664-2015</t>
  </si>
  <si>
    <t>Sanhueza, leyla/0009-0004-9379-8548; Gutierrez, Gemma/0000-0003-2700-4944; Benito, Jose Manuel/0000-0001-8899-0448; Maria, Matos/0000-0002-6980-0554</t>
  </si>
  <si>
    <t>2304-8158</t>
  </si>
  <si>
    <t>10.3390/foods11030310</t>
  </si>
  <si>
    <t>WOS:000756118200001</t>
  </si>
  <si>
    <t>Castillo, J; Toro, N; Hernández, P; Navarro, P; Vargas, C; Gálvez, E; Sepúlveda, R</t>
  </si>
  <si>
    <t>Castillo, Jonathan; Toro, Norman; Hernandez, Pia; Navarro, Patricio; Vargas, Cristian; Galvez, Edelmira; Sepulveda, Rossana</t>
  </si>
  <si>
    <t>Extraction of Cu(II), Fe(III), Zn(II), and Mn(II) from Aqueous Solutions with Ionic Liquid R4NCy</t>
  </si>
  <si>
    <t>The leaching of copper ores produces a rich solution with metal interferences. In this context, Fe(III), Zn(II), and Mn(II) are three metals contained in industrial copper-rich solutions in high quantities and eventually can be co-extracted with the copper. The purpose of the current study was to determine the feasibly of solvent extraction with the use of ionic liquid methyltrioctyl/decylammonium bis (2,4,4-trimethylpentyl)phosphinate (R4NCy) as an extractant of Cu(II) in the presence of Fe(III), Zn(II), and Mn(II). In general terms, the results showed a high single extraction efficiency of all the metals under study. In the case of Fe(III) and Zn(II), the extraction was close to 100%. On the contrary, the stripping efficiency was poor to Fe(III) and discrete to Zn(II), but very high to Cu(II) and Mn(II). Finally, the findings of this study suggest that the ionic liquid R4NCy is feasible for the pre-treatment of the copper solvent extraction process to remove metal impurities such as Fe(III) and Zn(II).</t>
  </si>
  <si>
    <t>Hernandez, Pia C./0000-0001-9939-8386; Sepulveda Rivera, Rossana Daniela/0000-0003-0288-8130; Toro Villarroel, Norman Rodrigo/0000-0003-4273-3563; Castillo, Jonathan/0000-0002-7794-4291</t>
  </si>
  <si>
    <t>10.3390/met11101585</t>
  </si>
  <si>
    <t>WOS:000717150800001</t>
  </si>
  <si>
    <t>Brossard, N; Gonzalez-Muñoz, B; Pavez, C; Ricci, A; Wang, XM; Osorio, F; Bordeu, E; Parpinello, GP; Chen, JS</t>
  </si>
  <si>
    <t>Brossard, Natalia; Gonzalez-Munoz, Beatriz; Pavez, Carolina; Ricci, Arianna; Wang, Xinmiao; Osorio, Fernando; Bordeu, Edmundo; Paola Parpinello, Giuseppina; Chen, Jianshe</t>
  </si>
  <si>
    <t>Astringency sub-qualities of red wines and the influence of wine-saliva aggregates</t>
  </si>
  <si>
    <t>INTERNATIONAL JOURNAL OF FOOD SCIENCE AND TECHNOLOGY</t>
  </si>
  <si>
    <t>Astringency is a sensory attribute, related to the quality and mouthfeel of red wines. However, the origin of astringency sub-qualities, such as the typical drying astringency found in immature grapes, is still unknown. Astringency of red wines with similar tannin content but different astringency sub-qualities, from different harvest dates, is studied. Astringency was characterised in terms of friction coefficient, polyphenol content, sensory analysis and tannin/salivary-proteins aggregates characterisation. A different evolution during ripening was found for both Cabernet Sauvignon and Carmenere, and tannin-protein aggregates showed differences in size, shape and surface. The velvety sub-quality appears to be related to aggregates with low precipitation, and with specific surface characteristics as roundness and Feret diameter. Results from this work propose an effect of aggregates on sensory perception and opens the possibility to explore their effect on oral lubrication.</t>
  </si>
  <si>
    <t>Pavez Moreno, Carolina/AHI-1364-2022; Chen, Jianshe/KXR-9203-2024; Brossard, Natalia/ABH-2990-2021; osorio, fernando/AAY-7304-2021</t>
  </si>
  <si>
    <t>osorio, fernando/0000-0001-7206-0924; Brossard, Natalia/0000-0001-7444-8869; PARPINELLO, GIUSEPPINA PAOLA/0000-0002-1439-8035; Chen, Jianshe/0000-0002-7000-1469</t>
  </si>
  <si>
    <t>0950-5423</t>
  </si>
  <si>
    <t>1365-2621</t>
  </si>
  <si>
    <t>10.1111/ijfs.15065</t>
  </si>
  <si>
    <t>MAY 2021</t>
  </si>
  <si>
    <t>WOS:000650843900001</t>
  </si>
  <si>
    <t>Tejo, F; Toneto, D; Oyarzún, S; Hermosilla, J; Danna, CS; Palma, JL; da Silva, RB; Dorneles, LS; Denardin, JC</t>
  </si>
  <si>
    <t>Tejo, Felipe; Toneto, Denilson; Oyarzun, Simon; Hermosilla, Jose; Danna, Caroline S.; Palma, Juan L.; da Silva, Ricardo B.; Dorneles, Lucio S.; Denardin, Juliano C.</t>
  </si>
  <si>
    <t>Stabilization of Magnetic Skyrmions on Arrays of Self-Assembled Hexagonal Nanodomes for Magnetic Recording Applications</t>
  </si>
  <si>
    <t>ACS APPLIED MATERIALS &amp; INTERFACES</t>
  </si>
  <si>
    <t>Magnetic skyrmions are nontrivial spin textures that resist external perturbations, being promising candidates for the next-generation recording devices. Nevertheless, a major challenge in realizing skyrmion-based devices is the stabilization of ordered arrays of these spin textures under ambient conditions and zero applied field. Here, we demonstrate for the first time the formation and stabilization of magnetic skyrmions on the arrays of self-assembled hexagonal nanodomes taking advantage of the intrinsic properties of its curved geometry. Magnetic force microscopy images from the arrays of 100 nm nanodomes showed stable skyrmions at the zero field that are arranged following the topography of the nanostructure. Micromagnetic simulations are compared to the experiments to determine the correlation of the domain textures with the topography of the samples. We propose a simple method to nucleate and annihilate skyrmions, opening the possibility for an ultradense data storage based on the high stability and low energy consumption of the skyrmionic textures.</t>
  </si>
  <si>
    <t>Denardin, Juliano/S-6407-2019; Dorneles, Lucio/A-2376-2008; Palma, Juan/IAP-4554-2023; Tejo, Felipe/IUQ-0578-2023; Oyarzún, Simón/M-1769-2014; Silva Danna, Caroline/L-5560-2018; Strazzabosco Dorneles, Lucio/E-5674-2010</t>
  </si>
  <si>
    <t>Silva Danna, Caroline/0000-0001-8188-9419; Barreto da Silva, Ricardo/0000-0001-9696-5787; Toneto da Silva, Denilson/0000-0003-1529-7137; Strazzabosco Dorneles, Lucio/0000-0001-5833-1775; Palma, JuanLuis/0000-0003-2068-174X; Denardin, Juliano/0000-0002-1373-6207</t>
  </si>
  <si>
    <t>1944-8244</t>
  </si>
  <si>
    <t>1944-8252</t>
  </si>
  <si>
    <t>10.1021/acsami.0c14350</t>
  </si>
  <si>
    <t>WOS:000595547400120</t>
  </si>
  <si>
    <t>Sachman-Ruiz, B; Ibarra, JA; Estrada-de los Santos, P; Muñoz, AT; Giménez, B; Salazar, JC; García-Angulo, VA</t>
  </si>
  <si>
    <t>Sachman-Ruiz, Bernardo; Ibarra, Jose Antonio; Estrada-de los Santos, Paulina; Munoz, Alexia Torres; Gimenez, Begona; Salazar, Juan Carlos; Garcia-Angulo, Victor Antonio</t>
  </si>
  <si>
    <t>IurV, Encoded by ORF VCA0231, Is Involved in the Regulation of Iron Uptake Genes in Vibrio cholerae</t>
  </si>
  <si>
    <t>GENES</t>
  </si>
  <si>
    <t>The pathogen Vibrio cholerae has multiple iron acquisition systems which allow bacteria to exploit a variety of iron sources across the different environments on which it thrives. The expression of such iron uptake systems is highly regulated, mainly by the master iron homeostasis regulator Fur but also by other mechanisms. Recently, we documented that the expression of many of the iron-responsive genes is also modulated by riboflavin. Among them, the open reading frame VCA0231, repressed both by riboflavin and iron, encodes a putative transcriptional regulator of the AraC/XylS family. Nonetheless, the genes or functions affected by this factor are unknown. In the present study, a series of in silico analyses was performed in order to identify the putative functions associated with the product of VCA0231. The STRING database predicted many iron uptake genes as functional partners for the product of VCA0231. In addition, a genomic neighborhood analysis with the Enzyme Function Initiative tools detected many Pfam families involved in iron homeostasis genetically associated with VCA0231. Moreover, a phylogenetic tree showed that other AraC/XylS members known to regulate siderophore utilization in bacteria clustered together and the product of VCA0231 localized in this cluster. This suggested that the product of VCA0231, here named IurV, is involved in the regulation of iron uptake processes. RNAseq was performed to determine the transcriptional effects of a deletion in VCA0231. A total of 52 genes were overexpressed and 21 genes were downregulated in response to the iurV deletion. Among these, several iron uptake genes and other iron homeostasis-related genes were found. Six gene ontology (GO) functional terms were enriched in the upregulated genes, of which five were related to iron metabolism. The regulatory pattern observed in the transcriptomics of a subset of genes was independently confirmed by quantitative real time PCR analysis. The results indicate that IurV is a novel regulator of the AraC/XylS family involved in the repression of iron uptake genes. Whether this effect is direct or indirect remains to be determined.</t>
  </si>
  <si>
    <t>Sachman, Bernardo/IUQ-3112-2023; Garrido, Juan/H-2672-2017; Estrada de los Santos, Paulina/S-1238-2018; Ibarra, Jose Antonio/R-2030-2018</t>
  </si>
  <si>
    <t>Estrada de los Santos, Paulina/0000-0003-2407-0284; Salazar Garrido, Juan Carlos/0000-0002-2096-2050; SACHMNA-RUIZ, BERNARDO/0000-0001-8350-4789; Ibarra, Jose Antonio/0000-0002-5016-0622; Garcia-Angulo, Victor/0000-0002-1798-4726</t>
  </si>
  <si>
    <t>2073-4425</t>
  </si>
  <si>
    <t>10.3390/genes11101184</t>
  </si>
  <si>
    <t>WOS:000586216800001</t>
  </si>
  <si>
    <t>Miarka, B; Perez, DIV; Aedo-Munoz, E; Barreto, LBM; Fernandes, JR; Brito, CJ</t>
  </si>
  <si>
    <t>Miarka, Bianca; Valenzuela Perez, Diego Ignacio; Aedo-Munoz, Esteban; Mota Barreto, Lindsei Brabec; Fernandes, Jose Raimundo; Brito, Ciro Jose</t>
  </si>
  <si>
    <t>Practical application of time-motion analysis of judo female cadets' combats between weight divisions</t>
  </si>
  <si>
    <t>INTERNATIONAL JOURNAL OF PERFORMANCE ANALYSIS IN SPORT</t>
  </si>
  <si>
    <t>The purpose of the study was to compare the female cadet`s judo weight divisions based on time-motion analysis. For this, participants were grouped by weight, according to the following criteria: Lighters (n = 32, &lt;= 48 kg), Middlers (n = 24, &gt; 48 kg and &lt;= 63 kg) and Heavies (n = 14, &gt; 63 kg) of four local judo championships. Time-motion analysis were observed, according to each combat phase (i.e. combat, standing combat, approach, gripping, attack, groundwork combat and pause phases). ANOVA and Bonferroni tests were used, p &lt;=.05. The results indicated differences between total combat phase, with heavies (109.6 +/- 67.2 s) lighters (41.2 +/- 25 s) and heavies (31.4 +/- 27.7 s). In conclusion, female cadet training programmes should be adjusted according to their weight divisions with consideration for the temporal structure of the competitive environment.</t>
  </si>
  <si>
    <t>Brito, Ciro/ABH-2245-2020; Miarka, Bianca/V-7395-2017; Aedo-Muñoz, Esteban/R-5623-2019; Brabec Mota Barreto, Lindsei/AAW-2501-2020</t>
  </si>
  <si>
    <t>Brabec Mota Barreto, Lindsei/0000-0001-5941-4409; Valenzuela Perez, Diego Ignacio/0000-0002-9884-1187; Aedo-Munoz, Esteban/0000-0003-1544-2824</t>
  </si>
  <si>
    <t>2474-8668</t>
  </si>
  <si>
    <t>1474-8185</t>
  </si>
  <si>
    <t>JUL 3</t>
  </si>
  <si>
    <t>10.1080/24748668.2020.1780870</t>
  </si>
  <si>
    <t>WOS:000547157700012</t>
  </si>
  <si>
    <t>Miarka, B; Pérez, DIV; Aedo-Munoz, E; da Costa, LOF; Brito, CJ</t>
  </si>
  <si>
    <t>Miarka, Bianca; Valenzuela Perez, Diego Ignacio; Aedo-Munoz, Esteban; Fernandes da Costa, Lucas Oliveira; Brito, Ciro Jose</t>
  </si>
  <si>
    <t>Technical-Tactical Behaviors Analysis of Male and Female Judo Cadets' Combats</t>
  </si>
  <si>
    <t>This brief research report showed technical-tactical behaviors of male and female judo cadets during combats, comparing the frequency and time of judo combat actions, techniques and penalties. The data was composed for 3,240 sequential technical-tactical behavior analysis from 108 female and 300 male cadet combats recorded of public judo championships. Combat, standing combat moments, approach action, gripping action, attack, groundwork actions and pause moment were observed and determinant technical-tactical behaviors (frequencies of actions, penalties and type of attacks) analysis were done with FRAMI software, followed by Mann-Whitney and Student'st-test,p &lt;= 0.05. Our main results indicated that male cadets with 58.66s +/- 50.26s demonstrated longer gripping action than female with 38.44s +/- 30.44s, as standing combat (tachi-waza) had differences between male with 96.8s +/- 72s and female athletes with 75.85s +/- 56.97s. Moreover, male cadets had higher sacrifice techniques (sutemi-waza) actions than female athletes. This information could be used to a best performance associated with psyching-up as much as it could be used on physical training and technical-tactical ability of female and male cadets.</t>
  </si>
  <si>
    <t>Miarka, Bianca/V-7395-2017; Brito, Ciro/ABH-2245-2020; Aedo-Muñoz, Esteban/R-5623-2019</t>
  </si>
  <si>
    <t>Aedo-Munoz, Esteban/0000-0003-1544-2824; Valenzuela Perez, Diego Ignacio/0000-0002-9884-1187</t>
  </si>
  <si>
    <t>JUN 19</t>
  </si>
  <si>
    <t>10.3389/fpsyg.2020.01389</t>
  </si>
  <si>
    <t>WOS:000548631800001</t>
  </si>
  <si>
    <t>Ferrari, GLD; de Victo, ER; Kovalskys, I; de Mello, AV; Previdelli, AN; Solé, D; Fisberg, M</t>
  </si>
  <si>
    <t>de Moraes Ferrari, Gerson Luis; de Victo, Eduardo Rossato; Kovalskys, Irina; de Mello, Aline Veroneze; Previdelli, Agatha Nogueira; Sole, Dirceu; Fisberg, Mauro</t>
  </si>
  <si>
    <t>Sedentary behavior, physical activity and body composition in adults</t>
  </si>
  <si>
    <t>REVISTA DA ASSOCIACAO MEDICA BRASILEIRA</t>
  </si>
  <si>
    <t>OBJECTIVE: We investigated the associations between objectively assessed sedentary behavior (SB) and moderate-to-vigorous physical activity (MVPA) and body composition variables among a representative sample of Brazilian adults. METHODS: Using an accelerometer, SB and MVPA were monitored for at least 5 days in 524 participants (261 men; age, 18-65 years). Each minute epoch was classified as sedentary or spent in light, moderate, or vigorous physical activity (LPA, MPA, and VPA, respectively). The measured body composition variables included abdominal perimeter (AP) and neck circumference (NC). RESULTS: Men accumulated significantly more min/day of MPA (37.82 versus 27.28), VPA (1.10 versus 0.31), MVPA (39.02 versus 27.61), and steps/day (14,978 versus 13,443) than women (p&lt;.001). In men, MPA, VPA, MVPA, and steps/day were negatively associated with AP (p&lt;.05) independently of SB. Only VPA was significantly associated with NC (beta=0.113; p=.002). In women, only SB was significantly associated with AP (beta=0.003; p=.031). There were no significant associations between physical activity intensities and body composition in women. CONCLUSIONS: Our findings on the unequal association of physical activity with body composition variables between sexes can help inform future intervention strategies in Brasil.</t>
  </si>
  <si>
    <t>Mello, Aline/AAX-6965-2021; Fisberg, Mauro/E-7149-2010; Victo, Eduardo/JQI-9333-2023; Solé, Dirceu/JAO-0340-2023; Ferrari, Gerson/ABG-6635-2021; Ferrari, Gerson/P-1152-2014</t>
  </si>
  <si>
    <t>Sole, Dirceu/0000-0002-3579-0861; Rossato de Victo, Eduardo/0000-0002-4409-741X; Mello, Aline/0000-0002-1958-6916; Previdelli, Agatha/0000-0003-0032-4323; Ferrari, Gerson/0000-0003-3177-6576; Kovalskys, Irina/0000-0001-8481-5415</t>
  </si>
  <si>
    <t>1806-9282</t>
  </si>
  <si>
    <t>10.1590/1806-9282.66.3.314</t>
  </si>
  <si>
    <t>WOS:000541563600016</t>
  </si>
  <si>
    <t>Kämpfer, P; Glaeser, SP; Irgang, R; Fernández-Negrete, G; Poblete-Morales, M; Fuentes-Messina, D; Cortez-San Martín, M; Avendaño-Herrera, R</t>
  </si>
  <si>
    <t>Kaempfer, Peter; Glaeser, Stefanie P.; Irgang, Rute; Fernandez-Negrete, Guillermo; Poblete-Morales, Matias; Fuentes-Messina, Derie; Cortez-San Martin, Marcelo; Avendano-Herrera, Ruben</t>
  </si>
  <si>
    <t>Psychrobacter pygoscelis sp. nov. isolated from the penguin Pygoscelis papua</t>
  </si>
  <si>
    <t>INTERNATIONAL JOURNAL OF SYSTEMATIC AND EVOLUTIONARY MICROBIOLOGY</t>
  </si>
  <si>
    <t>One slightly beige-white pigmented, Gram-stain-negative, rod-shaped bacterium, strain I-STPP5b(T), was isolated from the trachea of a Gentoo penguin chick individual (Pygoscelin papua) investigated in Fildes Bay, Chilean Antarctic (62 degrees 12' S, 58 degrees 57' W). I-STPP5b(T) consists of a 3.4 Mb chromosome with a DNA G+C content of 44.4 mol%. Of the 3056 predicted genes, 1206 were annotated as hypothetical proteins and 51 were tRNAs. Phylogenetic analysis based on nearly full-length 16S rRNA gene sequences showed that the isolate shared a 16S rRNA gene sequence identity to the type strains of Psychrobacter phenylpyruvicus (98.8%), Psychrobacter arenosus and Psychrobacter pasteurii (both 98.3%), Psychrobacter piechaudii (98.2%) and Psychrobacter sanguinis (98.1%), but 16S rRNA gene sequence similarities to all other Psychrobacter species were &lt;= 98.0%. Partial gyrB nucleotide and amino acid sequence similarities among strain STPP5b(T) and the next related type strains were all below 81.8 and 92.9%, respectively. DNA-DNA hybridisation (DDH) with P. phenylpyruvicus LMG 5372(T), P. arenosus DSM 15389(T) and P. sanguinis DSM 23635(T) also showed low values (all below 30%). The main cellular fatty acids of the strain were C-18:1 omega 9c and C-16:1 omega 7c and/or C-16:1 omega 6c. Based on phylogenetic, chemotaxonomic, genomic and phenotypic analyses we propose a new species of the genus Psychrobacter, with the name Psychrobacter pygoscelis sp. nov. and strain I-STPP5b(T) (=CIP 111410(T)=CCM 8799(T)=LMG 30301(T)) as type strain.</t>
  </si>
  <si>
    <t>Kampfer, Peter/P-7643-2019; Fuentes, Derie/GLS-8773-2022; Poblete-Morales, Matías/AAS-1973-2020; Irgang, Rute/H-2399-2015; Glaeser, Stefanie/ABI-5518-2020; Avendaño-Herrera, Ruben/H-2368-2015</t>
  </si>
  <si>
    <t>Poblete-Morales, Matias/0000-0001-9064-3285; Avendano-Herrera, Ruben/0000-0001-5368-4475; Kampfer, Peter/0000-0002-7165-3418; Cortez-San Martin, Marcelo/0000-0001-7185-4909; Irgang, Rute/0000-0001-5608-0060; Fuentes, Derie/0000-0002-8189-8515</t>
  </si>
  <si>
    <t>1466-5026</t>
  </si>
  <si>
    <t>1466-5034</t>
  </si>
  <si>
    <t>10.1099/ijsem.0.003739</t>
  </si>
  <si>
    <t>WOS:000514419600031</t>
  </si>
  <si>
    <t>Encina, C; Márquez-Ruiz, G; Holgado, F; Giménez, B; Vergara, C; Robert, P</t>
  </si>
  <si>
    <t>Encina, Cristian; Marquez-Ruiz, Gloria; Holgado, Francisca; Gimenez, Begona; Vergara, Cristina; Robert, Paz</t>
  </si>
  <si>
    <t>Effect of spray-drying with organic solvents on the encapsulation, release and stability of fish oil</t>
  </si>
  <si>
    <t>Fish-oil (FO) was encapsulated with hydroxypropylcelullose (HPC) by conventional spray-drying with water (FO-water) and solvent spray-drying with ethanol (FO-EtOH), methanol (FO-MeOH) and acetone (FO-Acet) in order to study the effect of the solvent on the encapsulation efficiency (EE), microparticle properties and stability of FO during storage at 40 degrees C. Results showed that FO-Acet presented the highest EE of FO (92.0%), followed by FO-EtOH (80.4%), FO-MeOH (75.0%) and FO-water (71.1%). A decrease of the dielectric constant increased the EE of FO, promoting triglyceride-polymer interactions instead of oil-in-water emulsion retention. FO release profile in aqueous model was similar for all FO-microparticles, releasing only the surface FO, according to Higuchi model. Oxidative stability of FO significantly improved by spray-drying with MeOH, both in surface and encapsulated oil fractions. In conclusion, encapsulation of FO by solvent spray-drying can be proposed as an alternative technology for encapsulation of hydrophobic molecules.</t>
  </si>
  <si>
    <t>Vergara, Cristina/AAT-9575-2021; Holgado, Francisca/AAC-1822-2020; Robert, Paz/G-8198-2014; Marquez-Ruiz, Gloria/B-6925-2013</t>
  </si>
  <si>
    <t>Encina, Cristian/0000-0003-4324-6302; Marquez-Ruiz, Gloria/0000-0002-8548-837X; HOLGADO, FRANCISCA/0000-0003-4950-5950</t>
  </si>
  <si>
    <t>10.1016/j.foodchem.2018.05.026</t>
  </si>
  <si>
    <t>WOS:000432653400037</t>
  </si>
  <si>
    <t>Singh, DP; Herrera, CE; Singh, B; Singh, S; Singh, RK; Kumar, R</t>
  </si>
  <si>
    <t>Singh, Dinesh Pratap; Herrera, Carlos Eugenio; Singh, Brijesh; Singh, Shipra; Singh, Rajesh Kumar; Kumar, Rajesh</t>
  </si>
  <si>
    <t>Graphene oxide: An efficient material and recent approach for biotechnological and biomedical applications</t>
  </si>
  <si>
    <t>MATERIALS SCIENCE AND ENGINEERING C-MATERIALS FOR BIOLOGICAL APPLICATIONS</t>
  </si>
  <si>
    <t>The two-dimensional (2D) derivative of graphite termed graphene has widespread applications in various frontiers areas of nanoscience and nanotechnologies. Graphene in its oxidized form named as graphene oxide (GO) has a mixed structure equipped with various oxygen containing functional groups (epoxy, hydroxyl, carboxylic and carbonyl etc.) provides attachment sites to various biological molecules including protein, deoxyribonucleic acid (DNA), ribonucleic acid (RNA) etc. The attached biological molecules with the help of functional groups make it a promising candidate in research field of biotechnological and biomedical applications. The ease of processability and functionalization in aqueous solution due to available functional groups, amphiphilicity, better surface enhanced Raman scattering (SERS), fluorescence and its quenching ability better than graphene make GO a promising candidate for various biological applications. The amphipathetic nature and high surface area of the GO not only prepare it as a biocompatible, soft and flexible intra/inter cellular carrier but also provides long-term biocompatibility with very low cytotoxicity. Inspite of this, still we lack a very recent review for advanced biological applications of graphene oxide. This review deals the bio application of GO and the recent advancement as a biosensors, antibacterial agent, early detection of cancer, cancer cell imaging/mapping, targeted drug delivery and gene therapy etc.</t>
  </si>
  <si>
    <t>Singh, Brijesh/B-4355-2013; Kumar, Dr. Rajesh/H-6510-2011; Singh, Rajesh kumar/B-2721-2008; SINGH, DINESH/A-2509-2011</t>
  </si>
  <si>
    <t>Singh, Rajesh kumar/0000-0001-8884-8775; Kumar, Rajesh/0000-0001-7065-3259; SINGH, DINESH/0000-0002-2893-7749</t>
  </si>
  <si>
    <t>0928-4931</t>
  </si>
  <si>
    <t>1873-0191</t>
  </si>
  <si>
    <t>MAY 1</t>
  </si>
  <si>
    <t>10.1016/j.msec.2018.01.004</t>
  </si>
  <si>
    <t>WOS:000428824400018</t>
  </si>
  <si>
    <t>Salvadori, C; Petracca, M; del Rincon, JM; Velastin, SA; Makris, D</t>
  </si>
  <si>
    <t>Salvadori, Claudio; Petracca, Matteo; del Rincon, Jesus Martinez; Velastin, Sergio A.; Makris, Dimitrios</t>
  </si>
  <si>
    <t>An optimisation of Gaussian mixture models for integer processing units</t>
  </si>
  <si>
    <t>JOURNAL OF REAL-TIME IMAGE PROCESSING</t>
  </si>
  <si>
    <t>This paper investigates sub-integer implementations of the adaptive Gaussian mixture model (GMM) for background/foreground segmentation to allow the deployment of the method on low cost/low power processors that lack Floating Point Unit. We propose two novel integer computer arithmetic techniques to update Gaussian parameters. Specifically, the mean value and the variance of each Gaussian are updated by a redefined and generalized round operation that emulates the original updating rules for a large set of learning rates. Weights are represented by counters that are updated following stochastic rules to allow a wider range of learning rates and the weight trend is approximated by a line or a staircase. We demonstrate that the memory footprint and computational cost of GMM are significantly reduced, without significantly affecting the performance of background/foreground segmentation.</t>
  </si>
  <si>
    <t>Makris, Dimitrios/D-4224-2009; Rincón, Jesus/C-7067-2008; Petracca, Matteo/I-2497-2016</t>
  </si>
  <si>
    <t>Petracca, Matteo/0000-0002-0893-7493; Salvadori, Claudio/0000-0003-1363-3379; Makris, Dimitrios/0000-0001-6170-0236</t>
  </si>
  <si>
    <t>1861-8200</t>
  </si>
  <si>
    <t>1861-8219</t>
  </si>
  <si>
    <t>10.1007/s11554-014-0402-5</t>
  </si>
  <si>
    <t>WOS:000406199400004</t>
  </si>
  <si>
    <t>Hu, YQ; Johnson, DL; Valenza, JJ; Santibanez, F; Makse, HA</t>
  </si>
  <si>
    <t>Hu, Yanqing; Johnson, David L.; Valenza, John J.; Santibanez, Francisco; Makse, Hernan A.</t>
  </si>
  <si>
    <t>Stress-dependent normal-mode frequencies from the effective mass of granular matter</t>
  </si>
  <si>
    <t>PHYSICAL REVIEW E</t>
  </si>
  <si>
    <t>A zero-temperature critical point has been invoked to control the anomalous behavior of granular matter as it approaches jamming or mechanical arrest. Criticality manifests itself in an anomalous spectrum of low-frequency normal modes and scaling behavior near the jamming transition. The critical point may explain the peculiar mechanical properties of dissimilar systems such as glasses and granular materials. Here we study the critical scenario via an experimental measurement of the normal modes frequencies of granular matter under stress from a pole decomposition analysis of the effective mass. We extract a complex-valued characteristic frequency which displays scaling vertical bar omega*(sigma)vertical bar similar to sigma(Omega') with vanishing stress sigma for a variety of granular systems. The critical exponent is smaller than that predicted by mean-field theory opening new challenges to explain the exponent for frictional and dissipative granular matter. Our results shed light on the anomalous behavior of stress-dependent acoustics and attenuation in granular materials near the jamming transition.</t>
  </si>
  <si>
    <t>Makse, Hernan/KPA-9630-2024; Santibanez, Francisco/JGD-1397-2023</t>
  </si>
  <si>
    <t>Valenza, John/0000-0001-5384-2568</t>
  </si>
  <si>
    <t>1539-3755</t>
  </si>
  <si>
    <t>1550-2376</t>
  </si>
  <si>
    <t>JUN 9</t>
  </si>
  <si>
    <t>10.1103/PhysRevE.89.062202</t>
  </si>
  <si>
    <t>WOS:000336979500007</t>
  </si>
  <si>
    <t>Uribe, E; Lemus-Mondaca, R; Vega-Gálvez, A; Zamorano, M; Quispe-Fuentes, I; Pasten, A; Di Scala, K</t>
  </si>
  <si>
    <t>Uribe, Elsa; Lemus-Mondaca, Roberto; Vega-Galvez, Antonio; Zamorano, Marcela; Quispe-Fuentes, Issis; Pasten, Alexis; Di Scala, Karina</t>
  </si>
  <si>
    <t>Influence of process temperature on drying kinetics, physicochemical properties and antioxidant capacity of the olive-waste cake</t>
  </si>
  <si>
    <t>The objective of this study was to determine the effect of drying temperature on the drying kinetics, proximal analysis, energy consumption and the antioxidant capacity of the olive-waste cake Picual variety from 40 to 90 degrees C. Evaluation of proximal analysis evidenced the influence of temperature on the waste parameters. Values of effective moisture coefficients were in the range of 1.97-6.05 x 10(-9) m(2) s(-1) under the studied conditions. Activation energy was found to be 28.24 kJ mol(-1). The Weibull model was successfully applied (r(2) &gt; 0.973). Specific energy consumption decreased as temperature increased, showing the effect of drying times over temperature. Although dehydrated samples decreased the initial total phenolic content, significant differences were not detected. Effects of drying temperatures did not present significant differences on antioxidant capacity (ORAC and DPPH) when compared to fresh samples. The oleic acid (main fatty acid in fresh samples) presented a maximum increased at 90 degrees C. (C) 2013 Elsevier Ltd. All rights reserved.</t>
  </si>
  <si>
    <t>Vega-Galvez, Antonio/F-1089-2015; Quispe-Fuentes, Issis/O-9517-2014; Lemus-Mondaca, Roberto/E-8348-2017</t>
  </si>
  <si>
    <t>Quispe-Fuentes, Issis/0000-0002-9194-8168; Uribe, Elsa/0000-0002-7608-1180; Vega-Galvez, Antonio/0000-0001-9991-6139; Lemus-Mondaca, Roberto/0000-0002-1252-2573; Pasten, Alexis/0000-0002-1256-3586</t>
  </si>
  <si>
    <t>10.1016/j.foodchem.2013.09.121</t>
  </si>
  <si>
    <t>WOS:000328521900024</t>
  </si>
  <si>
    <t>Palza, H; Vera, J; Wilhelm, M; Zapata, P</t>
  </si>
  <si>
    <t>Palza, H.; Vera, J.; Wilhelm, M.; Zapata, P.</t>
  </si>
  <si>
    <t>Spherulite Growth Rate in Polypropylene/Silica Nanoparticle Composites: Effect of Particle Morphology and Compatibilizer</t>
  </si>
  <si>
    <t>MACROMOLECULAR MATERIALS AND ENGINEERING</t>
  </si>
  <si>
    <t>Spherical and tube-like (TL) silica nanoparticles were melt blended with an isotactic polypropylene (PP) matrix and its effect on the isothermal spherulite growth rate was analyzed by polarized optical microscope. The addition of low amount (approximate to 1 wt.-%) of either 15nm spherical or TL particles raises the spherulite growth rate and the nucleation density of spherulites. Samples prepared with silica spheres of 80nm otherwise do not show any change in the crystallization behavior. By adding a compatibilizer, both the nucleation density and the spherulite growth rate of the pure polymer are increased. Noteworthy, although the nanoparticles do not further increase the nucleation density of the PP/compatibilizer blend, independent of its form and size, they cause a decrease in its spherulite growth rate.</t>
  </si>
  <si>
    <t>Palza, Humberto/H-2782-2014</t>
  </si>
  <si>
    <t>Palza, Humberto/0000-0001-5246-6791; Zapata, Paula Andrea/0000-0003-3361-6226</t>
  </si>
  <si>
    <t>1438-7492</t>
  </si>
  <si>
    <t>1439-2054</t>
  </si>
  <si>
    <t>10.1002/mame.201000405</t>
  </si>
  <si>
    <t>WOS:000294230600007</t>
  </si>
  <si>
    <t>Längle, A; Sykes, BM</t>
  </si>
  <si>
    <t>Viktor!Frankl -: Advocate for humanity:: On his 100th birthday</t>
  </si>
  <si>
    <t>JOURNAL OF HUMANISTIC PSYCHOLOGY</t>
  </si>
  <si>
    <t>Viktor Frankl founded the psychotherapeutic school known as Logotherapy and Existential Analysis. Frankl was a medical doctor whose interest in the burgeoning field of psychology and psychoanalysis brought him into contact with the theories of Freud and Adler. Frankl's familiarity with these two schools of psychotherapy combined with his own philosophical approach to human nature became motivating factors in his desire to reduce reductionism and promote a more humanistic approach to the fields of psychology, psychotherapy, and medicine. Frankl dedicated both his life and the better part of his career to the topic of meaning. Frankl's unique contribution to the field of psychology focuses on the effect that meaning, possibility, freedom, and decision have on an individual's psychological well-being and development. This article aims to illustrate Frankl's unique contribution to psychology by providing a brief biography and highlighting the contexts in which Logotherapy as a theory emerged.</t>
  </si>
  <si>
    <t>0022-1678</t>
  </si>
  <si>
    <t>10.1177/0022167805281150</t>
  </si>
  <si>
    <t>WOS:000237290200003</t>
  </si>
  <si>
    <t>Tapia, A; Gangi, L; Zegers-Hochschild, F; Balmaceda, J; Pommer, P; Trejo, L; Pacheco, I; Salvatierra, A; Henriquez, S; Quezada, M; Vargas, M; Croxatto, HB; Velásquez, L</t>
  </si>
  <si>
    <t>Searching genes involved in human endometrial infertility</t>
  </si>
  <si>
    <t>PLACENTA</t>
  </si>
  <si>
    <t>Joint Meeting of the 2nd Latinamerican Symposium on Fetal-Mateanal Interaction and Placenta/19th Annual Meeting of the Chilean-Society-of-Physiological-Sciences</t>
  </si>
  <si>
    <t>NOV 06-09, 2005</t>
  </si>
  <si>
    <t>Chilean Soc Physiol Sci</t>
  </si>
  <si>
    <t>Tapia-Pizarro, Alejandro/IUQ-1738-2023; Zegers-Hochschild, Fernando/KDA-6102-2024</t>
  </si>
  <si>
    <t>0143-4004</t>
  </si>
  <si>
    <t>A10</t>
  </si>
  <si>
    <t>WOS:000233996200040</t>
  </si>
  <si>
    <t>(2+1)-dimensional black hole with Coulomb-like field</t>
  </si>
  <si>
    <t>A (2 + 1)-static black hole solution with a nonlinear electric field is derived. The source to the Einstein equations is a nonlinear electrodynamics, satisfying the weak energy conditions, and it is such that the energy momentum tensor is traceless. The obtained solution is singular at the origin of coordinates. The derived electric field E(r) is given by E(r) = q/r(2), thus it has the Coulomb form of a point charge in the Minkowski spacetime. This solution describes charged (anti)-de Sitter spaces. An interesting asymptotically flat solution arises for Lambda = 0. (C) 2000 Elsevier Science B.V. All rights reserved.</t>
  </si>
  <si>
    <t>JUN 29</t>
  </si>
  <si>
    <t>10.1016/S0370-2693(00)00609-2</t>
  </si>
  <si>
    <t>WOS:000087960300022</t>
  </si>
  <si>
    <t>Ramirez, BU; Behrens, MI; Vergara, C</t>
  </si>
  <si>
    <t>Neural control of the expression of a Ca2+-activated K+ channel involved in the induction of myotonic-like characteristics</t>
  </si>
  <si>
    <t>CELLULAR AND MOLECULAR NEUROBIOLOGY</t>
  </si>
  <si>
    <t>1. Expression of the apamin-sensitive K+ channel (SK+) in rat skeletal muscle is neurally regulated. The regulatory effect of the nerve over the expression of some muscle ion channels has been attributed to the electrical activity triggered by the nerve and/or to a trophic effect of some molecules transported from the soma to the axonal endings. 2. SK+ channels apparently are involved in myotonic dystrophy (MD), therefore understanding the factors that regulate their expression may ultimately have important clinical relevance. 3. To establish if axoplasmic transport is involved in this process, we used two experimental approaches in adult rats: (a) Both sciatic nerves were severed, leaving a short or a long nerve stump attached to the anterior tibialis (AT). (b) Colchicine or vinblastine (VBL), two axonal transport blockers of different potencies, was applied on one leg to the sciatic nerve. To determine whether electrical activity affects the expression of SK+ channels, denervated AT were directly stimulated. The corresponding contralateral muscles were used as controls. 4. With these experimental conditions we measured (a) apamin binding to muscle membranes, (b) muscle contractile characteristics, and (c) electromyographic activity. 5. In the short- and long-nerve stump experiments, 5 days after denervation I-125-apamin binding to AT membranes was 2.0 times higher in the short-stump side. This difference disappeared at longer times. The delayed expression of SK+ channels in the muscle left with a longer nerve stump can be attributed to the extra axoplasm contained in the longer stump, which maintains a normally repressive signal for a longer period of time. Ten to 15 days after application of axonal transport blockers we found that the muscle half-relaxation time increased in the drug-treated side and apamin partially reverted the prolonged relaxation. Myotonic-like discharges specifically blockable by apamin were always present in the drug-treated leg. I-125-Apamin binding, which is undetectable in a microsomal preparation from hind leg control muscles, was increased in the drug-treated preparations. Apamin binding to denervated and stimulated AT muscles was lower than in the contralateral unstimulated muscles [3.3 +/- 1.0 vs 6.8 +/- 0.8 (n = 4) fmol/mg protein]. 6. Our results demonstrate that electrical activity and axoplasmic transport are involved in the control of expression of SK+ in rat skeletal muscle. However, the increased expression of this channel induces myotonic-like characteristics that are reversed by apamin. This myotonic activity could be a model for MD.</t>
  </si>
  <si>
    <t>Vergara, Cecilia/H-6964-2014; Behrens, Maria Isabel/I-1083-2013</t>
  </si>
  <si>
    <t>Behrens, Maria Isabel/0000-0003-0964-426X</t>
  </si>
  <si>
    <t>0272-4340</t>
  </si>
  <si>
    <t>10.1007/BF02578385</t>
  </si>
  <si>
    <t>WOS:A1996TV60800004</t>
  </si>
  <si>
    <t>Alegría, C; Dallant, J; Pérez-Lantero, P; Seara, C</t>
  </si>
  <si>
    <t>Alegria, Carlos; Dallant, Justin; Perez-Lantero, Pablo; Seara, Carlos</t>
  </si>
  <si>
    <t>Time-optimal computation of the rectilinear convex hull with arbitrary orientation of sets of segments and circles</t>
  </si>
  <si>
    <t>We explore an extension to rectilinear convexity of the classic problem of computing the convex hull of a set of geometric objects. Namely, we solve the problem of computing the rectilinear convex hull with arbitrary orientation for a set of segments and circles. We describe efficient algorithms to compute and maintain the objects appearing on the boundary of the rectilinear convex hull of such sets, while we rotate the coordinate axes by an angle that goes from 0 to 2 pi. We first consider a set of n segments. If the segments are not necessarily disjoint, we describe an algorithm that runs in optimal Theta(n log n) time and O(n alpha(n)) space, where alpha(n) is the extremely slowly growing inverse of Ackermann's function. If instead the segments form a simple polygonal chain, we describe an algorithm that improves the previous space complexity to Theta(n). We then extend the techniques used in these algorithms to a set of n circles. The resulting algorithm runs in optimal Theta(n log n) time and Theta(n) space.</t>
  </si>
  <si>
    <t>Seara, Carlos/Z-3370-2019</t>
  </si>
  <si>
    <t>Seara, Carlos/0000-0002-0095-1725</t>
  </si>
  <si>
    <t>2025 MAR 26</t>
  </si>
  <si>
    <t>10.1007/s10898-025-01482-9</t>
  </si>
  <si>
    <t>WOS:001454234900001</t>
  </si>
  <si>
    <t>Tello, A; Cataño, FA; Arunachalam, A; Oyarzún, D; Henriquez, R; Valdivia, P; Viswanathan, MR; Gómez, H</t>
  </si>
  <si>
    <t>Tello, Alejandra; Catano, Francisco A.; Arunachalam, Arulraj; Oyarzun, Diego; Henriquez, Rodrigo; Valdivia, Patricio; Viswanathan, Mangalaraja Ramalinga; Gomez, Humberto</t>
  </si>
  <si>
    <t>Green hydrogen production by photovoltaic-assisted alkaline water electrolysis: A review on the conceptualization and advancements</t>
  </si>
  <si>
    <t>The process of producing hydrogen by water electrolysis is becoming more and more popular as people look for clean and renewable energy sources. The alkaline electrolyzers show promising features, however, there is a room for improvement in the efficiency and energy usage. The research explores optimizing PV-assisted alkaline electrolysis setup to enhance the performance and reduce its energy input. The factors such as solar irradiation, electrolyzer design, catalysts, and operational parameters impacts the energy efficiency and hydrogen production rates. The strategies include coupling PV arrays and electrolyzers with DC/DC converters with MPPT to maximize power output. Thus, the underlying goal of the review is to present the strategies that can be applied to improve the process by considering the several operational conditions of the electrolyzer, which influence the gas quality and the energy efficiency. Further, the strategies to overcome the existing issues like variables over time, the effects of fluctuations in current, and the partial load operation of the electrical energy from the renewable sources are discussed. The advancements in the alkaline electrolyzer technology and their economic assessment and the energy efficiency of the for the hydrogen production are also addressed. As a conclusive remarks, the challenges and future perspectives of the PV-assisted alkaline water electrolyzer technology has been emphasized.</t>
  </si>
  <si>
    <t>Alharbi, Naiyf/B-9402-2019; Henríquez, Rodrigo/E-2155-2014; VALDIVIA, PATRICIO/KMA-0184-2024; Oyarzun, Diego/MTF-4062-2025; Ramalinga Viswanathan, Mangalaraja/JOZ-3129-2023; Arunachalam, Arulraj/M-5764-2018</t>
  </si>
  <si>
    <t>Ramalinga Viswanathan, Mangalaraja/0000-0003-1016-9830; Henriquez, Rodrigo/0000-0002-2612-5413; Arunachalam, Arulraj/0000-0002-6234-8147; VALDIVIA, PATRICIO/0000-0002-7457-1346</t>
  </si>
  <si>
    <t>MAR 10</t>
  </si>
  <si>
    <t>10.1016/j.ijhydene.2024.04.333</t>
  </si>
  <si>
    <t>WOS:001449991600001</t>
  </si>
  <si>
    <t>Shanmugaraj, K; Mangalaraja, RV; Campos, CH; Singh, DP; Udayabhaskar, R; Bedoya, S; Aepuru, R</t>
  </si>
  <si>
    <t>Shanmugaraj, Krishnamoorthy; Mangalaraja, Ramalinga Viswanathan; Campos, Cristian H.; Singh, Dinesh Pratap; Udayabhaskar, R.; Bedoya, Santiago; Aepuru, Radhamanohar</t>
  </si>
  <si>
    <t>Platinum nanoparticles confined within TiO2 nanotube matrix for enhanced catalytic reduction of azure b dye</t>
  </si>
  <si>
    <t>In this work, we report the synthesis of TiO2 nanotubes encapsulated platinum nanoparticles (PtNPs-TiO2NTs) as a highly efficient catalyst for the catalytic reduction of azure B (AZB) dye in the sodium borohydride (NaBH4) medium. The encapsulation of PtNPs (particle size similar to 2-3 nm) inside the TiO2NTs was confirmed by HR-TEM analysis. The as-prepared PtNPs-TiO2NTs exhibit higher conversion efficiency than 99 % with a pseudo-first order rate constant of 2.6 x 10(-3) s(-1). Owing to the confinement effect of PtNPs inside the TiO2NTs, the synthesized catalyst shows the superior operative stability even after 8 consecutive recycles without any loss in its activity. This work opens up new avenue for the designing of confined catalyst for various industrial catalytic reactions.</t>
  </si>
  <si>
    <t>KRISHNAMOORTHY, SHANMUGARAJ/IYJ-7427-2023; AEPURU, RADHAMANOHAR/AAT-4645-2020; Viswanathan, Mangalaraja/AAM-6090-2020; SINGH, DINESH/A-2509-2011; Ramalinga Viswanathan, Mangalaraja/JOZ-3129-2023; rednam, udayabhaskar/D-8704-2014; Campos, Cristian/D-6926-2016; KRISHNAMOORTHY, SHANMUGARAJ/N-6563-2017</t>
  </si>
  <si>
    <t>SINGH, DINESH/0000-0002-2893-7749; Ramalinga Viswanathan, Mangalaraja/0000-0003-1016-9830; rednam, udayabhaskar/0000-0002-6434-0560; Bedoya Castano, Santiago/0000-0001-7287-3490; Campos, Cristian/0000-0001-8592-5384; KRISHNAMOORTHY, SHANMUGARAJ/0000-0003-4531-9405</t>
  </si>
  <si>
    <t>10.1016/j.matlet.2022.133208</t>
  </si>
  <si>
    <t>WOS:000867682800006</t>
  </si>
  <si>
    <t>Gaete, A; Andreani-Gerard, C; Maldonado, JE; Muñoz-Torres, PA; Sepúlveda-Chavera, GF; González, M</t>
  </si>
  <si>
    <t>Gaete, Alexis; Andreani-Gerard, Constanza; Maldonado, Jonathan E.; Munoz-Torres, Patricio A.; Sepulveda-Chavera, German F.; Gonzalez, Mauricio</t>
  </si>
  <si>
    <t>Bioprospecting of Plant Growth-Promoting Traits of Pseudomonas sp. Strain C3 Isolated from the Atacama Desert: Molecular and Culture-Based Analysis</t>
  </si>
  <si>
    <t>DIVERSITY-BASEL</t>
  </si>
  <si>
    <t>Soil microorganisms that inhabit extreme environments have unique metabolic capacities and/or physical structures that allow them to survive in oligotrophic conditions. The bioprospecting of unknown bacteria in the context of current advances in genome mining is fundamental for the discovery of natural products with novel properties or applications. In this study, the plant growth-promoting and biocontrol traits of a Pseudomonas isolated from soil associated with plants from the Atacama Desert were characterized by whole-genome sequencing and in vitro assays. A high-quality genome draft of Pseudomonas sp. isolate C3 was obtained. An automated biosynthetic gene cluster analysis using antiSMASH 6.0 revealed the presence of a cluster of genes for the biosynthesis, regulation, and transport of the metabolite 2,4-diacetylphloroglucinol, which showed a high protein sequence identity (&gt;89%) with a validated orthologous gene cluster from another Pseudomonas. In addition, via an in vitro assay, the biocontrol activity of Pseudomonas sp. isolate C3 against Botrytis cinerea, Monilinia fructicola, Phytium sp., Alternaria sp., Geotrichum candidum, and Fusarium oxysporum was corroborated. Finally, through KofamKOALA, the presence of genes involved in different metabolic pathways of plant growth-promoting traits was identified, which was corroborated by in vitro assays. This study provides information obtained from genomic analyses and culture tools on a bacterial isolate from the Atacama Desert characterized by plant growth-promoting capacities and biocontrol activity.</t>
  </si>
  <si>
    <t>Chavera, German/AAW-9585-2021; Gonzalez, Mauricio/I-2772-2013; Maldonado Soto, Jonathan Elias/J-6429-2012</t>
  </si>
  <si>
    <t>Sepulveda Chavera, German/0000-0002-1452-7618; Gaete, Alexis/0000-0001-9132-231X; Maldonado Soto, Jonathan Elias/0000-0002-9967-0885; Sepulveda, German/0000-0002-5610-0970</t>
  </si>
  <si>
    <t>1424-2818</t>
  </si>
  <si>
    <t>10.3390/d14050388</t>
  </si>
  <si>
    <t>WOS:000801626900001</t>
  </si>
  <si>
    <t>Travieso-Torres, JC; Contreras, C; Hernández, F; Duarte-Mermoud, MA; Aguila-Camacho, N; Orchard, ME</t>
  </si>
  <si>
    <t>Travieso-Torres, Juan C.; Contreras, Camilo; Hernandez, Francisco; Duarte-Mermoud, Manuel A.; Aguila-Camacho, Norelys; Orchard, Marcos E.</t>
  </si>
  <si>
    <t>Adaptive passivity-based control extended for unknown control direction</t>
  </si>
  <si>
    <t>ISA TRANSACTIONS</t>
  </si>
  <si>
    <t>This research extends the design of adaptive passivity-based controllers (APBC), proposing a normalized APBC (NAPBC) for nonlinear dynamical systems with a direction of control unknown. The plant also has an accessible single-input and a single-output, smooth behavior, linear explicit parametric dependence, and unknown parameters. The proposed method can handle unknown control direction through an alternate and more straightforward method than Nussbaum gains, having two fewer parameters. We present the stability proof of the controlled system. Besides, the proposed NAPBC expands the tuning method for normalized fixed gains or time-varying gains, reducing the trial and error procedure. Finally, we apply the proposed methodology step by step to a conical tank-scale pilot plant. Comparative experimental results show the proposed NAPBC has better indexes ISI, Ess, MO, IAE, and Ts. (c) 2021 ISA. Published by Elsevier Ltd. All rights reserved.</t>
  </si>
  <si>
    <t>Orchard, Marcos/H-4418-2013; Hernandez, Francisco/E-7957-2016; Aguila-Camacho, Norelys/J-4449-2015; Travieso Torres, Juan carlos/N-6437-2019; Duarte-Mermoud, Manuel A./I-2693-2013</t>
  </si>
  <si>
    <t>Aguila-Camacho, Norelys/0000-0002-4514-0037; Travieso Torres, Juan carlos/0000-0002-9246-4827; Duarte-Mermoud, Manuel A./0000-0003-2367-4553</t>
  </si>
  <si>
    <t>0019-0578</t>
  </si>
  <si>
    <t>1879-2022</t>
  </si>
  <si>
    <t>10.1016/j.isatra.2021.04.028</t>
  </si>
  <si>
    <t>WOS:000783324100002</t>
  </si>
  <si>
    <t>Hàn, HP; Han, J; Morris, P</t>
  </si>
  <si>
    <t>Han, Hiep; Han, Jie; Morris, Patrick</t>
  </si>
  <si>
    <t>Factors and loose Hamilton cycles in sparse pseudo-random hypergraphs</t>
  </si>
  <si>
    <t>RANDOM STRUCTURES &amp; ALGORITHMS</t>
  </si>
  <si>
    <t>We investigate the emergence of subgraphs in sparse pseudo-random k- uniform hypergraphs, using the following comparatively weak notion of pseudo-randomness. A k- uniform hypergraph H on n vertices is called (p, alpha, epsilon)-pseudo-random if for all (not necessarily disjoint) vertex subsets A(1), ..., A(k) subset of V(H) with vertical bar A(1)vertical bar...vertical bar A(k)vertical bar &gt;= alpha n(k) we have e(A(1), ..., A(k)) = (1 +/- epsilon)p vertical bar A(1)vertical bar...vertical bar A(k)vertical bar. For any linear k-uniform F, we provide a bound on alpha = alpha(n) in terms of p = p(n) and F, such that (under natural divisibility assumptions on n) any k-uniform (p, alpha, o(1))-pseudo-random n-vertex hypergraph H with a mild minimum vertex degree condition contains an F-factor. The approach also enables us to establish the existence of loose Hamilton cycles in sufficiently pseudo-random hypergraphs and, along the way, we also derive conditions which guarantee the appearance of any fixed sized subgraph. All results imply corresponding bounds for stronger notions of hypergraph pseudo-randomness such as jumbledness or large spectral gap. As a consequence, (p, alpha, o(1))-pseudo-random k- graphs as above contain: (i) a perfect matching if alpha = o(p(k)) and (ii) a loose Hamilton cycle if alpha = o(p(k-1)). This extends the works of Lenz-Mubayi, and Lenz-Mubayi-Mycroft who studied the analogous problems in the dense setting.</t>
  </si>
  <si>
    <t>Han, Jie/CAH-1832-2022; Morris, Patrick/MAH-3133-2025</t>
  </si>
  <si>
    <t>Morris, Patrick/0000-0001-9359-0748</t>
  </si>
  <si>
    <t>1042-9832</t>
  </si>
  <si>
    <t>1098-2418</t>
  </si>
  <si>
    <t>10.1002/rsa.21052</t>
  </si>
  <si>
    <t>WOS:000707304400001</t>
  </si>
  <si>
    <t>Mooste, M; Tkesheliadze, T; Kozlova, J; Kikas, A; Kisand, V; Treshchalov, A; Tamm, A; Aruväli, J; Zagal, JH; Kannan, AM; Tammeveski, K</t>
  </si>
  <si>
    <t>Mooste, Marek; Tkesheliadze, Tinatin; Kozlova, Jekaterina; Kikas, Arvo; Kisand, Vambola; Treshchalov, Alexey; Tamm, Aile; Aruvali, Jaan; Zagal, Jose H.; Kannan, Arunachala M.; Tammeveski, Kaido</t>
  </si>
  <si>
    <t>Transition metal phthalocyanine-modified shungite-based cathode catalysts for alkaline membrane fuel cell</t>
  </si>
  <si>
    <t>The alkaline anion exchange membrane fuel cell (AEMFC) is one of the green solutions for the growing need for energy conversion technologies. For the first time, we propose a natural shungite based non-precious metal catalyst (NPMC) as an alternative cathode catalyst to Pt-based materials for AEMFCs application. The Co and Fe phthalocyanine (Pc)modified shungite materials were prepared via pyrolysis and used for oxygen reduction reaction (ORR) and oxygen evolution reaction (OER) studies. The most promising ORR performance was observed in alkaline media for FePc-modified and acid-leached shungite-based NPMC material. The catalysts were also evaluated as cathode materials in a single cell AEMFC and peak power densities of 232 and 234 mW cm(-2) at 60 degrees C using H-2 and O-2 gases at 100% RH were observed for CoPc- and FePc-modified acid-treated materials, respectively. (C) 2020 Hydrogen Energy Publications LLC. Published by Elsevier Ltd. All rights reserved.</t>
  </si>
  <si>
    <t>Kannan, Arunachala/A-2484-2008; zagal, jose/L-9648-2014; Tamm, Aile/B-1134-2014; Kikas, Arvo/H-3136-2015; Tammeveski, Kaido/H-7789-2015; Mooste, Marek/N-6277-2019; Kisand, Vambola/A-6822-2008</t>
  </si>
  <si>
    <t>Kisand, Vambola/0000-0001-9765-055X; Tammeveski, Kaido/0000-0002-4144-4471; Kozlova, Jekaterina/0000-0002-7775-1246; Mooste, Marek/0000-0002-2069-3495</t>
  </si>
  <si>
    <t>10.1016/j.ijhydene.2020.10.231</t>
  </si>
  <si>
    <t>JAN 2021</t>
  </si>
  <si>
    <t>WOS:000607465600015</t>
  </si>
  <si>
    <t>Santos, G; Vallejos, G; Vecchi, D</t>
  </si>
  <si>
    <t>Santos, Gil; Vallejos, Gabriel; Vecchi, Davide</t>
  </si>
  <si>
    <t>A relational-constructionist account of protein macrostructure and function</t>
  </si>
  <si>
    <t>FOUNDATIONS OF CHEMISTRY</t>
  </si>
  <si>
    <t>One of the foundational problems of biochemistry concerns the conceptualisation of the relationship between the composition, structure and function of macromolecules like proteins. Part of the recent philosophical literature displays a reductionist bias, that is, the endorsement of a form of microstructuralism mirroring an out-dated biochemical conceptualisation. We shall argue that such microstructuralist approaches are ultimately committed to a potentialist form of micro-predeterminism whereby the macrostructure and function of proteins is accounted for solely in terms of the intrinsic properties and potentialities of the components of the primary structure as if they were self-contained or essentially immutable entities. We shall instead suggest that a conceptualisation of the relationship between proteins' composition, structure and function consistent with contemporary biochemical practice should account also for the causal role of the cellular, organismal and environmental relations in protein development. The analysis of the folding process we propose suggests that microstructure-laden reductionist approaches are ontologically indefensible. Rather than a potentialist form of micro-predeterminism, our analysis ultimately supports a relational-construction-based view of protein development and potentialities formation, which requires an indispensable analysis of the dynamical interplay between the micro-level of the parts and the macro-level of the relational structures of their systems.</t>
  </si>
  <si>
    <t>; Vecchi, Davide/M-2973-2015</t>
  </si>
  <si>
    <t>Vallejos-Baccelliere, Gabriel/0000-0002-6807-1791; Vecchi, Davide/0000-0002-6339-7370; Santos, Gil/0000-0001-8863-8831</t>
  </si>
  <si>
    <t>1386-4238</t>
  </si>
  <si>
    <t>1572-8463</t>
  </si>
  <si>
    <t>10.1007/s10698-020-09373-5</t>
  </si>
  <si>
    <t>WOS:000541054800001</t>
  </si>
  <si>
    <t>Rahmann, C; Chamas, SI; Alvarez, R; Chavez, H; Ortiz-Villalba, D; Shklyarskiy, Y</t>
  </si>
  <si>
    <t>Rahmann, Claudia; Chamas, Sebastian Ignacio; Alvarez, Ricardo; Chavez, Hector; Ortiz-Villalba, Diego; Shklyarskiy, Yaroslav</t>
  </si>
  <si>
    <t>Methodological Approach for Defining Frequency Related Grid Requirements in Low-Carbon Power Systems</t>
  </si>
  <si>
    <t>Moving towards low-carbon electricity systems through the massive deployment of renewable energy sources (RES) presents a unique opportunity to combat climate change, but it also poses enormous technical challenges, especially from a frequency viewpoint. To ensure a secure RES integration in terms of frequency stability, system operators worldwide have adopted new grid codes requiring RES to provide fast frequency response (FFR). However, if not properly justified, stringent requirements may pose an unnecessary barrier to further RES development and slow their network integration. In this context, this paper presents a methodological framework for systematically defining FFR requirements for RES to ensure system frequency stability. The proposal comprises: i) a model for simulating the dynamic response of system frequency following a contingency with reduced computational effort, ii) a model for reallocating contingency reserves with economic criteria to avoid loss of load following a contingency, and iii) novel indices for characterizing the dynamic performance of system frequency in terms of key operational characteristics, which are then used for defining frequency related grid codes. The benefits and practicability of our proposal are demonstrated in a case study on the Northern Interconnected System in Chile. We show how our proposal can be used to i) identify system operating conditions in which the contribution of RES with FFR is necessary to avoid loss of load and ii) to propose a technically and economically justified grid code that allows both to foster further RES integration while ensuring power system security.</t>
  </si>
  <si>
    <t>Ortiz, Diego/AAV-6773-2021; Rahmann, Claudia/JFJ-2035-2023; Alvarez Malebran, Ricardo/G-5740-2018</t>
  </si>
  <si>
    <t>Ortiz, Diego/0000-0001-8090-6125; Rahmann, Claudia/0000-0001-6144-7736; Alvarez Malebran, Ricardo/0000-0002-1898-2626</t>
  </si>
  <si>
    <t>10.1109/ACCESS.2020.3021307</t>
  </si>
  <si>
    <t>WOS:000570098100001</t>
  </si>
  <si>
    <t>Arellano-Ruiz, P; Garcia-Hermoso, A; Cavero-Redondo, I; Pozuelo-Carrascosa, D; Martinez-Vizcaino, V; Solera-Martinez, M</t>
  </si>
  <si>
    <t>Arellano-Ruiz, Paola; Garcia-Hermoso, Antonio; Cavero-Redondo, Ivan; Pozuelo-Carrascosa, Diana; Martinez-Vizcaino, Vicente; Solera-Martinez, Monserrat</t>
  </si>
  <si>
    <t>Homeostasis Model Assessment cut-off points related to metabolic syndrome in children and adolescents: a systematic review and meta-analysis</t>
  </si>
  <si>
    <t>The aim of this study was to perform a systematic review and meta-analysis of cut-off points of Homeostasis Model Assessment (HOMA-IR) to determine metabolic syndrome (MetS) in children and adolescents. A literature search was conducted in MEDLINE (via PubMed), EMBASE, Web of Science, Proquest, and Scopus databases from their inception to June 2018. Random effects models for the diagnostic odds ratio (dOR) value computed by Moses' constant for a linear model and 95% confidence intervals (CIs) were used to calculate the accuracy of the test. Hierarchical summary receiver operating characteristic curves (HSROC) were used to summarize the overall test performance. Six published studies were included in the meta-analysis that included 8732 children and adolescents. The region of HOMA-IR (i.e., dOR) associated with MetS range from 2.30 to 3.54. The pooled accuracy parameters from the studies that evaluated the diagnostic odds ratio of HOMA-IR ranged from 4.39 to 37.67. Conclusion: the HOMA-IR test may be useful for early evaluating children and adolescents with insulin resistance (IR). Furthermore, they present a good diagnostic accuracy independently of the definition of MetS used. According to the studies, the HOMA-IR cut point to avoid MetS risk ranged from 2.30 to 3.59.What is Known:center dot There is no consensus to define the optimal cut-off point of Homeostasis Model Assessment-Insulin Resistance in children and adolescents associated with Metabolic Syndrome.What is New:center dot The Homeostasis Model Assessment-Insulin Resistance test may be useful for early evaluations in children and adolescents with insulin resistance and presents a good diagnostic accuracy independently of the definition of Metabolic Syndrome used.center dot The Homeostasis Model Assessment-Insulin Resistance cut point to avoid Metabolic Syndrome risk ranged from 2.30 to 3.59</t>
  </si>
  <si>
    <t>Cavero Redondo, Iván/HII-7855-2022; VIZCAINO, VICENTE/R-4336-2017; García-Hermoso, Antonio/ADU-2591-2022; Carrascosa, Diana/R-4379-2017; Garcia-Hermoso, Antonio/P-1857-2017</t>
  </si>
  <si>
    <t>Pozuelo-Carrascosa, Diana P/0000-0002-0527-5498; Garcia-Hermoso, Antonio/0000-0002-1397-7182; Cavero-Redondo, Ivan/0000-0003-2617-0430</t>
  </si>
  <si>
    <t>10.1007/s00431-019-03464-y</t>
  </si>
  <si>
    <t>WOS:000498981500002</t>
  </si>
  <si>
    <t>del Cerro, DR; Mera-Adasme, R; King, AWT; Perea-Buceta, JE; Heikkinen, S; Hase, T; Sundholm, D; Wähälä, K</t>
  </si>
  <si>
    <t>del Cerro, Daniel Rico; Mera-Adasme, Raul; King, Alistair W. T.; Perea-Buceta, Jesus E.; Heikkinen, Sami; Hase, Tapio; Sundholm, Dage; Wahala, Kristiina</t>
  </si>
  <si>
    <t>On the Mechanism of the Reactivity of 1,3-Dialkylimidazolium Salts under Basic to Acidic Conditions: A Combined Kinetic and Computational Study</t>
  </si>
  <si>
    <t>ANGEWANDTE CHEMIE-INTERNATIONAL EDITION</t>
  </si>
  <si>
    <t>Comprehensive spectroscopic kinetic studies illustrate an alternative mechanism for the traditional free-carbene intermediated H/D exchange reaction of 1,3-dialkylimidazolium salts under neutral (D2O) and acidic conditions (DCl/D2O 35wt% solution). The deuteration of high purity [bmim]Cl in D2O is studied at different temperatures, in absence of catalyst or impurities, to yield an activation energy. DFT transition-state modelling, of a small water cluster and [bmim] cation, also yields an activation energy which strongly supports the proposed mechanism. The presence of basic impurities are shown to significantly enhance the exchange reaction, which brings into question the need for further analysis of technical purities of ionic liquids and the implications for a wide range of chemical reactions in such media.</t>
  </si>
  <si>
    <t>Mendizabal, Fernando/M-3408-2014; King, Alistair/E-9315-2012; Perea Buceta, Jesus/P-1425-2015</t>
  </si>
  <si>
    <t>Perea Buceta, Jesus/0000-0003-0028-1271; Wahala, Kristiina/0000-0003-4082-8622; Heikkinen, Sami/0000-0002-1892-8574; Rico del Cerro, Daniel/0000-0002-6606-4344; Sundholm, Dage Matts Borje/0000-0002-2367-9277</t>
  </si>
  <si>
    <t>1433-7851</t>
  </si>
  <si>
    <t>1521-3773</t>
  </si>
  <si>
    <t>SEP 3</t>
  </si>
  <si>
    <t>10.1002/anie.201805016</t>
  </si>
  <si>
    <t>WOS:000442846300021</t>
  </si>
  <si>
    <t>Prabhakaran, T; Mangalaraja, RV; Denardin, JC; Varaprasad, K</t>
  </si>
  <si>
    <t>Prabhakaran, T.; Mangalaraja, R. V.; Denardin, Juliano C.; Varaprasad, K.</t>
  </si>
  <si>
    <t>The effect of capping agents on the structural and magnetic properties of cobalt ferrite nanoparticles</t>
  </si>
  <si>
    <t>JOURNAL OF MATERIALS SCIENCE-MATERIALS IN ELECTRONICS</t>
  </si>
  <si>
    <t>Microwave-assisted co-precipitation method was adopted to analyze the effect of polyethylene glycol (PEG) and urea concentrations on the properties of cobalt ferrite nanoparticles (NPs). The average crystallite size of single phase cubic spinel cobalt ferrite NPs was controlled within 10-14 nm with the effect of PEG, urea and the combination of them. The transmission electron micrographs revealed that the morphology of cobalt ferrites was not significantly influenced by the different concentration of capping agents but almost uniform morphology with nearly narrow size distribution was obtained. The interaction of PEG and urea molecules on the surface of nanoparticles was mediated through -OH hydroxyl group affected the crystal growth rate. The possible interaction mechanism was proposed with the help of IR vibrational spectra. All the samples exhibited ferromagnetism at room temperature and it was found that the capping agents showed an effect on the magnetic properties. The maximum saturation magnetization of 58 emu/g was achieved when the urea of 60 mg was used and the maximum coercivity of 311 Oe was attained when the mixture of PEG (40 mg) and urea (20 mg) were used. Ultrafine and hydrophilic cobalt ferrite NPs that showed appreciable magnetic properties obtained in the present experimental procedure would be of great interest in various biomedical applications.</t>
  </si>
  <si>
    <t>Denardin, Juliano/S-6407-2019; THANDAPANI, PRABHAKARAN/L-3282-2018; Viswanathan, Mangalaraja/AAM-6090-2020; Varaprasad, Kokkarachedu/F-9505-2012; Ramalinga Viswanathan, Mangalaraja/JOZ-3129-2023</t>
  </si>
  <si>
    <t>Varaprasad, Kokkarachedu/0000-0002-1694-3447; Thandapani, Prabhakaran/0000-0003-0245-8827; Ramalinga Viswanathan, Mangalaraja/0000-0003-1016-9830</t>
  </si>
  <si>
    <t>0957-4522</t>
  </si>
  <si>
    <t>1573-482X</t>
  </si>
  <si>
    <t>10.1007/s10854-018-9276-9</t>
  </si>
  <si>
    <t>WOS:000435671800017</t>
  </si>
  <si>
    <t>Rokic, MB; Castro, P; Leiva-Salcedo, E; Tomic, M; Stojilkovic, SS; Coddou, C</t>
  </si>
  <si>
    <t>Rokic, Milos B.; Castro, Patricio; Leiva-Salcedo, Elias; Tomic, Melanija; Stojilkovic, Stanko S.; Coddou, Claudio</t>
  </si>
  <si>
    <t>Opposing Roles of Calcium and Intracellular ATP on Gating of the Purinergic P2X2 Receptor Channel</t>
  </si>
  <si>
    <t>P2X2 receptors (P2X2R) exhibit a slow desensitization during the initial ATP application and a progressive, calcium-dependent increase in rates of desensitization during repetitive stimulation. This pattern is observed in whole-cell recordings from cells expressing recombinant and native P2X2R. However, desensitization is not observed in perforated-patched cells and in two-electrode voltage clamped oocytes. Addition of ATP, but not ATP gamma S or GTP, in the pipette solution also abolishes progressive desensitization, whereas intracellular injection of apyrase facilitates receptor desensitization. Experiments with injection of alkaline phosphatase or addition of staurosporine and ATP in the intracellular solution suggest a role for a phosphorylation-dephosphorylation in receptor desensitization. Mutation of residues that are potential phosphorylation sites identified a critical role of the S363 residue in the intracellular ATP action. These findings indicate that intracellular calcium and ATP have opposing effects on P2X2R gating: calcium allosterically facilitates receptor desensitization and ATP covalently prevents the action of calcium. Single cell measurements further revealed that intracellular calcium stays elevated after washout in P2X2R-expressing cells and the blockade of mitochondrial sodium/calcium exchanger lowers calcium concentrations during washout periods to basal levels, suggesting a role of mitochondria in this process. Therefore, the metabolic state of the cell can influence P2X2R gating.</t>
  </si>
  <si>
    <t>ROKIC, MILOS/O-7204-2014</t>
  </si>
  <si>
    <t>ROKIC, MILOS/0000-0002-9148-2716; Coddou, Claudio/0000-0002-5297-3694</t>
  </si>
  <si>
    <t>10.3390/ijms19041161</t>
  </si>
  <si>
    <t>WOS:000434978700240</t>
  </si>
  <si>
    <t>Belmar, CA; Alfaro, S; Munita, D; Albornoz, X; Carrasco, C; Echeverría, J; Mera, R; Adán, L; Quiroz, L; Niemeyer, HM; Planella, MT</t>
  </si>
  <si>
    <t>Belmar, Carolina A.; Alfaro, Silvia; Munita, Doina; Albornoz, Ximena; Carrasco, Carolina; Echeverria, Javier; Mera, Rodrigo; Adan, Leonor; Quiroz, Luciana; Niemeyer, Hermann M.; Teresa Planella, Maria</t>
  </si>
  <si>
    <t>CACHIMBAS AND KITRAS: AN APPROACH TO THE SMOKING PRACTICES OF THE CERAMIC GROUPS OF THE CENTER-SOUTHERN AREA OF CHILE</t>
  </si>
  <si>
    <t>MAGALLANIA</t>
  </si>
  <si>
    <t>Archaeological and ethnohistorial data show that smoking practices in the central-southern region of Chile begins during the Early Ceramic period and continue until historical times. In view of this long time span, twelve smoking pipes were studied: their morphology and decoration were determined, and use residues were analyzed to unravel the elements consumed. Considering the importance of smoke in the mapuche world, a pichimetawe and an undetermined ceramic fragment where also studied. Results show seven types of smoking pipes for the area. It was possible to identify the presence of Nicotiana sp., Cyperaceae and cf. Latua pubiflora in some of these artifacts.</t>
  </si>
  <si>
    <t>Echeverría, Javier/AAK-3323-2020; Belmar, Carolina/P-9961-2019; Niemeyer, Hermann/I-1100-2013; Adan, Leonor/HGE-1052-2022</t>
  </si>
  <si>
    <t>Adan, Leonor/0000-0002-4486-6338; Echeverria, Javier/0000-0002-1688-968X; Belmar, Carolina/0000-0002-1757-6976</t>
  </si>
  <si>
    <t>0718-2244</t>
  </si>
  <si>
    <t>10.4067/S0718-22442017000200219</t>
  </si>
  <si>
    <t>WOS:000423288900013</t>
  </si>
  <si>
    <t>Bravo, D; Maturana, CJ; Pelissier, T; Hernández, A; Constandil, L</t>
  </si>
  <si>
    <t>Bravo, D.; Maturana, C. J.; Pelissier, T.; Hernandez, A.; Constandil, L.</t>
  </si>
  <si>
    <t>Interactions of pannexin 1 with NMDA and P2X7 receptors in central nervous system pathologies: Possible role on chronic pain</t>
  </si>
  <si>
    <t>PHARMACOLOGICAL RESEARCH</t>
  </si>
  <si>
    <t>Pannexin 1 (Panx1) is a glycoprotein that acts as a membrane channel in a wide variety of tissues in mammals. In the central nervous system (CNS) Panx1 is expressed in neurons, astrocytes and microglia, participating in the pathophysiology of some CNS diseases, such as epilepsy, anoxic depolarization after stroke and neuroinflammation. In these conditions Panx1 acts as an important modulator of the neuroinflammatory response, by secreting ATP, by interacting with the P2X7 receptor (P2X7R), and as an amplifier of NMDA receptor (NMDAR) currents, particularly in conditions of pathological neuronal hyperexcitability. Here, we briefly reviewed the current evidences that support the interaction of Panx1 with NMDAR and P2X7R in pathological contexts of the CNS, with special focus in recent data supporting that Panx1 is involved in chronic pain signaling by interacting with NMDAR in neurons and with P2X7R in glia. The participation of Panx1 in chronic pain constitutes a novel topic for research in the field of clinical neurosciences and a potential target for pharmacological interventions in chronic pain. (c) 2015 Elsevier Ltd. All rights reserved.</t>
  </si>
  <si>
    <t>Hernandez, Alejandro/M-4796-2019; Bravo, David/G-5788-2017; Maturana, Carola/AAK-5223-2020</t>
  </si>
  <si>
    <t>Constandil, Luis/0000-0002-2504-0119; Bravo Lopez, David/0009-0008-5143-4278; Hernandez, Alejandro/0000-0001-9222-6522; Maturana, Carola/0000-0001-8737-300X</t>
  </si>
  <si>
    <t>1043-6618</t>
  </si>
  <si>
    <t>10.1016/j.phrs.2015.07.016</t>
  </si>
  <si>
    <t>WOS:000364258700010</t>
  </si>
  <si>
    <t>Arancibia, A; Correa, F; Jakubsky, V; Guilarte, JM; Plyushchay, MS</t>
  </si>
  <si>
    <t>Arancibia, Adrian; Correa, Francisco; Jakubsky, Vit; Guilarte, Juan Mateos; Plyushchay, Mikhail S.</t>
  </si>
  <si>
    <t>Soliton defects in one-gap periodic system and exotic supersymmetry</t>
  </si>
  <si>
    <t>By applying Darboux-Crum transformations to the quantum one-gap Lame system, we introduce an arbitrary countable number of bound states into forbidden bands. The perturbed potentials are reflectionless and contain two types of soliton defects in the periodic background. The bound states with a finite number of nodes are supported in the lower forbidden band by the periodicity defects of the potential well type, while the pulse-type bound states in the gap have an infinite number of nodes and are trapped by defects of the compression modulations nature. We investigate the exotic nonlinear N = 4 supersymmetric structure in such paired Schrodinger systems, which extends an ordinary N = 2 supersymmetry and involves two bosonic generators composed from Lax-Novikov integrals of the subsystems. One of the bosonic integrals has a nature of a central charge and allows us to liaise the obtained systems with the stationary equations of the Korteweg-de Vries and modified Korteweg-de Vries hierarchies. This exotic supersymmetry opens the way for the construction of self-consistent condensates based on the Bogoliubov-de Gennes equations and associated with them new solutions to the Gross-Neveu model. They correspond to the kink or kink-antikink defects of the crystalline background in dependence on whether the exotic supersymmetry is unbroken or spontaneously broken.</t>
  </si>
  <si>
    <t>Jakubsky, Vit/H-2972-2014; Arancibia, Adrian/W-1889-2018; Correa, Francisco/S-4564-2018; Mateos Guilarte, Juan/D-8199-2018</t>
  </si>
  <si>
    <t>Arancibia, Adrian/0000-0002-9170-0891; Correa, Francisco/0000-0003-1735-2822; Mateos Guilarte, Juan/0000-0001-7928-9086</t>
  </si>
  <si>
    <t>10.1103/PhysRevD.90.125041</t>
  </si>
  <si>
    <t>WOS:000349852000007</t>
  </si>
  <si>
    <t>Gregorio, R; Solar, M; Mardones, D; Pichara, K; Parada, V; Contreras, R</t>
  </si>
  <si>
    <t>Chiozzi, G; Radziwill, NM</t>
  </si>
  <si>
    <t>Gregorio, Rodrigo; Solar, Mauricio; Mardones, Diego; Pichara, Karim; Parada, Victor; Contreras, Ricardo</t>
  </si>
  <si>
    <t>Automatic detection and automatic classification of structures in astronomical images</t>
  </si>
  <si>
    <t>SOFTWARE AND CYBERINFRASTRUCTURE FOR ASTRONOMY III</t>
  </si>
  <si>
    <t>Proceedings of SPIE</t>
  </si>
  <si>
    <t>Conference on Software and Cyberinfrastructure for Astronomy III</t>
  </si>
  <si>
    <t>JUN 22-26, 2014</t>
  </si>
  <si>
    <t>Montreal, CANADA</t>
  </si>
  <si>
    <t>SPIE</t>
  </si>
  <si>
    <t>The study of the astronomical structures is important to the astronomical community because it can help to identify objects, which can be classified based on their internal structure or their relation to other objects. For this reason, it is developed an automated tool to analyze astronomical images into its components. Firstly, a 2D images is decomposed into different spatial scales based on wavelet transform. Then, it is implemented a detection algorithms to each spatial scale, such as Clumpfind, Gaussclump, or Dendrogram techniques. The goal is to build a new algorithm and tool that is available to the community and satisfies the requirements of the next Chilean Virtual Observatory (ChiVO).</t>
  </si>
  <si>
    <t>Mardones, Diego/I-5719-2016; Parada, Victor/M-5840-2014; Pichara, Karim/G-9675-2013; Solar, Mauricio/AAE-9673-2020</t>
  </si>
  <si>
    <t>Solar, Mauricio/0000-0002-4433-4622; Mardones, Diego/0000-0002-5065-9175</t>
  </si>
  <si>
    <t>0277-786X</t>
  </si>
  <si>
    <t>1996-756X</t>
  </si>
  <si>
    <t>978-0-8194-9620-1</t>
  </si>
  <si>
    <t>91522R</t>
  </si>
  <si>
    <t>10.1117/12.2055579</t>
  </si>
  <si>
    <t>WOS:000347467300091</t>
  </si>
  <si>
    <t>Falomir, H; Vega, F; Gamboa, J; Méndez, F; Loewe, M</t>
  </si>
  <si>
    <t>Falomir, H.; Vega, F.; Gamboa, J.; Mendez, F.; Loewe, M.</t>
  </si>
  <si>
    <t>Noncommutativity in (2+1)-dimensions and the Lorentz group</t>
  </si>
  <si>
    <t>In this article we considered models of particles living in a three-dimensional space-time with a nonstandard noncommutativity induced by shifting canonical coordinates and momenta with generators of a unitary irreducible representation of the Lorentz group. The Hilbert space gets the structure of a direct product with the representation space, where we are able to construct operators which realize the algebra of Lorentz transformations. We study the modified Landau problem for both Schrodinger and Dirac particles, whose Hamiltonians are obtained through a kind of non-Abelian Bopp's shift of the dynamical variables from the ones of the usual problem in the normal space. The spectrum of these models are considered in perturbation theory, both for small and large noncommutativity parameters. We find no constraint between the parameters referring to noncommutativity in coordinates and momenta but they rather play similar roles. Since the representation space of the unitary irreducible representations SL(2, R) can be realized in terms of spaces of square-integrable functions, we conclude that these models are equivalent to quantum mechanical models of particles living in a space with an additional compact dimension.</t>
  </si>
  <si>
    <t>Loewe, Marcelo/0000-0002-8998-6923; Gamboa, Jorge/0000-0001-7992-7199; Falomir, Horacio/0000-0001-8188-1062</t>
  </si>
  <si>
    <t>NOV 20</t>
  </si>
  <si>
    <t>10.1103/PhysRevD.86.105035</t>
  </si>
  <si>
    <t>WOS:000311279900006</t>
  </si>
  <si>
    <t>Kiwi, M; Muñoz, F; García, G; Ramírez, R; Rogan, J; Valdivia, JA</t>
  </si>
  <si>
    <t>Kiwi, Miguel; Munoz, Francisco; Garcia, Griselda; Ramirez, Ricardo; Rogan, Jose; Alejandro Valdivia, Juan</t>
  </si>
  <si>
    <t>Nanocluster Collisions as a Way to Understand the Role of d-Shell Polarization</t>
  </si>
  <si>
    <t>JOURNAL OF SUPERCONDUCTIVITY AND NOVEL MAGNETISM</t>
  </si>
  <si>
    <t>Cali Conference 1st Centennial of Superconductivity - Trends in Nanoscale Superconductivity and Magnetism</t>
  </si>
  <si>
    <t>JUN 29-JUL 01, 2011</t>
  </si>
  <si>
    <t>Collision processes between single gold and rhodium atoms and gold and rhodium nanoclusters, respectively, are used to study the interplay between the large elastic energies and the much smaller magnetic interactions. The latter, in spite of their small magnitude, often settle the configuration of crystals, clusters, and molecules. We implement ab initio molecular dynamics (DFT-MD) calculations to investigate the subtle balance between these two forces. The targets we consider are minimum energy 13 (12) atom gold (rhodium) clusters. Results for gold and rhodium are compared emphasizing the relevance of d-shell polarization. The use of these collision processes to generate putative nanocluster minimum energy configurations will be presented and illustrated with successful examples.</t>
  </si>
  <si>
    <t>Rogan, José/B-8819-2008; Valdivia, Juan/A-3631-2008; ramirez, ricardo/HJA-2728-2022; Kiwi, Miguel/D-3401-2013; Munoz, Francisco/C-1140-2011</t>
  </si>
  <si>
    <t>Rogan, Jose/0000-0003-1080-2739; Valdivia, Juan Alejandro/0000-0003-3381-9904; Munoz, Francisco/0000-0002-4324-8650</t>
  </si>
  <si>
    <t>1557-1939</t>
  </si>
  <si>
    <t>1557-1947</t>
  </si>
  <si>
    <t>10.1007/s10948-012-1663-5</t>
  </si>
  <si>
    <t>WOS:000309157200022</t>
  </si>
  <si>
    <t>López-Rodríguez, M; Reina, M; Domínguez-Díaz, DM; Fajardo, V; Villarroel, L</t>
  </si>
  <si>
    <t>Lopez-Rodriguez, Matias; Reina, Matias; Dominguez-Diaz, D. M.; Fajardo, V.; Villarroel, L.</t>
  </si>
  <si>
    <t>(-)-Istanbulin A</t>
  </si>
  <si>
    <t>The title compound (systematic name: 9a-hydroxy-3,4a, 5-trimethyl-4a,6,7,8a,9,9a-hexahydro-4H,5H-naphtho[2,3-b]furan-2,8-dione), C15H20O4, is a sesquiterpene lactone showing the typical eremophilanolide skeleton, which has been isolated from the plant Senecio candidans collected in the Chilean Magallanes region. The present study confirms the atomic connectivity assigned on the basis of H-1 and C-13 NMR spectroscopy, as well as the relative stereochemistry of the 4 alpha-methyl, 5 alpha-methyl, 8 beta-hydroxy, 10 beta-H unit. The crystal structure is stabilized by intermolecular O-H center dot center dot center dot O hydrogen bonds involving the hydroxy group as donor and the oxo group as acceptor, giving chains along the a axis. The absolute structure was not determined because of the lack of suitable anomalous scatters.</t>
  </si>
  <si>
    <t>O2330</t>
  </si>
  <si>
    <t>10.1107/S1600536809033418</t>
  </si>
  <si>
    <t>WOS:000270450400110</t>
  </si>
  <si>
    <t>Egana, JT; Danner, S; Kremer, M; Rapoport, DH; Lavandero, S; Kruse, C; Machens, HG</t>
  </si>
  <si>
    <t>Egana, J. T.; Danner, S.; Kremer, M.; Rapoport, D. H.; Lavandero, S.; Kruse, C.; Machens, H. G.</t>
  </si>
  <si>
    <t>Use of pancreas-derived stem cells to improve vascularization in skin tissue engineering</t>
  </si>
  <si>
    <t>TISSUE ENGINEERING PART A</t>
  </si>
  <si>
    <t>Annual Tissue-Engineering-and-Regenerative-Medicine-International-Society-European-Chapter Meeting</t>
  </si>
  <si>
    <t>JUN, 2008</t>
  </si>
  <si>
    <t>Tissue Engn &amp; Regenerat Med Int Soc, European Chap</t>
  </si>
  <si>
    <t>Lavandero, Sergio/B-6001-2013</t>
  </si>
  <si>
    <t>1937-3341</t>
  </si>
  <si>
    <t>P400</t>
  </si>
  <si>
    <t>WOS:000256239800730</t>
  </si>
  <si>
    <t>Gordillo, F; Caputo, V; Peirano, A; Chavez, R; Van Beeumen, J; Vandenberghe, I; Claeyssens, M; Bull, P; Ravanal, MC; Eyzaguirre, J</t>
  </si>
  <si>
    <t>Gordillo, Felipe; Caputo, Valentina; Peirano, Alessandra; Chavez, Renato; Van Beeumen, Jozef; Vandenberghe, Isabel; Claeyssens, Marc; Bull, Paulina; Ravanal, Maria Cristina; Eyzaguirre, Jaime</t>
  </si>
  <si>
    <t>Penicillium purpurogenum produces a family 1 acetyl xylan esterase containing a carbohydrate-binding module:: characterization of the protein and its gene</t>
  </si>
  <si>
    <t>MYCOLOGICAL RESEARCH</t>
  </si>
  <si>
    <t>At least three acetyl xylan esterases (AXE I, II and III) are secreted by Penicillium purpurogenum. This publication describes more detailed work on AXE I and its gene. AXE I binds cellulose but not xylan; it is glycosylated and inactivated by phenylmethylsulphonyl fluoride, showing that it is a serine esterase. The axe1 gene presents an open reading frame of 1278 bp, including two introns of 68 and 61 bp; it codes for a signal peptide of 31 residues and a mature protein of 351 amino acids (molecular weight 36,693). AXE I has a modular structure: a catalytic module at the amino terminus belonging to family I of the carbohydrate esterases, a linker rich in serines and threonines, and a family 1 carboxy terminal carbohydrate binding module (CBM). The CBM is similar to that of AXE from Trichoderma reesei, (with a family 5 catalytic module) indicating that the genes for catalytic modules and CBMs have evolved separately, and that they have been linked by gene fusion. The promoter sequence of axe1 contains several putative sequences for binding of gene expression regulators also found in other family 1 esterase gene promoters. It is proposed that AXE I and II act in succession in xylan degradation; first, xylan is attacked by AXE I and other xylanases possessing CBMs (which facilitate binding to lignocellulose), followed by other enzymes acting mainly on soluble substrates. (c) 2006 The British Mycological Society. Published by Elsevier Ltd. All rights reserved.</t>
  </si>
  <si>
    <t>Caputo, Valentina/ABD-5236-2022; Ravanal, Maria/G-8682-2018</t>
  </si>
  <si>
    <t>Chavez, Renato/0000-0003-1754-3610; Ravanal, Maria Cristina/0000-0003-2462-6270</t>
  </si>
  <si>
    <t>0953-7562</t>
  </si>
  <si>
    <t>10.1016/j.mycres.2006.07.003</t>
  </si>
  <si>
    <t>WOS:000242428700001</t>
  </si>
  <si>
    <t>Arraztoa, JA; Rocha, A; Varela-Nallar, L; Velasquez, L; Toro, V; Cardenas, H; Imarai, M</t>
  </si>
  <si>
    <t>IgA in the lumen of the human oviduct is not related to the menstrual cycle but increases during local inflammation</t>
  </si>
  <si>
    <t>FERTILITY AND STERILITY</t>
  </si>
  <si>
    <t>Imarai, Monica/0000-0001-8767-9180; Varela-Nallar, Lorena/0000-0003-2588-6437; Velasquez, Luis/0000-0002-9479-1792</t>
  </si>
  <si>
    <t>0015-0282</t>
  </si>
  <si>
    <t>1556-5653</t>
  </si>
  <si>
    <t>PII S0015-0282(01)03214-9</t>
  </si>
  <si>
    <t>10.1016/S0015-0282(01)03214-9</t>
  </si>
  <si>
    <t>WOS:000174393000038</t>
  </si>
  <si>
    <t>ENCINAS, MV; OLSEN, LR; DIAZ, JF; ANDREU, JM; GOLDIE, H; CARDEMIL, E</t>
  </si>
  <si>
    <t>BIOCHIMICA ET BIOPHYSICA ACTA-PROTEIN STRUCTURE AND MOLECULAR ENZYMOLOGY</t>
  </si>
  <si>
    <t>The secondary structure of Saccharomyces cerevisiae and Escherichia coli phosphoenolpyruvate (PEP) carboxykinases was quantitatively examined using circular dichroism (CD) and Fourier transform infrared (FTIR) spectroscopies. From CD analyses, values of 24% alpha-helix and 38% beta-sheet were obtained for the E. coli enzyme, while the corresponding values for the S. cerevisiae PEP carboxykinase were 20% and 36%. Analysis of the amide I' infrared band indicated 20% alpha-helix and 36% beta-sheet for the S. cerevisiae enzyme, while for the E. coli protein values of 40% beta-sheet and between 9 and 36% alpha-helix could be inferred. It is concluded that the bacterial enzyme has more secondary structure elements than the yeast protein. No alteration of the CD or FTIR spectra was detected upon substrate or metal ion binding to any enzyme.</t>
  </si>
  <si>
    <t>Encinas, Maria/L-9686-2014; Díaz, J./M-6853-2019; Diaz, J. Fernando/U-3532-2017</t>
  </si>
  <si>
    <t>Diaz, J. Fernando/0000-0003-2743-3319</t>
  </si>
  <si>
    <t>0167-4838</t>
  </si>
  <si>
    <t>SEP 27</t>
  </si>
  <si>
    <t>10.1016/0167-4838(95)00107-6</t>
  </si>
  <si>
    <t>WOS:A1995RY47000003</t>
  </si>
  <si>
    <t>Moradi, S; Khazaei, H; Tarlan, M; Jasemi, SV; Joshi, T; Aneva, IY; Farzaei, MH; Echeverría, J</t>
  </si>
  <si>
    <t>Moradi, Shabnam; Khazaei, Hosna; Tarlan, Mitra; Jasemi, Seyed Vahid; Joshi, Tanuj; Aneva, Ina Yosifova; Farzaei, Mohammad Hosein; Echeverria, Javier</t>
  </si>
  <si>
    <t>Natural products for the treatment of allergic rhinitis: focus on cellular signaling pathways and pharmacological targets</t>
  </si>
  <si>
    <t>Background Allergic rhinitis is an inflammatory disease dependent on immunoglobulin E and causes inflammation of the nasal mucosa, leading to decreased quality of life for affected patients. Since common treatments, including corticosteroids and antihistamines, have temporary therapeutic effects and numerous side effects, investigating natural compounds effective in improving allergic rhinitis with low complications and high efficacy can be significant and necessary.Purpose This study aims to present a comprehensive and critical evaluation of the effect of natural compounds in improving allergic rhinitis.Methods Studies were identified through systematic searches of ScienceDirect, PubMed, Scopus, and Web of Sciences databases. Eligibility checks were conducted based on predefined selection criteria. Forty-six articles were included in this study.Results and discussion Phytochemicals, including flavonoids, alkaloids, terpenoids, and other compounds showed significant anti-inflammatory and antihistaminic effects. These compounds alleviate allergic rhinitis symptoms by inhibiting inflammatory mediators, oxidative stress, apoptosis, and key signaling pathways such as MAPK/NF kappa B and TLR4/MyD88/NF-kappa B.Conclusion Phytochemicals exhibit anti-inflammatory and antioxidant properties, making them.</t>
  </si>
  <si>
    <t>Joshi, Tanuj/AAV-2610-2020; Aneva, Ina/AAI-4487-2020; Echeverría, Javier/AAK-3323-2020; Farzaei, Mohammad/M-5779-2017</t>
  </si>
  <si>
    <t>SEP 30</t>
  </si>
  <si>
    <t>10.3389/fphar.2024.1447097</t>
  </si>
  <si>
    <t>WOS:001334575500001</t>
  </si>
  <si>
    <t>Muñoz-Villagrán, C; Acevedo-Arbunic, J; Härtig, E; Sievers, S; Zühlke, D; Issotta, F; Mascayano, C; Jahn, D; Jahn, M; Levicán, G</t>
  </si>
  <si>
    <t>Munoz-Villagran, Claudia; Acevedo-Arbunic, Javiera; Haertig, Elisabeth; Sievers, Susanne; Zuehlke, Daniela; Issotta, Francisco; Mascayano, Carolina; Jahn, Dieter; Jahn, Martina; Levican, Gloria</t>
  </si>
  <si>
    <t>The Thioredoxin Fold Protein (TFP2) from Extreme Acidophilic Leptospirillum sp. CF-1 Is a Chaperedoxin-like Protein That Prevents the Aggregation of Proteins under Oxidative Stress</t>
  </si>
  <si>
    <t>Extreme acidophilic bacteria like Leptospirillum sp. require an efficient enzyme system to counteract strong oxygen stress conditions in their natural habitat. The genome of Leptospirillum sp. CF-1 encodes the thioredoxin-fold protein TFP2, which exhibits a high structural similarity to the thioredoxin domain of E. coli CnoX. CnoX from Escherichia coli is a chaperedoxin that protects protein substrates from oxidative stress conditions using its holdase function and a subsequent transfer to foldase chaperones for refolding. Recombinantly produced and purified Leptospirillum sp. TFP2 possesses both thioredoxin and chaperone holdase activities in vitro. It can be reduced by thioredoxin reductase (TrxR). The tfp2 gene co-locates with genes for the chaperone foldase GroES/EL on the chromosome. The tfp2 cluster (ctpA-groES-groEL-hyp-tfp2-recN) was found between 1.9 and 8.8-fold transcriptionally up-regulated in response to 1 mM hydrogen peroxide (H2O2). Leptospirillum sp. tfp2 heterologously expressed in E. coli wild type and cnoX mutant strains lead to an increased tolerance of these E. coli strains to H2O2 and significantly reduced intracellular protein aggregates. Finally, a proteomic analysis of protein aggregates produced in E. coli upon exposition to oxidative stress with 4 mM H2O2, showed that Leptospirillum sp. tfp2 expression caused a significant decrease in the aggregation of 124 proteins belonging to fifteen different metabolic categories. These included several known substrates of DnaK and GroEL/ES. These findings demonstrate that Leptospirillum sp. TFP2 is a chaperedoxin-like protein, acting as a key player in the control of cellular proteostasis under highly oxidative conditions that prevail in extreme acidic environments.</t>
  </si>
  <si>
    <t>Levican, Gloria/R-5191-2019; Sievers, Susanne/Q-9261-2017</t>
  </si>
  <si>
    <t>Mascayano Collado, Carolina Lorena/0000-0002-3488-9309; Sievers, Susanne/0000-0002-5457-2552; Issotta, Francisco/0000-0001-6414-1935; Levican, Gloria/0000-0002-1275-7399; Munoz-Villagran, Claudia/0009-0009-8087-0287; Haertig, Elisabeth/0000-0001-6343-3450</t>
  </si>
  <si>
    <t>10.3390/ijms25136905</t>
  </si>
  <si>
    <t>WOS:001270261400001</t>
  </si>
  <si>
    <t>Duran, C; Yazdi, AK; Derpich, I; Tan, Y</t>
  </si>
  <si>
    <t>Duran, Claudia; Yazdi, Amir Karbassi; Derpich, Ivan; Tan, Yong</t>
  </si>
  <si>
    <t>Leveraging Blockchain for Maritime Port Supply Chain Management through Multicriteria Decision Making</t>
  </si>
  <si>
    <t>MATHEMATICS</t>
  </si>
  <si>
    <t>This research investigates the optimal integration of Blockchain Technology (BT) in Supply Chain Management (SCM) within Chile's maritime ports. Utilizing fuzzy Logarithmic Methodology of Additive Weights (LMAW) and Double Normalization-based Multiple Aggregation Methods (DNMA), the study systematically identifies, prioritizes, and ranks key factors influencing BT adoption in SCM. The study's findings highlight crucial factors like enhanced transaction security, good supply chain practices, and risk management. Furthermore, it ranks the application of ports as prime candidates for BT integration. The research contributes theoretically by developing a hybrid model combining MCDA methods, and practically by guiding the strategic application of BT in the maritime logistics sector, aligning with the principles of Industry 5.0. This paper presents a novel approach that explores the utilization of BT in maritime supply chain management, incorporating MCDA in a vague environment. The research gap of this study lies in defining new contexts in both theoretical and practical literature reviews for extending the use of BT in SCM in the ports of Chile, according to Industry 5.0, to increase the efficiency and effectiveness of all aspects of operations in these places. The contribution of this research is applying hybrid MCDA methods in an uncertain environment to assist decision-makers (DMs) in better implementing BT in SCM in Chilean ports, according to Industry 5.0.</t>
  </si>
  <si>
    <t>Duran, Claudia/S-1175-2019; derpich, ivan/T-1160-2019; Karbassi Yazdi, Amir/O-1063-2019; Tan, Yong Aaron/N-3014-2017</t>
  </si>
  <si>
    <t>Karbassi Yazdi, Amir/0000-0001-9436-5833; Derpich, Ivan/0000-0001-9759-7285; Tan, Yong Aaron/0000-0002-3482-1574</t>
  </si>
  <si>
    <t>2227-7390</t>
  </si>
  <si>
    <t>10.3390/math12101511</t>
  </si>
  <si>
    <t>WOS:001231562300001</t>
  </si>
  <si>
    <t>Correa, F; Leal, G; Lechtenfeld, O; Marquette, I</t>
  </si>
  <si>
    <t>Correa, Francisco; Leal, Gonzalo; Lechtenfeld, Olaf; Marquette, Ian</t>
  </si>
  <si>
    <t>A Casimir operator for a Calogero W algebra</t>
  </si>
  <si>
    <t>We investigate the nonlinear algebra W 3 generated by the 9 functionally independent permutation-symmetric operators in the three-particle rational quantum Calogero model. Decoupling the center of mass, we pass to a smaller algebra W3 ' generated by 7 operators, which fall into a spin-1 and a spin- 3/2 representation of the conformal sl(2) subalgebra. The commutators of the spin- 3/2 generators with each other are quadratic in the spin-1 generators, with a central term depending on the Calogero coupling. One expects this algebra to feature three Casimir operators, and we construct the lowest one explicitly in terms of Weyl-ordered products of the 7 generators. It is a polynomial of degree 6 in these generators, with coefficients being up to quartic in PLANCK CONSTANT OVER TWO PI and quadratic polynomials in the Calogero coupling PLANCK CONSTANT OVER TWO PI2g(g-1) . Putting back the center of mass, our Casimir operator for W 3 is a degree-9 polynomial in the 9 generators. The computations require the evaluation of nested Weyl orderings. The classical and free-particle limits are also given. Our scheme can be extended to any finite number N of Calogero particles and the corresponding nonlinear algebras WN and WN ' .</t>
  </si>
  <si>
    <t>Marquette, Ian/G-2317-2011; Correa, Francisco/S-4564-2018</t>
  </si>
  <si>
    <t>Lechtenfeld, Olaf/0000-0003-1947-484X; MARQUETTE, Ian/0000-0003-4654-6810; Correa, Francisco/0000-0003-1735-2822</t>
  </si>
  <si>
    <t>FEB 23</t>
  </si>
  <si>
    <t>10.1088/1751-8121/ad24ca</t>
  </si>
  <si>
    <t>WOS:001159913000001</t>
  </si>
  <si>
    <t>Cárdenas-López, FA; Retamal, JC; Chen, X</t>
  </si>
  <si>
    <t>Cardenas-Lopez, Francisco Andres; Retamal, Juan Carlos; Chen, Xi</t>
  </si>
  <si>
    <t>Shortcuts to adiabaticity in superconducting circuits for fast multi-partite state generation</t>
  </si>
  <si>
    <t>Shortcuts to adiabaticity provide a flexible method to accelerate and improve a quantum control task beyond adiabatic criteria. However, their application to the fast generation of multi-partite quantum gates is still not optimized. Here we propose the reverse-engineering approach to design the longitudinal coupling between a set of qubits coupled to several field modes, for achieving a fast generation of multi-partite quantum gates in photonic or qubit-based architecture. We show that the enhancing generation time is at the nanosecond scale that does not scale with the number of system components. In addition, our protocol does not suffer noticeable detrimental effects due to the dissipative dynamics. Finally, the possible implementation is discussed with the state-of-the-art circuit quantum electrodynamics architecture. Fast generation of multi-partite state is highly desirable in quantum information processing. By building on shortcut to adiabaticity, the authors accelerate the generation of multi-partite entangled states via reverse engineering, opening a route towards designing efficient quantum control protocols for circuit quantum electrodynamics architectures.</t>
  </si>
  <si>
    <t>Cárdenas López, Francisco/IXN-4622-2023; Chen, Xi/ABE-6575-2020; Retamal, Juan/G-6425-2010</t>
  </si>
  <si>
    <t>Chen, Xi/0000-0003-4221-4288; Cardenas, Francisco/0000-0002-2916-2826; Retamal Abarzua, Juan Carlos/0000-0002-7174-7879</t>
  </si>
  <si>
    <t>JUL 7</t>
  </si>
  <si>
    <t>10.1038/s42005-023-01283-0</t>
  </si>
  <si>
    <t>WOS:001025017900002</t>
  </si>
  <si>
    <t>Lauzurique, Y; Miralles-Cuevas, S; Godoy, M; Sepúlveda, P; Bollo, S; Cabrera-Reina, A; Huiliñir, C; Malato, S; Oller, I; Salazar-González, R</t>
  </si>
  <si>
    <t>Lauzurique, Yeney; Miralles-Cuevas, Sara; Godoy, Mariel; Sepulveda, Pamela; Bollo, Soledad; Cabrera-Reina, Alejandro; Huilinir, Cesar; Malato, Sixto; Oller, Isabel; Salazar-Gonzalez, Ricardo</t>
  </si>
  <si>
    <t>Elimination of sulfamethoxazole by anodic oxidation using mixed metal oxide anodes</t>
  </si>
  <si>
    <t>JOURNAL OF WATER PROCESS ENGINEERING</t>
  </si>
  <si>
    <t>The degradation of sulfamethoxazole (SMX) was studied by anodic oxidation (AO) process using mixed metal oxide (MMO) electrodes with different Ru/Ir ratios. Each electrode was characterized morphological and electrochemically. The electrolyzes were performed in NaCl and Na2SO4 applying two current densities (10 and 50 mA cm-2). The electrode with the highest composition of Ir, Ru/Ir (30/70), showed greater SMX degradation and generation of oxidizing species and was used to treat the antibiotic by AO and AO assisted by solar energy in natural water and actual municipal wastewater effluents.The efficiency in SMX degradation depends on the type of electrode used (MMO) and electrolytic medium. All MMO electrodes, reached almost total degradation of SMX in chloride medium. However, 60 % degradation of SMX in sulfate medium was achieved with anode with lower Ru/Ir ratio. Additionally, degradation of SMX in complex matrices can be successfully carried out by solar-assisted AO and AO processes, without the need to adjust the pH, at room temperature and using anode with lower Ru/Ir ratio. Finally, the AO process assisted by solar energy reduced electrolysis times and the cell's potential, leading to lower energy consumption.</t>
  </si>
  <si>
    <t>Bollo, Soledad/B-5257-2011; Huilinir, Cesar/IYS-6899-2023; Miralles-Cuevas, Sara/HGF-1348-2022; Malato, Sixto/C-7550-2018; Salazar, Ricardo/L-7870-2013; Sepulvedaor, Pamela/GRO-3516-2022; Cabrera, Alejandro/GNH-3181-2022</t>
  </si>
  <si>
    <t>Lauzurique Guerra, Yeney/0000-0003-1354-8721; Salazar-Gonzalez, Ricardo/0000-0003-2180-6022; Bollo, Soledad/0000-0003-0868-4294</t>
  </si>
  <si>
    <t>2214-7144</t>
  </si>
  <si>
    <t>10.1016/j.jwpe.2023.103922</t>
  </si>
  <si>
    <t>JUN 2023</t>
  </si>
  <si>
    <t>WOS:001028244900001</t>
  </si>
  <si>
    <t>Gutiérrez, M; Mauro, J; Asecio, J; Acevedo, F; Herrada, J; Torres, C; Delgado, C; Fasce, G</t>
  </si>
  <si>
    <t>Gutierrez, Myriam; Mauro, Jorge; Asecio, Javiera; Acevedo, Fabrizio; Herrada, Javiera; Torres, Constanza; Delgado, Carolina; Fasce, Gerardo</t>
  </si>
  <si>
    <t>Implementation of a virtual telehealth course for Chilean older adults and health students</t>
  </si>
  <si>
    <t>Background: Aging increases the vulnerability to diseases and environmental changes such as the COVID-19 pandemic. Telehealth and tele-education are vital to prevent the deleterious effects of prolonged confinement, and to train the community, and constantly rotating medical students and health professionals. Aim: To assess the perception and impact of an online course about healthy aging aimed at the community and health care professionals. Material and Methods: An open online one-day course to promote healthy aging was carried out. A cross-sectional online survey about the course was answered by 386 attendants and a knowledge test was applied to 114 people. Results: Seventy-five percent of respondents attended the course synchronously. Of these, 79% were women, 20% were older people and 53% were caregivers of an older person. All respondents acquired new knowledge and were willing to participate again. The frequency of interest about self-care is three times greater than about caring for another person, In an older person, the interest is 101 more times about self-care than caring for another person. Ninety five percent of respondents felt more active and 84% felt more accompanied. Conclusions: The course facilitated access to information on the promotion of active and healthy aging in the community with a favorable perception and a positive impact. The coverage for older people with a digital gap should be improved.</t>
  </si>
  <si>
    <t>Gutierrez, Myriam/AGA-3018-2022; Acevedo, Fabrizio/AAH-8388-2021</t>
  </si>
  <si>
    <t>DELGADO DERIO, CAROLINA/0000-0001-5551-0065; Mauro, Jorge/0000-0001-5414-5860; Acevedo, Fabrizio/0000-0002-9455-3719</t>
  </si>
  <si>
    <t>WOS:001054505000007</t>
  </si>
  <si>
    <t>Soto, I; Zamorano-Illanes, R; Becerra, R; Játiva, PP; Azurdia-Meza, CA; Alavia, W; García, V; Ijaz, M; Zabala-Blanco, D</t>
  </si>
  <si>
    <t>Soto, Ismael; Zamorano-Illanes, Raul; Becerra, Raimundo; Jativa, Pablo Palacios; Azurdia-Meza, Cesar A.; Alavia, Wilson; Garcia, Veronica; Ijaz, Muhammad; Zabala-Blanco, David</t>
  </si>
  <si>
    <t>A New COVID-19 Detection Method Based on CSK/QAM Visible Light Communication and Machine Learning</t>
  </si>
  <si>
    <t>This article proposes a novel method for detecting coronavirus disease 2019 (COVID-19) in an underground channel using visible light communication (VLC) and machine learning (ML). We present mathematical models of COVID-19 Deoxyribose Nucleic Acid (DNA) gene transfer in regular square constellations using a CSK/QAM-based VLC system. ML algorithms are used to classify the bands present in each electrophoresis sample according to whether the band corresponds to a positive, negative, or ladder sample during the search for the optimal model. Complexity studies reveal that the square constellation N = 2(2i )x 2(2i), (i = 3) yields a greater profit. Performance studies indicate that, for BER = 10(-3), there are gains of -10 [dB], -3 [dB], 3 [dB], and 5 [dB] for N = 2(2i) x 2(2i), (i = 0,1, 2, 3), respectively. Based on a total of 630 COVID-19 samples, the best model is shown to be XGBoots, which demonstrated an accuracy of 96.03%, greater than that of the other models, and a recall of 99% for positive values.</t>
  </si>
  <si>
    <t>Palacios Játiva, Pablo/AAE-8235-2019; Alavia, Wilson/AGY-3117-2022; García, Verónica/AAM-1175-2021; Meza, Cesar/D-6948-2014</t>
  </si>
  <si>
    <t>Azurdia, Cesar/0000-0003-3461-4484; Ijaz, Muhammad/0000-0002-0050-9435; garcia, veronica/0000-0002-5312-925X; Soto, Ismael/0000-0002-5501-5651; Zamorano-Illanes, Raul/0000-0002-3995-697X; Palacios, Pablo/0000-0002-3958-503X; Zabala-Blanco, David/0000-0002-5692-5673; Alavia, Wilson/0000-0001-5674-8489</t>
  </si>
  <si>
    <t>10.3390/s23031533</t>
  </si>
  <si>
    <t>WOS:000932986300001</t>
  </si>
  <si>
    <t>Aravena Sagardia, P; Cassuni Troncoso, P; Cortés Fernández, R; Nambrad Castillo, E; Herrera Valenzuela, T; Guzmán Muñoz, E; Valdés Badilla, P</t>
  </si>
  <si>
    <t>Aravena Sagardia, Pablo; Cassuni Troncoso, Paolo; Cortes Fernandez, Rene; Nambrad Castillo, Enrique; Herrera Valenzuela, Tomas; Guzman Munoz, Eduardo; Valdes Badilla, Pablo</t>
  </si>
  <si>
    <t>Comparison of food consumption and health-related quality of life among basketball players of different competitive levels</t>
  </si>
  <si>
    <t>NUTRICION CLINICA Y DIETETICA HOSPITALARIA</t>
  </si>
  <si>
    <t>Introduction: Eating habits and mental health are funda-mental aspects to optimize the preparation and sports per-formance of basketball players. Aim: To compare the frequency of food consumption and health-related quality of life (HRQoL) among basketball play - ers of different competitive levels (professional, university, and amateur). Material and methods: Cross-sectional study that evalu-ated 122 male basketball players (mean age of 30.60 +/- 10.79 years), divided into professional (JBP; n=25), university (JBU; n=26) and amateur (JBA; n=71). The study variables were evaluated through online surveys regarding the frequency of food consumption and HRQoL (SF-36). Results: The JBP show a significantly higher consump-tion of dinner (F= 5,007; p= 0,020) compared to the JBU, and of fruits (F= 5,857; p= 0,012), vegetables (F= 3,756; p= 0,020) and dinner (F= 5,007; p= 0,011) compared to the JBA. While the JBU present a significantly higher con-sumption of fruits (F= 5,857; p= 0,035) than the JBA. In ad-dition, the JBU had a significantly higher consumption of sugary drinks (F= 9,293; p= 0,004) compared to the JBP and JBA. The HRQoL did not present significant differences between the groups. Conclusion: The JBP have a higher frequency in the con-sumption of healthy foods when compared to JBU and JBA. In addition, the JBU report a higher frequency in the consump-tion of sugary drinks compared to the JBP and JBA. While, the HRQoL is positive regardless of the competitive level of the basketball players.</t>
  </si>
  <si>
    <t>Herrera-Valenzuela, Tomas/L-1819-2019</t>
  </si>
  <si>
    <t>0211-6057</t>
  </si>
  <si>
    <t>1989-208X</t>
  </si>
  <si>
    <t>10.12873/432aravena</t>
  </si>
  <si>
    <t>WOS:000985806000007</t>
  </si>
  <si>
    <t>Tunç, G; Zambrano-Angulo, M; Arslan, BS; Güzel, E; Nebioglu, M; Ahsen, V; Sisman, I; Cárdenas-Jirón, G; Gürek, AG</t>
  </si>
  <si>
    <t>Tunc, Gulenay; Zambrano-Angulo, Michael; Arslan, Baris Seckin; Guzel, Emre; Nebioglu, Mehmet; Ahsen, Vefa; Sisman, Ilkay; Cardenas-Jiron, Gloria; Gurek, Ayse Gul</t>
  </si>
  <si>
    <t>Insight into the effects of the anchoring groups on the photovoltaic performance of unsymmetrical phthalocyanine based dye-sensitized solar cells</t>
  </si>
  <si>
    <t>Push-pull zinc phthalocyanine dyes bearing hexylsulfanyl moieties as electron donors and carboxyethynyl as mono- or di-anchoring groups have been designed, synthesized and tested as sensitizers in dye-sensitized solar cells (DSSCs). The effects of the anchoring groups on the optical, electrochemical and photovoltaic properties were investigated. The incorporation of a carboxyethynyl group in GT23 has a considerable effect on preventing dye aggregation due to its relatively non-planar structure. The mono-anchoring dye bearing a phenyl carboxyethynyl group, GT5, has a higher molar extinction coefficient and sufficient charge injection into the TiO2 conduction band. Therefore, GT5 achieved at least 90% higher power conversion efficiency than the di-anchoring dyes (GT31 and GT32). Time-dependent density functional theory (PBE0/6-31G(d,p)) was also used to calculate the electronic absorption spectra, which predicted very well the measured UV-Vis with an error of up to 0.11 eV for the Q bands and 0.3 eV for the B bands. The longest charge transfer bands are obtained in the visible light region and they correspond to a transfer phthalocyanine core -&gt; substituent with a carboxyethynyl group where the absorptions of GT32 (465 nm) and GT31 (461 nm) are red-shifted compared to GT23 (429 nm) and GT5 (441 nm). The interaction energy between the phthalocyanine and a cluster of anatase-TiO2 (H4Ti40O82) was calculated using density functional theory. For all phthalocyanines, the interaction favored is monodentate and corresponds to -O(OH)MIDLINE HORIZONTAL ELLIPSISTi(TiO2), where the stronger interaction occurs for GT32 (-2.11 eV) and GT31 (-2.25 eV). This study presents the molecular combination of the anchoring groups in zinc phthalocyanine sensitizers, which is one of the effective strategies for improving the performance of DSSCs.</t>
  </si>
  <si>
    <t>Nebioğlu, Mehmet/HLH-0386-2023; Sisman, Ilkay/HKV-9967-2023; ARSLAN, Barış Seçkin/HSF-3720-2023; Gurek, Ayse/AAG-5919-2019; Guzel, Emre/H-2692-2018; Cardenas-Jiron, Gloria/H-9508-2012</t>
  </si>
  <si>
    <t>Guzel, Emre/0000-0002-1142-3936; GUREK, Ayse Gul/0000-0002-8565-2424; Sisman, Ilkay/0000-0002-0943-2817; Nebioglu, Mehmet/0000-0002-2603-3906; Cardenas-Jiron, Gloria/0000-0003-4305-8088</t>
  </si>
  <si>
    <t>FEB 28</t>
  </si>
  <si>
    <t>10.1039/d0dt03696j</t>
  </si>
  <si>
    <t>WOS:000624242900030</t>
  </si>
  <si>
    <t>Toneto, D; da Silva, RB; Dorneles, LS; Béron, F; Oyarzún, S; Denardin, JC</t>
  </si>
  <si>
    <t>Toneto, D.; da Silva, R. B.; Dorneles, L. S.; Beron, F.; Oyarzun, S.; Denardin, J. C.</t>
  </si>
  <si>
    <t>First order reversal curve Hall analysis of zero-field skyrmions on Pt/Co/Ta multilayers</t>
  </si>
  <si>
    <t>Magnetic skyrmions are non-trivial spin textures that resist external disturbances and are promising candidates for use in next generation spintronic devices. However, a major challenge in the realization of devices based on skyrmions is the stabilization of ordered arrangements of these spin textures under ambient temperature and zero applied field conditions. Multilayers of ferromagnetic materials (Co) interspersed with heavy metals with strong spin-orbit coupling (Pt and Ta), exhibit interesting properties, as the Dzyaloshinskii-Moriya interaction, which is an anti-symmetric exchange interaction that tilts the spins of neighboring layers, helps to stabilize skyrmions. In this work we study the formation and stabilization of magnetic skyrmions in Pt/Co/Ta films using a first order reversal curve (FORC) analysis, obtained from Hall effect measurements. The analysis of the FORC Hall diagrams was used to determine the intensity of the magnetic fields that should be applied to nucleate and stabilize skyrmions at remanence. Magnetic force microscopy images and micromagnetic simulations were compared to determine the correlation of the domain textures with the applied field and magnetic parameters of the multilayers.</t>
  </si>
  <si>
    <t>Denardin, Juliano/S-6407-2019; Dorneles, Lucio/A-2376-2008; Strazzabosco Dorneles, Lucio/E-5674-2010; Beron, Fanny/H-5923-2012; Oyarzun, Simon/M-1769-2014</t>
  </si>
  <si>
    <t>Strazzabosco Dorneles, Lucio/0000-0001-5833-1775; Beron, Fanny/0000-0002-4926-2963; Barreto da Silva, Ricardo/0000-0001-9696-5787; Denardin, Juliano/0000-0002-1373-6207; Toneto da Silva, Denilson/0000-0003-1529-7137; Oyarzun, Simon/0000-0002-8764-7944</t>
  </si>
  <si>
    <t>SEP 23</t>
  </si>
  <si>
    <t>10.1088/1361-6463/ab95be</t>
  </si>
  <si>
    <t>WOS:000549142400001</t>
  </si>
  <si>
    <t>Raviolo, S; Pereira, A; Jaimes, DMA; Escrig, J; Bajales, N</t>
  </si>
  <si>
    <t>Raviolo, Sofia; Pereira, Alejandro; Arciniegas Jaimes, Diana M.; Escrig, Juan; Bajales, Noelia</t>
  </si>
  <si>
    <t>Angular dependence of the magnetic properties of Permalloy nanowire arrays: A comparative analysis between experiment and simulation</t>
  </si>
  <si>
    <t>This work contributes to the understanding of angular dependence of the magnetic properties of Permalloy nanowire arrays by means of a comparative analysis between experiment and micromagnetic simulations. On the one hand, Permalloy nanowires of 30 nm in diameter and 1 mu m in length were synthesized by AC electrodeposition inside mesoporous alumina templates. Magnetic experimental measurements show that both coercivity and remanence decrease monotonously as the angle, at which the external field is applied, increases. On the other hand, the comparison between the simulation of a nanowire array and that performed for one single nanowire reveals that the magnetostatic interactions between the nanowires strongly modifies not only the shape of the hysteresis curve but also the coercivity and remanence values. Besides, simulations also disclose that the nanowires reverse their magnetization through the nucleation and propagation of transverse domain walls. Moreover, the simulation of an array of nanowires also discloses that the hysteresis curve exhibits noticeable jumps in the magnetization that are proportional to the number of nanowires that reverse their magnetization in the array. This latter could provide an interesting hint to control the performance of magnetic nanodevices.</t>
  </si>
  <si>
    <t>Bajales, Noelia/AGE-1802-2022; Pereira, Alejandro/X-7172-2018; Escrig, Juan/N-4304-2015</t>
  </si>
  <si>
    <t>Bajales, Noelia/0000-0002-2507-9224; Escrig, Juan/0000-0002-3958-8185; Arciniegas Jaimes, Diana Marcela/0000-0002-1487-5858; Pereira Abarca, Alejandro/0000-0002-4473-0852; Raviolo, Sofia/0009-0002-9562-1290</t>
  </si>
  <si>
    <t>10.1016/j.jmmm.2019.166240</t>
  </si>
  <si>
    <t>WOS:000510014100026</t>
  </si>
  <si>
    <t>Llanillo, PJ; Aiken, CM; Cordero, RR; Damiani, A; Sepúlveda, E; Fernández-Gómez, B</t>
  </si>
  <si>
    <t>Llanillo, P. J.; Aiken, C. M.; Cordero, R. R.; Damiani, A.; Sepulveda, E.; Fernandez-Gomez, B.</t>
  </si>
  <si>
    <t>Oceanographic Variability induced by Tides, the Intraseasonal Cycle and Warm Subsurface Water intrusions in Maxwell Bay, King George Island (West-Antarctica)</t>
  </si>
  <si>
    <t>We examine the hydrographic variability induced by tides, winds, and the advance of the austral summer, in Maxwell Bay and tributary fjords, based on two recent oceanographic campaigns. We provide the first description in this area of the intrusion of relatively warm subsurface waters, which have led elsewhere in Antarctica to ice-shelf disintegration and tidewater glacier retreat. During flood tide, meltwater was found to accumulate toward the head of Maxwell Bay, freshening and warming the upper 70 m. Below 70 m, the flood tide enhances the intrusion and mixing of relatively warm modified Upper Circumpolar Deep Water (m-UCDW). Tidal stirring progressively erodes the remnants of Winter Waters found at the bottom of Marian Cove. There is a buoyancy gain through warming and freshening as the summer advances. In Maxwell Bay, the upper 105 m were 0.79 degrees C warmer and 0.039 PSU fresher in February than in December, changes that cannot be explained by tidal or wind-driven processes. The episodic intrusion of m-UCDW into Maxwell Bay leads to interleaving and eventually to warming, salinification and deoxygenation between 80 and 200 m, with important implications for biological productivity and for the mass balance of tidewater glaciers in the area.</t>
  </si>
  <si>
    <t>Cordero, Raul/M-7979-2017; Aiken, Christopher/G-3754-2019; Fernandez-Gomez, Beatriz/HKO-2776-2023; Damiani, Alessandro/X-4677-2019; Llanillo, Pedro/L-5877-2015; Fernandez Gomez, Beatriz/E-8715-2019</t>
  </si>
  <si>
    <t>Llanillo, Pedro/0000-0002-9308-501X; Cordero, Raul R./0000-0001-7607-7993; Damiani, Alessandro/0000-0003-3014-6193; Fernandez Gomez, Beatriz/0000-0002-0886-2460</t>
  </si>
  <si>
    <t>DEC 9</t>
  </si>
  <si>
    <t>10.1038/s41598-019-54875-8</t>
  </si>
  <si>
    <t>WOS:000501750800001</t>
  </si>
  <si>
    <t>Périnet, N; Gutiérrez, P; Urra, H; Mujica, N; Gordillo, L</t>
  </si>
  <si>
    <t>Perinet, Nicolas; Gutierrez, Pablo; Urra, Hector; Mujica, Nicolas; Gordillo, Leonardo</t>
  </si>
  <si>
    <t>Streaming patterns in Faraday waves</t>
  </si>
  <si>
    <t>JOURNAL OF FLUID MECHANICS</t>
  </si>
  <si>
    <t>Wave patterns in the Faraday instability have been studied for decades. Besides the rich wave dynamics observed at the interface, Faraday waves hide elusive flow patterns in the bulk - streaming patterns - which have not been studied experimentally. The streaming patterns are responsible for a net circulation in the flow, which is reminiscent of the circulation in convection cells. In this article, we analyse these streaming flows by conducting experiments in a Faraday-wave set-up using particle image velocimetry. To visualise the flows, we perform stroboscopic measurements to both generate trajectory maps and probe the streaming velocity field. We identify three types of patterns and experimentally show that identical Faraday waves can mask streaming patterns that are qualitatively very different. Next, we consider a three-dimensional model for streaming flows in quasi-inviscid fluids, whose key is the complex coupling occurring at all of the viscous boundary layers. This coupling yields modified boundary conditions in a three-dimensional Navier-Stokes formulation of the streaming flow. Numerical simulations based on this framework show reasonably good agreement, both qualitative and quantitative, with the velocity fields of our experiments. The model highlights the relevance of three-dimensional effects in the streaming patterns. Our simulations also reveal that the variety of streaming patterns is deeply linked to the boundary condition at the top interface, which may be strongly affected by the presence of contaminants.</t>
  </si>
  <si>
    <t>Gutierrez, Pablo/F-7447-2016; GORDILLO, Leonardo/I-8215-2014; Mujica, Nicolas/J-3646-2014</t>
  </si>
  <si>
    <t>Gutierrez, Pablo/0000-0002-4673-1656; GORDILLO, Leonardo/0000-0002-9516-1346; Mujica, Nicolas/0000-0003-4724-6246</t>
  </si>
  <si>
    <t>0022-1120</t>
  </si>
  <si>
    <t>1469-7645</t>
  </si>
  <si>
    <t>MAY 25</t>
  </si>
  <si>
    <t>10.1017/jfm.2017.166</t>
  </si>
  <si>
    <t>WOS:000400010500011</t>
  </si>
  <si>
    <t>Sundholm, D; Rauhalahti, M; Özcan, N; Mera-Adasme, R; Kussmann, J; Luenser, A; Ochsenfeld, C</t>
  </si>
  <si>
    <t>Sundholm, Dage; Rauhalahti, Markus; Ozcan, Nergiz; Mera-Adasme, Raul; Kussmann, Jorg; Luenser, Arne; Ochsenfeld, Christian</t>
  </si>
  <si>
    <t>Nuclear Magnetic Shieldings of Stacked Aromatic and Antiaromatic Molecules</t>
  </si>
  <si>
    <t>JOURNAL OF CHEMICAL THEORY AND COMPUTATION</t>
  </si>
  <si>
    <t>Nuclear magnetic shieldings have been calculated at the density functional theory (DFT) level for stacks of benzene, hexadehydro[12]annulene, dodecadehydro[18]annulene, and hexabenzocoronene. The magnetic shieldings due to the ring currents in the adjacent molecules have been estimated by calculating nucleus independent molecular shieldings for the monomer in the atomic positions of neighbor molecules. The calculations show that the independent shielding model works reasonably well for the H-1 NMR shieldings of benzene and hexadehydro[12]annulene, whereas for the larger molecules and for the C-13 NMR shieldings the interaction between the molecules leads to shielding effects that are at least of the same size as the ring current contributions from the adjacent molecules. A better agreement is obtained when the nearest neighbors are also considered at full quantum mechanical (QM) level. The calculations suggest that the nearest solvent molecules must be included in the quantum mechanical system, at least when estimating solvent shifts at the molecular mechanics (MM) level. Current density calculations show that the stacking does not significantly affect the ring current strengths of the individual molecules, whereas the shape of the ring current for a single molecule differs from that of the stacked molecules.</t>
  </si>
  <si>
    <t>Ochsenfeld, Christian/E-8021-2015; Kussmann, Jorg/G-3016-2015</t>
  </si>
  <si>
    <t>Ochsenfeld, Christian/0000-0002-4189-6558; Sundholm, Dage Matts Borje/0000-0002-2367-9277; Kussmann, Jorg/0000-0002-4724-8551</t>
  </si>
  <si>
    <t>1549-9618</t>
  </si>
  <si>
    <t>1549-9626</t>
  </si>
  <si>
    <t>10.1021/acs.jctc.6b01250</t>
  </si>
  <si>
    <t>WOS:000401221300010</t>
  </si>
  <si>
    <t>Tirapegui, C; Acevedo-Fuentes, W; Dahech, P; Torrent, C; Barrias, P; Rojas-Poblete, M; Mascayano, C</t>
  </si>
  <si>
    <t>Tirapegui, Cristian; Acevedo-Fuentes, Williams; Dahech, Pablo; Torrent, Claudia; Barrias, Pablo; Rojas-Poblete, Macarena; Mascayano, Carolina</t>
  </si>
  <si>
    <t>Easy and rapid preparation of benzoylhydrazides and their diazene derivatives as inhibitors of 15-lipoxygenase</t>
  </si>
  <si>
    <t>BIOORGANIC &amp; MEDICINAL CHEMISTRY LETTERS</t>
  </si>
  <si>
    <t>Two series of diaza derivatives were prepared by solvent-free condensation of benzoic acid and 4-substituted phenylhydrazines in order to obtain phenylhydrazides (HYD series) and, by oxidation of these compounds, the corresponding benzoyldiazenes (DIA series). Both sets were evaluated as inhibitors of soybean 15-lipoxygenase activity and antioxidant capability in the FRAP and CUPRAC assays. The most potent inhibitors of both series exhibited IC50 values in the low micromolar range. Kinetic studies showed that at least the more active compounds were competitive inhibitors. Docking results indicated that the most potent inhibitor interacts strongly with Ile-839 and iron in the active site. (C) 2017 Elsevier Ltd. All rights reserved.</t>
  </si>
  <si>
    <t>Tirapegui, Cristian/U-3748-2018; Barrias, Pablo/V-7218-2018</t>
  </si>
  <si>
    <t>Tirapegui, Cristian/0000-0002-2895-3204; Mascayano Collado, Carolina Lorena/0000-0002-3488-9309; Barrias, Pablo/0000-0003-4072-4436; Rojas, Macarena/0000-0001-7243-4690</t>
  </si>
  <si>
    <t>0960-894X</t>
  </si>
  <si>
    <t>1464-3405</t>
  </si>
  <si>
    <t>10.1016/j.bmcl.2017.03.017</t>
  </si>
  <si>
    <t>WOS:000399262600005</t>
  </si>
  <si>
    <t>Seguel, F; Firoozabadi, AD; Adasme, P; Soto, I; Krommenacker, N; Azurdia-Meza, C</t>
  </si>
  <si>
    <t>Seguel, F.; Firoozabadi, A. Dehghan; Adasme, P.; Soto, I.; Krommenacker, N.; Azurdia-Meza, Cesar</t>
  </si>
  <si>
    <t>A novel strategy for LED re-utilization for visible light communications</t>
  </si>
  <si>
    <t>OPTIK</t>
  </si>
  <si>
    <t>A resource allocation optimization model for downlink indoor Optical Wireless Communications networks (OWC) is proposed in this paper. The optimization problem is formulated as a mixed integer binary problem. A centralized smart coordinator solves the problem in order to assign efficiently Visible Light Communications (VLC) channels to users. The optimization problem is solved with two different approaches based on Cuckoo Search algorithm (CS). The first one solves the complete network problem considering all users and access points simultaneously with a random initialization procedure. Whilst the second approach is a CS based decomposition procedure, which obtains feasible solutions with the help of a spatial reuse aided algorithm. Both procedures were tested for different receivers Fields of View (FOV), e.g., FOV = 30 degrees and 60 degrees which are placed randomly on the coverage area and for different transmitter's power levels. Results show that the solutions obtained with spatial reuse aided procedure outperforms the first approach in terms of total network throughput for different power levels, i.e., 1 and 10 W, and different number of users. Finally, results obtained with the second approach allow the usage of a wider FOV. (C) 2017 Elsevier GmbH. All rights reserved.</t>
  </si>
  <si>
    <t>Meza, Cesar/D-6948-2014; Krommenacker, Nicolas/IAR-4851-2023; Dehghan Firoozabadi, Ali/AAD-4858-2019; Adasme, Pablo/U-1735-2019; Seguel, Fabian/ABC-4765-2020</t>
  </si>
  <si>
    <t>Adasme, Pablo/0000-0003-2500-3294; Soto, Ismael/0000-0002-5501-5651; Dehghan Firoozabadi, Ali/0000-0002-6391-6863; Seguel, Fabian/0000-0001-6567-8988</t>
  </si>
  <si>
    <t>0030-4026</t>
  </si>
  <si>
    <t>10.1016/j.ijleo.2017.10.121</t>
  </si>
  <si>
    <t>WOS:000418623800009</t>
  </si>
  <si>
    <t>Figueroa, L; Jiménez, C; Rodríguez, J; Areche, C; Chávez, R; Henríquez, M; de la Cruz, M; Díaz, C; Segade, Y; Vaca, I</t>
  </si>
  <si>
    <t>Figueroa, Luis; Jimenez, Carlos; Rodriguez, Jaime; Areche, Carlos; Chavez, Renato; Henriquez, Marlene; de la Cruz, Mercedes; Diaz, Caridad; Segade, Yuri; Vaca, Inmaculada</t>
  </si>
  <si>
    <t>3-Nitroasterric Acid Derivatives from an Antarctic Sponge-Derived Pseudogymnoascus sp Fungus</t>
  </si>
  <si>
    <t>JOURNAL OF NATURAL PRODUCTS</t>
  </si>
  <si>
    <t>Four new nitroasterric acid derivatives, pseudogymnoascins A-C (1-3) and 3-nitroasterric acid (4), along with the two known compounds, questin and pyriculamide, were obtained from the cultures of a Pseudogymnoascus sp. fungus isolated from an Antarctic marine sponge belonging to the genus Hymeniacidon. The structures of the new compounds were determined by extensive NMR and MS analyses. These compounds are the first nitro derivatives of the known fungal metabolite asterric acid. Several asterric acid derivatives isolated from other fungal strains have shown antibacterial and antifungal activities. However, the new compounds described in this work were inactive against a panel of bacteria and fungi (MIC &gt; 64 mu g/mL).</t>
  </si>
  <si>
    <t>Navarro, Caridad/I-4123-2015; Areche, Carlos/I-2461-2013; DE LA CRUZ MORENO, MERCEDES/M-1533-2014; Vaca, Inmaculada/I-2758-2013; Jimenez, Carlos/G-9622-2015; Rodriguez, Jaime/G-8984-2015</t>
  </si>
  <si>
    <t>Areche, Carlos/0000-0001-5246-1368; Diaz Navarro, Caridad/0000-0003-1240-0143; DE LA CRUZ MORENO, MERCEDES/0000-0002-2389-8576; Vaca, Inmaculada/0000-0002-8952-9036; Jimenez, Carlos/0000-0003-2628-303X; Rodriguez, Jaime/0000-0001-5348-6970; Chavez, Renato/0000-0003-1754-3610</t>
  </si>
  <si>
    <t>0163-3864</t>
  </si>
  <si>
    <t>1520-6025</t>
  </si>
  <si>
    <t>10.1021/np500906k</t>
  </si>
  <si>
    <t>WOS:000353665100042</t>
  </si>
  <si>
    <t>Alcocer, RR; Rodríguez, JGL; Romero, AN; Nuñez, JLC; Montoya, VR; Deschamps, JJ; Ticse, JAL</t>
  </si>
  <si>
    <t>Ramos Alcocer, Ruben; Ledezma Rodriguez, Jose Gregorio; Navas Romero, Antonio; Cardenas Nunez, Jose Luis; Rodriguez Montoya, Vicente; Junior Deschamps, Jose; Liviac Ticse, Jorge Anibal</t>
  </si>
  <si>
    <t>Use of betahistine in the treatment of peripheral vertigo</t>
  </si>
  <si>
    <t>ACTA OTO-LARYNGOLOGICA</t>
  </si>
  <si>
    <t>Conclusion: Clinical studies and meta-analyses demonstrated that betahistine is effective and safe in the treatment of Meniere's disease, BPPV (benign paroxysmal positional vertigo), vestibular neuronitis, and other types of peripheral vertigo. Objectives: The goal of this paper is to review the pharmacological profile of betahistine and the evidence for its effectiveness and safety in the treatment of peripheral vertigo. Methods: Selection criteria for the publications on betahistine included randomized clinical trials that evaluated the effectiveness and safety of betahistine vs placebo or active control in the treatment of peripheral vertigo. Recent meta-analyses were also included. Databases searched included PubMed, the Cochrane Ear, Nose and Throat Disorders Group Trials Register, and ICTRP. The review also presents an update on the mechanisms of action, pharmacodynamics, and pharmacokinetics of betahistine. Results: Efficacy and safety of betahistine has been demonstrated in numerous clinical trials. The precise mechanism of action of betahistine is still not completely understood, but the clinical experience demonstrated the benefit of betahistine in different types of peripheral vertigo. In more than 40 years of clinical use, betahistine has shown an excellent safety profile with the usual dose range from 8-48 mg daily. According to clinical studies, betahistine 48 mg daily during 3 months is an effective and safe option for the treatment of peripheral vertigo.</t>
  </si>
  <si>
    <t>Ledezma-Rodriguez, Jose-Gregorio/0009-0007-5984-4979</t>
  </si>
  <si>
    <t>0001-6489</t>
  </si>
  <si>
    <t>1651-2251</t>
  </si>
  <si>
    <t>10.3109/00016489.2015.1072873</t>
  </si>
  <si>
    <t>WOS:000369940500001</t>
  </si>
  <si>
    <t>Curitol, M; Ragas, X; Nonell, S; Pizarro, N; Encinas, MV; Rojas, P; Zanocco, RP; Lemp, E; Günther, G; Zanocco, AL</t>
  </si>
  <si>
    <t>Curitol, Manuel; Ragas, Xavier; Nonell, Santi; Pizarro, Nancy; Encinas, Maria V.; Rojas, Pedro; Zanocco, Renzo P.; Lemp, Else; Guenther, German; Zanocco, Antonio L.</t>
  </si>
  <si>
    <t>Solvent and Media Effects on the Photophysics of Naphthoxazole Derivatives</t>
  </si>
  <si>
    <t>The photophysical properties of 2-phenyl-naphtho[1,2-d][1,3]oxazole, 2(4-N,N-dimethylaminophenyl)naphtho[1,2-d][1,3]oxazole and 2(4-N,N-diphenylaminophenyl) naphtho[1,2-d][1,3]oxazole were studied in a series of solvents. UV-Vis absorption spectra are insensitive to solvent polarity whereas the fluorescence spectra in the same solvent set show an important solvatochromic effect leading to large Stokes shifts. Linear solvation energy relationships were employed to correlate the position of fluorescence spectra maxima with microscopic empirical solvent parameters. This study indicates that important intramolecular charge transfer takes place during the excitation process. In addition, an analysis of the solvatochromic behavior of the UV-Vis absorption and fluorescence spectra in terms of the Lippert-Mataga equation shows a large increase in the excited-state dipole moment, which is also compatible with the formation of an intramolecular charge-transfer excited state. We propose both naphthoxazole derivatives as suitable fluorescent probes to determine physicochemical microproperties in several systems and as dyes in dye lasers; consequence of their high fluorescence quantum yields in most solvents, their large molar absorption coefficients, with fluorescence lifetimes in the range 1-3ns as well as their high photostability.</t>
  </si>
  <si>
    <t>Nonell, Santi/AFU-1516-2022; Encinas, Maria/L-9686-2014; Pizarro, Nancy/E-1131-2015; Gunther, German/I-1028-2013</t>
  </si>
  <si>
    <t>ZANOCCO, RENZO/0000-0002-8049-0980; Gunther, German/0000-0002-4733-8426; Pizarro, Nancy/0000-0002-4688-0889; ZANOCCO, ANTONIO/0000-0002-6521-5382</t>
  </si>
  <si>
    <t>10.1111/php.12133</t>
  </si>
  <si>
    <t>WOS:000326507100009</t>
  </si>
  <si>
    <t>Tapia, A; Vilos, C; Marín, JC; Croxatto, HB; Devoto, L</t>
  </si>
  <si>
    <t>Tapia, Alejandro; Vilos, Cristian; Carlos Marin, Juan; Croxatto, Horacio B.; Devoto, Luigi</t>
  </si>
  <si>
    <t>Bioinformatic detection of E47, E2F1 and SREBP1 transcription factors as potential regulators of genes associated to acquisition of endometrial receptivity</t>
  </si>
  <si>
    <t>REPRODUCTIVE BIOLOGY AND ENDOCRINOLOGY</t>
  </si>
  <si>
    <t>Background: The endometrium is a dynamic tissue whose changes are driven by the ovarian steroidal hormones. Its main function is to provide an adequate substrate for embryo implantation. Using microarray technology, several reports have provided the gene expression patterns of human endometrial tissue during the window of implantation. However it is required that biological connections be made across these genomic datasets to take full advantage of them. The objective of this work was to perform a research synthesis of available gene expression profiles related to acquisition of endometrial receptivity for embryo implantation, in order to gain insights into its molecular basis and regulation. Methods: Gene expression datasets were intersected to determine a consensus endometrial receptivity transcript list (CERTL). For this cluster of genes we determined their functional annotations using available web-based databases. In addition, promoter sequences were analyzed to identify putative transcription factor binding sites using bioinformatics tools and determined over-represented features. Results: We found 40 up- and 21 down-regulated transcripts in the CERTL. Those more consistently increased were C4BPA, SPP1, APOD, CD55, CFD, CLDN4, DKK1, ID4, IL15 and MAP3K5 whereas the more consistently decreased were OLFM1, CCNB1, CRABP2, EDN3, FGFR1, MSX1 and MSX2. Functional annotation of CERTL showed it was enriched with transcripts related to the immune response, complement activation and cell cycle regulation. Promoter sequence analysis of genes revealed that DNA binding sites for E47, E2F1 and SREBP1 transcription factors were the most consistently over-represented and in both up- and down-regulated genes during the window of implantation. Conclusions: Our research synthesis allowed organizing and mining high throughput data to explore endometrial receptivity and focus future research efforts on specific genes and pathways. The discovery of possible new transcription factors orchestrating the CERTL opens new alternatives for understanding gene expression regulation in uterine function.</t>
  </si>
  <si>
    <t>Ortiz, Cristian/F-9162-2014; Tapia-Pizarro, Alejandro/IUQ-1738-2023; Tapia-Pizarro, Alejandro/A-5764-2013</t>
  </si>
  <si>
    <t>Vilos, Cristian/0000-0001-5619-3348; Tapia-Pizarro, Alejandro/0000-0003-0742-8395</t>
  </si>
  <si>
    <t>1477-7827</t>
  </si>
  <si>
    <t>10.1186/1477-7827-9-14</t>
  </si>
  <si>
    <t>WOS:000287398600001</t>
  </si>
  <si>
    <t>Contreras, L; Moenne, A; Gaillard, F; Potin, P; Correa, JA</t>
  </si>
  <si>
    <t>Contreras, Loretto; Moenne, Alejandra; Gaillard, Fanny; Potin, Philippe; Correa, Juan A.</t>
  </si>
  <si>
    <t>Proteomic analysis and identification of copper stress-regulated proteins in the marine alga Scytosiphon gracilis (Phaeophyceae)</t>
  </si>
  <si>
    <t>AQUATIC TOXICOLOGY</t>
  </si>
  <si>
    <t>A proteomic analysis combining peptide de novo sequencing and BLAST analysis was used to identify novel proteins involved in copper tolerance in the marine alga Scytosiphon gracilis (Phaeophyceae). Algal material was cultivated in seawater without copper (control) or supplemented with 100 mu g L(-1) for 4 days, and protein extracts were separated by two-dimensional gel electrophoresis (2-DE). From the proteins obtained in the copper treatment, 25 over-expressed, 5 under-expressed and 5 proteins with no changes as compared with the control, were selected for sequencing. Tryptic-peptides obtained from 35 spots were analyzed by capillary liquid chromatography and tandem mass spectroscopy (capLC/MS/MS). and protein identity was determined by BLASTP. We identified 19 over-expressed proteins, including a chloroplast peroxiredoxin, a cytosolic phosphomannomutase, a cytosolic glyceraldehyde-3-phosphate dehydrogenase, 3 ABC transporters, a chaperonine, a subunit of the proteasome and a tRNA synthase, among others. The possible involvement of these over-expressed proteins in buffering oxidative stress and avoiding metal uptake in S. gracilis exposed to copper excess is discussed taking into consideration the information available for other plant models. (C) 2009 Elsevier B.V. All rights reserved.</t>
  </si>
  <si>
    <t>; Contreras-Porcia, Loretto/F-9593-2016</t>
  </si>
  <si>
    <t>POTIN, Philippe/0000-0001-7358-6282; Contreras-Porcia, Loretto/0000-0002-6511-2244</t>
  </si>
  <si>
    <t>0166-445X</t>
  </si>
  <si>
    <t>JAN 31</t>
  </si>
  <si>
    <t>10.1016/j.aquatox.2009.10.007</t>
  </si>
  <si>
    <t>WOS:000274978500001</t>
  </si>
  <si>
    <t>Reyes, E; Pena, R; Cardenas, R; Clare, J; Wheeler, P</t>
  </si>
  <si>
    <t>Reyes, E.; Pena, R.; Cardenas, R.; Clare, J.; Wheeler, P.</t>
  </si>
  <si>
    <t>Control of a Doubly-fed Induction Generator with an Indirect Matrix Converter with Changing DC Voltage</t>
  </si>
  <si>
    <t>IEEE INTERNATIONAL SYMPOSIUM ON INDUSTRIAL ELECTRONICS (ISIE 2010)</t>
  </si>
  <si>
    <t>Proceedings of the IEEE International Symposium on Industrial Electronics</t>
  </si>
  <si>
    <t>IEEE International Symposium on Industrial Electronics (ISIE)</t>
  </si>
  <si>
    <t>JUL 04-07, 2010</t>
  </si>
  <si>
    <t>Bari, ITALY</t>
  </si>
  <si>
    <t>IEEE,IEEE Ind Elect Soc,IEEE Control Syst Soc,Soc Instrument &amp; Control Engineers (SICE)</t>
  </si>
  <si>
    <t>In this paper a control strategy for a Doubly-Fed Induction Generator (DFIG) using an Indirect Matrix Converter (IMC), which consists of an input side matrix converter and an output side voltage source converter (VSI), is presented. The capability of the input converter to generate different virtual DC link voltage levels is exploited and commutation of the VSI using these reduced voltages is shown for operating points where the required output voltage is low in magnitude, without deteriorating the performance of machine current control. This method leads to a reduction in the commutation losses in the output converter and reduced common mode voltage. For the input converter soft switching commutation is obtained synchronizing the input and output PWM patterns. This strategy is applicable in DFIG applications because the required rotor voltage decreases as the DFIG speed gets closer to synchronous speed. The strategy is experimentally validated in a 2kW rig.</t>
  </si>
  <si>
    <t>pena, ruben/H-1806-2018; Cardenas, Roberto/C-6395-2011; Clare, Jon/M-2032-2018</t>
  </si>
  <si>
    <t>Cardenas, Roberto/0000-0003-3853-7703; Wheeler, Patrick/0000-0003-0307-581X; Clare, Jon/0000-0001-8243-4280</t>
  </si>
  <si>
    <t>2163-5137</t>
  </si>
  <si>
    <t>978-1-4244-6391-6</t>
  </si>
  <si>
    <t>WOS:000295007801079</t>
  </si>
  <si>
    <t>Gajardo, J; Araya, JC; Moya, SA; Pardey, AJ; Guerchais, V; Le Bozec, H; Aguirre, P</t>
  </si>
  <si>
    <t>New polynuclear carbonyl ruthenium(II) complexes derived from 1,8-naphthyridine</t>
  </si>
  <si>
    <t>This work shows the synthesis and characterization of new carbonyl complexes derived of 1,8-naphthyridine. Covalently bonded complex can be successfully employed in building of supramolecular structures. Copyright (c) 2005 John Wiley &amp; Sons, Ltd.</t>
  </si>
  <si>
    <t>; Guerchais, Veronique/D-6471-2017</t>
  </si>
  <si>
    <t>Araya Vargas, Juan Carlos/0000-0001-6421-1534; Guerchais, Veronique/0000-0003-4821-3817</t>
  </si>
  <si>
    <t>10.1002/aoc.1021</t>
  </si>
  <si>
    <t>WOS:000236916700006</t>
  </si>
  <si>
    <t>Campos-Vallette, M; Saavedra, MS; Diaz, GF; Clavijo, RE; Martinez, Y; Mendizabal, F; Costamagna, J; Canales, JC; García-Ramos, JV; Sanchez-Cortés, S</t>
  </si>
  <si>
    <t>Surface-enhanced vibrational study of azabipiridyl and its Co(II), Ni(II) and Cu(II) complexes</t>
  </si>
  <si>
    <t>The FT-Raman spectra and surface-enhanced Raman scattering (SERS) on silver colloid of the azabipiridyl ligand and its Co(Ii), Ni(Il) and Cu(II) complexes are reported. A resonance Raman (RR) study of the solids and a surface-enhanced infrared absorption (SEIRA) study were also accomplished. The spectral analysis indicates that there is a remarkable enhancement of the Raman spectra induced by the presence of an Ag surface. The complex-surface interaction is verified by the appearance of a v(Ag-N) band at about 216 cm(-1). A general energy increasing of most of the molecular modes by surface effect is associated to a charge transfer from the colloidal silver surface, thus, leading to an important contribution of the charge transfer mechanism to the SERS enhancement, which is corroborated by the resonant effect observed at different excitation lines. From the analysis of the SERS spectra a preferential planar parallel orientation of the complexes on the surface is deduced, in such a way that all the complexes tend to adopt a similar structure when they are adsorbed on the metal surface. On the contrary, the macrocycle ligand is oriented tilted, face-on to the surface. The SEIRA study of the compounds deposited onto Au films reveals slight structural modifications upon dilution. The spectral analysis was completed with a semiempirical calculation and a normal co-ordinate analysis. (C) 2001 Elsevier Science B.V All rights reserved.</t>
  </si>
  <si>
    <t>Vallette, Marcelo/I-2860-2013; Mendizabal, Fernando/M-3408-2014; Sanchez-Cortes, Santiago/D-4673-2014; Garcia-Ramos, Jose/D-3153-2013</t>
  </si>
  <si>
    <t>Sanchez-Cortes, Santiago/0000-0002-1081-4644; Canales Villalobos, Juan Carlos/0009-0006-3215-4997; Garcia-Ramos, Jose/0000-0003-4179-5105; Mendizabal, Fernando/0000-0002-6912-8630</t>
  </si>
  <si>
    <t>NOV 29</t>
  </si>
  <si>
    <t>10.1016/S0924-2031(01)00117-5</t>
  </si>
  <si>
    <t>WOS:000172139600002</t>
  </si>
  <si>
    <t>Del Solar, JW; Rojas-Libano, D; Barra, PB; Vera, CC; Martel, PC; Vidal, JPR; Rodriguez, IP; Villalobos, EF</t>
  </si>
  <si>
    <t>Del Solar, Jonathan Wimmer; Rojas-Libano, Daniel; Barra, Pablo Bastias; Cisternas Vera, Constanza; Chavez Martel, Paulina; Vidal, Juan Pablo Rozas; Rodriguez, Ibanez Pamela; Villalobos, Estefania Fontecilla</t>
  </si>
  <si>
    <t>Epidemiology of Work-Related Traumatic Brain Injury and COVID-19 Pandemic Lockdown Consequences: Experience in a Reference Center in Chile</t>
  </si>
  <si>
    <t>JOURNAL OF OCCUPATIONAL AND ENVIRONMENTAL MEDICINE</t>
  </si>
  <si>
    <t>Work-related traumatic brain injury (wr-TBI) is a serious occupational health condition with mortality and secondary sequelae associated with it. Knowing its epidemiology and risk factors is crucial for preventing and planning treatment interventions. The COVID-19 pandemic allowed assessing how risk factors affect the incidence of wr-TBI and its clinical presentation. IntroductionWork-related traumatic brain injury is a frequent cause of chronic morbidity, mortality, and high treatment costs. Its causes are highly environmentally determined and were affected by COVID-19 pandemic lockdowns.ObjectiveWe aimed to describe traumatic brain injury (TBI) epidemiology in working population and evaluate its modifications during the COVID-19 pandemic.MethodsWe performed a 2-year retrospective epidemiological analysis of TBI patients hospitalized in a tertiary work-related hospital before and during the COVID-19 pandemic.ResultsIn the prepandemic period, TBI patients were predominantly men, with a bimodal age distribution. Crash accidents were the leading work-related traumatic brain injury cause. During COVID-19 pandemic lockdowns, there was a positive correlation between street traffic and TBI rate, presenting increased motor crash accidents as a cause of TBI.ConclusionsThese results are relevant for planning and focalization of resources for TBI prevention.</t>
  </si>
  <si>
    <t>Rojas-Libano, Daniel/K-8249-2012</t>
  </si>
  <si>
    <t>Wimmer del Solar, Jonathan/0000-0003-0702-741X; Ibanez, Pamela/0009-0000-1990-9976</t>
  </si>
  <si>
    <t>1076-2752</t>
  </si>
  <si>
    <t>1536-5948</t>
  </si>
  <si>
    <t>10.1097/JOM.0000000000002967</t>
  </si>
  <si>
    <t>WOS:001112407600019</t>
  </si>
  <si>
    <t>Moreno-Serna, V; Oyarzún, C; Ulloa-Flores, MT; Rivas, L; Sepúlveda, FA; Loyo, C; Toro, EL; Zapata, PA</t>
  </si>
  <si>
    <t>Moreno-Serna, Viviana; Oyarzun, Claudio; Ulloa-Flores, Maria T.; Rivas, Lina; Sepulveda, Francesca Antonella; Loyo, Carlos; Lopez Toro, Esmeralda; Zapata, Paula A.</t>
  </si>
  <si>
    <t>Venus antiqua Clamshell-Derived Calcium Oxide Nanoparticles for the Preparation of PLA/d-Limonene/CaO Nanocomposites with Antimicrobial Properties</t>
  </si>
  <si>
    <t>ACS SUSTAINABLE CHEMISTRY &amp; ENGINEERING</t>
  </si>
  <si>
    <t>Clamshell waste and d-limoneneare interestingand promising sources for developing sustainable nanocomposites forfood packaging engineering. Antimicrobial films based on poly(lactic acid) (PLA)/d-limonene/calcium oxide (CaO)-based nanocomposites were preparedby extrusion and successive thermocompression. d-Limonenewas incorporated into PLA at a concentration of 5 or 10 wt %. Venus antiqua clamshell-derived calcium oxide (CaO)nanoparticles with an average diameter of 11.2 &amp; PLUSMN; 9.9 nm wereadded at concentrations of 3 and 5 wt %. A decrease in the glass transitiontemperature (T (g)) by ca. 20% corroboratedthe plasticizing effect of d-limonene compared to pure PLA.The incorporation of 5 wt % CaO in PLA composites promoted a ca. 15%decrease in T (cc). Although CaO induceda lower Young's modulus and a lower thermal stability in nanocomposites,excellent antimicrobial performance was demonstrated. Both PLA/limoneneand PLA/limonene/CaO films reached 99.99% efficiency against Escherichia coli, regardless of the source of irradiation, d-limonene, and nanoparticle loading. Therefore, these nanocompositesestablish significant progress in developing sustainable antimicrobialmaterials in the fields of medicine or food packaging.</t>
  </si>
  <si>
    <t>Loyo, Carlos/AAZ-6777-2021; Sepúlveda, Francesca/AAW-8092-2021; Lopez Toro, Esmeralda/LKN-8650-2024; Moreno Serna, Viviana/LZI-3166-2025</t>
  </si>
  <si>
    <t>Moreno Serna, Viviana/0000-0001-9042-1738; Zapata, Paula Andrea/0000-0003-3361-6226; Lopez Toro, Esmeralda/0000-0001-5540-7199; Loyo Davila, Carlos David/0000-0003-4177-2958; Sepulveda Espinoza, Francesca Antonella/0000-0001-5135-8123</t>
  </si>
  <si>
    <t>2168-0485</t>
  </si>
  <si>
    <t>JUL 11</t>
  </si>
  <si>
    <t>10.1021/acssuschemeng.3c01358</t>
  </si>
  <si>
    <t>WOS:001027021000001</t>
  </si>
  <si>
    <t>Cañón-Mancisidor, W; Hermosilla-Ibáñez, P; Spodine, E; Paredes-García, V; Gómez-García, CJ; Venegas-Yazigi, D</t>
  </si>
  <si>
    <t>Canon-Mancisidor, Walter; Hermosilla-Ibanez, Patricio; Spodine, Evgenia; Paredes-Garcia, Veronica; Gomez-Garcia, Carlos J.; Venegas-Yazigi, Diego</t>
  </si>
  <si>
    <t>Spin Frustrated Pyrazolato Triangular CuII Complex: Structure and Magnetic Properties, an Overview</t>
  </si>
  <si>
    <t>MAGNETOCHEMISTRY</t>
  </si>
  <si>
    <t>The synthesis and structural characterization of a new triangular Cu-3-mu 3OH pyrazolato complex of formula, [Cu-3(mu(3)-OH)(pz)(3)(Hpz)(3)][BF4](2) (1-Cu-3), Hpz = pyrazole, is presented. The triangular unit forms a quasi-isosceles triangle with Cu-Cu distances of 3.3739(9), 3.3571(9), and 3.370(1) &amp; ANGS;. This complex is isostructural to the hexanuclear complex [Cu-3(mu(3)-OH)(pz)(3)(Hpz)(3)](ClO4)(2)](2) (QOPJIP). A comparative structural analysis with other reported triangular Cu-3-mu 3OH pyrazolato complexes has been carried out, showing that, depending on the pyrazolato derivative, an auxiliary ligand or counter-anion can affect the nuclearity and/or the dimensionality of the system. The magnetic properties of 1-Cu-3 are analyzed using experimental data and DFT calculation. A detailed analysis was performed on the magnetic properties, comparing experimental and theoretical data of other molecular triangular Cu-3-mu 3OH complexes, showing that the displacement of the mu(3)-OH- from the Cu-3 plane, together with the type of organic ligands, influences the nature of the magnetic exchange interaction between the spin-carrier centers, since it affects the overlap of the magnetic orbitals involved in the exchange pathways. Finally, a detailed comparison of the magnetic properties of 1-Cu-3 and QOPJIP was carried out, which allowed us to understand the differences in their magnetic properties.</t>
  </si>
  <si>
    <t>Gomez-Garcia, Carlos/A-5626-2009; Hermosilla-Ibanez, Patricio/Y-7454-2018; Venegas-Yazigi, Diego/C-5022-2009; Paredes-Garcia, Veronica/C-4415-2011; Canon-Mancisidor, Walter/K-8764-2014</t>
  </si>
  <si>
    <t>Hermosilla-Ibanez, Patricio/0000-0002-2272-9690; Venegas-Yazigi, Diego/0000-0001-7816-2841; Paredes-Garcia, Veronica/0000-0002-7537-7430; Canon-Mancisidor, Walter/0000-0003-1703-8729</t>
  </si>
  <si>
    <t>2312-7481</t>
  </si>
  <si>
    <t>10.3390/magnetochemistry9060155</t>
  </si>
  <si>
    <t>WOS:001020992500001</t>
  </si>
  <si>
    <t>Suresh, R; Alvarez, A; Sandoval, C; Ramírez, E; Santander, P; Mangalaraja, RV; Yáñez, J</t>
  </si>
  <si>
    <t>Suresh, R.; Alvarez, Angela; Sandoval, Claudio; Ramirez, Eimmy; Santander, Paola; Mangalaraja, R. V.; Yanez, Jorge</t>
  </si>
  <si>
    <t>Fe2O3/NiO nanocomposites: synthesis, characterization and roxarsone sensing by Fourier transform infrared photoacoustic spectroscopy</t>
  </si>
  <si>
    <t>The Fe2O3/NiO nanocomposite was prepared through facile mixing of pure Fe2O3 and NiO nanoparticles. Pure metal oxides were synthesized by the glycine aided hydrothermal method. The crystal structure was determined by X-ray diffraction (XRD) analysis. Both scanning electron microscopy (SEM) and transmission electron microscopy (TEM) clearly show that the NiO nanospheres were homogeneously distributed on Fe2O3 nanoplates. Fourier transform infrared (FTIR) spectra reveal that functionalization by glycine induces carboxylic and amino groups on the surface of nanoparticles. The optical properties such as light absorption behavior and band gap of the Fe2O3/NiO nanocomposite were determined by UV-Visible diffuse reflectance spectroscopy (DRS UV-Vis). The roxarsone (ROX) sensing behavior of the Fe2O3/NiO nanocomposite was evaluated by using Fourier transform infrared (FTIR) - photoacoustic spectroscopy (PAS) that allowed quantitative sensing of the ROX@Fe2O3/NiO complex. The photoacoustic signals of ROX were clearly observed in the FTIR-PAS spectra, particularly in the range of 1700 to 1000 cm(-1) without spectral interference from the composite. Furthermore, principal component analysis (PCA) and partial least square (PLS) regression models were applied to calibrate and validate ROX quantification. The PLS model exhibited the best performance in predicting the ROX concentration through ROX@Fe2O3/NiO samples. This proof of concept suggests that the Fe2O3/NiO nanocomposite has improved adsorption and spectral features by FTIR-PAS for sensing of organometallic compounds such as ROX.</t>
  </si>
  <si>
    <t>Ramírez Rangel, Eliana/JKH-5533-2023; Viswanathan, Mangalaraja/AAM-6090-2020; Santander, Paola/ITU-5257-2023; Ranganathan, Suresh/AAJ-1488-2020; Ramalinga Viswanathan, Mangalaraja/JOZ-3129-2023</t>
  </si>
  <si>
    <t>Santander, Paola/0000-0002-2084-6658; Ranganathan, Suresh/0000-0003-4372-2620; Ramalinga Viswanathan, Mangalaraja/0000-0003-1016-9830</t>
  </si>
  <si>
    <t>JUL 10</t>
  </si>
  <si>
    <t>10.1039/d3nj01178j</t>
  </si>
  <si>
    <t>WOS:001016057200001</t>
  </si>
  <si>
    <t>Donadio, P; Muñoz, C; Flores-Lucero, F; Garcia-Diaz, DF; Farias-Valenzuela, C; Quezada, E; Poblete-Aro, C</t>
  </si>
  <si>
    <t>Donadio, Pedro; Munoz, Cristobal; Flores-Lucero, Francisca; Garcia-Diaz, Diego F.; Farias-Valenzuela, Claudio; Quezada, Esteban; Poblete-Aro, Carlos</t>
  </si>
  <si>
    <t>Effectiveness of nutritional supplementations with polyphenols on muscle damage and biomarkers of oxidative stress in different types of physical exercises: A review of the literature</t>
  </si>
  <si>
    <t>During exercise, there is a redox imbalance that increases reactive oxygen species, generating oxidative stress that favors muscle damage, affecting physical and sports performance. Different antioxidant supplements have been used to optimize muscle recovery after physical exercise. However, the effects of various antioxidants have been counterproductive, since the reactive oxygen species generated by exercise are necessary for muscle adaptation and their reduction prevents correct intracellular signaling and consequently the adaptation of skeletal muscle to exercise. Polyphenols are a type of antioxidant that are present in various fruits and herb extracts that have different characteristics depending on their structure and composition, some presenting a cell signaling pathway similar to exercise, generating different stimuli at the skeletal muscle level, being able to reduce the oxidative damage generated by exercise and even being able to enhance its effects. The aim of this literature review is to describe the effect of various polyphenols on muscle damage and biomarkers of oxidative stress on different forms of physical exercise and sports in adults.</t>
  </si>
  <si>
    <t>Moreno, Carmen/N-2952-2016; Poblete, Carlos/HOF-8260-2023; garcia, diego/JNT-4700-2023; Quezada, Esteban/AAY-7214-2021</t>
  </si>
  <si>
    <t>WOS:001014834900004</t>
  </si>
  <si>
    <t>Duarte, G; Ortiz-Muñoz, L; Morales, MB; Acuña, MP; Rada, G</t>
  </si>
  <si>
    <t>Duarte, Giuliano; Ortiz-Munoz, Luis; Belen Morales, Maria; Paz Acuna, Maria; Rada, Gabriel</t>
  </si>
  <si>
    <t>COVID-19 L OVE Working Grp</t>
  </si>
  <si>
    <t>Sexual transmission of SARS-CoV-2 virus and its role in the spread of COVID-19: A living systematic review protocol</t>
  </si>
  <si>
    <t>Objective To provide a review of the literature on the presence of SARS-CoV-2 in the sexual fluids of patients with COVID-19 and to observe its possible sexual transmission in a timely, rigorous, and continuously updated manner. Data sources We will conduct searches in PubMed/Medline, Embase, Cochrane Central Register of Controlled Trials (CENTRAL), grey literature, and a centralized repository in L.OVE (Living OVerview of Evidence). L.OVE is a platform that maps PICO questions to evidence from the Epistemonikos database. In response to the COVID-19 emergency, L.OVE was adapted to expand the range of evidence it covers and customized to group all COVID-19 evidence in one place. The search will cover the period until the day before submission to a journal. Eligibility criteria for selecting studies and methods We adapted an already published standard protocol for multiple parallel systematic reviews to the specificities of this question. We will include randomized trials evaluating the sexual transmission of the SARS-CoV-2 virus. Randomized trials evaluating the sexual transmission of other coronaviruses, such as MERS-CoV and SARS-CoV, and non-randomized studies in COVID-19 will be searched if no direct evidence from randomized trials is found or if the direct evidence provides a low to a very low level of certainty for critical outcomes. Two reviewers will independently screen each study for eligibility, extract data, and assess the risk of bias. We will perform random-effects meta-analyses and use GRADE to assess the certainty of the evidence for each outcome. A living, web-based version of this review will be openly available during the COVID-19 pandemic. We will resubmit the review if the conclusions change or if there are substantial updates.</t>
  </si>
  <si>
    <t>Ortiz-Muñoz, Luis/KHZ-3227-2024; Duarte, Giuliano/GYA-2853-2022; Acuña-Ruz, María Paz/A-2512-2014</t>
  </si>
  <si>
    <t>Morales Ferrer, Belen/0000-0003-2493-568X; Rada, Gabriel/0000-0003-2435-0710; Duarte Anselmi, Giuliano/0000-0001-9724-0796; Ortiz-Munoz, Luis E./0000-0001-6449-2153</t>
  </si>
  <si>
    <t>e8062</t>
  </si>
  <si>
    <t>10.5867/medwave.2020.10.8062</t>
  </si>
  <si>
    <t>WOS:000603383400008</t>
  </si>
  <si>
    <t>Herrera-Valenzuela, T; Vargas, JJN; Merlo, R; Valdés-Badilla, P; Pardo-Tamayo, C; Franchini, E</t>
  </si>
  <si>
    <t>Herrera-Valenzuela, Tomas; Narrea Vargas, Jose Jairo; Merlo, Rodrigo; Valdes-Badilla, Pablo; Pardo-Tamayo, Carolina; Franchini, Emerson</t>
  </si>
  <si>
    <t>Effect of the COVID-19 quarantine on body mass among combat sports athletes</t>
  </si>
  <si>
    <t>Introduction: to combat the COVID-19 pandemic governments have adopted measures such as quarantine and social distancing. Objective: the main objective of the present study was to analyze the impact of COVID-19 quarantine on body mass in combat sports athletes. Methods: we conducted a cross-sectional, prospective, multi-center study that evaluated 234 men (mean age and standard deviation, 29 +/- 10 years) residing in Argentina (n = 38); Bolivia (n = 1); Brazil (n = 105); Chile (n = 30); El Salvador (n = 1); Spain (n = 22); Mexico (n = 22) and Peru (n = 15). Of these, 12 practiced Brazilian jiu-jitsu (BJJ), 54 boxing, 67 judo, 13 karate, 52 kick boxing &amp; muay thai (KB &amp; MT), 9 mixed martial arts (MMA), and 27 taekwondo (TKD). An online survey was created using Google Forms. It was implemented between April 4th and April 17th, 2020. Athletes were consulted about their body mass before starting the quarantine and after 20 +/- 5 days of quarantine. Results: athletes in all combat sports were heavier during quarantine as compared to pre-quarantine (p &lt; 0.001, d = 0.12). Conclusions: combat sports athletes experienced an increase in body mass during the COVID-19 quarantine.</t>
  </si>
  <si>
    <t>Herrera-Valenzuela, Tomas/L-1819-2019; Franchini, Emerson/B-9119-2012</t>
  </si>
  <si>
    <t>Merlo, Rodrigo Damian/0000-0002-7706-3750; Franchini, Emerson/0000-0002-0769-8398; Valdes-Badilla, Pablo/0000-0002-3948-8280; NARREA VARGAS, JOSE JAIRO/0000-0003-0774-606X</t>
  </si>
  <si>
    <t>10.20960/nh.03207</t>
  </si>
  <si>
    <t>WOS:000614882500014</t>
  </si>
  <si>
    <t>Firoozabadi, AD; Irarrazaval, P; Adasme, P; Zabala-Blanco, D; Azurdia-Meza, C</t>
  </si>
  <si>
    <t>Firoozabadi, Ali Dehghan; Irarrazaval, Pablo; Adasme, Pablo; Zabala-Blanco, David; Azurdia-Meza, Cesar</t>
  </si>
  <si>
    <t>Evaluation of localization precision by proposed quasi-spherical nested microphone array in combination with multiresolution adaptive steered response power</t>
  </si>
  <si>
    <t>JOURNAL OF ELECTRICAL ENGINEERING-ELEKTROTECHNICKY CASOPIS</t>
  </si>
  <si>
    <t>Multiple sound source localization in noisy and reverberant conditions is one of the important challenges in the speech signal processing. The aim of this article is three-dimensional sound source localization in undesirable scenarios. For the localization algorithms, the spatial aliasing is one of the destructive factors in reducing the accuracy. Firstly, a 3D quasi-spherical nested microphone array (QSNMA) is proposed for eliminating the spatial aliasing. Since the speech signal has the windowed-disjoint orthogonality property, the speech information differs in terms of the frequency bands. Then, the Gammatone filter bank is introduced for the speech subband processing. In the following, the multiresolution steered response power (SRP) algorithm is adaptively implemented on subbands with the phase transform (PHAT)/maximum likelihood (ML) weighted functions based on the levels of the noise and reverberation. The peaks of the multiresolution adaptive SRP (MASRP) algorithm are extracted in each subband based on the number of speakers for continuous time frames. Finally, the distribution of these peaks are calculated in each subband and they are merged by the use of weighted averaging method. The final 3D speakers locations are estimated by extracting the peaks in the final distribution. The proposed QSNMA-MASRP(PHAT/ML) algorithm is evaluated on real and simulated data for 2 and 3 simultaneous speakers in noisy and reverberant conditions. The proposed method is compared with SRP-PHAT, spectral source model-deep neural network, and spherical harmonic temporal extension of multiple response model sparse Bayesian learning algorithms on different range of signal-to-noise ratio and reverberation time. The mean absolute estimation error, averaged standard deviation for absolute estimation error, and computational complexity results show the superiority of the proposed method.</t>
  </si>
  <si>
    <t>Meza, Cesar/D-6948-2014; Adasme, Pablo/U-1735-2019; Dehghan Firoozabadi, Ali/AAD-4858-2019; Irarrazaval, Pablo/F-8232-2013</t>
  </si>
  <si>
    <t>Irarrazaval, Pablo/0000-0002-5186-2642</t>
  </si>
  <si>
    <t>1335-3632</t>
  </si>
  <si>
    <t>1339-309X</t>
  </si>
  <si>
    <t>10.2478/jee-2020-0022</t>
  </si>
  <si>
    <t>WOS:000560032700002</t>
  </si>
  <si>
    <t>Godoy-Guzmán, C; Nuñez, C; Orihuela, P; Campos, A; Carriel, V</t>
  </si>
  <si>
    <t>Godoy-Guzman, Carlos; Nunez, Claudio; Orihuela, Pedro; Campos, Antonio; Carriel, Victor</t>
  </si>
  <si>
    <t>Distribution of extracellular matrix molecules in human uterine tubes during the menstrual cycle: a histological and immunohistochemical analysis</t>
  </si>
  <si>
    <t>JOURNAL OF ANATOMY</t>
  </si>
  <si>
    <t>The uterine tube (UT) is an important and complex organ of the women's reproductive system. In general, the anatomy and basic histology of this organ are well-known. However, the composition and function of the extracellular matrix (ECM) of the UT is still poorly understood. The ECM is a complex supramolecular material produced by cells which is commonly restricted to the basement membrane and interstitial spaces. ECM molecules play not only a structural role, they are also important for cell growth, survival and differentiation in all tissues. In this context, the aim of this study was to evaluate the deposition and distribution of type I and III collagens and proteoglycans (decorin, biglycan, fibromodulin and versican) in human UT during the follicular and luteal phases by using histochemical and immunohistochemical techniques. Our results showed a broad synthesis of collagens (I and III) in the stroma of the UT. The analysis by regions showed, in the mucosa, a specific distribution of versican and fibromodulin in the epithelial surface, whereas decorin and fibromodulin were observed in the lamina propria. Versican and decorin were found in the stroma of the muscular layer, whereas all studied proteoglycans were identified in the serosa. Curiously, biglycan was restricted to the wall of the blood vessels of the serosa and muscular layers. Furthermore, there was an immunoreaction for collagens, decorin, versican and fibromodulin in the UT peripheral nerves. The differential distribution of these ECM molecules in the different layers of the UT could be related to specific structural and/or biomechanical functions needed for the oviductal transport, successful fertilization and early embryogenesis. However, further molecular studies under physiological and pathological conditions are still needed to elucidate the specific role of each molecule in the human UT.</t>
  </si>
  <si>
    <t>Godoy-Guzman, Carlos Ignacio/IUO-1065-2023; Carriel, Victor/H-9425-2018</t>
  </si>
  <si>
    <t>Campos, A/0000-0003-4061-8182; Godoy-Guzman, Carlos/0000-0001-8451-7047; Carriel, Victor/0000-0002-8114-5644</t>
  </si>
  <si>
    <t>0021-8782</t>
  </si>
  <si>
    <t>1469-7580</t>
  </si>
  <si>
    <t>10.1111/joa.12814</t>
  </si>
  <si>
    <t>WOS:000434275300007</t>
  </si>
  <si>
    <t>Mendoza, L; Ribera, A; Saavedra, A; Silva, E; Araya-Maturana, R; Cotoras, M</t>
  </si>
  <si>
    <t>Mendoza, Leonora; Ribera, Alejandra; Saavedra, Alejandra; Silva, Evelyn; Araya-Maturana, Ramiro; Cotoras, Milena</t>
  </si>
  <si>
    <t>Action mechanism for 3β-hydroxykaurenoic acid and 4,4-dimethylanthracene-1,9,10(4H)-trione on Botrytis cinerea</t>
  </si>
  <si>
    <t>MYCOLOGIA</t>
  </si>
  <si>
    <t>The mechanism of action of the diterpenoid 3 beta-hydroxykaurenoic acid and the anthraquinone 4,4-dimethylanthracene-1,9,10(4H)-trione on the phytopathogenic fungus Bohytis cinerea was studied. The effect of both compounds on the respiratory process and on the membrane integrity of B. cinerea was evaluated. The results showed that 3 beta-hydroxykaurenoic acid inhibited the growth of this fungus by disrupting the plasmatic membrane. This compound also partially affected oxygen consumption of B. cinerea germinating conidia. Conversely, 4,4-dimethylanthracene-1,9,10(4H)-trione did not produce membrane disruption of B. cinerea. The effect of this compound on mycelial growth was notably increased by the presence of an inhibitor of the cyanide-resistant respiration pathway. It also was shown that the anthraquinone inhibited oxygen consumption by about 80%; therefore this compound would act as a potent inhibitor of the cytochrome pathway of the respiratory chain to exert its antifungal effect.</t>
  </si>
  <si>
    <t>Silva-Moreno, Evelyn/B-9545-2012; Araya-Maturana, Ramiro/N-8747-2015</t>
  </si>
  <si>
    <t>Araya-Maturana, Ramiro/0000-0002-5082-9146; Silva-Moreno, Evelyn/0000-0001-8745-7916</t>
  </si>
  <si>
    <t>0027-5514</t>
  </si>
  <si>
    <t>1557-2536</t>
  </si>
  <si>
    <t>10.3852/14-162</t>
  </si>
  <si>
    <t>WOS:000361918700001</t>
  </si>
  <si>
    <t>Carvalho, AN; Ruf, B; DosSantos, EM; Gossez, JP; Soares, SHM; Cazenave, T</t>
  </si>
  <si>
    <t>Positive solutions for certain classes of fourth-order ordinary elliptic systems</t>
  </si>
  <si>
    <t>CONTRIBUTIONS TO NONLINEAR ELLIPTIC EQUATIONS AND SYSTEMS</t>
  </si>
  <si>
    <t>Progress in Nonlinear Differential Equations and Their Applications</t>
  </si>
  <si>
    <t>ICMC-Summer Meeting on Differential Equations</t>
  </si>
  <si>
    <t>FEB 03-07, 2014</t>
  </si>
  <si>
    <t>Univ Sao Paulo, Inst Ciencias Matemat &amp; Comp, Sao Carlos, BRAZIL</t>
  </si>
  <si>
    <t>Univ Sao Paulo, Inst Ciencias Matemat &amp; Comp</t>
  </si>
  <si>
    <t>Sanchez, Justino/0000-0002-9607-5204</t>
  </si>
  <si>
    <t>978-3-319-19902-3; 978-3-319-19901-6</t>
  </si>
  <si>
    <t>10.1007/978-3-319-19902-3_11</t>
  </si>
  <si>
    <t>WOS:000380554500011</t>
  </si>
  <si>
    <t>Romeo, JS; Meyer, R; Reyes-Lopez, FE</t>
  </si>
  <si>
    <t>Romeo, Jose S.; Meyer, Renate; Reyes-Lopez, Felipe E.</t>
  </si>
  <si>
    <t>Hierarchical Failure Time Regression Using Mixtures for Classification of the Immune Response of Atlantic Salmon</t>
  </si>
  <si>
    <t>JOURNAL OF AGRICULTURAL BIOLOGICAL AND ENVIRONMENTAL STATISTICS</t>
  </si>
  <si>
    <t>This work presents a Bayesian hierarchical model with the dual objective to analyze stratified survival data and to automatically classify each stratum into a finite number of groups. This is achieved by specifying parametric as well as piecewise stratum-specific baseline hazards and a finite mixture distribution for the stratum-specific shape parameters. A proportional hazards or accelerated failure time regression component allows to identify the influence of covariates on the survival distribution. We illustrate the model using a dataset of Atlantic salmon, stratified by families, that have been challenged with infectious pancreatic necrosis virus (IPNV). The main objectives are to model the survival time in terms of certain covariates as well as to classify the salmon families into either an IPNV susceptible or resistant group with the ultimate goal of improving resistance to IPNV through a selective breeding program. We compare the fit of different models that include stratum-specific baselines and covariate effects. The classifications show a certain degree of robustness with respect to model choice.</t>
  </si>
  <si>
    <t>Reyes-López, Felipe/S-1760-2018; Romeo, Jose/J-6496-2019</t>
  </si>
  <si>
    <t>Meyer, Renate/0000-0003-0268-8569; Romeo, Jose/0000-0002-6707-3429; Reyes-Lopez, Felipe E./0000-0002-5001-457X</t>
  </si>
  <si>
    <t>1085-7117</t>
  </si>
  <si>
    <t>1537-2693</t>
  </si>
  <si>
    <t>10.1007/s13253-014-0188-8</t>
  </si>
  <si>
    <t>WOS:000346633600008</t>
  </si>
  <si>
    <t>Cipriani, M; Toloza, J; Bradford, L; Putzu, E; Vieites, M; Curbelo, E; Tomaz, AI; Garat, B; Guerrero, J; Gancheff, JS; Maya, JD; Azar, CO; Gambino, D; Otero, L</t>
  </si>
  <si>
    <t>Cipriani, Micaella; Toloza, Jeannette; Bradford, Lara; Putzu, Eugenia; Vieites, Marisol; Curbelo, Estela; Tomaz, Ana Isabel; Garat, Beatriz; Guerrero, Juan; Gancheff, Jorge S.; Diego Maya, Juan; Olea Azar, Claudio; Gambino, Dinorah; Otero, Lucia</t>
  </si>
  <si>
    <t>Effect of the Metal Ion on the anti T. cruzi Activity and Mechanism of Action of 5-Nitrofuryl-Containing Thiosemicarbazone Metal Complexes</t>
  </si>
  <si>
    <t>EUROPEAN JOURNAL OF INORGANIC CHEMISTRY</t>
  </si>
  <si>
    <t>Chagas disease, caused by the protozoan parasite Trypanosoma cruzi, is a major health problem worldwide. In this work, we report the development of palladium and platinum metal complexes with 5-nitrofuryl-containing thiosemicarbazones (L) as bioactive ligands against T. cruzi and PTA (1,3,5-triaza-7-phosphaadamantane) as co-ligand. Eight new complexes of the formula [MCl(L)(PTA)] with M = Pd or Pt were synthesized and fully characterized. Most complexes showed similar activities against T. cruzi to those of the corresponding free thiosemicarbazone ligands. No significant differences between palladium and platinum complexes were observed. Metal compounds with the phenylthiosemicarbazone derivative were the most active ones (IC50 = 9.84 +/- 0.32 and 4.94 +/- 0.24 mu M for Pd2+ and Pt2+, respectively). The prepared complexes were not toxic on mammalian cells, showing selective indexes of more than 10-20. The ability of the complexes to be reduced in the parasite, which leads to toxic free radical species, was confirmed by the detection of OH center dot and nitroanion free radical species by ESR spectroscopy experiments. Gel electrophoresis and fluorescence experiments were consistent with an intercalating-like mode of DNA interaction for the complexes, but DNA interaction does not seem to be the main mechanism of anti T. cruzi action for these compounds. The results obtained show that complexation of the bioactive ligands with the selected metals is a valid strategy to obtain improved metal-based antiparasitic compounds.</t>
  </si>
  <si>
    <t>Maya, Juan/H-9561-2013; Tomaz, Ana Isabel/HZK-6335-2023; Gambino, Dinorah/AFL-6104-2022; OLEA AZAR, CLAUDIO/I-1605-2013</t>
  </si>
  <si>
    <t>OLEA AZAR, CLAUDIO/0000-0001-5805-0746; Gambino, Dinorah/0000-0001-8678-7374; Otero, Lucia/0000-0002-3569-1660; Tomaz, Ana Isabel/0000-0002-2249-4684; Garat, Beatriz/0000-0003-2679-8244</t>
  </si>
  <si>
    <t>1434-1948</t>
  </si>
  <si>
    <t>1099-0682</t>
  </si>
  <si>
    <t>10.1002/ejic.201402614</t>
  </si>
  <si>
    <t>WOS:000342910200027</t>
  </si>
  <si>
    <t>Caraballo, MA; Rimstidt, JD; Macías, F; Nieto, JM; Hochella, MF</t>
  </si>
  <si>
    <t>Caraballo, Manuel A.; Rimstidt, J. Donald; Macias, Francisco; Miguel Nieto, Jose; Hochella, Michael F., Jr.</t>
  </si>
  <si>
    <t>Metastability, nanocrystallinity and pseudo-solid solution effects on the understanding of schwertmannite solubility</t>
  </si>
  <si>
    <t>CHEMICAL GEOLOGY</t>
  </si>
  <si>
    <t>The role of metastable nanocrystalline precursors, like schwertmannite, in iron and sulfate rich acidic waters is commonly underestimated or even neglected. In addition to schwertmannite metastability, its heterogeneous chemical composition and the current use of disparate solubility products result in an incongruous understanding of this mineral. In order to characterize schwertmannite stability in acid mine drainage settings, we used coincident schwertmannite and solution samples to determine how its solubility product is related to its composition. The solubility products (as log K-sp) for 30 natural samples of this study span a range of log K-sp values from 5.8 to 39.5. These values show a gradual distribution on the pH-pe space from pH 1.93 to 4.71 and pe values from 8.5 to 13.7. A set of three predictive equations to select the best schwertmannite solubility product for each new specific case study was obtained. This approximation allows generating an appropriate solubility product for schwertmannite despite the lack of information in certain environments (e.g., absence of former water chemistries on Mars). The trend observed for Fe and S contents in schwertmannite can be interpreted as a pseudo-solid solution ranging from high to low S and Fe concentrations. The polyphasic nature of schwertmannite was studied by means of a thermodynamic model assuming equilibrium between a hydrous ferric oxide (HFO), schwertmannite, and solution. All the results obtained in this study support the understanding of schwertmannite as a polyphasic nanomineral and encourage using a broad log K-sp range to model the solubility of schwertmannite in nature. (C) 2013 Elsevier B. V. All rights reserved.</t>
  </si>
  <si>
    <t>Rimstidt, James/N-8910-2013; Caraballo, Manuel/IXE-0298-2023; Nieto, Jose Miguel/K-1935-2014; Macias, Francisco/F-6861-2016; Caraballo Monge, Manuel Antonio/D-1697-2014</t>
  </si>
  <si>
    <t>Nieto, Jose Miguel/0000-0002-0086-252X; Macias, Francisco/0000-0003-4083-6040; Caraballo Monge, Manuel Antonio/0000-0002-2041-0125</t>
  </si>
  <si>
    <t>0009-2541</t>
  </si>
  <si>
    <t>1872-6836</t>
  </si>
  <si>
    <t>10.1016/j.chemgeo.2013.09.023</t>
  </si>
  <si>
    <t>WOS:000327532100003</t>
  </si>
  <si>
    <t>Zappia, M; Nicoletti, A; Muñoz-S, D; Tapia-Núñez, J</t>
  </si>
  <si>
    <t>Zappia, M.; Nicoletti, A.; Munoz-S, D.; Tapia-Nunez, J.</t>
  </si>
  <si>
    <t>RECONSIDERATIONS IN THE TREATMENT OF PARKINSON'S DISEASE WITH LEVODOPA: SOME PHARMACODYNAMIC EVIDENCE</t>
  </si>
  <si>
    <t>REVISTA DE NEUROLOGIA</t>
  </si>
  <si>
    <t>Aim. To review the current literature. on the use of levodopa in the treatment of Parkinson's disease (PD), with an emphasis on pharmacodynamical aspects. Development. Levodopa has been used successfully for treatment of PD since its discovery, being still the drug of choice. It has shown decreasing motor disability and reduce mortality in PD patients, however, still maintains long-term problems, particularly in relation to the motor response, the onset of dyskinesias (aid apparent neurotoxicity. The pharmacodynamical evidence indicates that pharmacological effects such as short-term response (SDR) and the long-term response (LDR) are an integral part of the therapeutic response to levodopa. Both responses have pharmacodynamical changes in time and its effects are expressed in terms of amplitude, duration and onset latency of pharmacological action. Investigations in this area, show that LDR would the expression of the physiological release of dopamine, and the treatment of PD should be based on LDR and its pharmacological characteristics. Conclusions. The pharmacodynamics of levodopa is completely. However the available evidence suggests that a therapeutic strategy based on the use of the LDR is better than those based on the control of the SDR. The knowledge of the pharmacological characteristics of levodopa is central to the therapeutic decision, which should be effective in reducing symptoms and have minimal side effects. [REV NEUROL 2009; 49: 33-40]</t>
  </si>
  <si>
    <t>Zappia, Mario/AAB-7800-2019; Nicoletti, Alessandra/K-4486-2018</t>
  </si>
  <si>
    <t>Nicoletti, Alessandra/0000-0001-6757-340X</t>
  </si>
  <si>
    <t>0210-0010</t>
  </si>
  <si>
    <t>1576-6578</t>
  </si>
  <si>
    <t>10.33588/rn.4901.2008085</t>
  </si>
  <si>
    <t>WOS:000267652400007</t>
  </si>
  <si>
    <t>Effect of the polypropylene type on polymer-diluent phase diagrams and membrane structure in membranes formed via the TIPS process - Part I. Metallocene and Ziegler-Natta polypropylenes</t>
  </si>
  <si>
    <t>Isotactic polypropylene (iPP) samples produced via Ziegler-Natta catalysts (iPPZN) and metallocene catalysts (iPPM) were used to investigate the effects of molecular weight and molecular weight distribution on the phase diagram for iPP-diphenyl ether systems and the morphology of membranes made from these systems. It was found experimentally that the molecular weight and molecular weight distribution influenced the location of the cloud point curve and the morphology of membranes produced via thermally induced phase separation. The influence on the cloud point curve was attributed to entropic and enthalpic considerations. The influence on membrane morphology was attributed to differences in the growth period (resulting from a shift in the cloud point and dynamic crystallization curves) and differences in system viscosity. All of these factors are related to the type of catalyst used to produce the iPP.(c) 2005 Elsevier B.V. All rights reserved.</t>
  </si>
  <si>
    <t>Serafini, Daniel/0000-0002-1764-5900; QUIJADA, RAUL/0000-0003-0791-6954</t>
  </si>
  <si>
    <t>1873-3123</t>
  </si>
  <si>
    <t>10.1016/j.memsci.2005.04.043</t>
  </si>
  <si>
    <t>WOS:000232439300013</t>
  </si>
  <si>
    <t>Zorondo-Rodríguez, F; Rodríguez-Gómez, GB; Fuenzalida, LF; Burgos-Ayala, A; Mendoza, K; Díaz, MJ; Cornejo, M; Llanos-Ascencio, JL; Campos, F; Zamorano, J; Flores, D; Louit-Lobos, C; Martinez, P; Varas, K; Vargas-Rodríguez, R</t>
  </si>
  <si>
    <t>Zorondo-Rodriguez, Francisco; Rodriguez-Gomez, Gloria B.; Fuenzalida, Loreto F.; Burgos-Ayala, Aracely; Mendoza, Kattia; Diaz, Maria Jesus; Cornejo, Marco; Llanos-Ascencio, Jose Luis; Campos, Fernando; Zamorano, Jorge; Flores, Diego; Louit-Lobos, Carla; Martinez, Paula; Varas, Katerina; Vargas-Rodriguez, Renzo</t>
  </si>
  <si>
    <t>How do Protected Areas Contribute to Human Well-Being? Multiple Mechanisms Perceived by Stakeholders in Chile</t>
  </si>
  <si>
    <t>HUMAN ECOLOGY</t>
  </si>
  <si>
    <t>Biodiversity conservation in designated protected areas reshapes the ways in which people interact with their ecosystems and each other, providing changes in their opportunities to satisfy different aspects of their well-being. The pathways linking human well-being and protected areas could be understood as one or more causal mechanisms that can be structured through nature's contributions to people (NCPs), i.e., ecosystem services. We conducted semi-structured interviews with stakeholders in four Chilean protected areas to identify the multiple mechanisms through which protected areas contribute to human well-being. The stakeholders cited diverse NCPs from protected areas, including material, nonmaterial, and regulating ecosystem services. The stakeholders' narratives suggested that protected areas satisfy several dimensions of human well-being, which varied both in frequency of citation across the protected areas and according to the stakeholders' areas of interest. Protected areas were described as contributing to several dimensions of human well-being beyond economic benefits. The narratives indicated a set of multiple mechanisms linking ecosystem services provided by protected areas and satisfaction of dimensions of human well-being at the local level. We emphasize the need to design adaptive management plans for protected areas based on multiple mechanisms linking biodiversity protection and human well-being. Additionally, our results could facilitate the alignment of biodiversity conservation and community development agendas.</t>
  </si>
  <si>
    <t>Zorondo-Rodríguez, Francisco/GWU-8371-2022; Rodriguez, Gloria/HCI-4779-2022; Cornejo Ovalle, Marco/KIL-7904-2024; LLANOS, JOSE/AAQ-2569-2021; Burgos, Aracely/AAU-4215-2020; Zorondo-Rodriguez, Francisco/I-8273-2014</t>
  </si>
  <si>
    <t>Zorondo-Rodriguez, Francisco/0000-0001-6469-9859; LLANOS ASCENCIO, JOSE/0000-0002-6771-0520; Fuenzalida, Loreto F/0000-0002-9570-6043; Zamorano Miranda, Jorge/0000-0002-8659-5783; Rodriguez, Gloria/0000-0001-9302-2724; Burgos Ayala, Aracely/0000-0002-1799-5791</t>
  </si>
  <si>
    <t>0300-7839</t>
  </si>
  <si>
    <t>1572-9915</t>
  </si>
  <si>
    <t>10.1007/s10745-024-00486-5</t>
  </si>
  <si>
    <t>MAY 2024</t>
  </si>
  <si>
    <t>WOS:001215059400001</t>
  </si>
  <si>
    <t>Salas, MAS; Jaimes, DMA; Fuertes, VC; Saavedra, E; Pereira, A; Escrig, J; Pérez, OEL; Bajales, N</t>
  </si>
  <si>
    <t>Salas, Marcelo A. Salguero; Jaimes, Diana M. Arciniegas; Fuertes, Valeria C.; Saavedra, Eduardo; Pereira, Alejandro; Escrig, Juan; Perez, Omar E. Linarez; Bajales, Noelia</t>
  </si>
  <si>
    <t>Tuning Magnetic Properties of Co x Ni100- x Nanodots: Micromagnetic Insights for Tailoring Enhanced Electrochemical Performance in Energy Storage Devices</t>
  </si>
  <si>
    <t>JOURNAL OF PHYSICAL CHEMISTRY C</t>
  </si>
  <si>
    <t>We conducted an integral study based on micromagnetic simulations and experiments to systematically investigate the quasi-static and dynamic magnetic characteristics of CoxNi100-x nanodots, varying the Co composition. We compared the magnetic properties of both ideal and real defective circular geometries, employing phase diagrams, hysteresis loops, and magnetization reversal modes for a comprehensive analysis. Our study highlights distinct alterations in coercivity and remanence between ideal and real defective geometries, while the S-mode of reversal is observed in both cases. Notably, our simulations underscore the remarkable sensitivity of magnetic properties to edge defects and the Co content in the alloy. This research underscores the essential role of micromagnetic simulations in tailoring the Co composition of the alloy, thereby fine-tuning the material's magnetic hardness for enhanced performance in electrochemical applications, particularly as electrodes in energy storage devices.</t>
  </si>
  <si>
    <t>Bajales, Noelia/AGE-1802-2022; Fuertes, Valeria/KIH-8811-2024; Saavedra, Eduardo/IQS-4264-2023; Pérez, Omar/J-3417-2019; Escrig, Juan/N-4304-2015</t>
  </si>
  <si>
    <t>Arciniegas Jaimes, Diana Marcela/0000-0002-1487-5858; Linarez Perez, Omar Ezequiel/0000-0002-4034-6175; Escrig, Juan/0000-0002-3958-8185; Bajales, Noelia/0000-0002-2507-9224</t>
  </si>
  <si>
    <t>1932-7447</t>
  </si>
  <si>
    <t>1932-7455</t>
  </si>
  <si>
    <t>APR 5</t>
  </si>
  <si>
    <t>10.1021/acs.jpcc.3c07507</t>
  </si>
  <si>
    <t>APR 2024</t>
  </si>
  <si>
    <t>WOS:001200620800001</t>
  </si>
  <si>
    <t>Triana, JF; Peláez, D; Hochlaf, M; Sanz-Vicario, JL</t>
  </si>
  <si>
    <t>Triana, Johan F.; Pelaez, Daniel; Hochlaf, Majdi; Sanz-Vicario, Jose L.</t>
  </si>
  <si>
    <t>Ultrafast CO2 photodissociation in the energy region of the lowest Rydberg series</t>
  </si>
  <si>
    <t>We present a detailed theoretical survey of the electronic structure of excited states of the CO2 molecule, with the aim of providing a well-defined theoretical framework for the quantum dynamical studies at energies beyond 12 eV from the ground state. One of the major goals of our work is to emphasize the need for dealing with the presence of both molecular valence and Rydberg states. Although a CASSCF/MRCI approach can be used to appropriately describe the lowest-lying valence states, it becomes incapable of describing the upper electronic states due to the exceedingly large number of electronic excitations required. To circumvent this we employ instead the EOM-CCSD monoconfigurational method to describe the manifold of both valence and Rydberg states in the Franck-Condon region and then a matching procedure to connect these EOM-CCSD eigensolutions with those obtained from CASSCF/MRCI in the outer region, thus ensuring the correct asymptotic behavior. Within this hybrid level of theory, we then analyze the role of valence and Rydberg states in the dynamical mechanism of the photodissociation of quasi-linear CO2 into CO + O fragments, by considering a simple but effective 1D multistate non-adiabatic model for the ultrafast C-O bond break up. We show evidence that the metastability of the Rydberg states must be accounted for in the ultrafast dynamics since they produce changes in the photodissociation yields within the first tens of fs.</t>
  </si>
  <si>
    <t>Peláez, Daniel/ABE-7939-2021; Triana, Johan F./AAU-9985-2021</t>
  </si>
  <si>
    <t>Triana, Johan F./0000-0001-9551-3121; Sanz-Vicario, Jose Luis/0000-0002-6404-792X; Hochlaf, Majdi/0000-0002-4737-7978; Pelaez, Daniel/0000-0003-3924-7804</t>
  </si>
  <si>
    <t>JUN 8</t>
  </si>
  <si>
    <t>10.1039/d2cp01017h</t>
  </si>
  <si>
    <t>WOS:000803672100001</t>
  </si>
  <si>
    <t>Drenowatz, C; Chen, ST; Cocca, A; Ferrari, G; Ruedl, G; Greier, K</t>
  </si>
  <si>
    <t>Drenowatz, Clemens; Chen, Si-Tong; Cocca, Armando; Ferrari, Gerson; Ruedl, Gerhard; Greier, Klaus</t>
  </si>
  <si>
    <t>Association of Body Weight and Physical Fitness during the Elementary School Years</t>
  </si>
  <si>
    <t>Physical fitness and body weight are key correlates of health. Nevertheless, an increasing number of children display poor physical fitness and high body weight. The aim of this study was to examine the prospective association of physical fitness with body weight throughout the elementary school years with a special emphasis on children with high body weight or poor physical fitness at baseline. A total of 303 Austrian children (55.1% male) completed the German motor test up to eight times over a 4-year time span (between the ages 6 and 10 years). Physical fitness did not differ across quartiles of body weight at baseline. A more pronounced weight gain, however, was associated with an impaired development of physical fitness and this association was more pronounced in children with higher baseline body weight. In addition, the detrimental effects of an impaired development of physical fitness on subsequent body weight were more pronounced in children with higher baseline body weight. No differences in the longitudinal association between body weight and physical fitness, on the other hand, were observed across quartiles of baseline fitness. These results emphasize the importance of the promotion of physical fitness, particularly in children with increased body weight, to ensure future health.</t>
  </si>
  <si>
    <t>Ferrari, Gerson/ABG-6635-2021; Drenowatz, Clemens/A-1928-2013; Ferrari, Gerson/P-1152-2014; Chen, Sitong/I-8176-2016; Cocca, Armando/ADU-3428-2022</t>
  </si>
  <si>
    <t>Drenowatz, Clemens/0000-0002-3861-5364; Ferrari, Gerson/0000-0003-3177-6576; Ruedl, Gerhard/0000-0001-5036-7984; Chen, Sitong/0000-0002-8975-7565; Greier, Klaus/0000-0002-7150-1203; Cocca, Armando/0000-0002-1109-0887</t>
  </si>
  <si>
    <t>10.3390/ijerph19063441</t>
  </si>
  <si>
    <t>WOS:000776973900001</t>
  </si>
  <si>
    <t>Haye, MT; Cartes, G; Gonzalez, R; Krause, BJ</t>
  </si>
  <si>
    <t>Haye, Maria T.; Cartes, Giorgia; Gonzalez, Rogelio; Krause, Bernardo J.</t>
  </si>
  <si>
    <t>Neonatal Outcomes in a Cohort of Pregnant Women with COVID-19 and the Differential Effects of Two Disease Waves in Chile.</t>
  </si>
  <si>
    <t>REPRODUCTIVE SCIENCES</t>
  </si>
  <si>
    <t>Krause, Bernardo/F-4977-2013</t>
  </si>
  <si>
    <t>1933-7191</t>
  </si>
  <si>
    <t>1933-7205</t>
  </si>
  <si>
    <t>SUPPL 1</t>
  </si>
  <si>
    <t>F-213</t>
  </si>
  <si>
    <t>WOS:000762765300589</t>
  </si>
  <si>
    <t>Satpayeva, A; Rojas, A; Tyrka, M; Ksepko, E; Galotto, MJ; Zizovic, I</t>
  </si>
  <si>
    <t>Satpayeva, Alina; Rojas, Adrian; Tyrka, Marcin; Ksepko, Ewelina; Jose Galotto, Maria; Zizovic, Irena</t>
  </si>
  <si>
    <t>Supercritical Foaming and Impregnation of Polycaprolactone and Polycaprolactone-Hydroxyapatite Composites with Carvacrol</t>
  </si>
  <si>
    <t>Polycaprolactone (PCL) and polycaprolactone-hydroxyapatite (PCL-HA) scaffolds were produced by foaming in supercritical carbon dioxide (scCO(2)) at 20 MPa, as well as in one-step foaming and impregnation process using carvacrol as an antibacterial agent with proven activity against Gram-positive and Gram-negative bacteria. The experimental design was developed to study the influence of temperature (40 degrees C and 50 degrees C), HA content (10 and 20 wt.%), and depressurization rate (one and two-step decompression) on the foams' morphology, porosity, pore size distribution, and carvacrol impregnation yield. The characterization of the foams was carried out using scanning electron microscopy (SEM, SEM-FIB), Gay-Lussac density bottle measurements, and Fourier-transform infrared (FTIR) analyses. The obtained results demonstrate that processing PCL and PCL-HA scaffolds by means of scCO(2) foaming enables preparing foams with porosity in the range of 65.55-74.39% and 61.98-67.13%, at 40 degrees C and 50 degrees C, respectively. The presence of carvacrol led to a lower porosity. At 40 degrees C and one-step decompression at a slow rate, the porosity of impregnated scaffolds was higher than at 50 degrees C and two- step fast decompression. However, a narrower pore size distribution was obtained at the last processing conditions. PCL scaffolds with HA resulted in higher carvacrol impregnation yields than neat PCL foams. The highest carvacrol loading (10.57%) was observed in the scaffold with 10 wt.% HA obtained at 50 degrees C.</t>
  </si>
  <si>
    <t>Rojas, Adrián/ISB-5770-2023; Zizovic, Irena/AAM-4954-2020; Ksepko, Ewelina/D-7806-2016</t>
  </si>
  <si>
    <t>Zizovic, Irena/0000-0003-3945-7051; Rojas, Adrian/0000-0001-9253-1295; Ksepko, Ewelina/0000-0003-0091-6468; Tyrka, Marcin/0000-0001-5252-3565</t>
  </si>
  <si>
    <t>10.3390/pr10030482</t>
  </si>
  <si>
    <t>WOS:000774535000001</t>
  </si>
  <si>
    <t>Gamarra, MR; Gonzalez, J; Stepanova, MV; Antonova, EE</t>
  </si>
  <si>
    <t>Gamarra, M. Rojas; Gonzalez, J.; Stepanova, M. V.; Antonova, E. E.</t>
  </si>
  <si>
    <t>Variation of Plasma Pressure at the Auroral Oval Latitudes before, during, and after the Isolated Geomagnetic Substorm on December 22, 2008</t>
  </si>
  <si>
    <t>GEOMAGNETISM AND AERONOMY</t>
  </si>
  <si>
    <t>The change in plasma pressure at the latitudes of the auroral oval before, during, and after the isolated geomagnetic substorm on December 22, 2008, were studied using data from the F13, 15, 16, and 17 DMSP satellites. One feature of the studied event was a long period of values ofALindex that were close to zero. During this time, there was a more than double increase in the dynamic pressure of the solar wind. The projection of pressure maxima on the equatorial plane was carried out using models of the geomagnetic field and a model of the pressure distribution in the equatorial plane. It was shown that the maximum plasma-pressure values at the latitudes of the auroral oval increase with increasing dynamic pressure of the solar wind during the magnetically quiet period to substorm. The maximum values of the plasma pressure for the studied period are recorded during the expansion phase of the substorm. A decrease in the solar-wind dynamic pressure to values close to the values during the magnetically quiet time before the substorm was not accompanied by a drop in the plasma pressure after the substorm. The difference between the plasma pressure dynamics during an isolated substorm and the pressure dynamics during a substorm taking place during magnetic storm is discussed.</t>
  </si>
  <si>
    <t>Stepanova, Marina/D-6329-2011; Rojas Gamarra, Milton/E-2674-2015; Antonova, Elizaveta/A-2716-2012</t>
  </si>
  <si>
    <t>Stepanova, Marina/0000-0002-1053-3375; Rojas Gamarra, Milton/0000-0001-6250-8983; Antonova, Elizaveta/0000-0001-6980-3993</t>
  </si>
  <si>
    <t>0016-7932</t>
  </si>
  <si>
    <t>1555-645X</t>
  </si>
  <si>
    <t>10.1134/S0016793220040131</t>
  </si>
  <si>
    <t>WOS:000561760900006</t>
  </si>
  <si>
    <t>Gatica, S; Villegas, V; Vallejos, A; Olivares, P; Aballai, V; Lagos-Meza, F; Echeverria, C; Cabello-Verrugio, C; Varela, D; Simon, F</t>
  </si>
  <si>
    <t>Gatica, Sebastian; Villegas, Vicente; Vallejos, Alejandro; Olivares, Pedro; Aballai, Victor; Lagos-Meza, Felipe; Echeverria, Cesar; Cabello-Verrugio, Claudio; Varela, Diego; Simon, Felipe</t>
  </si>
  <si>
    <t>TRPM7 mediates kidney injury, endothelial hyperpermeability and mortality during endotoxemia</t>
  </si>
  <si>
    <t>LABORATORY INVESTIGATION</t>
  </si>
  <si>
    <t>Acute kidney injury and endothelial hyperpermeability are main features observed during severe sepsis with low survival rate. Transient receptor potential melastatin 7 (TRPM7) calcium channel inhibition protects against endotoxemia-induced kidney injury potentially by means of endothelial hyperpermeability decreasing. Remarkably, TRPM7 inhibition improves survival in endotoxemic animals. Sepsis is the main cause of mortality in patients admitted to intensive care units. During sepsis, endothelial permeability is severely augmented, contributing to renal dysfunction and patient mortality. Ca2+ influx and the subsequent increase in intracellular [Ca2+](i) in endothelial cells (ECs) are key steps in the establishment of endothelial hyperpermeability. Transient receptor potential melastatin 7 (TRPM7) ion channels are permeable to Ca2+ and are expressed in a broad range of cell types and tissues, including ECs and kidneys. However, the role of TRPM7 on endothelial hyperpermeability during sepsis has remained elusive. Therefore, we investigated the participation of TRPM7 in renal vascular hyperpermeability, renal dysfunction, and enhanced mortality induced by endotoxemia. Our results showed that endotoxin increases endothelial hyperpermeability and Ca2+ overload through the TLR4/NOX-2/ROS/NF-kappa B pathway. Moreover, endotoxin exposure was shown to downregulate the expression of VE-cadherin, compromising monolayer integrity and enhancing vascular hyperpermeability. Notably, endotoxin-induced endothelial hyperpermeability was substantially inhibited by pharmacological inhibition and specific suppression of TRPM7 expression. The endotoxin was shown to upregulate the expression of TRPM7 via the TLR4/NOX-2/ROS/NF-kappa B pathway and induce a TRPM7-dependent EC Ca2+ overload. Remarkably, in vivo experiments performed in endotoxemic animals showed that pharmacological inhibition and specific suppression of TRPM7 expression inhibits renal vascular hyperpermeability, prevents kidney dysfunction, and improves survival in endotoxemic animals. Therefore, our results showed that TRPM7 mediates endotoxemia-induced endothelial hyperpermeability, renal dysfunction, and enhanced mortality, revealing a novel molecular target for treating renal vascular hyperpermeability and kidney dysfunction during endotoxemia, sepsis, and other inflammatory diseases.</t>
  </si>
  <si>
    <t>Cabello-Verrugio, Claudio/AAD-1454-2020; Gatica, Sebastian/F-5669-2012; Varela, Diego/AAG-7489-2019; ECHEVERRIA, CESAR/AAH-4994-2019</t>
  </si>
  <si>
    <t>Cabello-Verrugio, Claudio/0000-0001-7273-2102; ECHEVERRIA ECHEVERRIA, CESAR ANTONIO/0000-0001-5431-7183; Vallejos, Alejandro/0000-0003-2779-5424; Simon, Felipe/0000-0002-2653-9798; Varela, Diego/0000-0002-9352-414X</t>
  </si>
  <si>
    <t>0023-6837</t>
  </si>
  <si>
    <t>1530-0307</t>
  </si>
  <si>
    <t>10.1038/s41374-019-0304-z</t>
  </si>
  <si>
    <t>WOS:000510902400007</t>
  </si>
  <si>
    <t>Dehghan Firoozabadi, A; Irarrazaval, P; Adasme, P; Zabala-Blanco, D; Azurdia-Meza, C</t>
  </si>
  <si>
    <t>Dehghan Firoozabadi, Ali; Irarrazaval, Pablo; Adasme, Pablo; Zabala-Blanco, David; Azurdia-Meza, Cesar</t>
  </si>
  <si>
    <t>A novel method for estimating the number of speakers based on generalized eigenvalue-vector decomposition and adaptive wavelet transform by using K-means clustering</t>
  </si>
  <si>
    <t>SIGNAL IMAGE AND VIDEO PROCESSING</t>
  </si>
  <si>
    <t>The aim of this article is estimating the number of simultaneous speakers from the overlapped speech signals. The percentage of correct number of speakers is an important factor for the proposed algorithm. The proposed method in this article is based on spectrum estimation by using the adaptive wavelet transform in combination with generalized eigenvalue-vector decomposition (GEVD) and K-means clustering. Firstly, the speech signals are obtained by a uniform circular array, and each adjacent microphone pairs are considered for the processing. Then, the spectral estimation method is implemented on all microphone signals to select the best part of the speech spectrum. Next, the microphone signals are divided into different subbands by using adaptive wavelet transform. The GEVD algorithm is implemented on each microphone pairs in different subbands and time frames to estimate the room impulse response and time difference of arrival (TDOA). Finally, the K-means clustering with silhouette criteria is used to estimate the number of speakers (K value). The proposed algorithm is implemented on simulated and real data to show the superiority of proposed method in comparison with PENS, Bessel, i-vector PLDA, Hilbert envelope and DNN-based method. The proposed scheme outperforms the other evaluated schemes by 18% in terms of correct estimations in noisy-reverberant conditions for five simultaneous speakers.</t>
  </si>
  <si>
    <t>Dehghan Firoozabadi, Ali/AAD-4858-2019; Meza, Cesar/D-6948-2014; Irarrazaval, Pablo/F-8232-2013; Adasme, Pablo/U-1735-2019</t>
  </si>
  <si>
    <t>Dehghan Firoozabadi, Ali/0000-0002-6391-6863; Irarrazaval, Pablo/0000-0002-5186-2642</t>
  </si>
  <si>
    <t>1863-1703</t>
  </si>
  <si>
    <t>1863-1711</t>
  </si>
  <si>
    <t>10.1007/s11760-020-01634-2</t>
  </si>
  <si>
    <t>JAN 2020</t>
  </si>
  <si>
    <t>WOS:000510294800002</t>
  </si>
  <si>
    <t>Ribeiro, VGP; Mota, JPF; Costa, AE; Lima, NMA; Fechine, PBA; Denardin, JC; Carbone, L; Bloise, E; Mele, G; Mazzetto, SE</t>
  </si>
  <si>
    <t>Ribeiro, Viviane G. P.; Mota, Joao P. F.; Costa Junior, Antonio E.; Lima, Nayane M. A.; Fechine, Pierre B. A.; Denardin, Juliano C.; Carbone, Luigi; Bloise, Ermelinda; Mele, Giuseppe; Mazzetto, Selma E.</t>
  </si>
  <si>
    <t>Nanomaterials Based on Fe3O4 and Phthalocyanines Derived from Cashew Nut Shell Liquid</t>
  </si>
  <si>
    <t>In this work we report the synthesis of new hybrid nanomaterials in the core/shell/shell morphology, consisting of a magnetite core (Fe3O4) and two consecutive layers of oleic acid (OA) and phthalocyanine molecules, the latter derived from cashew nut shell liquid (CNSL). The synthesis of Fe3O4 nanoparticle was performed via co-precipitation procedure, followed by the nanoparticle coating with OA by hydrothermal method. The phthalocyanines anchorage on the Fe3O4/OA core/shell nanomaterial was performed by facile and effective sonication method. The as obtained Fe3O4/OA/phthalocyanine hybrids were investigated by Fourier transform infrared spectroscopy, X-ray diffraction, UV-visible spectroscopy, transmission electron microscopy (TEM), thermogravimetric analysis and magnetic measurements. TEM showed round-shaped nanomaterials with sizes in the range of 12-15 nm. Nanomaterials presented saturation magnetization (Ms) in the 1-16 emu/g and superparamagnetic behavior. Furthermore, it was observed that the thermal stability of the samples was directly affected by the insertion of different transition metals in the ring cavity of the phthalocyanine molecule.</t>
  </si>
  <si>
    <t>Carbone, Luigi/AAY-5320-2020; Denardin, Juliano/S-6407-2019; Mazzetto, Selma/R-5406-2016; Ribeiro, Viviane/KXQ-9792-2024; Fechine, Pierre/B-7937-2013; Carbone, Luigi/O-2193-2015; Mele, Giuseppe/N-9765-2015</t>
  </si>
  <si>
    <t>Fechine, Pierre/0000-0002-7822-2354; Carbone, Luigi/0000-0002-1369-6890; Mele, Giuseppe/0000-0002-6684-990X; BLOISE, Ermelinda/0000-0003-3380-3996; Gomes Pereira Ribeiro, Viviane/0000-0003-1516-2195</t>
  </si>
  <si>
    <t>10.3390/molecules24183284</t>
  </si>
  <si>
    <t>WOS:000488830500076</t>
  </si>
  <si>
    <t>Vecchi, D; Miquel, PA; Hernández, I</t>
  </si>
  <si>
    <t>Vecchi, Davide; Miquel, Paul-Antoine; Hernandez, Isaac</t>
  </si>
  <si>
    <t>From Biological Determination to Entangled Causation</t>
  </si>
  <si>
    <t>ACTA BIOTHEORETICA</t>
  </si>
  <si>
    <t>Biologists and philosophers often use the language of determination in order to describe the nature of developmental phenomena. Accounts in terms of determination have often been reductionist. One common idea is that DNA is supposed to play a special explanatory role in developmental explanations, namely, that DNA is a developmental determinant. In this article we try to make sense of determination claims in developmental biology. Adopting a manipulationist approach, we shall first argue that the notion of developmental determinant is causal. We suggest that two different theses concerning developmental determination can be articulated: determination of occurrence and structural determination. We shall argue that, while the first thesis is problematic, the second, opportunely qualified, is feasible. Finally, we shall argue that an analysis of biological causation in terms of determination cannot account for entangled dynamics. Characterising causal entanglement as a particular kind of interactive causation whereby difference-making causes ascribable to different levels of biological organisation influence a particular ontogenetic outcome, we shall, via two illustrative examples, diagnose some potential limits of a reductionist, molecular and intra-level understanding of biological causation.</t>
  </si>
  <si>
    <t>Miquel, Paul-Antoine/AAY-9788-2021; Vecchi, Davide/M-2973-2015</t>
  </si>
  <si>
    <t>Vecchi, Davide/0000-0002-6339-7370; Miquel, Paul-Antoine/0000-0002-9169-4882</t>
  </si>
  <si>
    <t>0001-5342</t>
  </si>
  <si>
    <t>1572-8358</t>
  </si>
  <si>
    <t>10.1007/s10441-018-9339-6</t>
  </si>
  <si>
    <t>WOS:000459140300002</t>
  </si>
  <si>
    <t>Muñoz-Becerra, K; Aravena, D; Ruiz, E; Spodine, E; Soto-Donoso, N; Paredes-García, V; Venegas-Yazigi, D</t>
  </si>
  <si>
    <t>Munoz-Becerra, K.; Aravena, D.; Ruiz, E.; Spodine, E.; Soto-Donoso, N.; Paredes-Garcia, V.; Venegas-Yazigi, D.</t>
  </si>
  <si>
    <t>Models to predict the magnetic properties of single- and multiple-bridged phosphate CuII systems: a theoretical DFT insight</t>
  </si>
  <si>
    <t>Copper(II) phosphate bridged compounds have been studied by DFT methods in order to gain a better understanding of the magnetic exchange interactions through 1,1 and 1,3-bridges, which vary with the bonding modes of the ligand. In many cases phosphate is only one among several bridging ligands making it difficult to identify the predominant exchange pathway. This work proposes a graphical analysis, based on the unrestricted corresponding orbitals (UCO), and the derived magnetic orbitals to identify the predominant exchange pathway. Models for the 1,1- and 1,3-bridging modes allow establishing the angle or dihedral dependence of the J values. For the 1,1-bridging mode the theta Cu-O-Cu angle was used. For the 1,3-phosphate the correlation was established with a D-P-O-i-Cu-i dihedral angle (tau) where D is a dummy atom. Using models with different D-P-O-i-Cu-i dihedral angles a predictive scheme was generated. Eleven copper(II) phosphate bridged structures were used to validate the proposed model. The study has shown that antiferromagnetic exchange interactions are primarily produced by phosphate bridges due to the possibility of this ligand that always enables a degree of overlap between the magnetic orbitals.</t>
  </si>
  <si>
    <t>Paredes-Garcia, Veronica/C-4415-2011; Muñoz-Becerra, Karina/GPP-1386-2022; Venegas-Yazigi, Diego/C-5022-2009; Ruiz, Eliseo/A-6268-2011; Aravena, Daniel/F-2174-2011</t>
  </si>
  <si>
    <t>Venegas-Yazigi, Diego/0000-0001-7816-2841; Ruiz, Eliseo/0000-0001-9097-8499; Munoz-Becerra, Karina/0000-0001-9882-6342; Aravena, Daniel/0000-0003-3140-4852</t>
  </si>
  <si>
    <t>10.1039/c6qi00394j</t>
  </si>
  <si>
    <t>WOS:000398182200013</t>
  </si>
  <si>
    <t>Doebeli, M; Ispolatov, Y; Simon, B</t>
  </si>
  <si>
    <t>Doebeli, Michael; Ispolatov, Yaroslav; Simon, Burt</t>
  </si>
  <si>
    <t>Point of view: Towards a mechanistic foundation of evolutionary theory</t>
  </si>
  <si>
    <t>ELIFE</t>
  </si>
  <si>
    <t>Ispolatov, Iaroslav/E-8544-2010</t>
  </si>
  <si>
    <t>Ispolatov, Iaroslav/0000-0002-0201-3396</t>
  </si>
  <si>
    <t>2050-084X</t>
  </si>
  <si>
    <t>FEB 15</t>
  </si>
  <si>
    <t>e23804</t>
  </si>
  <si>
    <t>10.7554/eLife.23804.001</t>
  </si>
  <si>
    <t>WOS:000395903200001</t>
  </si>
  <si>
    <t>Calderón, R; Godoy, F; Escudey, M; Palma, P</t>
  </si>
  <si>
    <t>Calderon, R.; Godoy, F.; Escudey, M.; Palma, P.</t>
  </si>
  <si>
    <t>A review of perchlorate (ClO4-) occurrence in fruits and vegetables</t>
  </si>
  <si>
    <t>ENVIRONMENTAL MONITORING AND ASSESSMENT</t>
  </si>
  <si>
    <t>Since the 1990s, a large number of studies around the world have reported the presence of perchlorate in different types of environmental matrices. In view of their inherent characteristics, such as high solubility, mobility, persistence, and low affinity for the surface of soil, perchlorates are mobilized through the water-soil system and accumulate in edible plant species of high human consumption. However, the ingestion of food products containing perchlorate represents a potential health risk to people due to their adverse effects on thyroid, hormone, and neuronal development, mainly in infants and fetuses. At present, research has been centered on determining sources, fates, and remediation methods and not on its real extension in vegetables under farming conditions. This review presents a comprehensive overview and update of the frequent detection of perchlorate in fruits and vegetables produced and marketed around the world. Additionally, the impact of fertilizer on the potential addition of perchlorate to soil and its mobility in the water-soil-plant system is discussed. This review is organized into the following sections: sources of perchlorate, mobility in the waters-oil system, presence in fruits and vegetables in different countries, international regulations, and toxicological studies. Finally, recommendations for future studies concerning perchlorate in fruits and vegetables are presented.</t>
  </si>
  <si>
    <t>Godoy, Felix./D-8185-2013; Calderon, Raul/AAP-5930-2020; Godoy, Felix/B-7272-2018</t>
  </si>
  <si>
    <t>Godoy, Felix/0000-0002-7614-8023; Palma, Paulina/0000-0001-9156-6269; Calderon Araya, Raul Alexis/0000-0002-1094-9661</t>
  </si>
  <si>
    <t>0167-6369</t>
  </si>
  <si>
    <t>1573-2959</t>
  </si>
  <si>
    <t>10.1007/s10661-017-5793-x</t>
  </si>
  <si>
    <t>WOS:000393645800037</t>
  </si>
  <si>
    <t>Miranda-Rojas, S; Sierra-Rosales, P; Muñoz-Castro, A; Arratia-Pérez, R; Zagal, JH; Mendizábal, F</t>
  </si>
  <si>
    <t>Miranda-Rojas, Sebastian; Sierra-Rosales, Paulina; Munoz-Castro, Alvaro; Arratia-Perez, Ramiro; Heraclito Zagal, Jose; Mendizabal, Fernando</t>
  </si>
  <si>
    <t>Catalytic aspects of metallophthalocyanines adsorbed on gold-electrode. Theoretical exploration of the binding nature role</t>
  </si>
  <si>
    <t>The need of deeper insights regarding the inner working of catalysts represents a current challenge in the search of new ways to tune their activities towards new chemical transformations. Within this field, metallophthalocyanines-based (MPc) electrocatalysis has gained tremendous attention due to their versatility, low cost, great stability and excellent turn-over properties. In this concern, here we present a quantum chemical study of the formation of supramolecular complexes based on the adsorption of MPcs on gold substrates, and the effect of the substrate on their electrocatalytic properties. For this purpose, we used iron-(FePc), cobalt( CoPc) and copper-phthalocyanines (CuPc). To model the gold surface we used two gold clusters of different sizes, given by Au-26 and Au-58 accounting for gold electrode Au(111) surface. Thus, both electronic and binding strength features of the adsorption process between the complexes were analyzed in detail in order to gain a deeper description of the nature of the MPc-Au(111) formation, by using Density Functional Theory (DFT) calculations, at the PBE and TPSS levels including the dispersive contribution according to the Grimme approach (D3). Our results show that dispersion forces rule the MPc-gold interaction, with binding strengths ranging between 61 and 153 kcal mol(-1), in agreement to the reported experimental data. To provide a detailed picture of our findings we used the non-covalent interactions index (NCIs) analysis, which offers additional chemical insights regarding the forces that control their interaction strength. Finally, our calculations revealed that among the three MPcs, CuPc required less energy for its oxidation. However, the removal of the electron involves a tremendous decrease of the MPc-gold surface interaction strength thus suggesting its desorption, which would prevent the required reversibility of the redox reaction, explaining its low performance observed experimentally.</t>
  </si>
  <si>
    <t>Sierra-Rosales, Paulina/K-4733-2019; zagal, jose/L-9648-2014; Arratia-Perez, Ramiro/AAG-2648-2019; Munoz-Castro, Alvaro/O-5207-2014</t>
  </si>
  <si>
    <t>Mendizabal, Fernando/0000-0002-6912-8630; Sierra-Rosales, Paulina/0000-0001-7077-785X; Miranda, Sebastian/0000-0002-6320-8525; Munoz-Castro, Alvaro/0000-0001-5949-9449</t>
  </si>
  <si>
    <t>NOV 14</t>
  </si>
  <si>
    <t>10.1039/c6cp06156g</t>
  </si>
  <si>
    <t>WOS:000387024300053</t>
  </si>
  <si>
    <t>Chen, WJ; Dávila, J; Guerra, I</t>
  </si>
  <si>
    <t>Chen, Wenjing; Davila, Juan; Guerra, Ignacio</t>
  </si>
  <si>
    <t>Bubble tower solutions for a supercritical elliptic problem in RN</t>
  </si>
  <si>
    <t>ANNALI DELLA SCUOLA NORMALE SUPERIORE DI PISA-CLASSE DI SCIENZE</t>
  </si>
  <si>
    <t>We consider the problem {-Delta u + u = u(p) + lambda u(q) u &gt; 0 in R-N u(z) -&gt; 0 as vertical bar z vertical bar -&gt; infinity where p = p* + epsilon, with p* = N+2/N-2, while 1 &lt; q &lt; N+2/N-2 if N &gt;= 4, and 3 &lt; q &lt; 5 if N = 3, lambda &gt; 0, and epsilon is a positive parameter. We prove that for epsilon &gt; 0 small enough, the problem has a solution with the shape of a tower of bubbles.</t>
  </si>
  <si>
    <t>chen, wenjing/IZE-8536-2023; Davila, Juan/H-9082-2012</t>
  </si>
  <si>
    <t>Davila, Juan/0000-0002-7058-7930</t>
  </si>
  <si>
    <t>0391-173X</t>
  </si>
  <si>
    <t>2036-2145</t>
  </si>
  <si>
    <t>WOS:000373212300005</t>
  </si>
  <si>
    <t>Bezares, M; Palomera, G; Pons, DJ; Reyes, EG</t>
  </si>
  <si>
    <t>Bezares, Miguel; Palomera, Gonzalo; Pons, Daniel J.; Reyes, Enrique G.</t>
  </si>
  <si>
    <t>The Ehlers-Geroch theorem on geodesic motion in general relativity</t>
  </si>
  <si>
    <t>INTERNATIONAL JOURNAL OF GEOMETRIC METHODS IN MODERN PHYSICS</t>
  </si>
  <si>
    <t>We provide a detailed and rigorous proof of (a generalized version of) the Ehlers-Geroch theorem on geodesic motion in metric theories of gravity: we assume that (M, g) is a spacetime satisfying an averaged form of the dominant energy condition and some further technical assumptions indicated in the bulk of this paper. Then, a small body which is allowed to deform the original spacetime metric g moves, nonetheless, along a geodesic of (M, g).</t>
  </si>
  <si>
    <t>Bezares, Miguel/R-3716-2019; Reyes, Enrique/AAD-1308-2019</t>
  </si>
  <si>
    <t>0219-8878</t>
  </si>
  <si>
    <t>1793-6977</t>
  </si>
  <si>
    <t>10.1142/S0219887815500346</t>
  </si>
  <si>
    <t>WOS:000350752900009</t>
  </si>
  <si>
    <t>Verdejo, H; Vargas, L; Kliemann, W</t>
  </si>
  <si>
    <t>Verdejo, Humberto; Vargas, Luis; Kliemann, Wolfgang</t>
  </si>
  <si>
    <t>Stability of linear stochastic systems via Lyapunov exponents and applications to power systems</t>
  </si>
  <si>
    <t>APPLIED MATHEMATICS AND COMPUTATION</t>
  </si>
  <si>
    <t>This paper studies linear systems under sustained random perturbations. The stochastic perturbation model is given by a bounded Markov diffusion process, as it appears, e. g., in the description of load or generation uncertainties of power systems. For such systems, the Lyapunov exponents describe necessary and sufficient conditions for almost sure asymptotic stability. The paper presents several numerical methods for the computation of Lyapunov exponents and applies this methodology to linear oscillators in dimension 2 and 3, and to a one machine - infinite bus electric power system. (C) 2012 Elsevier Inc. All rights reserved.</t>
  </si>
  <si>
    <t>vargas, luis/A-2109-2011</t>
  </si>
  <si>
    <t>vargas, Luis/0000-0001-6539-1768</t>
  </si>
  <si>
    <t>0096-3003</t>
  </si>
  <si>
    <t>10.1016/j.amc.2012.04.063</t>
  </si>
  <si>
    <t>WOS:000305800700022</t>
  </si>
  <si>
    <t>Cappelli, C; López, X; Labra, Y; Montoya, M; Fernández, R; Imarai, M; Rojas, JL; Miranda, D; Escobar, A; Acuña-Castillo, C</t>
  </si>
  <si>
    <t>Cappelli, Claudio; Lopez, Ximena; Labra, Yohana; Montoya, Margarita; Fernandez, Ricardo; Imarai, Monica; Rojas, Juan Luis; Miranda, Dante; Escobar, Alejandro; Acuna-Castillo, Claudio</t>
  </si>
  <si>
    <t>Polymyxin B increases the depletion of T regulatory cell induced by purinergic agonist</t>
  </si>
  <si>
    <t>IMMUNOBIOLOGY</t>
  </si>
  <si>
    <t>Regulatory T cells (Treg) are important in the development of immune tolerance under normal physiological conditions. However, in pathological situations such as cancer, Treg increases have been correlated with bad prognoses. Treg depletion can be achieved in vitro under several stimuli, including the activation of the purinergic P2X7 receptor. Our aim was to determine whether polymyxin B (PMB), which is a positive modulator of this receptor, could affect mice Treg depletion by ATP and related compounds. For that purpose, we evaluated by flow cytometry changes in Treg populations under several treatments with PMB and/or purinergic agonists and antagonists. We found that both ATP and NAD induce a dose-dependent decrease on the Treg CD4+ CD25+ population. PMB not only potentiated the effect of exogenous ATP and NAD, but also decreased the CD4+ CD25+ population when it was applied alone. While ATP mediated effects are related to the P2X7 receptor, PMB effects appear to be related to another mechanism. We conclude that PMB positively modulates the depletion of the CD4+ CD25+ population of Treg. Therefore PMB could constitute a non-canonical drug with potential use on Treg depletion and cancer treatment. Crown Copyright (C) 2011 Published by Elsevier GmbH. All rights reserved.</t>
  </si>
  <si>
    <t>Cappelli, Claudio/GRK-0058-2022; Escobar, Alejandro/I-2775-2013; Acuña-Castillo, Claudio/AAI-7090-2021; Fernandez, Ricardo/H-3422-2018</t>
  </si>
  <si>
    <t>Imarai, Monica/0000-0001-8767-9180; cappelli, claudio/0000-0002-3492-4725; Acuna-Castillo, Claudio/0000-0003-3607-6077; Fernandez, Ricardo/0000-0003-4493-9362; Montoya, Margarita/0000-0002-6268-1118</t>
  </si>
  <si>
    <t>0171-2985</t>
  </si>
  <si>
    <t>10.1016/j.imbio.2011.10.006</t>
  </si>
  <si>
    <t>WOS:000302109700002</t>
  </si>
  <si>
    <t>Meza, RC; Ortiz, FC; Bravo, E; Iturriaga-Vásquez, P; Eugenín, JL; Varas, R</t>
  </si>
  <si>
    <t>Meza, Rodrigo C.; Ortiz, Fernando C.; Bravo, Eduardo; Iturriaga-Vasquez, Patricio; Eugenin, Jaime L.; Varas, Rodrigo</t>
  </si>
  <si>
    <t>Functional expression of the α7 and α4-containing nicotinic acetylcholine receptors on the neonatal rat carotid body</t>
  </si>
  <si>
    <t>NEUROCHEMISTRY INTERNATIONAL</t>
  </si>
  <si>
    <t>The carotid bodies (CBs) are chemosensory organs that respond to hypoxemia with transmitter neurosecretion, leading to a respiratory reflex response. It has been proposed that acetylcholine is a key regulator of transmitter release through activation of presynaptic nicotinic acetylcholine receptors (nAChRs). In the present work, we studied the identity of such nAChRs and their contribution to catecholamine release from CBs. Neonatal rat CBs were placed in a recording chamber for electrochemical recordings or disassociated for voltage-clamp studies on isolated cells. Fast nicotine superfusion increases catecholamine release from intact CBs. This response was diminished reversibly by the non-selective nAChR blocker hexamethonium, by the selective alpha 7 blocker alpha-bungarotoxin and by the alpha 4-containing nAChR blocker erysodine. In isolated CB cells the nAChR agonists nicotine, acetylcholine and cytisine all evoke inward currents with similar potencies. The nicotine-evoked current was fully blocked by mecamylamine and partially inhibited by alpha-bungarotoxin or erysodine. However, the combination of both alpha-bungarotoxin an erysodine failed to suppress this response. Immunodetection studies confirm the presence of alpha 7 and alpha 4 subunits in isolated dopaminergic CB cells. Our results show that activation of alpha 7 and/or alpha 4-containing nAChR subtypes have the ability to regulate catecholamine release from intact CB due to activation of fast inward currents expressed in chemoreceptor cells. Therefore, our results suggest that both nAChR subtypes contribute to the cholinergic nicotinic regulation of catecholamine signaling in the carotid body system. (C) 2011 Elsevier Ltd. All rights reserved.</t>
  </si>
  <si>
    <t>Ortiz, Fernando C/0000-0002-4776-4492; Bravo, Eduardo/0000-0001-9209-841X</t>
  </si>
  <si>
    <t>0197-0186</t>
  </si>
  <si>
    <t>1872-9754</t>
  </si>
  <si>
    <t>10.1016/j.neuint.2011.11.011</t>
  </si>
  <si>
    <t>WOS:000300919100003</t>
  </si>
  <si>
    <t>Poblete, F; Arriagada, C; Roperch, P; Astudillo, N; Hervé, F; Kraus, S; Le Roux, JP</t>
  </si>
  <si>
    <t>Poblete, F.; Arriagada, C.; Roperch, P.; Astudillo, N.; Herve, F.; Kraus, S.; Le Roux, J. P.</t>
  </si>
  <si>
    <t>Paleomagnetism and tectonics of the South Shetland Islands and the northern Antarctic Peninsula</t>
  </si>
  <si>
    <t>EARTH AND PLANETARY SCIENCE LETTERS</t>
  </si>
  <si>
    <t>New paleomagnetic data presented here from 61 sites in Paleozoic, Mesozoic and Cenozoic igneous and sedimentary rocks from the Antarctic Peninsula and the South Shetland Islands constrain the relative motion of the Antarctic Peninsula since the mid-Cretaceous and allow the quantification of tectonic rotation between the different blocks recognized within the area. Paleozoic and Jurassic results failed the fold test and suggest an important remagnetization in the area. The similarity between these results and those obtained from Cretaceous intrusives indicates a mid-Cretaceous age for the remagnetization. The paleopoles obtained for the different blocks and for different ages suggest that there is no relative rotation among them. These combined results allow us to obtain a Cretaceous (90 Ma) and Paleocene (60 Ma) paleopole. These paleopoles document a very low apparent polar wandering of the Antarctic Peninsula for the last 100 Ma. (c) 2010 Elsevier B.V. All rights reserved.</t>
  </si>
  <si>
    <t>Le Roux, Jacobus/U-7085-2019; Herve, Francisco/HDO-6628-2022; Arriagada, César/I-6336-2016; Le Roux, Jacobus/A-9765-2008</t>
  </si>
  <si>
    <t>Kraus, Stefan/0000-0001-5017-9940; Le Roux, Jacobus/0000-0003-0173-4471; Poblete, Fernando/0000-0002-2140-5483</t>
  </si>
  <si>
    <t>0012-821X</t>
  </si>
  <si>
    <t>1385-013X</t>
  </si>
  <si>
    <t>10.1016/j.epsl.2010.12.019</t>
  </si>
  <si>
    <t>WOS:000287614900005</t>
  </si>
  <si>
    <t>Fuentes, DE; Fuentes, EL; Castro, ME; Perez, JM; Araya, MA; Chasteen, TG; Pichuantes, SE; Vásquez, CC</t>
  </si>
  <si>
    <t>Fuentes, Derie E.; Fuentes, Eugenia L.; Castro, Miguel E.; Perez, Jose M.; Araya, Manuel A.; Chasteen, Thomas G.; Pichuantes, Sergio E.; Vasquez, Claudio C.</t>
  </si>
  <si>
    <t>Cysteine metabolism-related genes and bacterial resistance to potassium tellurite</t>
  </si>
  <si>
    <t>JOURNAL OF BACTERIOLOGY</t>
  </si>
  <si>
    <t>Tellurite exerts a deleterious effect on a number of small molecules containing sulfur moieties that have a recognized role in cellular oxidative stress. Because cysteine is involved in the biosynthesis of glutathione and other sulfur-containing compounds, we investigated the expression of Geobacillus stearothermophilus V cysteine-related genes cobA, cysK, and iscS and Escherichia coli cysteine regulon genes under conditions that included the addition of K2TeO3 to the culture medium. Results showed that cell tolerance to tellurite correlates with the expression level of the cysteine metabolic genes and that these genes are up-regulated when tellurite is present in the growth medium.</t>
  </si>
  <si>
    <t>Fuentes, Derie/GLS-8773-2022; Chasteen, Thomas/B-6601-2009; Perez-Donoso, Jose/G-3668-2013</t>
  </si>
  <si>
    <t>Fuentes, Derie/0000-0002-8189-8515; Perez-Donoso, Jose/0000-0002-9506-1716</t>
  </si>
  <si>
    <t>0021-9193</t>
  </si>
  <si>
    <t>1098-5530</t>
  </si>
  <si>
    <t>10.1128/JB.01252-07</t>
  </si>
  <si>
    <t>WOS:000251992800021</t>
  </si>
  <si>
    <t>Prado, B; Duwig, C; Escudey, M; Esteves, M</t>
  </si>
  <si>
    <t>Prado, Blanca; Duwig, Celine; Escudey, Mauricio; Esteves, Michel</t>
  </si>
  <si>
    <t>Nitrate sorption in a mexican allophanic andisol using intact and packed columns</t>
  </si>
  <si>
    <t>Contamination of groundwater by nitrate is a worldwide environmental issue. A better knowledge of nitrate sorption characteristics by soils contributes to efficient fertilizer use and prevents aquifer contamination. In volcanic soils, nitrate sorption is induced by variable charges due to the presence of amorphous materials and aluminum (Al) and iron (Fe) oxides. Anion transport in packed and intact columns was investigated in a Mexican Allophanic Andisol, under different permanent flow regimes in unsaturated conditions and several NO3--N and Br- input concentrations. In the packed columns, the NO3--N adsorption in the soil was nonlinear. In the intact columns, the retardation coefficient variation was directly correlated to the increase of amorphous material with depth. The presence of preferential flow in the intact columns significantly increased the mobility and velocity of nitrate moving through the columns, whereas in the packed columns, NO3--N fate was only affected by soil chemical composition and mineralogy.</t>
  </si>
  <si>
    <t>Duwig, Celine/E-4704-2015</t>
  </si>
  <si>
    <t>Duwig, Celine/0000-0003-1505-8996</t>
  </si>
  <si>
    <t>15-20</t>
  </si>
  <si>
    <t>10.1080/00103620600833017</t>
  </si>
  <si>
    <t>WOS:000241183900065</t>
  </si>
  <si>
    <t>Bleak, C; Cameron, P; Maissel, Y; Navas, A; Olukoya, F</t>
  </si>
  <si>
    <t>Bleak, C.; Cameron, P.; Maissel, Y.; Navas, A.; Olukoya, F.</t>
  </si>
  <si>
    <t>The Further Chameleon Groups of Richard Thompson and Graham Higman: Automorphisms via Dynamics for the Higman-Thompson Groups G n,r</t>
  </si>
  <si>
    <t>MEMOIRS OF THE AMERICAN MATHEMATICAL SOCIETY</t>
  </si>
  <si>
    <t>We describe, through the use of Rubin's theorem, the automorphism groups of the Higman-Thompson groups G n,r as groups of specific homeomorphisms of Cantor spaces C n,r . This continues a thread of research begun by Brin, and extended later by Brin and Guzman: to characterise the automorphism groups of the 'Chameleon groups of Richard Thompson,' as Brin referred to them in 1996. The work here completes the first stage of that twenty-year-old program, containing (amongst other things) a characterisation of the automorphism group of V , which was the last chameleon. The homeomorphisms which arise fit naturally into the framework of Grigorchuk, Nekrashevich, and Suschanskii's rational group</t>
  </si>
  <si>
    <t>Cameron, Peter/0000-0003-3130-9505; Bleak, Collin/0000-0001-5790-1940</t>
  </si>
  <si>
    <t>0065-9266</t>
  </si>
  <si>
    <t>1947-6221</t>
  </si>
  <si>
    <t>10.1090/memo/1510</t>
  </si>
  <si>
    <t>WOS:001397782300001</t>
  </si>
  <si>
    <t>Villarroel, E; Merlet, G; Toledo-Neira, C; Sepúlveda, L; Romero, J; Brouwer, T; Schuur, B; Quijada-Maldonado, E</t>
  </si>
  <si>
    <t>Villarroel, Eduardo; Merlet, Gaston; Toledo-Neira, Carla; Sepulveda, Luisa; Romero, Julio; Brouwer, Thomas; Schuur, Boelo; Quijada-Maldonado, Esteban</t>
  </si>
  <si>
    <t>Exploring the use of CO2-expanded ionic liquids as solvents in microextraction of 3,3′,4,4′-tetrachlorobiphenyl from aqueous solutions</t>
  </si>
  <si>
    <t>JOURNAL OF IONIC LIQUIDS</t>
  </si>
  <si>
    <t>This paper explores the effect of adding supercritical carbon dioxide (scCO2) to Ionic Liquids (ILs) for the microextraction of very diluted pollutants from aqueous matrices. The proposed system uses an IL, trihexyltetradecyl-phosphonium bis(trifluoromethylsulfonyl)imide ([P6,6,6,14][Tf2N]) and 1-hexyl-3-methyl-imidazolium tris(pentafluoroethyl)trifluorophosphate ([hmim][FAP]), as extractant, and scCO2 as diluent that may change the solvent capacity by changing the solvent polarity. The study was first carried out for the extraction of 3,3 ',4,4 ' tetrachlorobiphenyl (PCB-77) from aqueous solutions using a designed microextraction cell. Different ILs, sample volumes and kinetics of extraction were investigated. Results show that within 15 min the maximum extraction percentage was achieved employing a scCO2 partial pressure of 80 bar. To investigate the influence of the polarity change by the presence of carbon dioxide more broadly, other pollutants with different water solubilities were used. It was observed that scCO2 (partial pressure) reduced the recoveries for benzophenone and PCB-77 but increased the extraction of triclosan. This is due to the change on solvent's polarity and viscosity of the mixture. This was corroborated through a ternary system simulation including IL-pollutant-scCO2. All these results establish that the combination of CO2 and IL can in some cases enhance the extraction, but the affinity between the pollutant and scCO2 is a key parameter that discerns whether expanding the IL with scCO2 is beneficial for the extraction.</t>
  </si>
  <si>
    <t>Merlet, Gastón/B-4109-2019; Romero, Julio/I-6705-2013; Villarroel Utreras, Eduardo/LCD-3437-2024</t>
  </si>
  <si>
    <t>Romero, Julio/0000-0002-1229-1592; Quijada-Maldonado, Esteban/0000-0003-1411-4327</t>
  </si>
  <si>
    <t>2772-4220</t>
  </si>
  <si>
    <t>10.1016/j.jil.2023.100072</t>
  </si>
  <si>
    <t>WOS:001468485200006</t>
  </si>
  <si>
    <t>Uniyal, A; Chakrabarti, S; Fathi, M; Övgün, A</t>
  </si>
  <si>
    <t>Uniyal, Akhil; Chakrabarti, Sayan; Fathi, Mohsen; Ovgun, Ali</t>
  </si>
  <si>
    <t>Observational signatures: Shadow cast by the effective metric of photons for black holes with rational non-linear electrodynamics</t>
  </si>
  <si>
    <t>This study explores spherically symmetric non-linear electrodynamics black holes and their effects on light propagation. We derive the governing metric, revealing radial coordinate dynamics within the event horizon. We analyze photon trajectories, finding that increasing magnetic charge expands the horizon and emission range. Furthermore with the help of the Event Horizon Telescope results, we constrain parameters and emission profiles. Direct emission dominates, while lensing rings play a lesser role. Comparing with Schwarzschild black holes, we observe higher intensity but a wider emission region in non-linear electrodynamics black holes. This work enhances our understanding of modified spacetimes and their impact on black hole properties.</t>
  </si>
  <si>
    <t>OVGUN, ALI/G-2413-2014; Fathi, Mohsen/T-7031-2017</t>
  </si>
  <si>
    <t>OVGUN, ALI/0000-0002-9889-342X; Fathi, Mohsen/0000-0002-1602-0722</t>
  </si>
  <si>
    <t>10.1016/j.aop.2024.169614</t>
  </si>
  <si>
    <t>WOS:001175405900001</t>
  </si>
  <si>
    <t>Jaimes, DMA; Carballo, JM; Broens, MI; Bruno, M; Tejo, F; Saavedra, E; Escrig, J; Bajales, N</t>
  </si>
  <si>
    <t>Jaimes, Diana M. Arciniegas; Carballo, Julieta M.; Broens, Martin I.; Bruno, Mariano; Tejo, Felipe; Saavedra, Eduardo; Escrig, Juan; Bajales, Noelia</t>
  </si>
  <si>
    <t>Magnetic properties of CoNi nanowires and nanotubes: Insights from micromagnetic simulations and composition-dependent equations</t>
  </si>
  <si>
    <t>RESULTS IN PHYSICS</t>
  </si>
  <si>
    <t>We conducted micromagnetic simulations of CoNi nanowires and nanotubes to study their magnetic properties as a function of their composition. We found that the hysteresis curves for isolated CoNi nanowires exhibit a square trend with an easy axis of magnetization along the nanowire axis. The coercivity and normalized remanence show a U-shaped behavior, with maximum values at Ni and Co and minimum values for the Co40Ni60 alloy. The hysteresis curves for CoNi nanotubes maintain the square trend of nanowires, but with a clear decrease in coercivity and an asymmetric V-shaped behavior for coercivity and normalized remanence. Our research offers valuable and comprehensive insights into the magnetic properties of CoNi nanowires and nanotubes. It underscores the significant influence of composition on magnetic properties, which holds great relevance for potential applications. Our approach, involving the prediction of static magnetic properties through micromagnetic simulations and tailored equations designed for nanostructures, rather than relying on bulk parameters, aligns more closely with the nature of these physical systems. This alignment is validated by the strong agreement with previously reported experimental results. Our work lays a solid foundation for the deliberate design of CoNi nanowires and nanotubes with specific magnetic properties tailored for articular applications. We anticipate that our study will facilitate the development of innovative magnetic nanostructures with controllable properties and enhanced performance.</t>
  </si>
  <si>
    <t>Broens, Martin/IXD-9708-2023; Saavedra, Eduardo/IQS-4264-2023; Bajales, Noelia/AGE-1802-2022; Tejo, Felipe/IUQ-0578-2023; Escrig, Juan/N-4304-2015</t>
  </si>
  <si>
    <t>Arciniegas Jaimes, Diana Marcela/0000-0002-1487-5858; Escrig, Juan/0000-0002-3958-8185; Broens, Martin Ignacio/0000-0003-2224-5204; Bajales, Noelia/0000-0002-2507-9224; Tejo Lazo, Felipe Tejo/0000-0001-7457-7281</t>
  </si>
  <si>
    <t>2211-3797</t>
  </si>
  <si>
    <t>10.1016/j.rinp.2023.107082</t>
  </si>
  <si>
    <t>WOS:001102895300001</t>
  </si>
  <si>
    <t>Stathatou, PM; Corbin, L; Meredith, JC; Garmulewicz, A</t>
  </si>
  <si>
    <t>Stathatou, Patritsia Maria; Corbin, Liz; Meredith, J. Carson; Garmulewicz, Alysia</t>
  </si>
  <si>
    <t>Biomaterials and Regenerative Agriculture: A Methodological Framework to Enable Circular Transitions</t>
  </si>
  <si>
    <t>Biomaterials, used here to signify 100% biobased and biodegradable materials, can offer a promising solution for transitioning away from fossil-based resources, addressing the climate crisis, and combating plastic pollution. To ensure their environmental benefits, biomaterials must derive from regenerative, non-polluting feedstocks that do not compete with food or feed production. From this perspective, agricultural residues and by-products present a favorable feedstock option for biomaterials production. Although this is an improvement over sourcing them from primary crops, the sustainability of underlying agricultural systems must be considered. Furthermore, the nutrient value of biomaterials for specific soil ecosystems is often overlooked despite their compostability. In this research, we investigate the linkages between biomaterials development and regenerative agriculture, a set of farming practices that can effectively sustain the growing human population while enhancing, rather than degrading, ecosystem health. We explore interdependencies between biomaterials' production and regenerative agriculture for biomass sourcing and nutrient return and suggest a methodological framework to identify mutual benefits. The extent to which regenerative farms can provide biomaterial feedstocks without compromising crop cultivation and ecosystem health is analyzed together with the potential of biomaterials to deliver beneficial nutrients and services to regenerative systems. Applying this framework to the Great Lakes Region, Michigan, USA, an agricultural hub facing environmental degradation and plastic pollution, reveals synergistic linkages that unlock novel circular economy opportunities, including local production of renewable biomaterials for various applications, enhancing food security and bolstering socio-ecological systems.</t>
  </si>
  <si>
    <t>Garmulewicz, Alysia/HTS-8792-2023; Meredith, Carson/B-3323-2009</t>
  </si>
  <si>
    <t>Stathatou, Patritsia/0000-0002-0109-1093; Garmulewicz, Alysia/0000-0001-8468-5809</t>
  </si>
  <si>
    <t>10.3390/su151914306</t>
  </si>
  <si>
    <t>WOS:001081820300001</t>
  </si>
  <si>
    <t>Toro-Ascuy, D; Cárdenas, JP; Zorondo-Rodríguez, F; González, D; Silva-Moreno, E; Puebla, C; Nunez-Parra, A; Reyes-Cerpa, S; Fuenzalida, LF</t>
  </si>
  <si>
    <t>Toro-Ascuy, Daniela; Cardenas, Juan P. P.; Zorondo-Rodriguez, Francisco; Gonzalez, Damariz; Silva-Moreno, Evelyn; Puebla, Carlos; Nunez-Parra, Alexia; Reyes-Cerpa, Sebastian; Fuenzalida, Loreto F. F.</t>
  </si>
  <si>
    <t>Microbiota Profile of the Nasal Cavity According to Lifestyles in Healthy Adults in Santiago, Chile</t>
  </si>
  <si>
    <t>Background: The respiratory microbiome is dynamic, varying between anatomical niches, and it is affected by various host and environmental factors, one of which is lifestyle. Few studies have characterized the upper respiratory tract microbiome profile according to lifestyle. We explored the association between lifestyles and microbiota profiles in the upper respiratory tract of healthy adults. Methods: We analyzed nasal samples from 110 healthy adults who were living in Santiago, Chile, using 16S ribosomal RNA gene-sequencing methods. Volunteers completed a structured questionnaire about lifestyle. Results: The composition and abundance of taxonomic groups varied across lifestyle attributes. Additionally, multivariate models suggested that alpha diversity varied in the function of physical activity, nutritional status, smoking, and the interaction between nutritional status and smoking, although the significant impact of those variables varied between women and men. Although physical activity and nutritional status were significantly associated with all indexes of alpha diversity among women, the diversity of microbiota among men was associated with smoking and the interaction between nutritional status and smoking. Conclusions: The alpha diversity of nasal microbiota is associated with lifestyle attributes, but these associations depend on sex and nutritional status. Our results suggest that future studies of the airway microbiome may provide a better resolution if data are stratified for differences in sex and nutritional status.</t>
  </si>
  <si>
    <t>Silva-Moreno, Evelyn/B-9545-2012; Cardenas, Juan/AAB-2469-2020; Toro-Ascuy, Daniela/JDC-8224-2023; Zorondo-Rodríguez, Francisco/GWU-8371-2022; Zorondo-Rodriguez, Francisco/I-8273-2014</t>
  </si>
  <si>
    <t>Nunez-Parra, Alexia/0000-0003-0239-2493; Silva-Moreno, Evelyn/0000-0001-8745-7916; Zorondo-Rodriguez, Francisco/0000-0001-6469-9859; Fuenzalida, Loreto F/0000-0002-9570-6043; Toro-Ascuy, Daniela/0000-0002-2563-9711; Reyes, Sebastian/0000-0002-7676-1266</t>
  </si>
  <si>
    <t>10.3390/microorganisms11071635</t>
  </si>
  <si>
    <t>WOS:001036351300001</t>
  </si>
  <si>
    <t>Franco-Martinez, L; Brandts, I; Reyes-López, F; Tort, L; Tvarijonaviciute, A; Teles, M</t>
  </si>
  <si>
    <t>Franco-Martinez, Lorena; Brandts, Irene; Reyes-Lopez, Felipe; Tort, Lluis; Tvarijonaviciute, Asta; Teles, Mariana</t>
  </si>
  <si>
    <t>Skin Mucus as a Relevant Low-Invasive Biological Matrix for the Measurement of an Acute Stress Response in Rainbow Trout (Oncorhynchus mykiss)</t>
  </si>
  <si>
    <t>Skin mucus is a non-lethal and low-invasive matrix appropriate to assess fish welfare as it contributes to their defence against external aggressions and reflects changes in fish health status. However, more information on the response of this matrix to specific stressors is needed. In this study, rainbow trout (Oncorhynchus mykiss) specimens were subjected to an acute stress by air exposure and sampled after 1, 6, and 24 h post-stress. Blood and skin mucus were collected, and a battery of biochemical biomarkers were measured in both matrices. Cortisol and glucose values showed the expected classical stress response in plasma, increasing after the acute stress. The same pattern was observed in skin mucus, corroborating previous data in fish, and allowing us to confirm that skin mucus can be a useful complementary matrix for stress assessment in fish. The results showed sensitivity to hypoxic stress in skin mucus for cortisol, glucose, alkaline phosphatase (ALP), aspartate transaminase (AST), alanine aminotransferase (ALT), creatinine kinase (CK), and calcium. From the 15 parameters evaluated, 12 did not show statistically significant changes between plasma and mucus; therefore, using skin mucus cannot replace the use of plasma. Finally, the principal component analysis in skin mucus revealed a complete separation between the two experimental groups, being ALP, AST, glucose, cortisol, and CK, the biomarkers that contributed the most to this separation.</t>
  </si>
  <si>
    <t>Reyes-López, Felipe/S-1760-2018; Brandts, Irene/JAC-7842-2023; Tort, Lluis/H-5650-2011; Teles, Mariana/I-5561-2014; Tvarijonaviciute, Asta/U-4303-2017</t>
  </si>
  <si>
    <t>Reyes-Lopez, Felipe E./0000-0002-5001-457X; Brandts, Irene/0000-0002-7372-8639; Teles, Mariana/0000-0001-5525-4049; Tort, Lluis/0000-0002-3907-722X; Franco Martinez, Lorena/0000-0003-3375-4274; Tvarijonaviciute, Asta/0000-0002-5323-5001</t>
  </si>
  <si>
    <t>10.3390/w14111754</t>
  </si>
  <si>
    <t>WOS:000809132000001</t>
  </si>
  <si>
    <t>Ferrari, G; Rezende, LFM; Florindo, AA; Mielke, GI; Peres, MFT</t>
  </si>
  <si>
    <t>Ferrari, Gerson; Rezende, Leandro F. M.; Florindo, Alex A.; Mielke, Gregore I.; Peres, Maria Fernanda Tourinho</t>
  </si>
  <si>
    <t>School environment and physical activity in adolescents from Sao Paulo city</t>
  </si>
  <si>
    <t>We examined the association of physical activity (PA) facilities and access to school with total PA and domain-specific PA in adolescents. We enrolled 2610 adolescents (mean: 14.9 years) from Sao Paulo city. The number and presence of sports courts, swimming pools, locker rooms, running/athletics tracks, entrance accessible for student cyclists, bike racks, speed limit signal around the school, and pedestrian crossing were assessed in each school. All participants responded to a questionnaire about frequency and duration of physical education classes, leisure time, and active commuting. Total PA was obtained by adding up all PA domains. Presence of three or more (OR: 1.62; 95% CI: 1.15 to 2.30) sports courts, swimming pool available in usable conditions (OR: 1.45; 95% CI: 1.01 to 2.10), running/athletics tracks (OR: 2.35; 95% CI: 1.07 to 5.18), and bike racks (OR: 1.38; 95% CI: 1.07 to 1.78) were positively associated with total PA. Number of sports courts, swimming pool available in usable conditions, speed limit signals around the school, and pedestrian crossings were positively associated with physical education classes. The bike racks, speed limit signs around the school, and pedestrian crossings were positively associated with active commuting. School environment was associated with increased PA. Our findings should be considered in future epidemiologic studies and for educational and health policy makers.</t>
  </si>
  <si>
    <t>Mielke, Gregore/E-2141-2014; Florindo, Alex/K-1870-2013; Ferrari, Gerson/ABG-6635-2021; Peres, Maria/F-9561-2012; Ferrari, Gerson/P-1152-2014; Rezende, Leandro/C-1724-2012</t>
  </si>
  <si>
    <t>Ferrari, Gerson/0000-0003-3177-6576; Rezende, Leandro/0000-0002-7469-1399</t>
  </si>
  <si>
    <t>SEP 13</t>
  </si>
  <si>
    <t>10.1038/s41598-021-97671-z</t>
  </si>
  <si>
    <t>WOS:000699966800035</t>
  </si>
  <si>
    <t>Morales-Lange, B; Nombela, I; Ortega-Villaizan, MD; Imarai, M; Schmitt, P; Mercado, L</t>
  </si>
  <si>
    <t>Morales-Lange, Byron; Nombela, Ivan; Del Mar Ortega-Villaizan, Maria; Imarai, Monica; Schmitt, Paulina; Mercado, Luis</t>
  </si>
  <si>
    <t>Induction of foxp3 during the Crosstalk between Antigen Presenting Like-Cells MHCII+CD83+ and Splenocytes CD4+IgM- in Rainbow Trout</t>
  </si>
  <si>
    <t>BIOLOGY-BASEL</t>
  </si>
  <si>
    <t>Simple Summary In aquatic biological models, the communication between cells from the immune system remains poorly characterized. In this work, to determine the gene expression of master transcriptional factors that coordinate the polarization of T cells, co-cultures of rainbow trout splenocytes are analyzed after stimulation with Interferon-gamma and/or Piscirickettsia salmonis. The results showed an upregulation of foxp3 compared to the other transcriptional factors, suggesting a potential communication between cells in the spleen, which may induce a Treg phenotype. In fish, the spleen is one of the major immune organs in the animal, and the splenocytes could play a key role in the activation and modulation of the immune response, both innate and adaptive. However, the crosstalk between different types of immune cells in the spleen has been poorly understood. In this work, an in vitro strategy is carried out to obtain and characterize mononuclear splenocytes from rainbow trout, using biomarkers associated with lymphocytes (CD4 and IgM) and antigen-presenting cells (CD83 and MHC II). Using these splenocytes, co-cultures of 24 and 48 h are used to determine the gene expression of master transcriptional factors that coordinate the polarization of T cells (t-bet, gata3, and foxp3). The results show a proportional upregulation of foxp3 (compared to t-bet and gata3) in co-cultures (at 24 h) of IFN gamma-induced splenocytes with and without stimulation of Piscirickettsia salmonis proteins. In addition, foxp3 upregulation was established in co-cultures with IFN gamma-induced cells and in cells only stimulated previously with P. salmonis proteins at 48 h of co-culture. These results show a potential communication between antigen-presenting-like cells and lymphocyte in the spleen, which could be induced towards a Treg phenotype.</t>
  </si>
  <si>
    <t>Nombela, Iván/GQZ-8404-2022; Morales Lange, Byron/JMC-7999-2023; Ortega-Villaizan, Maria del Mar/Q-9233-2018</t>
  </si>
  <si>
    <t>Imarai, Monica/0000-0001-8767-9180; Ortega-Villaizan, Maria del Mar/0000-0003-2065-0601; Morales Lange, Byron/0000-0002-2807-5800; Nombela, Ivan/0000-0001-8436-2081</t>
  </si>
  <si>
    <t>2079-7737</t>
  </si>
  <si>
    <t>10.3390/biology10040324</t>
  </si>
  <si>
    <t>WOS:000642737100001</t>
  </si>
  <si>
    <t>Castro, SA; Rojas, P; Vila, I; Habit, E; Pizarro-Konczak, J; Abades, S; Jaksic, FM</t>
  </si>
  <si>
    <t>Castro, Sergio A.; Rojas, Pablo; Vila, Irma; Habit, Evelyn; Pizarro-Konczak, Jaime; Abades, Sebastian; Jaksic, Fabian M.</t>
  </si>
  <si>
    <t>Partitioning β-diversity reveals that invasions and extinctions promote the biotic homogenization of Chilean freshwater fish fauna</t>
  </si>
  <si>
    <t>Aim Exotic species' introductions together with extinction of native species represent the main mechanisms driving biotic homogenization of freshwater fish assemblages around the world. While generally ichtyofaunistic realms transit towards biotic homogenization, for conservation purposes it is essential to understand what specific mechanisms are promoting it on particular areas or regions. Here, we report the occurrence of biotic homogenization in 29 Chilean watersheds, analyzing its beta-diversity (including turnover and nestedness) and predicting future trends. Location Continental Chile (18(o)-56(o)S). Methods We determined fish composition per basin for historical and current assemblages; extant native, exotic, and extinct species were recorded as 1 (presence) or 0 (absence) in two matrices basins x species. For each matrix, we calculated the turnover (beta(sim)), nestedness (beta(nes)), and beta-diversity (beta(sor)); then, we obtained Delta beta(sim), Delta beta(nes), and Delta beta(sor), as the arithmetical difference between basin pairs over time. In addition, we search for explanatory variables correlating Delta beta(sim), Delta beta(nes), and Delta beta(sor)with geographical and land use variables. Finally, simulating events of species introduction (i.e., invasion) and extinction, we generated 15 hypothetical assemblages, looking to establish future trends towards biotic change in Chilean basins. Results Species turnover and beta-diversity significantly decreased from historical to current assemblages (Delta beta(sim)= -0.084; Delta beta(sor)= -0.061, respectively), while the species nestedness did not show significant changes (Delta beta(nes)= 0.08). Biotic changes have been driven mainly by the introduction of 28 exotic species, with a minor role of extinctions (one species) and translocations (0 species) of native species. Changes in beta-diversity were negatively correlated with area, elevation, and geographical distance between basins but not with land-use nor human population. Finally, the analysis of 15 future assemblages predicts a significant decrease of beta-diversity and turnover, and an increase for species nestedness, this time promoted by an increase in the extinction of native species. Main conclusion Chilean basins show a significant decrease of the distributional beta-diversity and species turnover of the freshwater fish fauna, evidencing a trend towards biotic homogenization. This trend is shared with other Neotropical basins; however, specific mechanisms driving it show different magnitude. Changes in the beta-diversity components do not show correlation with variables associated to land use, thus suggesting that casual introductions of freshwater fishes in Chile follow an opportunistic mode related to commercial use. According to future scenarios simulated, biotic homogenization should increase further, mainly as consequence of increased native extinctions.</t>
  </si>
  <si>
    <t>Habit, Evelyn/AAD-3552-2019; Bowker, Matthew/B-6258-2014; Jaksic, Fabian M./G-1705-2014</t>
  </si>
  <si>
    <t>Jaksic, Fabian M./0000-0003-0098-0291; Abades, Sebastian/0000-0001-5704-4037</t>
  </si>
  <si>
    <t>SEP 8</t>
  </si>
  <si>
    <t>e0238767</t>
  </si>
  <si>
    <t>10.1371/journal.pone.0238767</t>
  </si>
  <si>
    <t>WOS:000570962500037</t>
  </si>
  <si>
    <t>Cacilhas, R; de Araujo, CIL; Carvalho-Santos, VL; Moreno, R; Chubykalo-Fesenko, O; Altbir, D</t>
  </si>
  <si>
    <t>Cacilhas, R.; de Araujo, C. I. L.; Carvalho-Santos, V. L.; Moreno, R.; Chubykalo-Fesenko, O.; Altbir, D.</t>
  </si>
  <si>
    <t>Controlling domain wall oscillations in bent cylindrical magnetic wires</t>
  </si>
  <si>
    <t>Magnetic cylindrical nanowires are promising candidates for future three-dimensional nanotechnology. Domain walls (DWs) in magnetic nanowires play the role of information carriers, and the development of applications requires proper description of their dynamics. Here we perform a detailed analytical and numerical analysis of the DW motion along a bent magnetic nanowire under the action of tangential magnetic fields. Our results show that the DW velocity, precession, and oscillation frequencies can be controlled by the interplay between the curvature and the external magnetic field. Small magnetic fields induce a DW motion without precession and oscillatory behavior, while higher magnetic fields yield a Walker breakdown regime, in which an oscillatory forward and backward DW motion is observed. Controlled DW motion under the Walker breakdown regime makes magnetic nanowires potential candidates for nanoscale microwave generation and sensing.</t>
  </si>
  <si>
    <t>Altbir, Dora/R-6781-2018; Moreno, Rodrigo/L-3750-2017; de Araujo, Clodoaldo/N-1118-2013; Carvalho-Santos, Vagson/E-8806-2013; Chubykalo-Fesenko, Oksana/V-5015-2017</t>
  </si>
  <si>
    <t>Carvalho-Santos, Vagson/0000-0002-2759-2152; Cacilhas, Rafael/0000-0001-5611-1373; Moreno, Roberto/0000-0002-9799-4210; Chubykalo-Fesenko, Oksana/0000-0002-4081-1831</t>
  </si>
  <si>
    <t>10.1103/PhysRevB.101.184418</t>
  </si>
  <si>
    <t>WOS:000533494600006</t>
  </si>
  <si>
    <t>Benites, J; Ybañez-Julca, RO; Ganoza-Yupanqui, ML; Mantilla-Rodriguez, E; Zavala, E; Velasquez, S; Gajardo, S; Morales, B; de Albuquerque, RDDG; Rocha, L; Martinez, JL</t>
  </si>
  <si>
    <t>Benites, Julio; Ybanez-Julca, Roberto O.; Ganoza-Yupanqui, Mayar L.; Mantilla-Rodriguez, Elena; Zavala, Ewaldo; Velasquez, Sharon; Gajardo, Sandra; Morales, Bernardo; Duarte Galhardo de Albuquerque, Ricardo Diego; Rocha, Leandro; Martinez, Jose L.</t>
  </si>
  <si>
    <t>Antioxidant effect and chemical composition of Ananas comosus [L.] Merr. peels from Peruvian Northern</t>
  </si>
  <si>
    <t>Pineapple peels has several beneficial properties including antioxidant activity. We investigated the antioxidant effect of five different peels of pineapple lyophilized extracts, not adsorbed and adsorbed onto Amberlite. They were examined using total phenolic contents (TPC), antioxidant effect by 1,1-diphenyl-2-picryl hydrazyl (DPPH) radical scavenging and ferric reducing antioxidant power (FRAP). In addition, we analyzed the chemical composition by HPLC-ESI-QTOF-MS/MS. The main constituents of pineapple peels were tentatively identified as quercetin glycosides and N,N' -diferuloylspermidine. We conclude that the antioxidant activity in pineapple peels from District of Poroto, Province of Trujillo, Region of La Libertad, can be associated with the presence of flavonoid and spermidines.</t>
  </si>
  <si>
    <t>Benites, Julio/AAV-1672-2020; DG Albuquerque, Ricardo Diego/HTT-3838-2023; Urtecho, Ewaldo/R-7222-2018; Morales Castañeda, Bernardo/GPP-1642-2022; Ybañez Julca, Roberto Osmundo/HNJ-0615-2023; MANTILLA RODRIGUEZ, ANA ELENA/HLQ-4259-2023; Benites, Julio/W-9167-2018; Rocha, Leandro/GPP-7144-2022; Ganoza-Yupanqui, Mayar Luis/W-8934-2018</t>
  </si>
  <si>
    <t>MANTILLA RODRIGUEZ, ANA ELENA/0000-0002-9925-0581; VELASQUEZ AREVALO, SHARON/0000-0001-6737-9877; Benites, Julio/0000-0002-8562-0078; Albuquerque, Ricardo/0000-0002-8442-3849; Rocha, Leandro/0000-0003-0484-1918; Ybanez-Julca, Roberto Osmundo/0000-0003-0011-7957; Ganoza-Yupanqui, Mayar Luis/0000-0002-6114-1451</t>
  </si>
  <si>
    <t>10.35588/blacpma.19.18.6.40</t>
  </si>
  <si>
    <t>WOS:000496943400005</t>
  </si>
  <si>
    <t>Albarrán-Arriagada, F; Retamal, JC; Solano, E; Lamata, L</t>
  </si>
  <si>
    <t>Albarran-Arriagada, F.; Retamal, J. C.; Solano, E.; Lamata, L.</t>
  </si>
  <si>
    <t>Measurement-based adaptation protocol with quantum reinforcement learning</t>
  </si>
  <si>
    <t>Machine learning employs dynamical algorithms that mimic the human capacity to learn, where the reinforcement learning ones are among the most similar to humans in this respect. On the other hand, adaptability is an essential aspect to perform any task efficiently in a changing environment, and it is fundamental for many purposes, such as natural selection. Here, we propose an algorithm based on successive measurements to adapt one quantum state to a reference unknown state, in the sense of achieving maximum overlap. The protocol naturally provides many identical copies of the reference state, such that in each measurement iteration more information about it is obtained. In our protocol, we consider a system composed of three parts, the environment system, which provides the reference state copies; the register, which is an auxiliary subsystem that interacts with the environment to acquire information from it; and the agent, which corresponds to the quantum state that is adapted by digital feedback with input corresponding to the outcome of the measurements on the register. With this proposal we can achieve an average fidelity between the environment and the agent of more than 90% with less than 30 iterations of the protocol. In addition, we extend the formalism to d-dimensional states, reaching an average fidelity of around 80% in less than 400 iterations for d = 11, for a variety of genuinely quantum and semiclassical states. This work paves the way for the development of quantum reinforcement learning protocols using quantum data and for the future deployment of semiautonomous quantum systems.</t>
  </si>
  <si>
    <t>Solano, Enrique/C-2895-2017; Lamata, Lucas/B-2439-2009; Retamal, Juan/G-6425-2010; Lamata, Lucas/CAG-6488-2022</t>
  </si>
  <si>
    <t>Retamal Abarzua, Juan Carlos/0000-0002-7174-7879; SOLANO VILLANUEVA, ENRIQUE LEONIDAS/0000-0002-8602-1181; Lamata, Lucas/0000-0002-9504-8685; Albarran-Arriagada, Francisco/0000-0001-8899-3673</t>
  </si>
  <si>
    <t>OCT 11</t>
  </si>
  <si>
    <t>10.1103/PhysRevA.98.042315</t>
  </si>
  <si>
    <t>WOS:000447085700002</t>
  </si>
  <si>
    <t>Problems with mapping the auroral oval and magnetospheric substorms (vol 67, 166, 2015)</t>
  </si>
  <si>
    <t>Kirpichev, Igor/HHM-2487-2022; Stepanova, Marina/D-6329-2011; Vorobjev, Vyacheslav/A-5957-2017; Antonova, Elizaveta/A-2716-2012; Yagodkina, Oksana/A-5689-2017</t>
  </si>
  <si>
    <t>Antonova, Elizaveta/0000-0001-6980-3993; Yagodkina, Oksana/0000-0002-3773-3051</t>
  </si>
  <si>
    <t>10.1186/s40623-015-0353-5</t>
  </si>
  <si>
    <t>WOS:000365430100001</t>
  </si>
  <si>
    <t>Arancibia-Miranda, N; Baltazar, SE; García, A; Romero, AH; Rubio, MA; Altbir, D</t>
  </si>
  <si>
    <t>Arancibia-Miranda, Nicolas; Baltazar, Samuel E.; Garcia, Alejandra; Romero, Aldo H.; Rubio, Maria A.; Altbir, Dora</t>
  </si>
  <si>
    <t>Lead removal by nano-scale zero valent iron: Surface analysis and pH effect</t>
  </si>
  <si>
    <t>MATERIALS RESEARCH BULLETIN</t>
  </si>
  <si>
    <t>The use of nano-scale zero valent iron (nZVI) in the removal of Pb2+ from aqueous solution is studied as a function of pH, evaluating the structural and surface changes of the nZVI, as well as its magnetic properties after the sorption process. The kinetics of the removal process of Pb2+ by nZVI was studied as a function of pH, where the pseudo second order (PSO) kinetics model reproduces the experimental results, with an initial adsorption (h) at pH 4 almost three times greater than at pH 6.0. From the sorption isotherm results, we find an enhanced sorption capacity as pH is increased. The Langmuir model is in good agreement with our experimental data, where a maximum sorption capacity is found to be 50.31 +/- 236 and 32.85 +/- 3.87 (mg g(-1)) at pH 6 and 4, respectively, suggesting the formation of new active sites on the external surface of the nZVI. The XRD results, obtained from the samples after removal of Pb2+, show new mineral phases of nZVI, which can be attributed to Fe and Pb polycrystals. These results obtained from the samples, before and after Pb2+ sorption at different pH values, indicate that these values conditioned the surface and morphological changes observed in nZVI, even modifying their magnetic properties. (C) 2014 Elsevier Ltd. All rights reserved.</t>
  </si>
  <si>
    <t>Baltazar, Samuel/E-1814-2011; Arancibia-Miranda, Nicolás/I-6743-2013; Garcia, Alejandra/IQT-2699-2023; Bajo, Maria/ABF-6991-2020; Altbir, Dora/R-6781-2018; romero, aldo/B-2344-2016; Garcia-Garcia, A./B-1478-2012</t>
  </si>
  <si>
    <t>Altbir, Dora/0000-0002-2945-4909; Baltazar, Samuel/0000-0001-9826-9400; romero, aldo/0000-0001-5968-0571; Arancibia-Miranda, Nicolas/0000-0002-0142-6922; Garcia-Garcia, A./0000-0001-7794-135X</t>
  </si>
  <si>
    <t>0025-5408</t>
  </si>
  <si>
    <t>1873-4227</t>
  </si>
  <si>
    <t>10.1016/j.materresbull.2014.07.045</t>
  </si>
  <si>
    <t>WOS:000342956000054</t>
  </si>
  <si>
    <t>Guzmán, D; Fernández, J; Ordoñez, S; Aguilar, C; Rojas, PA; Serafini, D</t>
  </si>
  <si>
    <t>Guzman, D.; Fernandez, J.; Ordonez, S.; Aguilar, C.; Rojas, P. A.; Serafini, D.</t>
  </si>
  <si>
    <t>Effect of mechanical activation on the barite carbothermic reduction</t>
  </si>
  <si>
    <t>In this work the effect of mechanical activation on the barite carbothermic reduction has been investigated. The mechanical activation of barite and coke was carried out in a SPEX 8000 D mill. The microstructural and morphological characterization of the powders was obtained by X-ray diffraction and scanning electron microscopy. The kinetics of barite carbothermic reduction was studied using differential scanning calorimetry and thermogravimetry. The experimental results revealed that the mechanical activation process improves the kinetics of barite carbothermic reduction. It was found that 3.6 ks of milling decreases the activation energy of barite reduction from 519 to 276 kJ/mol. This behavior can be explained considering the increase of reactants enthalpy due to the energy stored by the powders and the intimate contact between fine barite and coke particles promoted by the milling process. (C) 2011 Elsevier B.V. All rights reserved.</t>
  </si>
  <si>
    <t>Rojas, Paula/AFS-1987-2022; Aguilar, Claudio/B-6774-2011; Fernandez, Jose/M-4402-2014</t>
  </si>
  <si>
    <t>Aguilar, Claudio/0000-0002-9013-5835; Guzman Mendez, Danny/0000-0002-8020-9247; Rojas, Paula/0000-0002-2529-993X; Serafini, Daniel/0000-0002-1764-5900</t>
  </si>
  <si>
    <t>10.1016/j.minpro.2011.11.008</t>
  </si>
  <si>
    <t>WOS:000300811800017</t>
  </si>
  <si>
    <t>Barreto, ACH; Santiago, VR; Mazzetto, SE; Denardin, JC; Lavín, R; Mele, G; Ribeiro, MENP; Vieira, IGP; Gonçalves, T; Ricardo, NMPS; Fechine, PBA</t>
  </si>
  <si>
    <t>Barreto, A. C. H.; Santiago, V. R.; Mazzetto, S. E.; Denardin, J. C.; Lavin, R.; Mele, Giuseppe; Ribeiro, M. E. N. P.; Vieira, Icaro G. P.; Goncalves, Tamara; Ricardo, N. M. P. S.; Fechine, P. B. A.</t>
  </si>
  <si>
    <t>Magnetic nanoparticles for a new drug delivery system to control quercetin releasing for cancer chemotherapy</t>
  </si>
  <si>
    <t>JOURNAL OF NANOPARTICLE RESEARCH</t>
  </si>
  <si>
    <t>Quercetin belongs to the chemical class of flavonoids and can be found in many common foods, such as apples, nuts, berries, etc. It has been demonstrated that quercetin has a wide array of biological effects that are considered beneficial to health treatment, mainly as anticancer. However, therapeutic applications of quercetin have been restricted to oral administration due to its sparing solubility in water and instability in physiological medium. A drug delivery methodology was proposed in this work to study a new quercetin release system in the form of magnetite-quercetin-copolymer (MQC). These materials were characterized through XRD, TEM, IR, and Thermal analysis. In addition, the magnetization curves and quercetin releasing experiments were performed. It was observed a nanoparticle average diameter of 11.5 and 32.5 nm at Fe3O4 and MQC, respectively. The presence of magnetic nanoparticles in this system offers the promise of targeting specific organs within the body. These results indicate the great potential for future applications of the MQC to be used as a new quercetin release system.</t>
  </si>
  <si>
    <t>Barreto, Antonio/Y-4744-2019; Ricardo, Nágila/C-3630-2015; Mazzetto, Selma/R-5406-2016; Denardin, Juliano/S-6407-2019; Ribeiro, Maria Elenir/V-2384-2019; Fechine, Pierre/B-7937-2013; Gusmao Pinto Vieira, Icaro/K-5273-2016; Mele, Giuseppe/N-9765-2015</t>
  </si>
  <si>
    <t>Denardin, Juliano/0000-0002-1373-6207; Ricardo, Nagila/0000-0003-1849-5403; Ribeiro, Maria Elenir/0000-0001-6896-7179; Mazzetto, Selma Elaine/0000-0002-6879-3209; Honorato Barreto, Antonio Cesar/0000-0002-5757-334X; Fechine, Pierre/0000-0002-7822-2354; Gusmao Pinto Vieira, Icaro/0000-0002-0576-3643; Mele, Giuseppe/0000-0002-6684-990X</t>
  </si>
  <si>
    <t>1388-0764</t>
  </si>
  <si>
    <t>1572-896X</t>
  </si>
  <si>
    <t>10.1007/s11051-011-0559-9</t>
  </si>
  <si>
    <t>WOS:000298056100031</t>
  </si>
  <si>
    <t>Guerrero, L; Montalvo, S; Coronado, E; Chamy, R; Poirrier, P; Crutchik, D; Sánchez, E; De La Rubia, MA; Borja, R</t>
  </si>
  <si>
    <t>Guerrero, L.; Montalvo, S.; Coronado, E.; Chamy, R.; Poirrier, P.; Crutchik, D.; Sanchez, E.; De La Rubia, M. A.; Borja, R.</t>
  </si>
  <si>
    <t>Performance evaluation of a two-phase anaerobic digestion process of synthetic domestic wastewater at ambient temperature</t>
  </si>
  <si>
    <t>A two-phase anaerobic digestion process of synthetic domestic wastewater was studied at ambient temperature in mild to cold climates. The hydrolytic stage was carried out in a continuous stirred tank reactor with an effective volume of 1.2 L. The hydrolytic reactor operated at hydraulic retention times (HRTs) in the range of 1.3 to 2.7 h, which allowed for optimum HRT to be obtained in order to achieve a maximum amount of soluble COD. For the methanogenic stage, an up-flow anaerobic filter with a volume of 1.35 L and corrugated plastic rings as biomass immobilization support were used. During the investigation, the ambient temperature ranged between 21 degrees C and 24 degrees C. Synthetic domestic wastewater with a COD of 700 mg/L was used as substrate. The study was performed at total organic loading rates (OLRT) of 2.0-4.3 g COD/L.d, with a global HRT (including both hydrolytic and methanogenic stages) of 2.8-5.8 hours. A maximum percentage of organic matter removed of 88% was achieved at a global HRT of 5.8 hours. Under these operating conditions, the production of biogas was 97% higher than that obtained in the one-phase anaerobic digestion process. Additionally, the kinetics involved in the hydrolytic stage was determined using the Contois kinetic model, which adequately predicted the experimental results.</t>
  </si>
  <si>
    <t>poirrier, paola/A-2608-2011; Chamy, Rolando/M-3124-2014; Pedemonte, Dafne/AAB-1374-2021; Borja, Rafael/P-5314-2016; DE LA RUBIA, M. ANGELES/E-8673-2016</t>
  </si>
  <si>
    <t>Chamy, Rolando/0000-0001-8718-9173; Borja, Rafael/0000-0002-3699-7223; DE LA RUBIA, M. ANGELES/0000-0002-7411-5236; Crutchik Pedemonte, Dafne/0000-0002-8046-5478</t>
  </si>
  <si>
    <t>10.1080/10934520902847794</t>
  </si>
  <si>
    <t>WOS:000268249000006</t>
  </si>
  <si>
    <t>Contreras, L; Ritter, A; Dennett, G; Boehmwald, F; Guitton, N; Pineau, C; Moenne, A; Potin, P; Correa, JA</t>
  </si>
  <si>
    <t>Contreras, Loretto; Ritter, Andres; Dennett, Geraldine; Boehmwald, Freddy; Guitton, Nathalie; Pineau, Charles; Moenne, Alejandra; Potin, Philippe; Correa, Juan A.</t>
  </si>
  <si>
    <t>TWO-DIMENSIONAL GEL ELECTROPHORESIS ANALYSIS OF BROWN ALGAL PROTEIN EXTRACTS</t>
  </si>
  <si>
    <t>JOURNAL OF PHYCOLOGY</t>
  </si>
  <si>
    <t>High-quality protein extracts are required for proteomic studies, a field that is poorly developed for marine macroalgae. A reliable phenol extraction protocol using Scytosiphon gracilis Kogame and Ectocarpus siliculosus (Dillwyn) Lyngb. (Phaeophyceae) as algal models resulted in high-quality protein extracts. The performance of the new protocol was tested against four methods available for vascular plants and a seaweed. The protocol, which includes an initial step to remove salts from the algal tissues, allowed the use of highly resolving two-dimensional gel electrophoresis (2-DE) protein analyses, providing the opportunity to unravel potentially novel physiological processes unique to this group of marine organisms.</t>
  </si>
  <si>
    <t>Pineau, Charles/D-9185-2013; Contreras-Porcia, Loretto/F-9593-2016</t>
  </si>
  <si>
    <t>Pineau, Charles/0000-0002-7461-5433; POTIN, Philippe/0000-0001-7358-6282; Ritter, Andres/0000-0001-7011-6824; Contreras-Porcia, Loretto/0000-0002-6511-2244</t>
  </si>
  <si>
    <t>0022-3646</t>
  </si>
  <si>
    <t>1529-8817</t>
  </si>
  <si>
    <t>10.1111/j.1529-8817.2008.00575.x</t>
  </si>
  <si>
    <t>WOS:000259866800023</t>
  </si>
  <si>
    <t>Acrylamide mitigation procedures in fried potatoes</t>
  </si>
  <si>
    <t>Acrylamide diminishing in potato slices and strips was studied in relation to frying temperature and some pre-treatments. Potato slices (Tivoli variety, diameter 37 mm, width: 2.2 mm) were fried at 150, 170 and 190 degrees C until reaching moisture contents of similar to 1.8 percent Prior to frying, potato slices were treated in one of the following ways: (i) blanched in hot water at six different time-temperature combinations (50 degrees C for 30 and 70 min; 70 degrees C for 8 and 40 min; 90 degrees C for 2 and 9 min); (ii) immersed in a citric acid solutions of 10 g/L for half an hour Potato strips (0.8 x 0.8 x 5 cm) of Bintje variety were fried at 150, 170 and 190 degrees C until reaching moisture contents of similar to 40 percent. Prior to frying, potato strips were treated in similar ways to potato slices. Glucose and asparagine contents were determined in potato slices and strips before frying, whereas acrylamide content was determined in the fried potato chips and French fries French fries. Blanching reduced in potato chips on average 76 percent and 68 percent of the glucose and asparagine content compared to the control. Potato slices blanched at 50 degrees C for 70 minutes surprisingly had a very low acrylamide content (28 mu m/kg) even when they were fried at 190 degrees C. Potato immersion in citric acid solution of 10 g/L reduced acrylamide formation by almost 70% for slices fried at 150 degrees C. Color represented by the parameters L* and a* showed high correlations (r(2) of 0.79 and 0.83, respectively) with French fry acrylamide content.</t>
  </si>
  <si>
    <t>WOS:000256440000004</t>
  </si>
  <si>
    <t>Glomm, G; Kawaguchi, D; Sepulveda, F</t>
  </si>
  <si>
    <t>Glomm, Gerhard; Kawaguchi, Daiji; Sepulveda, Facundo</t>
  </si>
  <si>
    <t>Green taxes and double dividends in a dynamic economy</t>
  </si>
  <si>
    <t>JOURNAL OF POLICY MODELING</t>
  </si>
  <si>
    <t>This paper examines a revenue neutral green tax reform along the lines of the double dividend hypothesis. Using a dynamic general equilibrium model calibrated to the US economy, we find that increasing gasoline taxes and using the revenue to reduce capital income taxes does indeed deliver both types of welfare gains: from higher consumption of market goods (an efficiency dividend), and from a better environmental quality (a green dividend), even though in the new steady state environmental quality may worsen. We also find that, given the available evidence on how much households are willing to pay for improvements in air quality, the size of the green dividend is very small in absolute magnitude, and much smaller than the efficiency dividend. (C) 2007 Society for Policy Modeling. Published by Elsevier Inc. All rights reserved.</t>
  </si>
  <si>
    <t>Kawaguchi, Daiji/0000-0002-0595-9443</t>
  </si>
  <si>
    <t>0161-8938</t>
  </si>
  <si>
    <t>10.1016/j.jpolmod.2007.09.001</t>
  </si>
  <si>
    <t>WOS:000252783800002</t>
  </si>
  <si>
    <t>Juliarena, MP; Ruiz, GT; Wolcan, E; Lezna, RO; Feliz, MR; Ferraudi, G; Guerrero, J</t>
  </si>
  <si>
    <t>Juliarena, M. P.; Ruiz, G. T.; Wolcan, E.; Lezna, R. O.; Feliz, M. R.; Ferraudi, G.; Guerrero, J.</t>
  </si>
  <si>
    <t>Inhibition of the fac-(RCO2)ReI(CO3)(bis-azine) photodecarboxylation of the carboxylate ligand, RCO2-, when R is a strongly electron donating group:: Thermal and photochemical properties of complexes where R = ferrocene, 4-(dimethylamino)benzyl</t>
  </si>
  <si>
    <t>ORGANOMETALLICS</t>
  </si>
  <si>
    <t>The photophysical and phtochemical properties of fac-(RCO2)Re-I(CO)(3)L (R = ferrocene, L = phen, 2,2'-bpy; R = 4-(dimethylamino)benzyl (4-DMAB), L = phen) were investigated with continuous and flash photolyses. Their properties were compared with those of fac-(CH3CO2)Re-I(CO)(3)L (L = phen, 2,2'-bpy) complexes. On a femtosecond to 10 ps time scale, the transient spectra of the singlet Re(I) to L charge-transfer excited states, (MLCTRe -&gt; L)-M-1, of fac-(RCO2)Re-I(CO)(3)L (R = ferrocene, 4-DMAB) transform into the spectra of two triplet excited states, the (MLCTRe -&gt; L)-M-3 excited state and a Re(I) to RCO2- charge-transfer excited state, (MLCTRe -&gt; RCO2)-M-3. The (MLCTRe -&gt; RCO2)-M-3 and (MLCTRe -&gt; L)-M-3 excited states have lifetimes that span 10(2) ns to several microseconds. The photodecarboxylation of fac-(RCO2)Re-I(CO)(3)L, initiated in ligand-to-ligand charge-transfer excited states, (LLCTRe -&gt; L)-L-3, is markedly affected by the positions of the (MLCTRe -&gt; RCO2)-M-3 and (MLCTRe -&gt; L)-M-3 excited states. In addition, the low energy of (LLCTRCO2 -&gt; L)-L-3 in the fac-(RCO2)Re-I(CO)(3)L (L = phen, 2,2'-bpy) complexes, relative to those of fac-(CH3CO2)Re-I(CO)(3)L (L = phen, 2,2'-bpy) decreases the efficiency of the photodecarboxylation reaction.</t>
  </si>
  <si>
    <t>Wolcan, Ezequiel/0000-0003-3516-1632; Juliarena, Maria Paula/0000-0003-2923-1163</t>
  </si>
  <si>
    <t>0276-7333</t>
  </si>
  <si>
    <t>1520-6041</t>
  </si>
  <si>
    <t>10.1021/om0604775</t>
  </si>
  <si>
    <t>WOS:000243339300005</t>
  </si>
  <si>
    <t>Philippe, S; Bradley, AL; Surre, F; Kennedy, B; Landais, P</t>
  </si>
  <si>
    <t>Marciniak, M</t>
  </si>
  <si>
    <t>Philippe, S.; Bradley, A. L.; Surre, F.; Kennedy, B.; Landais, P.</t>
  </si>
  <si>
    <t>Dynamics of non-linear polarisation rotation in semiconductor optical amplifiers</t>
  </si>
  <si>
    <t>ICTON 2007: PROCEEDINGS OF THE 9TH INTERNATIONAL CONFERENCE ON TRANSPARENT OPTICAL NETWORKS, VOL 2</t>
  </si>
  <si>
    <t>9th International Conference on Transparent Optical Networks (ICTON 2007)</t>
  </si>
  <si>
    <t>JUL 01-05, 2007</t>
  </si>
  <si>
    <t>Rome, ITALY</t>
  </si>
  <si>
    <t>IEEE,IEEE Lasers &amp; Electro Opt Soc,IEEE, LEOS Poland Chapter,COST,Instytut Lacznosci,iscom,IT,Univ Studi, Roma Tor Vergata,Univ Studi, ROMA TRE,Inst Supenore Antinicendi,e-Photon ONe</t>
  </si>
  <si>
    <t>A free space contra-propagation set-up is implemented and a dynamic pump-probe study of a SOA in the picosecond regime is undertaken. The dynamics of the change in the probe state of polarisation is investigated and the implications for polarisation switching discussed. Polarisation resolved detection is shown to enhance switching performance for carefully chosen polarizer orientation.</t>
  </si>
  <si>
    <t>Kennedy, Brendan/C-2455-2013; Bradley, Louise/G-5108-2011; Landais, Pascal/AAI-2239-2020</t>
  </si>
  <si>
    <t>Surre, Frederic/0000-0003-1605-0531; Bradley, Louise/0000-0002-9399-8628</t>
  </si>
  <si>
    <t>10.1109/ICTON.2007.4296194</t>
  </si>
  <si>
    <t>WOS:000250511200073</t>
  </si>
  <si>
    <t>Isaacs, M; Armijo, F; Ramírez, G; Trollund, E; Biaggio, SR; Costamagna, J; Aguirre, MJ</t>
  </si>
  <si>
    <t>Electrochemical reduction of CO2 mediated by poly-M-aminophthalocyanines (M = Co, Ni, Fe):: poly-Co-tetraaminophthalocyanine, a selective catalyst</t>
  </si>
  <si>
    <t>The electrochemical reduction of carbon dioxide was studied on a glassy carbon electrode modified with either polymeric M-tetrakis aminophthalocyanines (M = Co, Ni, Fe) or with the polymeric free ligand, in aqueous electrolyte. The reaction products are dependent on the central ion: for Co-polymer the only reaction product found was formic acid; for Ni polymer, formic acid and formaldehyde were found, whereas formaldehyde and H, were detected for Fe polymer. For the free ligand polymer only H-2 was detected. Spectroelectrochemical experiments show that in the case of Co-polymer, Co(l) is the active site of the electrocatalysis but the reduced cobalt center and the reduced ligand are not enough to promote the reduction of the carbon dioxide and an extra overpotential is necessary. In the case of the Ni polymer, the reaction takes place at the same potential where the complex is double reduced and it is not necessary to apply more potential. On the other hand, there are important differences between the morphologies of both polymers as demonstrated by electrochemical impedance spectroscopy. The experiments show that the metallic center affects the kinetics of polymerization and the polymer morphology. On the other hand, the chemical nature of the metal center of the catalyst is the most important factor in the electrochemical reduction of CO, and the products involved. (C) 2004 Elsevier B.V. All rights reserved.</t>
  </si>
  <si>
    <t>Aguirre, Maria/A-3935-2013; Isaacs, Mauricio/N-3027-2013; Armijo, Francisco/G-3391-2013; Biaggio, Sonia R./D-9810-2012</t>
  </si>
  <si>
    <t>Armijo, Francisco/0000-0002-2479-6280; Ramirez, Galo/0000-0002-6217-4730; Isaacs Casanova, Mauricio/0000-0003-0503-0949; Biaggio, Sonia R./0000-0003-2127-859X; Aguirre, Maria/0000-0003-1134-4469</t>
  </si>
  <si>
    <t>1873-314X</t>
  </si>
  <si>
    <t>MAR 29</t>
  </si>
  <si>
    <t>10.1016/j.molcata.2004.11.026</t>
  </si>
  <si>
    <t>WOS:000227266100035</t>
  </si>
  <si>
    <t>Fudym, O; Ladevie, B; Batsale, JC</t>
  </si>
  <si>
    <t>A seminumerical approach for heat diffusion in heterogeneous media: One extension of the analytical quadrupole method</t>
  </si>
  <si>
    <t>NUMERICAL HEAT TRANSFER PART B-FUNDAMENTALS</t>
  </si>
  <si>
    <t>The analytical thermal quadrupole method is suitable for the modeling of multidimensional transient heat diffusion in homogeneous media, especially when applied to multilayered media. Here, we propose a new approach in order to extend the quadrupole frame to heterogeneous media. A seminumerical general solution is proposed for transient heat transfer in finite or semi-infinite media in both axial and radial coordinate systems, when the variation of thermal properties is one-dimensional. The presentation of the method is explained with a 2-D two-layer slab case. Some application examples are then presented from this basic case. The analytical expressions allow deep insight about the physical phenomenon.</t>
  </si>
  <si>
    <t>1040-7790</t>
  </si>
  <si>
    <t>10.1080/10407790190053978</t>
  </si>
  <si>
    <t>WOS:000178512400003</t>
  </si>
  <si>
    <t>Knobel, M; Sampaio, LC; Sinnecker, EHCP; Vargas, P; Altbir, D</t>
  </si>
  <si>
    <t>Dipolar magnetic interactions among magnetic microwires</t>
  </si>
  <si>
    <t>International Workshop on Magnetic Wires (IWMW)</t>
  </si>
  <si>
    <t>JUN 20-22, 2001</t>
  </si>
  <si>
    <t>SAN SEBASTIAN, SPAIN</t>
  </si>
  <si>
    <t>This paper presents a brief review of experiments and simulations on dipole-dipole interacting magnetic microwires that form a linear chain. In particular, recent studies on (a) amorphous Fe77.5Si7.5B15 and (b) granular Cu45Ni25Co29Mn1 microwires are discussed. Hysteresis loops were performed at room temperature for an array of N microwires (N = 1-5 for (a) and N = 1-100 for (b)) and compared with Monte Carlo simulations. In the case of amorphous soft magnetic materials (a), clear steps and plateaux on the demagnetization are visible, each step corresponding to the magnetization reversal of an individual wire. In the case of CuNiCoMn microwires (b), that exhibit a granular structure and a nearly superparamagnetic behavior when isolated, it was found that the coercivity abruptly changes from 20 to 700 Oe for N around 10. Novel Monte Carlo simulations are presented, providing useful insights about the effect of long-range interactions that account for the interesting observed magnetic behaviors. (C) 2002 Elsevier Science B.V. All rights reserved.</t>
  </si>
  <si>
    <t>Vargas, Patricio/AAL-2633-2020; Sinnecker, Elis/D-6036-2015; Sampaio, luiz/P-1759-2018; Altbir, Dora/R-6781-2018; Knobel, Marcelo/A-2843-2009</t>
  </si>
  <si>
    <t>Altbir, Dora/0000-0002-2945-4909; de Campos Pinto Sinnecker, Elis Helena/0000-0001-6620-6448; Knobel, Marcelo/0000-0002-6540-9267; vargas, patricio/0000-0001-9235-9747</t>
  </si>
  <si>
    <t>PII S0304-8853(02)00504-8</t>
  </si>
  <si>
    <t>10.1016/S0304-8853(02)00504-8</t>
  </si>
  <si>
    <t>WOS:000179113100012</t>
  </si>
  <si>
    <t>Martinez, D; Campos, AM; Pazos, F; Alvarez, C; Lanio, ME; Casallanovo, F; Schreier, S; Salinas, RK; Vergara, C; Lissi, E</t>
  </si>
  <si>
    <t>Properties of St I and St II, two isotoxins isolated from Stichodactyla helianthus:: a comparison</t>
  </si>
  <si>
    <t>Sticholysins I and II are two highly hemolytic polypeptides purified from the Caribbean Sea anemone Stichodactyla helianthus. Their high sequence homology (93%) indicates that they correspond to isoforms of the same hemolysin. The spectroscopic measurements show a close similarity in the secondary structure content, conformation and stability of both toxins. Exposure of the toxins to high pHs (&gt; 11), a free radical source (AAPH), urea or temperature produce permanent changes in the toxin that lead to a significant loss of HA. It is significant to note that this loss of hemolytic activity occurs when other indicators, probably with the only exception of near-UV CD spectra, barely detect changes in the protein structure. This emphasizes the sensitivity of the protein function to changes in the macromolecule conformation. The most noticeable difference between both toxins is the considerably higher activity of St II, both measured in terms of erythrocyte internal K+ exit or hemolysis; which is related to enthalpic factors. This difference is not due to an incomplete association of St I to the membrane. We consider then that the different pore forming capacity of both toxins in erythrocytes can be explained in terms of the difference in charge of the N-terminal fragment, than can considerably reduce the St I insertion rate in the membrane probably due to the negatively charged outer leaflet of the red blood cell, without a significant reduction of its capacity to bind to the cell membrane. This electrostatic effect, together with a slightly more relaxed structure in St II, could explain the higher pore forming capacity of St II in the red blood cell membrane. (C) 2001 Elsevier Science Ltd. All rights reserved.</t>
  </si>
  <si>
    <t>Vergara, Cecilia/H-6964-2014; Schreier, Shirley/F-7001-2014; Casallanovo, Fabio/AHE-5422-2022; Campos Staffico, Alessandra/IOK-4172-2023; Kopke Salinas, Roberto/C-2036-2012</t>
  </si>
  <si>
    <t>Fabiola, Isabel/0000-0002-9502-2186; Kopke Salinas, Roberto/0000-0003-1032-7683</t>
  </si>
  <si>
    <t>10.1016/S0041-0101(01)00127-1</t>
  </si>
  <si>
    <t>WOS:000170547900012</t>
  </si>
  <si>
    <t>Valdés, JE; Vargas, P; Arista, NR</t>
  </si>
  <si>
    <t>Energy losses of muons, pions, protons, and deuterons channeled in Si</t>
  </si>
  <si>
    <t>PHYSICAL REVIEW LETTERS</t>
  </si>
  <si>
    <t>The energy loss of positive muons,: pions, protons, and deuterons channeled in Si crystals has been investigated by computer simulation. The model considers the individual trajectories of particles inside the target and calculates the electronic energy loss for each particle history. The results show important differences in the energy loss distributions, stopping powers, and straggling values for low and intermediate energies, as a consequence of channeling effects.</t>
  </si>
  <si>
    <t>Valdes, Jorge/IYJ-2578-2023; Vargas, Patricio/AAL-2633-2020</t>
  </si>
  <si>
    <t>vargas, patricio/0000-0001-9235-9747; Valdes Leyton, Jorge Eduardo/0000-0001-5465-7567</t>
  </si>
  <si>
    <t>0031-9007</t>
  </si>
  <si>
    <t>NOV 27</t>
  </si>
  <si>
    <t>10.1103/PhysRevLett.85.4731</t>
  </si>
  <si>
    <t>WOS:000165556600022</t>
  </si>
  <si>
    <t>Bittencourt, GHR; Castro, M; Nunez, AS; Altbir, D; Allende, S; Carvalho-Santos, VL</t>
  </si>
  <si>
    <t>Bittencourt, Guilherme H. R.; Castro, Mario; Nunez, Alvaro S.; Altbir, Dora; Allende, Sebastian; Carvalho-Santos, Vagson L.</t>
  </si>
  <si>
    <t>Chiral spin-transfer torque induced by curvature gradient</t>
  </si>
  <si>
    <t>NANOSCALE</t>
  </si>
  <si>
    <t>This work analyzes the propagation of a transverse domain wall (DW) under the action of an electric current along a nanowire with a curvature gradient. Our results evidence that the curvature gradient induces a chiral spin-transfer torque (CSTT) whose effect on the DW dynamics depends on the direction along which the DW points, evidencing a curvature-induced non-reciprocity in the current-driven DW motion. The origin of the CSTT is explained in terms of a position-dependent effective field associated with the DW profile and the electric current direction. This current-driven chiral effect is responsible for direction-dependent reinforcing or blocking the DW propagation. The emergence of curvature-induced chiral spin transport is a phenomenon to consider when designing spintronic devices. A curvature-induced chiral spin-transfer torque (CSTT) is responsible for causing handedness in DW motion along a nanowire with a curvature gradient. The current-driven transport depends on DW chirality and current direction.</t>
  </si>
  <si>
    <t>Castro, Mario/ABD-7776-2021; Bittencourt, Guilherme/MXM-5181-2025; Núñez, Alvaro/F-4572-2011; Altbir, Dora/R-6781-2018; Carvalho-Santos, Vagson/E-8806-2013</t>
  </si>
  <si>
    <t>Altbir, Dora/0000-0002-2945-4909; Nunez, Alvaro S./0000-0002-6804-9703; Rezende Bittencourt, Guilherme Henrique/0000-0002-0912-8444; Carvalho-Santos, Vagson/0000-0002-2759-2152</t>
  </si>
  <si>
    <t>2040-3364</t>
  </si>
  <si>
    <t>2040-3372</t>
  </si>
  <si>
    <t>SEP 19</t>
  </si>
  <si>
    <t>10.1039/d4nr01068j</t>
  </si>
  <si>
    <t>AUG 2024</t>
  </si>
  <si>
    <t>WOS:001298422100001</t>
  </si>
  <si>
    <t>alvarez-Carrasco, F; Varela, P; Sarabia-Vallejos, MA; García-Herrera, C; Saavedra, M; Zapata, PA; Zárate-Triviño, D; Martinez, JJ; Canales, DA</t>
  </si>
  <si>
    <t>alvarez-Carrasco, Fabian; Varela, Pablo; Sarabia-Vallejos, Mauricio A.; Garcia-Herrera, Claudio; Saavedra, Marcela; Zapata, Paula A.; Zarate-Trivino, Diana; Martinez, Juan Jose; Canales, Daniel A.</t>
  </si>
  <si>
    <t>Development of Bioactive Hybrid Poly(lactic acid)/Poly(methyl methacrylate) (PLA/PMMA) Electrospun Fibers Functionalized with Bioglass Nanoparticles for Bone Tissue Engineering Applications</t>
  </si>
  <si>
    <t>Hybrid scaffolds that are based on PLA and PLA/PMMA with 75/25, 50/50, and 25/75 weight ratios and functionalized with 10 wt.% of bioglass nanoparticles (n-BG) were developed using an electrospinning technique with a chloroform/dimethylformamide mixture in a 9:1 ratio for bone tissue engineering applications. Neat PLA and PLA/PMMA hybrid scaffolds were developed successfully through a (CF/DMF) solvent system, obtaining a random fiber deposition that generated a porous structure with pore interconnectivity. However, with the solvent system used, it was not possible to generate fibers in the case of the neat PMMA sample. With the increase in the amount of PMMA in PLA/PMMA ratios, the fiber diameter of hybrid scaffolds decreases, and the defects (beads) in the fiber structure increase; these beads are associated with a nanoparticle agglomeration, that could be related to a low interaction between n-BG and the polymer matrix. The Young's modulus of PLA/PMMA/n-BG decreases by 34 and 80%, indicating more flexible behavior compared to neat PLA. The PLA/PMMA/n-BG scaffolds showed a bioactive property related to the presence of hydroxyapatite crystals in the fiber surface after 28 days of immersion in a Simulated Body Fluids solution (SBF). In addition, the hydrolytic degradation process of PLA/PMMA/n-BG, analyzed after 35 days of immersion in a phosphate-buffered saline solution (PBS), was less than that of the pure PLA. The in vitro analysis using an HBOF-1.19 cell line indicated that the PLA/PMMA/n-BG scaffold showed good cell viability and was able to promote cell proliferation after 7 days. On the other hand, the in vivo biocompatibility evaluated via a subdermal model in BALC male mice corroborated the good behavior of the scaffolds in avoiding the generation of a cytotoxic effect and being able to enhance the healing process, suggesting that the materials are suitable for potential applications in tissue engineering.</t>
  </si>
  <si>
    <t>Canales Arévalo, Daniel/HSG-6748-2023; Sarabia-Vallejos, Mauricio/AAY-2890-2020; García-Herrera, Claudio/ABE-8991-2020; ZARATE TRIVINO, DIANA GINETTE/I-3070-2017</t>
  </si>
  <si>
    <t>Zapata, Paula Andrea/0000-0003-3361-6226; Martinez Sanmiguel, Juan Jose/0000-0002-8460-4615; ZARATE TRIVINO, DIANA GINETTE/0000-0002-0852-8948; Garcia-Herrera, Claudio/0000-0002-1283-8551; Varela, Pablo/0009-0001-2957-1064; Alvarez Carrasco, Fabian/0009-0000-2506-4623; Sarabia-Vallejos, Mauricio A./0000-0001-5128-796X</t>
  </si>
  <si>
    <t>10.3390/ijms25136843</t>
  </si>
  <si>
    <t>WOS:001268051200001</t>
  </si>
  <si>
    <t>Ramírez-Carrasco, P; Alemán, A; González, E; Gómez-Guillén, MC; Robert, P; Giménez, B</t>
  </si>
  <si>
    <t>Ramirez-Carrasco, Patricia; Aleman, Ailen; Gonzalez, Estefania; Gomez-Guillen, M. Carmen; Robert, Paz; Gimenez, Begona</t>
  </si>
  <si>
    <t>Bioaccessibility, Intestinal Absorption and Anti-Inflammatory Activity of Curcuminoids Incorporated in Avocado, Sunflower, and Linseed Beeswax Oleogels</t>
  </si>
  <si>
    <t>Beeswax oleogels (OGs), with a mechanical strength similar to pork backfat, were formulated with avocado (A), sunflower (S), and linseed (L) oils, applying a central composite design plus star point, and were evaluated as oral delivery vehicles of curcuminoids (OGACur, OGSCur, OGLCur). The incorporation of curcumin into the OG matrix significantly delayed both the formation of peroxides and conjugated trienes (K-268 values), and the degradation rate of curcumin decreased with the increase of the oil polyunsaturated fatty acids (PUFA) content. The oil structuring did not affect the bioaccessibility of curcuminoids (&gt;55% in all the OGs, regardless of the oil type), but it did reduce the release of fatty acids (similar to 10%) during in vitro gastrointestinal digestion. The intestinal absorption, evaluated in Caco-2 cell monolayers, was higher for the micelle-solubilized curcumin from the digested OG than from unstructured oils, and it showed high anti-inflammatory potential by inhibiting the tumor necrosis factor-alpha (TNF-alpha) production compared to the positive control, both before and after the stimulation of ThP-1 cells with LPS. Regardless of the oil type, these beeswax-based OGs with gel-like behavior designed as fat replacers may be promising vehicles for the oral delivery of curcuminoids.</t>
  </si>
  <si>
    <t>Perez, Ailen/L-5836-2014; Gomez-Guillen, M. Carmen/K-7796-2014</t>
  </si>
  <si>
    <t>Gonzalez, Estefania/0009-0005-9786-8627; Gomez-Guillen, M. Carmen/0000-0003-1063-9169; Gimenez, Begona/0000-0002-9553-6291</t>
  </si>
  <si>
    <t>10.3390/foods13030373</t>
  </si>
  <si>
    <t>WOS:001161100500001</t>
  </si>
  <si>
    <t>Lara, C; Bezmalinovic, A; García-Herrera, C; Ríos, S; Valenzuela, LM; Martínez, CE</t>
  </si>
  <si>
    <t>Lara, Cesar; Bezmalinovic, Alejandro; Garcia-Herrera, Claudio; Rios, Susana; Valenzuela, Loreto M.; Martinez, Constanza E.</t>
  </si>
  <si>
    <t>Leukocyte- and Platelet-Rich Fibrin (L-PRF) Obtained from Smokers and Nonsmokers Shows a Similar Uniaxial Tensile Response In Vitro</t>
  </si>
  <si>
    <t>BIOMEDICINES</t>
  </si>
  <si>
    <t>We evaluated and compared the biomechanical properties of Leukocyte-and Platelet Rich Fibrin L-PRF clots and membranes derived from smoker and nonsmoker donors. Twenty venous-blood donors (aged 18 to 50 years) were included after signing informed consent forms. L-PRF clots were analyzed and then compressed to obtain L-PRF membranes. L-PRF clot and membrane samples were tested in quasi-static uniaxial tension and the stress-stretch response was registered and characterized. Furthermore, scanning electron microscope representative images were taken to see the fibrin structure from both groups. The analysis of stress-stretch curves allowed us to evaluate the statistical significance in differences between smoker and nonsmoker groups. L-PRF membranes showed a stiffer response and higher tensile strength when compared to L-PRF clots. However, no statistically significant differences were found between samples from smokers and nonsmokers. With the limitations of our in vitro study, we can suggest that the tensile properties of L-PRF clots and membranes from the blood of smokers and nonsmokers are similar. More studies are necessary to fully characterize the effect of smoking on the biomechanical behavior of this platelet concentrate, to further encourage its use as an alternative to promote wound healing in smokers.</t>
  </si>
  <si>
    <t>García-Herrera, Claudio/ABE-8991-2020; Valenzuela, Loreto/E-8094-2013</t>
  </si>
  <si>
    <t>Rios, Susana/0009-0007-6508-4240; Garcia-Herrera, Claudio/0000-0002-1283-8551; Bezmalinovic, Alejandro/0000-0002-2698-770X; Martinez-Cardozo, Constanza/0000-0003-1761-1767; Valenzuela, Loreto/0000-0002-5220-9602</t>
  </si>
  <si>
    <t>2227-9059</t>
  </si>
  <si>
    <t>10.3390/biomedicines11123286</t>
  </si>
  <si>
    <t>WOS:001130649900001</t>
  </si>
  <si>
    <t>Krüger, G; Pardo-Esté, C; Zepeda, P; Olivares-Pacheco, J; Galleguillos, N; Suarez, M; Castro-Severyn, J; Alvarez-Thon, L; Tello, M; Valdes, JH; Saavedra, CP</t>
  </si>
  <si>
    <t>Kruger, Gabriel I.; Pardo-Este, Coral; Zepeda, Phillippi; Olivares-Pacheco, Jorge; Galleguillos, Nicolas; Suarez, Marcia; Castro-Severyn, Juan; Alvarez-Thon, Luis; Tello, Mario; Valdes, Jorge H.; Saavedra, Claudia P.</t>
  </si>
  <si>
    <t>Mobile genetic elements drive the multidrug resistance and spread of Salmonella serotypes along a poultry meat production line</t>
  </si>
  <si>
    <t>The presence of mobile genetic elements in Salmonella isolated from a chicken farm constitutes a potential risk for the appearance of emerging bacteria present in the food industry. These elements contribute to increased pathogenicity and antimicrobial resistance through genes that are related to the formation of biofilms and resistance genes contained in plasmids, integrons, and transposons. One hundred and thirty-three Salmonella isolates from different stages of the production line, such as feed manufacturing, hatchery, broiler farm, poultry farm, and slaughterhouse, were identified, serotyped and sequenced. The most predominant serotype was Salmonella Infantis. Phylogenetic analyses demonstrated that the diversity and spread of strains in the pipeline are serotype-independent, and that isolates belonging to the same serotype are very closely related genetically. On the other hand, Salmonella Infantis isolates carried the pESI IncFIB plasmid harboring a wide variety of resistance genes, all linked to mobile genetic elements, and among carriers of these plasmids, the antibiograms showed differences in resistance profiles and this linked to a variety in plasmid structure, similarly observed in the diversity of Salmonella Heidelberg isolates carrying the IncI1-I alpha plasmid. Mobile genetic elements encoding resistance and virulence genes also contributed to the differences in gene content. Antibiotic resistance genotypes were matched closely by the resistance phenotypes, with high frequency of tetracycline, aminoglycosides, and cephalosporins resistance. In conclusion, the contamination in the poultry industry is described throughout the entire production line, with mobile genetic elements leading to multi-drug resistant bacteria, thus promoting survival when challenged with various antimicrobial compounds.</t>
  </si>
  <si>
    <t>Pardo Esté, Coral/KTI-4323-2024; Tello, Mario/N-4198-2019; Olivares Pacheco, Jorge/M-7714-2017</t>
  </si>
  <si>
    <t>Pardo-Este, Coral/0000-0003-0958-3268; Olivares Pacheco, Jorge/0000-0002-6841-7182; Kruger, Gabriel/0000-0001-8681-8636; Tello, Mario/0000-0003-4573-6460</t>
  </si>
  <si>
    <t>10.3389/fmicb.2023.1072793</t>
  </si>
  <si>
    <t>WOS:000961219900001</t>
  </si>
  <si>
    <t>Villalobos, R; Moreira-Arce, D; Hernandez, F; Castro-Pastene, C</t>
  </si>
  <si>
    <t>Villalobos, Rodrigo; Moreira-Arce, Dario; Hernandez, Felipe; Castro-Pastene, Carlos</t>
  </si>
  <si>
    <t>Using the precautionary principle to halt mining and save the Endangered Andean cat in Chile</t>
  </si>
  <si>
    <t>ORYX</t>
  </si>
  <si>
    <t>Moreira-Arce, Dario/ABG-2898-2021</t>
  </si>
  <si>
    <t>Hernandez, Felipe/0000-0003-3250-9701</t>
  </si>
  <si>
    <t>0030-6053</t>
  </si>
  <si>
    <t>1365-3008</t>
  </si>
  <si>
    <t>PII S0030605322000801</t>
  </si>
  <si>
    <t>10.1017/S0030605322000801</t>
  </si>
  <si>
    <t>WOS:000847361700012</t>
  </si>
  <si>
    <t>Pérez-Pérez, T; Pereda-Reyes, I; Correia, GT; Pozzi, E; Kwong, WH; Oliva-Merencio, D; Zaiat, M; Montalvo, S; Huiliñnir, C</t>
  </si>
  <si>
    <t>Perez-Perez, Tania; Pereda-Reyes, Ileana; Correia, Gleyce Teixeira; Pozzi, Eloisa; Kwong, Wu Hong; Oliva-Merencio, Deny; Zaiat, Marcelo; Montalvo, Silvio; Huilinir, Cesar</t>
  </si>
  <si>
    <t>Performance of EGSB reactor using natural zeolite as support for treatment of synthetic swine wastewater</t>
  </si>
  <si>
    <t>An expanded granular sludge bed (EGSB) reactor using natural zeolite as support was evaluated for treating synthetic swine wastewaters. The process was operated at 30 degrees C during 255 days in two reactors at laboratory scale. The control reactor (Rc) was operated only with granular sludge while 120 g of zeolite was supplemented additionally in the other reactor (Rz). The anaerobic processes were developed with organic loading rate (OLR) up to 15 kgCOD/m(3) d and different up-flow velocities (v(up)) were applied (6, 10 m/h). An operation up to 10 kgCOD/m(3) d at 6 m/h no significant differences were found between reactors, but at 10 m/h and 15 kgCOD/m(3) d, the zeolite-EGSB reactor provides a more stable process, with 89.1% of COD removal efficiency and less than 1 g/L of volatile fatty acids (VFAs) accumulation. Differences in granule formation and size as well as the populations of Bacteria and Archaea between the two reactors demonstrated the positive influence of zeolite addition.</t>
  </si>
  <si>
    <t>Huilinir, Cesar/IYS-6899-2023; Pereda Reyes, Ileana/J-9415-2014; Oliva Merencio, Deny/D-1912-2015; Zaiat, Marcelo/C-4752-2012</t>
  </si>
  <si>
    <t>Pereda Reyes, Ileana/0000-0001-6517-4202; Pozzi, Eloisa/0000-0002-6631-8295; Huilinir, Cesar/0000-0002-3487-684X; Oliva Merencio, Deny/0000-0001-8117-3605; Zaiat, Marcelo/0000-0001-7336-9093</t>
  </si>
  <si>
    <t>2213-2929</t>
  </si>
  <si>
    <t>10.1016/j.jece.2020.104922</t>
  </si>
  <si>
    <t>WOS:000615230700006</t>
  </si>
  <si>
    <t>Carmo, KEO; Pérez, DIV; Valido, CN; dos Santos, JL; Miarka, B; Mendes-Netto, RS; Leite, MMR; Antoniêtto, NR; Aedo-Muñoz, EA; Brito, CJ</t>
  </si>
  <si>
    <t>Carmo, Kelvin Euton Oliveira; Perez, Diego Ignacio Valenzuela; Valido, Charles Nardelli; dos Santos, Jymmys Lopes; Miarka, Bianca; Mendes-Netto, Raquel Simoes; Leite, Marina Macedo Rodrigues; Antonietto, Naiara Ribeiro; Aedo-Munoz, Esteban Ariel; Brito, Ciro Jose</t>
  </si>
  <si>
    <t>Caffeine improves biochemical and specific performance after judo training: a double-blind crossover study in a real judo training situation</t>
  </si>
  <si>
    <t>NUTRITION &amp; METABOLISM</t>
  </si>
  <si>
    <t>Background Nutritional ergogenic aids are foods or nutrients that can improve physical performance. Among these foods with ergogenic properties, caffeine has shown that it can increase the fat catabolism, strength, and improve the cognition and time reaction of an athlete, therefore, it is hoped that it can improve the performance of judokas. This study through a double-blind crossover (supplement X placebo) protocol, investigated the effects caffeine supplementation (single capsule containing 5 mg/kg body mass intake 60 min before the session) on biochemical, anthropometrical, physical, subjective and hemodynamic variables measured before, during and after two typical judo trainingcxs sessions (120-min: 40-min of gymnastics; 40-min of specific technics and; 40-min of judo combat). Methods 8 high-level athletes (21.4 +/- 2.0 years; 83.6 +/- 15.2 kg; 1.8 +/- 0.1 m; 17.9 +/- 7.0 Fat%) were evaluated before and after each training for body mass, hydration, upper and lower limb power, performance in the special judo fitness test (SJFT), free fatty acids (FFA) in plasma, uric acid, glucose, lactate, heart rate, and pain. In addition, heart rate, FFA in plasma, uric acid, glucose, lactate, rating of perceived exertion and pain were assessed during the training. Results At 120 min, supplementation resulted in a higher concentration of plasma FFA (1.5 +/- 0.5 vs. 1.0 +/- 0.3 mmol/L; p = 0.047) and lactate (4.9 +/- 1.8 vs. 3.0 +/- 1.2 mmol/L; p = 0.047), and a lower concentration of uric acid (5.4 +/- 0.9 vs. 7.0 +/- 1.5 mg/dL; p = 0.04). Supplementation also resulted in performance maintenance (fatigue index) in the SJFT (Delta 0.3 +/- 2.0 vs Delta 1.7 +/- 2.5, for caffeine and placebo respectively, p = 0.046). No adverse effects were observed. Conclusion Based on the applied dose, intake time, and sample of this study, we can conclude that caffeine produces an ergogenic biochemical effect, and improves performance in judo athletes.</t>
  </si>
  <si>
    <t>Aedo-Muñoz, Esteban/R-5623-2019; Mendes-Netto, Raquel/W-8120-2019; Miarka, Bianca/V-7395-2017; Brito, Ciro/AAC-9104-2019</t>
  </si>
  <si>
    <t>Mendes-Netto, Raquel Simoes/0000-0001-8238-8958; Aedo-Munoz, Esteban/0000-0003-1544-2824; Valenzuela Perez, Diego Ignacio/0000-0002-9884-1187; brito, ciro/0000-0002-9678-1977</t>
  </si>
  <si>
    <t>1743-7075</t>
  </si>
  <si>
    <t>JAN 23</t>
  </si>
  <si>
    <t>10.1186/s12986-021-00544-5</t>
  </si>
  <si>
    <t>WOS:000610531400001</t>
  </si>
  <si>
    <t>Govan, J; Abarca, G; Aliaga, C; Sanhueza, B; Orellana, W; Cardenas-Jirón, G; Zagal, JH; Tasca, F</t>
  </si>
  <si>
    <t>Govan, Joseph; Abarca, Gabriel; Aliaga, Carolina; Sanhueza, Byran; Orellana, Walter; Cardenas-Jiron, Gloria; Zagal, Jose H.; Tasca, Federico</t>
  </si>
  <si>
    <t>Influence of cyano substituents on the electron density and catalytic activity towards the oxygen reduction reaction for iron phthalocyanine. The case for Fe(II) 2,3,9,10,16,17,23,24-octa(cyano)phthalocyanine</t>
  </si>
  <si>
    <t>Iron(II) 2,3,9,10,16,17,23,24-octa(cyano)phthalocyanine (OCNFePc), was tested as a catalyst for the oxygen reduction reaction (ORR) adsorbed on carbon nanotubes. The composite was analyzed spectroscopically and electrochemically characterized at pH 13 and pH 1. The composite showed close to 4 electron processes at pH 13. Computational analysis indicates that the O-2 molecule binds end-on to the metal center and that the di oxygen molecule is dissociated on both the Fe metal center and the corral ring. An Analysis of the molecular electrostatic potential confirms the behavior of cyano residues as electron-withdrawing moieties in OCNFePc. As a result of its catalytic behavior and theoretical analysis of its O-2 binding energy, OCNFePc was placed in a high position on a volcano correlation of similar phthalocyanine composites.</t>
  </si>
  <si>
    <t>Tasca, Federico/J-4134-2015; zagal, jose/L-9648-2014; Orellana, Walter/F-2068-2014; Abarca, Gabriel/O-3451-2019; Govan, Joseph/AAR-4394-2021; Abarca Anjari, Gabriel/L-4006-2016; Cardenas-Jiron, Gloria/H-9508-2012</t>
  </si>
  <si>
    <t>Tasca, Federico/0000-0002-4111-4624; Govan, Joseph/0000-0001-7668-1883; Zagal, Jose/0000-0002-5276-1042; Abarca Anjari, Gabriel/0000-0001-8477-2275; Cardenas-Jiron, Gloria/0000-0003-4305-8088</t>
  </si>
  <si>
    <t>10.1016/j.elecom.2020.106784</t>
  </si>
  <si>
    <t>WOS:000567801100006</t>
  </si>
  <si>
    <t>Burgos, H; Hernández, A; Constandil, L; Ríos, M; Flores, O; Puentes, G; Hernández, K; Morgan, C; Valladares, L; Castillo, A; Cofre, C; Milla, LA; Sáez-Briones, P; Barra, R</t>
  </si>
  <si>
    <t>Burgos, Hector; Hernandez, Alejandro; Constandil, Luis; Rios, Miguel; Flores, Osvaldo; Puentes, Gustavo; Hernandez, Karina; Morgan, Carlos; Valladares, Luis; Castillo, Amparo; Cofre, Christian; Milla, Luis A.; Saez-Briones, Patricio; Barra, Rafael</t>
  </si>
  <si>
    <t>Early postnatal environmental enrichment restores neurochemical and functional plasticities of the cerebral cortex and improves learning performance in hidden-prenatally-malnourished young-adult rats</t>
  </si>
  <si>
    <t>BEHAVIOURAL BRAIN RESEARCH</t>
  </si>
  <si>
    <t>Moderate reduction of dietary protein (from 25% to 8% casein) in pregnant rats, calorically compensated by carbohydrates, gives rise to 'hidden prenatal malnutrition' (HPM) in the offspring since it does not alter body and brain weights of pups at birth. However, this dietary treatment leads to decreased beta-adrenoceptor signaling and brain derived neurotrophic factor (BDNF) levels in the pup' brain, altogether with defective cortical long-term potentiation (LTP) and lowered visuospatial memory performance. Since early postnatal environmental enrichment (EE) has been shown to exert plastic effects on the developing brain and neuroprotection both on cognition and on structural properties of the neocortex, in the present study we addressed the question of whether early postnatal EE during the lactation period could exert compensatory changes in the expression of (R)-adrenergic receptors and BDNF in the neocortex of HPM rats, and if these effects are associated with an improvement or even a restore of both neocortical LTP in vivo and cognitive performance induced by HPM. The results obtained show that EE restored beta-adrenoceptor density, BDNF expression and the ability to support LTP at prefrontal and occipital cortices of HPM rats. Besides, EE improved learning performance in visuospatial and operant conditioning tasks. The latter support the notion that adequate maternal protein nutrition during pregnancy is required for proper brain development and function. Further, the results highlight the role of environmental enrichment during early postnatal life in increasing later brain plasticity and exerting neuroprotection against brain deficits induced by prenatal malnutrition.</t>
  </si>
  <si>
    <t>Milla, Luis/AAU-5222-2020; Hernandez, Alejandro/M-4796-2019; BURGOS, HECTOR/ABA-6821-2020</t>
  </si>
  <si>
    <t>Hernandez, Alejandro/0000-0001-9222-6522; BURGOS, HECTOR/0000-0001-7705-4347; Constandil, Luis/0000-0002-2504-0119; Milla, Luis/0000-0001-9738-6234</t>
  </si>
  <si>
    <t>0166-4328</t>
  </si>
  <si>
    <t>1872-7549</t>
  </si>
  <si>
    <t>MAY 2</t>
  </si>
  <si>
    <t>10.1016/j.bbr.2019.02.001</t>
  </si>
  <si>
    <t>WOS:000460822600023</t>
  </si>
  <si>
    <t>Rosas-Arellano, A; Estrada-Mondragón, A; Mantellero, CA; Tejeda-Guzmán, C; Castro, MA</t>
  </si>
  <si>
    <t>Rosas-Arellano, Abraham; Estrada-Mondragon, Argel; Mantellero, Carola A.; Tejeda-Guzman, Carlos; Castro, Maite A.</t>
  </si>
  <si>
    <t>The adjustment of γ-aminobutyric acidA tonic subunits in Huntington's disease: from transcription to translation to synaptic levels into the neostriatum</t>
  </si>
  <si>
    <t>NEURAL REGENERATION RESEARCH</t>
  </si>
  <si>
    <t>gamma-Aminobutyric acid (GABA), plays a key role in all stages of life, also is considered the main inhibitory neurotransmitter. GABA activates two kind of membrane receptors known as GABA(A) and GABA(B), the first one is responsible to render tonic inhibition by pentameric receptors containing alpha 4-6, beta 3, delta, or pl-3 subunits, they are located at perisynaptic and/or in extrasynaptic regions. The biophysical properties of GABA(A) tonic inhibition have been related with cellular protection against excitotoxic injury and cell death in presence of excessive excitation. On this basis, GABA(A) tonic inhibition has been proposed as a potential target for therapeutic intervention of Huntington's disease. Huntington's disease is a neurodegenerative disorder caused by a genetic mutation of the huntingtin protein. For experimental studies of Huntington's disease mouse models have been developed, such as R6/1, R6/2, HdhQ92, HdhQ150, as well as YAC128. In all of them, some key experimental reports are focused on neostriatum. The neostriatum is considered as the most important connection between cerebral cortex and basal ganglia structures, its cytology display two pathways called direct and indirect constituted by medium sized spiny neurons expressing dopamine D1 and D2 receptors respectively, they display strong expression of many types of GABA(A) receptors, including tonic subunits. The studies about of GABA(A) tonic subunits and Huntington's disease into the neostriatum are rising in recent years, suggesting interesting changes in their expression and localization which can be used as a strategy to delay the cellular damage caused by the imbalance between excitation and inhibition, a hallmark of Huntington's disease.</t>
  </si>
  <si>
    <t>ROSAS-ARELLANO, ABRAHAM/AAJ-3873-2020</t>
  </si>
  <si>
    <t>ROSAS-ARELLANO, ABRAHAM/0000-0003-1422-9538; Estrada, Argel/0000-0002-1359-4659</t>
  </si>
  <si>
    <t>1673-5374</t>
  </si>
  <si>
    <t>1876-7958</t>
  </si>
  <si>
    <t>10.4103/1673-5374.230270</t>
  </si>
  <si>
    <t>WOS:000431370200002</t>
  </si>
  <si>
    <t>Montejo-Sánchez, S; Azurdia-Meza, C; Aranda-Cubillo, J; Souza, RD; Fernandez, EMG; Soto, I</t>
  </si>
  <si>
    <t>BricenoRodriguez, D</t>
  </si>
  <si>
    <t>Montejo-Sanchez, Samuel; Azurdia-Meza, Cesar; Aranda-Cubillo, Jaime; Souza, Richard Demo; Garcia Fernandez, Evelio M.; Soto, Ismael</t>
  </si>
  <si>
    <t>Energy-Efficient Transmission Strategies with Multiple Radios in Cognitive Radio: Beyond Rendezvous</t>
  </si>
  <si>
    <t>2018 IEEE COLOMBIAN CONFERENCE ON COMMUNICATIONS AND COMPUTING (COLCOM)</t>
  </si>
  <si>
    <t>MAY 16-18, 2018</t>
  </si>
  <si>
    <t>Medellin, COLOMBIA</t>
  </si>
  <si>
    <t>Inst Elect &amp; Electronics Engineers Colombia Sect,Colombia Sect Commun Chapter,Colombia Sect Comp Chapter,ANOS,IEEE Colombia,IEEE Commun Soc,IEEE Comp Soc</t>
  </si>
  <si>
    <t>Cognitive radio (CR) has emerged as a key technology to deal with the frequency spectrum scarcity. The efficient and opportunistic use of the spectrum requires rapid coordination between the secondary users (SUs). Besides, future wireless networks demand even faster transmission rates, smaller end-to-end delay, and greater energy efficiency. In this work we propose two transmission strategies for SUs equipped with two radios, one of them uses both radios for data transfer while the other uses one radio for continuous detection of available channels. We evaluate the performance of the proposed strategies as a function of multiple system parameters. Our results indicate that both proposed strategies increase energy efficiency and decrease the delay between SUs. Besides, numerical results show that in scenarios with low primary activity the best choice is the strategy based on parallel transmission, while in scenarios with high primary activity the best choice is the strategy based on spectrum sensing.</t>
  </si>
  <si>
    <t>Montejo-Sánchez, Samuel/AAX-4151-2020; Meza, Cesar/D-6948-2014; Aranda, Jaime/JXL-8939-2024; Souza, Richard/E-7928-2010; Fernandez, Evelio/AAO-4660-2020</t>
  </si>
  <si>
    <t>Souza, Richard/0000-0002-7389-6245; Aranda Cubillo, Jaime/0009-0003-2792-094X; Soto, Ismael/0000-0002-5501-5651; Montejo-Sanchez, Samuel/0000-0003-1622-3180; Fernandez, Evelio/0000-0003-1707-8595</t>
  </si>
  <si>
    <t>978-1-5386-6820-7</t>
  </si>
  <si>
    <t>WOS:000454766500001</t>
  </si>
  <si>
    <t>Garcia, FE; Cova, F; Rincón, P; Vázquez, C; Páez, D</t>
  </si>
  <si>
    <t>Garcia, Felipe E.; Cova, Felix; Rincon, Paulina; Vazquez, Carmelo; Paez, Dario</t>
  </si>
  <si>
    <t>Coping, rumination and posttraumatic growth in people affected by an earthquake</t>
  </si>
  <si>
    <t>PSICOTHEMA</t>
  </si>
  <si>
    <t>Background: In this article, the evaluation of a structural model that seeks to identify predictors and mediators of posttraumatic growth (PTG) of people affected by a natural disaster is presented. Method: The sample was composed of 349 adult men and women who experienced the earthquake and tsunami on February 27, 2010 in Chile. A modeling with structural equations was used, contrasting two predictive models of PTG. The latent variables assessed were subjective severity, social sharing of emotion, intrusive rumination, deliberate rumination, problem-focused coping and posttraumatic growth. Results: The best fit was obtained with the model that shows a direct influence of the subjective severity, problem-focused coping, and deliberate rumination in the presence of PTG. Problem-focused coping mediated the relation between subjective severity and social sharing with PTG. In turn, deliberate rumination mediated the relation of problem-focused coping and intrusive rumination with PTG. Conclusions: The results show the relevant role of cognitive processes such as deliberate rumination and behavioral processes such as problem-focused coping in the presence of PTG.</t>
  </si>
  <si>
    <t>cova, felix/A-1190-2012; GARCIA, FELIPE E./D-7099-2017; Paez, Dario/D-5207-2009; Vazquez, Carmelo/A-2867-2010</t>
  </si>
  <si>
    <t>Cova, Felix/0000-0002-9290-6875; GARCIA, FELIPE E./0000-0002-4161-5840; Paez, Dario/0000-0002-8459-6037; Vazquez, Carmelo/0000-0003-1796-2161</t>
  </si>
  <si>
    <t>0214-9915</t>
  </si>
  <si>
    <t>1886-144X</t>
  </si>
  <si>
    <t>10.7334/psicothema2015.100</t>
  </si>
  <si>
    <t>WOS:000368312800009</t>
  </si>
  <si>
    <t>García-Hermoso, A; Martínez-Vizcaíno, V; Sánchez-López, M; Recio-Rodriguez, JI; Gómez-Marcos, MA; García-Ortiz, L</t>
  </si>
  <si>
    <t>Garcia-Hermoso, Antonio; Martinez-Vizcaino, Vicente; Sanchez-Lopez, Mairena; Recio-Rodriguez, Jose I.; Gomez-Marcos, Manuel A.; Garcia-Ortiz, Luis</t>
  </si>
  <si>
    <t>EVIDENT Grp</t>
  </si>
  <si>
    <t>Moderate-to-vigorous physical activity as a mediator between sedentary behavior and cardiometabolic risk in Spanish healthy adults: a mediation analysis</t>
  </si>
  <si>
    <t>INTERNATIONAL JOURNAL OF BEHAVIORAL NUTRITION AND PHYSICAL ACTIVITY</t>
  </si>
  <si>
    <t>Background: Public health strategies for cardiovascular prevention highlight the importance of physical activity, but do not consider the additional potentially harmful effects of sedentary behavior. This study was conducted between 2010 and 2012 and analyzed between 2013 and 2014. The aim of the study was to analyze the relationship between sedentary behavior and cardiometabolic risk factors in the Spanish adult population and to examine whether this relationship is mediated by moderate-to-vigorous physical activity (MVPA). Methods: The cross-sectional study included 1122 healthy subjects belonging to the EVIDENT study. Sedentary behavior was objectively measured over 7 days using Actigraph accelerometers. We assessed waist circumference (WC), triglycerides-to-HDL-C ratio (TG/HDL-C), and mean arterial pressure (MAP), and undertook homeostasis model assessment (HOMA-IR). Linear regression models were fitted according to Baron and Kenny procedures for mediation analysis. Results: TG/HDL-C and HOMA-IR were significantly higher in adults who spent more minutes in sedentary activities after adjusting for potential covariates. However when MVPA was added to the ANCOVA models as covariate the effect of sedentary time on HOMA-IR disappeared. In addition, MVPA acted as a full mediator of the relationship between sedentary time and HOMA-IR. In contrast, subjects with lower levels of MVPA presented worse cardiometabolic profiles than those from higher MVPA categories, even after controlling for sedentary time and other potential confounders. Conclusions: These results suggest that both MVPA and sedentary time should be considered when developing cardiometabolic risk guidelines.</t>
  </si>
  <si>
    <t>García-Hermoso, Antonio/ADU-2591-2022; SANCHEZ-LOPEZ, MAIRENA/J-7933-2016; Maderuelo-Fernandez, Jose-Angel/R-8868-2018; Ripolles-Melchor, Javier/O-3330-2018; Rodriguez-Sanchez, Emiliano/N-5582-2014; Garcia-Hermoso, Antonio/P-1857-2017; Martin-Cantera, Carlos/D-2693-2011; MARTINEZ VIZCAINO, VICENTE/R-4336-2017</t>
  </si>
  <si>
    <t>Maderuelo-Fernandez, Jose-Angel/0000-0001-7544-8684; Ripolles-Melchor, Javier/0000-0002-1958-9316; Rodriguez-Sanchez, Emiliano/0000-0003-3667-7155; SANCHEZ, ALVARO/0000-0003-1163-9849; Sanchez Lopez, Mairena/0000-0002-0217-0623; Sanchez, Alvaro/0000-0001-8600-2119; Recio-Rodriguez, Jose I/0000-0002-3772-8746; Garcia-Hermoso, Antonio/0000-0002-1397-7182; Martin-Cantera, Carlos/0000-0003-0656-8126; MARTINEZ VIZCAINO, VICENTE/0000-0001-6121-7893; Gonzalez-Viejo, Natividad/0000-0003-3762-2228</t>
  </si>
  <si>
    <t>1479-5868</t>
  </si>
  <si>
    <t>10.1186/s12966-015-0244-y</t>
  </si>
  <si>
    <t>WOS:000362817000001</t>
  </si>
  <si>
    <t>Molina, T; Montaño, R; González, E; Sepúlveda, R; Hidalgo-Rasmussen, C; Martínez, V; Molina, R; George, M</t>
  </si>
  <si>
    <t>Molina G, Temistocles; Montano E, Rosa; Gonzalez A, Electra; Sepulveda P, Rodrigo; Hidalgo-Rasmussen, Carlos; Martinez N, Vania; Molina C, Ramiro; George L, Myriam</t>
  </si>
  <si>
    <t>Psychometric properties of the quality of life questionnaire health related KIDSCREEN-27 in Chilean adolescents</t>
  </si>
  <si>
    <t>Background: KIDSCREEN-52, which assesses health related quality of life in adolescents, has been adapted and validated in Chile showing excellent psychometric properties. There is a shorter version of the instrument, whose psychometric properties must be assessed. Aim: To evaluate the psychometric properties of the instrument KIDSCREEN-27 in Chilean adolescents. Material and Methods: A secondary analysis of the database obtained for the adaptation and validation of KIDSCREEN-52. Results: The reliability, calculated through Cronbach's alpha, for the entire instrument (five dimensions) was 0.89. For physical well-being, psychological well-being, autonomy and relationship with parents and peer social support dimensions, scores were higher than 0.75 while for school environment, the score was 0.69. The confirmatory factor analysis showed that the indices obtained to assess the goodness of fit in this study were a chi(2) (314) = 10521.4, a Root Mean Square Error of Approximation = 0.064 and a Comparative Fit index = 0.96. KIDSCREEN-27 scores were higher among men in the physical well-being, psychological well-being, autonomy and relationship with parents dimensions and among women in social support and peers and school environment dimensions. Scores were higher in younger age groups. Conclusions: The Chilean version of KIDSCREEN-27 instrument has adequate reliability and validity.</t>
  </si>
  <si>
    <t>Sepulveda, Rafael/AAH-5476-2019; martinez, vania/HTR-5513-2023; Martinez, Vania/LBT-7587-2024; Hidalgo-Rasmussen, Carlos Alejandro/L-3565-2019</t>
  </si>
  <si>
    <t>Martinez, Vania/0000-0001-5980-7122; Hidalgo-Rasmussen, Carlos Alejandro/0000-0002-5287-2076</t>
  </si>
  <si>
    <t>10.4067/S0034-98872014001100008</t>
  </si>
  <si>
    <t>WOS:000346454400008</t>
  </si>
  <si>
    <t>Heng, S; Cervero, A; Simon, C; Stephens, AN; Li, Y; Zhang, J; Paule, S; Rainczuk, A; Singh, H; Quinonero, A; Tapia, A; Velasquez, L; Salamonsen, L; Rombauts, LJF; Nie, GY</t>
  </si>
  <si>
    <t>Heng, Sophea; Cervero, Ana; Simon, Carlos; Stephens, Andrew N.; Li, Ying; Zhang, Jin; Paule, Sarah; Rainczuk, Adam; Singh, Harmeet; Quinonero, Alicia; Tapia, Alejandro; Velasquez, Luis; Salamonsen, Lois; Rombauts, Luk J. F.; Nie, Guiying</t>
  </si>
  <si>
    <t>Proprotein Convertase 5/6 Is Critical for Embryo Implantation in Women: Regulating Receptivity by Cleaving EBP50, Modulating Ezrin Binding, and Membrane-Cytoskeletal Interactions</t>
  </si>
  <si>
    <t>ENDOCRINOLOGY</t>
  </si>
  <si>
    <t>Establishment of endometrial receptivity is vital for successful embryo implantation; its failure causes infertility. Epithelial receptivity acquisition involves dramatic structural changes in the plasma membrane and cytoskeleton. Proprotein convertase 5/6 (PC6), a serine protease of the proprotein convertase (PC) family, is up-regulated in the human endometrium specifically at the time of epithelial receptivity and stromal cell decidualization. PC6 is the only PCmembertightly regulated in this manner. The current study addressed the importance and mechanisms of PC6 action in regulating receptivity in women. PC6 was dysregulated in the endometrial epithelium during thewindowof implantation in infertilewomenof three demographically different cohorts. Its critical role in receptivity was evidenced by a significant reduction in mouse blastocyst attachment of endometrial epithelial cells after PC6 knockdown by small interfering RNA. Using a proteomic approach, wediscovered that PC6 cleaved the key scaffolding protein, ezrin-radixin-moesin binding phosphoprotein 50 (EBP50), thereby profoundly affecting its interaction with binding protein ezrin (a key protein bridging actin filaments and plasma membrane), EBP50/ezrin cellular localization, and cytoskeleton-membrane connections. We further validated this novel PC6 regulation of receptivity in human endometrium in vivo in fertile vs. infertile patients. These results strongly indicate that PC6 plays a key role in regulating fundamental cellular remodeling processes, such as plasma membrane transformation and membrane-cytoskeletal interface reorganization. PC6 cleavage of a crucial scaffolding protein EBP50, thereby profoundly regulating membranecytoskeletal reorganization, greatly extends the current knowledge of PC biology and provides substantial new mechanistic insight into the fields of reproduction, basic cellular biology, and PC biochemistry. (Endocrinology 152: 5041-5052, 2011)</t>
  </si>
  <si>
    <t>Salamonsen, Lois/J-9822-2019; Stephens, Andrew/G-5161-2013; Tapia-Pizarro, Alejandro/IUQ-1738-2023; Tapia-Pizarro, Alejandro/A-5764-2013; Simon, Carlos/G-2186-2014</t>
  </si>
  <si>
    <t>Tapia-Pizarro, Alejandro/0000-0003-0742-8395; Simon, Carlos/0000-0003-0902-9531; Rombauts, Luk/0000-0003-2656-2792; Nie, Guiying/0000-0001-9641-087X; Salamonsen, Lois/0000-0003-0558-7325; Velasquez, Luis/0000-0002-9479-1792; Quinonero, Alicia/0009-0000-7286-5757</t>
  </si>
  <si>
    <t>0013-7227</t>
  </si>
  <si>
    <t>10.1210/en.2011-1273</t>
  </si>
  <si>
    <t>WOS:000297376500056</t>
  </si>
  <si>
    <t>Aguilar, C; Guzman, D; Rojas, PA; Ordoñez, S; Rios, R</t>
  </si>
  <si>
    <t>Aguilar, C.; Guzman, D.; Rojas, P. A.; Ordonez, Stella; Rios, R.</t>
  </si>
  <si>
    <t>Simple thermodynamic model of the extension of solid solution of Cu-Mo alloys processed by mechanical alloying</t>
  </si>
  <si>
    <t>MATERIALS CHEMISTRY AND PHYSICS</t>
  </si>
  <si>
    <t>The objective of this work is proposing a simple thermodynamic model to explain the increase in the solubility limit of the powders of the Cu-Mo systems or other binary systems processed by mechanical alloying. In the regular solution model, the effects of crystalline defects, such as; dislocations and grain boundary produced during milling were introduced. The model gives results that are consistent with the solubility limit extension reported in other works for the Cu-Cr, Cu-Nb and Cu-Fe systems processed by mechanical alloying. (c) 2011 Elsevier B.V. All rights reserved.</t>
  </si>
  <si>
    <t>Rojas, Paula/0000-0002-2529-993X; Aguilar, Claudio/0000-0002-9013-5835; Guzman Mendez, Danny/0000-0002-8020-9247</t>
  </si>
  <si>
    <t>0254-0584</t>
  </si>
  <si>
    <t>1879-3312</t>
  </si>
  <si>
    <t>10.1016/j.matchemphys.2011.03.047</t>
  </si>
  <si>
    <t>WOS:000292230800037</t>
  </si>
  <si>
    <t>Lavin, R; Denardin, JC; Espejo, AP; Cortés, A; Gómez, H</t>
  </si>
  <si>
    <t>Lavin, R.; Denardin, J. C.; Espejo, A. P.; Cortes, A.; Gomez, H.</t>
  </si>
  <si>
    <t>Magnetic properties of arrays of nanowires: Anisotropy, interactions, and reversal modes</t>
  </si>
  <si>
    <t>11th Joint MMM-Intermag Conference</t>
  </si>
  <si>
    <t>JAN 18-22, 2010</t>
  </si>
  <si>
    <t>Washington, DC</t>
  </si>
  <si>
    <t>Arrays of Co and Ni nanowires of different lengths have been prepared by electrodeposition into nanopores of alumina membranes. The dependence of the coercivity of the arrays as a function of temperature and measurement angle of the nanowires has been measured. A simple model is presented in order to explain the behavior of the magnetic properties as a function of the angle of measurement. The analytical calculations show that while for Ni nanowires demagnetization reversal in the array is driven by means of the nucleation and propagation of a transverse wall, in Co arrays the reversal mode changes from curling to coherent when the angle of measurements changes. (C) 2010 American Institute of Physics. [doi:10.1063/1.3350905]</t>
  </si>
  <si>
    <t>Denardin, Juliano/S-6407-2019</t>
  </si>
  <si>
    <t>Gomez Meier, Carlos Humberto/0000-0002-9659-4215; Denardin, Juliano/0000-0002-1373-6207</t>
  </si>
  <si>
    <t>09B504</t>
  </si>
  <si>
    <t>10.1063/1.3350905</t>
  </si>
  <si>
    <t>WOS:000277834300207</t>
  </si>
  <si>
    <t>Guzmán, R; Retamal, JC; Solano, E; Zagury, N</t>
  </si>
  <si>
    <t>Field squeeze operators in optical cavities with atomic ensembles -: art. no. 010502</t>
  </si>
  <si>
    <t>We propose a method of generating unitarily single and two-mode field squeezing in an optical cavity with an atomic cloud. Through a suitable laser system, we are able to engineer a squeeze field operator decoupled from the atomic degrees of freedom, yielding a large squeeze parameter that is scaled up by the number of atoms, and realizing degenerate and nondegenerate parametric amplification. By means of the input-output theory we show that ideal squeezed states and perfect squeezing could be approached at the output. The scheme is robust to decoherence processes.</t>
  </si>
  <si>
    <t>Retamal, Juan/G-6425-2010; Solano, Enrique/C-2895-2017</t>
  </si>
  <si>
    <t>Retamal Abarzua, Juan Carlos/0000-0002-7174-7879; SOLANO VILLANUEVA, ENRIQUE LEONIDAS/0000-0002-8602-1181</t>
  </si>
  <si>
    <t>1079-7114</t>
  </si>
  <si>
    <t>10.1103/PhysRevLett.96.010502</t>
  </si>
  <si>
    <t>WOS:000234608300006</t>
  </si>
  <si>
    <t>Vegas, A; Mejía-López, J; Romero, AH; Kiwi, M; Santamaría-Pérez, D; Baonza, VG</t>
  </si>
  <si>
    <t>Structural similarities between Ti metal and titanium oxides:: implications on the high-pressure behavior of oxygen in metallic matrices</t>
  </si>
  <si>
    <t>SOLID STATE SCIENCES</t>
  </si>
  <si>
    <t>The stabilities of the body-centered-tetragonal and distorted-diamond phases of titanium are investigated by first-principles methods. Our results, together with previous experimental and theoretical work, confirm two interesting observations. First, that the metal arrays in oxides correspond to stable or metastable phases of the parent metal; and second, that oxygen provides the pressure medium that stabilizes these phases. In addition, we have confirmed that the bulk modulus of oxygen matrices follows a nearly universal behavior with pressure, and that pressure-induced phase transitions tend to occur when the compressibility of the oxygen matrix reaches the compressibility of the high-pressure phase of the oxide. (C) 2004 Elsevier SAS. All rights reserved.</t>
  </si>
  <si>
    <t>Kiwi, Miguel/D-3401-2013; Santamaria-Perez, David/A-2486-2012; Garcia Baonza, Valentin/L-3826-2014; romero, aldo/B-2344-2016; Mejia-Lopez, Jose/T-6773-2017</t>
  </si>
  <si>
    <t>Santamaria-Perez, David/0000-0002-1119-5056; Garcia Baonza, Valentin/0000-0001-9994-0980; romero, aldo/0000-0001-5968-0571; Mejia-Lopez, Jose/0000-0003-0301-3408</t>
  </si>
  <si>
    <t>1293-2558</t>
  </si>
  <si>
    <t>1873-3085</t>
  </si>
  <si>
    <t>10.1016/j.solidstatesciences.2004.04.004</t>
  </si>
  <si>
    <t>WOS:000223702900006</t>
  </si>
  <si>
    <t>Latgé, A; Rocha, CG; Wanderley, LAL; Pacheco, M; Orellana, P; Barticevic, Z</t>
  </si>
  <si>
    <t>Defects and external field effects on the electronic properties of a carbon nanotube torus -: art. no. 155413</t>
  </si>
  <si>
    <t>Electronic properties of toroidal carbon nanotubes are studied adopting a single pi-band tight binding Hamiltonian and following real-space renormalization techniques within the Green function formalism. The analysis is restricted to the achiral torus and the dependence of the toroidal energy spectra on its radius and thickness (tube radius) is inferred from the local density of states. The possibility of a metal-insulating transition occurrence in infinite single tubes and toroidal is investigated as functions of magnetic and electric fields applied in distinct configurations. As expected, periodical Aharonov-Bohm oscillations in the local density of states at the Fermi level of the nanostructures are found as a result of the annular symmetry. When substitutional impurities are taken into account such an oscillatory behavior is found to be preserved. Effects of vacancy defects on the electronic properties are also discussed.</t>
  </si>
  <si>
    <t>da Rocha, Claudia/AAV-2571-2021; Pacheco, Monica/AAG-8440-2019; Latge, Andrea/D-9171-2015; Orellana, Pedro/L-4895-2018; Gomes da Rocha, Claudia/B-5673-2011; Pacheco, Monica/L-9669-2014</t>
  </si>
  <si>
    <t>Gomes da Rocha, Claudia/0000-0002-2779-9452; Pacheco, Monica/0000-0002-4293-5213; Orellana, Pedro/0000-0001-7688-4111</t>
  </si>
  <si>
    <t>10.1103/PhysRevB.67.155413</t>
  </si>
  <si>
    <t>WOS:000182741400091</t>
  </si>
  <si>
    <t>Venegas-Yazigi, D; Mirza, H; Lever, ABP; Costamagna, J; Latorre, RO</t>
  </si>
  <si>
    <t>Venegas-Yazigi, D.; Mirza, H.; Lever, A. B. P.; Costamagna, J.; Latorre, R. O.</t>
  </si>
  <si>
    <t>NEW COMPLEXES OF RUTHENIUM WITH o-BENZOQUINONEDIIMINE</t>
  </si>
  <si>
    <t>Venegas-Yazigi, Diego/C-5022-2009</t>
  </si>
  <si>
    <t>P07.07.043</t>
  </si>
  <si>
    <t>WOS:000475706304062</t>
  </si>
  <si>
    <t>Gómez-Arteaga, B; Gómez, A; Flores, E; Vega, A; Cruz-Piñones, B; Godoy, F; Maldonado, T</t>
  </si>
  <si>
    <t>Gomez-Arteaga, Belen; Gomez, Alejandra; Flores, Erick; Vega, Andres; Cruz-Pinones, Belen; Godoy, Fernando; Maldonado, Tamara</t>
  </si>
  <si>
    <t>Revealing the Unusual behavior of rhenium (I) tricarbonyl complex functionalized with Aza-Macrocycles in response to metal ions</t>
  </si>
  <si>
    <t>INORGANICA CHIMICA ACTA</t>
  </si>
  <si>
    <t>Three new rhenium phenanthroline tricarbonyl complexes were synthesized and fully characterized to examine changes in their photophysical properties and spectroscopic behavior in the presence of metal ions. To achieve this, the complexes were designed with modifications in both the phenanthroline and the axial ligand. The 4,7-dichloro-1,10-phenanthroline (Cl2phen) 2 phen) precursor was functionalized with two units of 1-aza-15-crown-5 (1A15C5) to obtain the complex [Re((A15C5)2phen)(CO)3Br] 2 phen)(CO) 3 Br] (1) 1 ) with the aim to study the spectroscopic perturbations induced by the binding of the metal ions by this receptor. Interestingly, the rhenium complex 1 shows a particular behavior towards Hg(II) and Pb(II), as a result of the halide abstraction assisted by these metal ions. Additionally, in the presence of Cu(II) the interaction and coordination/binding with the macrocycle cavities is also presumed. The chemical reaction assisted by Hg(II) was confirmed by changes in the absorption, emission and FT-IR spectra of [Re(Cl2phen)(CO)3Br] 2 phen)(CO) 3 Br] (2) 2 ) in presence of the heavy metal ion. These obtained profiles had similar patterns to the ones shown by the cationic complex [Re(Cl2phen)(CO)3(CH3CN)]PF6 2 phen)(CO) 3 (CH 3 CN)]PF 6 (3). 3 ). As final confirmation, this last complex was also studied in the presence of metal ions and its spectra remained unaltered.</t>
  </si>
  <si>
    <t>Gomez-Arteaga, Belen/0009-0005-8140-8298</t>
  </si>
  <si>
    <t>0020-1693</t>
  </si>
  <si>
    <t>1873-3255</t>
  </si>
  <si>
    <t>10.1016/j.ica.2024.122389</t>
  </si>
  <si>
    <t>WOS:001327770100001</t>
  </si>
  <si>
    <t>Cofré-Bolados, C; Diaz, FV; Herrera-Valenzuela, T; Farias-Valenzuela, C; Espinoza-Salinas, A; Galeano-Rojas, D</t>
  </si>
  <si>
    <t>Cofre-Bolados, Cristian; Diaz, Felix Vidal; Herrera-Valenzuela, Tomas; Farias-Valenzuela, Claudio; Espinoza-Salinas, Alexis; Galeano-Rojas, Dilan</t>
  </si>
  <si>
    <t>Exceptional oxygen consumption, values and relationships: An analysis from Exercise Physiology</t>
  </si>
  <si>
    <t>Maximum oxygen consumption VO2max has represented a fundamental reference when measuring cardiorespiratory fitness in different sports. The aim of this study was to present the results of ergometry tests with gas analysis in athletes who exceeded 70 ml/kg/min in VO2max, analyzing the correlations between VO2max and metabolic, cardiovascular, and respiratory parameters. The study was of a descriptive correlational type, and 27 male athletes participated. The r Pearson test was applied to determine the correlation between the variables. In the result analysis, correlations were determined: small between Age and VO2max (r =-0.238; p = 0.24); large between VO2max vs VO2VT1 (r = 0.741; p&lt;0.001); VO2max vs VO2VT2 (r = 0.808; p&lt;0.001); and VO2VT1 vs VO2VT2 (r = 0.783; p&lt;0.001). Mean between VO2max and HR (r = 0.340; p = 0.09); large between absolute VO2max and VO2/HRmax (r = 0.840; p&lt;0.001); small between VO2max and VE (r = 0.214; p = 0.30); small between VO2max and BR (-0.184; p = 0.37); small between VE and RR% (r =-0.281; p = 0.164). There were large correlations between VO2max and ventilatory thresholds, and there was also a large correlation between absolute VO2max and oxygen pulse, with small and non-existent correlations between VO2max and ventilatory parameters.</t>
  </si>
  <si>
    <t>Herrera-Valenzuela, Tomas/L-1819-2019; Galeano Rojas, Dilan/KIA-6566-2024</t>
  </si>
  <si>
    <t>WOS:001360797000002</t>
  </si>
  <si>
    <t>Donoso-González, O; Hengsbach, R; Ohlerth, T; Noyong, M; Sierpe, R; Rozas-Castro, N; Lodeiro, L; Bolaños, K; Melo, F; Yutronic, N; Kogan, MJ; Simon, U</t>
  </si>
  <si>
    <t>Donoso-Gonzalez, Orlando; Hengsbach, Rebecca; Ohlerth, Thorsten; Noyong, Michael; Sierpe, Rodrigo; Rozas-Castro, Nicolas; Lodeiro, Lucas; Bolanos, Karen; Melo, Francisco; Yutronic, Nicolas; Kogan, Marcelo J.; Simon, Ulrich</t>
  </si>
  <si>
    <t>Impact of Ligand Exchange on Gold Nanostars' Reshaping, Stabilization, Photothermal Efficiency, and Cell Viability</t>
  </si>
  <si>
    <t>ACS APPLIED NANO MATERIALS</t>
  </si>
  <si>
    <t>Gold nanostars (AuNSs) have achieved special relevance for potential biomedical applications, e.g., in theranostics. In relation to this, some authors have explored controlling the conditions that trigger structural and morphological changes in these structures. In this work, we studied conditions that can trigger morphological changes of AuNSs or maintain their stability, such as ligand exchange to nonthiolated and thiolated species. First, the synthesis stabilizing ligand of AuNS, 4-(2-hydroxyethyl)-1-piperazinapropanesulfonic acid (EPPS), was exchanged for nonthiolated species to trigger or prevent morphological changes. One of these species, triphenylphosphine-monosulfonate (TPPMS), generated a stable and unexplored nanostructure even at acidic pH, with interaction mediated mainly by aromatic groups and the phosphine moiety, in comparison to hexadecyltrimethylammonium bromide (CTAB) and citrate, which are ligands that trigger morphological changes of AuNS. Moreover, TPPMS-coated AuNSs can be exchanged by thiolated species, such as carboxylated poly-(ethylene glycol) (HS-PEG-COOH), offering more versatility through covalent strategies. In addition, properties related to the application of these stabilized AuNSs were explored, such as photothermia and biocompatibility. The photothermal transduction efficiency and cell viability of AuNSs coated with EPPS, TPPMS, and PEG-COOH were evaluated, showing a temperature increment of the colloidal solutions and optimal mitochondrial activity. We believe that this work contributes to understanding the phenomena and conditions that trigger changes in the morphology or stability of AuNSs and that AuNSs coated with TPPMS and PEG-COOH possess optimal properties for potential biomedical applications.</t>
  </si>
  <si>
    <t>Bolaños, Karen/AAX-7353-2021; Donoso, Orlando/HTR-8548-2023; kogan, Marcelo/I-2868-2013; Melo, Francisco/M-3923-2014; Simon, Ulrich/K-7737-2013; Noyong, Michael/I-6207-2016</t>
  </si>
  <si>
    <t>Donoso-Gonzalez, Orlando/0000-0002-9614-7781; Kogan, Marcelo/0000-0003-0608-5087; Bolanos, Karen/0000-0001-5469-2661; Noyong, Michael/0000-0002-3148-1084; Hengsbach, Rebecca/0000-0003-1287-2853; Lodeiro, Lucas/0000-0001-5073-641X</t>
  </si>
  <si>
    <t>2574-0970</t>
  </si>
  <si>
    <t>DEC 21</t>
  </si>
  <si>
    <t>10.1021/acsanm.3c05710</t>
  </si>
  <si>
    <t>WOS:001143433400001</t>
  </si>
  <si>
    <t>Mena-Silva, D; Alfaro, A; Leon, A; Guajardo-Correa, E; Elgueta, E; Diaz, P; Vilos, C; Cardenas, H; Denardin, JC; Orihuela, PA</t>
  </si>
  <si>
    <t>Mena-Silva, Denisse; Alfaro, Aline; Leon, Andrea; Guajardo-Correa, Emanuel; Elgueta, Estefania; Diaz, Patricia; Vilos, Cristian; Cardenas, Hugo; Denardin, Juliano C.; Orihuela, Pedro A.</t>
  </si>
  <si>
    <t>Zeolite Nanoparticles Loaded with 2-Methoxystradiol as a Novel Drug Delivery System for the Prostate Cancer Therapy</t>
  </si>
  <si>
    <t>The estrogen metabolite 2-methoxyestradiol (2ME) is a promissory anticancer drug mainly because of its pro-apoptotic properties in cancer cells. However, the therapeutic use of 2ME has been hampered due to its low solubility and bioavailability. Thus, it is necessary to find new ways of administration for 2ME. Zeolites are inorganic aluminosilicates with a porous structure and are considered good adsorbents and sieves in the pharmaceutical field. Here, mordenite-type zeolite nanoparticles were loaded with 2ME to assess its efficiency as a delivery system for prostate cancer treatment. The 2ME-loaded zeolite nanoparticles showed an irregular morphology with a mean hydrodynamic diameter of 250.9 &amp; PLUSMN; 11.4 nm, polydispersity index of 0.36 &amp; PLUSMN; 0.04, and a net negative surface charge of -34 &amp; PLUSMN; 1.73 meV. Spectroscopy with UV-vis and Attenuated Total Reflectance Infrared Fourier-Transform was used to elucidate the interaction between the 2ME molecules and the zeolite framework showing the formation of a 2ME-zeolite conjugate in the nanocomposite. The studies of adsorption and liberation determined that zeolite nanoparticles incorporated 40% of 2ME while the liberation of 2ME reached 90% at pH 7.4 after 7 days. The 2ME-loaded zeolite nanoparticles also decreased the viability and increased the mRNA of the 2ME-target gene F-spondin, encoded by SPON1, in the human prostate cancer cell line LNCaP. Finally, the 2ME-loaded nanoparticles also decreased the viability of primary cultures from mouse prostate cancer. These results show the development of 2ME-loaded zeolite nanoparticles with physicochemical and biological properties compatible with anticancer activity on the human prostate and highlight that zeolite nanoparticles can be a good carrier system for 2ME.</t>
  </si>
  <si>
    <t>Vilos, Cristian/KPA-9958-2024; Guajardo, Emanuel/LKL-0134-2024; Denardin, Juliano/S-6407-2019; Díaz, Patricia/GOV-2972-2022</t>
  </si>
  <si>
    <t>Vilos, Cristian/0000-0001-5619-3348; Elgueta, Estefania/0000-0002-0441-0088; Orihuela, Pedro/0000-0002-4238-0932; Denardin, Juliano/0000-0002-1373-6207; Guajardo-Correa, Emanuel/0000-0002-6091-6745</t>
  </si>
  <si>
    <t>10.3390/ijms241310967</t>
  </si>
  <si>
    <t>WOS:001028446600001</t>
  </si>
  <si>
    <t>Rezende, LFM; Wang, YF; Ferrari, G</t>
  </si>
  <si>
    <t>Rezende, Leandro F. M.; Wang, Yafeng; Ferrari, Gerson</t>
  </si>
  <si>
    <t>Social Jet Lag, Weekend Warriors, and Physical Activity Patterns - Reply</t>
  </si>
  <si>
    <t>JAMA INTERNAL MEDICINE</t>
  </si>
  <si>
    <t>Ferrari, Gerson/HHM-6173-2022; wang, yafeng/J-4829-2017; Ferrari, Gerson/P-1152-2014; Rezende, Leandro/C-1724-2012</t>
  </si>
  <si>
    <t>2168-6106</t>
  </si>
  <si>
    <t>2168-6114</t>
  </si>
  <si>
    <t>10.1001/jamainternmed.2022.5050</t>
  </si>
  <si>
    <t>WOS:000886683400001</t>
  </si>
  <si>
    <t>Denche-Zamorano, A; Mendoza-Muñoz, DM; Pereira-Payo, D; Ruiz, MJ; Contreras-Barraza, N; Iturra-González, JA; Urbano-Mairena, J; Cornejo-Orellana, C; Mendoza-Muñoz, M</t>
  </si>
  <si>
    <t>Denche-Zamorano, Angel; Manuel Mendoza-Munoz, David; Pereira-Payo, Damian; Ruiz, Manuel J.; Contreras-Barraza, Nicolas; Iturra-Gonzalez, Jose A.; Urbano-Mairena, Javier; Cornejo-Orellana, Carolina; Mendoza-Munoz, Maria</t>
  </si>
  <si>
    <t>Does Physical Activity Reduce the Risk of Perceived Negative Health in the Smoking Population?</t>
  </si>
  <si>
    <t>Background: Smoking is associated with poor health status. Increased prevalence of multiple diseases has been found in populations of smokers and ex-smokers. Physical activity (PA) could reduce the negative effects of smoking. Aims: To analyze the relationships between smoking and self-perceived health and between PA level and self-perceived health, according to the relationship with smoking in the Spanish population. To calculate the risks of perceiving negative health in relation to smoking, according to the PA level of the population. Hypothesis: A higher level of PA reduces the risk of perceiving negative health in the Spanish smoking population. Design and Methodology: Cross-sectional study with data from 17,708 participants, 15-69 years old, interviewed in the Spanish National Health Survey 2017. Intergroup differences were studied. Odds ratios (OR) and relative risks (RR) and their confidence intervals (95% CI) were calculated for negative self-perceived health. A Spearman's rho correlation study was performed between the variables of interest. Results: Dependency relationships were found between self-perceived health and PA levels, in both genders and in different relationships with smoking (x(2) &lt; 0.001). Inactivity was related to higher prevalences of negative health perception (p &lt; 0.05) in all groups analyzed. Inactive smokers (OR: 6.02. 95% CI: 3.99-9.07. RR: 5.24. 95% CI: 3.56-7.73) presented increased risks of negative health perception compared to people with low/medium PA levels, similarly found in other relationships with tobacco. Conclusions: Increasing the PA level of the smoking population could reduce the negative effects on their perceived health. Medium and high PA levels reduce the risk of negative health perception in the Spanish population, both in smokers, ex-smokers, and non-smokers.</t>
  </si>
  <si>
    <t>Pereira-Payo, Damián/HNR-1678-2023; Muñoz, Maria/ABF-5061-2020; Ruiz, Manuel/HOA-8023-2023; Contreras-Barraza, Nicolás/HTP-2328-2023; Denche Zamorano, Ángel/GLT-4127-2022; Ruiz, Manuel J./M-7894-2014</t>
  </si>
  <si>
    <t>Mendoza-Munoz, David Manuel/0000-0001-5797-7419; Urbano-Mairena, Javier/0000-0002-5970-3996; Iturra Gonzalez, Jose Alejandro/0000-0002-5419-0757; Contreras-Barraza, Nicolas/0000-0001-6729-4398; Pereira-Payo, Damian/0000-0001-6518-7847; Denche-Zamorano, Angel/0000-0002-5740-305X; Ruiz, Manuel J./0000-0002-1286-6624; Mendoza-Munoz, Maria/0000-0001-9502-5486</t>
  </si>
  <si>
    <t>10.3390/ijerph192114366</t>
  </si>
  <si>
    <t>WOS:000883973700001</t>
  </si>
  <si>
    <t>Maldonado, JE; Gaete, A; Mandakovic, D; Aguado-Norese, C; Aguilar, M; Gutiérrez, RA; González, M</t>
  </si>
  <si>
    <t>Maldonado, Jonathan E.; Gaete, Alexis; Mandakovic, Dinka; Aguado-Norese, Constanza; Aguilar, Melissa; Gutierrez, Rodrigo A.; Gonzalez, Mauricio</t>
  </si>
  <si>
    <t>Partners to survive: Hoffmannseggia doellii root-associated microbiome at the Atacama Desert</t>
  </si>
  <si>
    <t>NEW PHYTOLOGIST</t>
  </si>
  <si>
    <t>The discovery and characterization of plant species adapted to extreme environmental conditions have become increasingly important. Hoffmannseggia doellii is a perennial herb endemic to the Chilean Atacama Desert that grows in the western Andes between 2800 and 3600 m above sea level. Its growing habitat is characterized by high radiation and low water and nutrient availability. Under these conditions, H. doellii can grow, reproduce, and develop an edible tuberous root. We characterized the H. doellii soil-associated microbiomes to understand the biotic factors that could influence their surprising ability to survive. We found an increased number of observed species and higher phylogenetic diversity of bacteria and fungi on H. doellii root soils compared with bare soil (BS) along different sites and to soil microbiomes of other plant species. Also, the H. doellii-associated microbiome had a higher incidence of overall positive interactions and fungal within-kingdom interactions than their corresponding BS network. These findings suggest a microbial diversity soil modulation mechanism that may be a characteristic of highly tolerant plants to diverse and extreme environments. Furthermore, since H. doellii is related to important cultivated crops, our results create an opportunity for future studies on climate change adaptation of crop plants.</t>
  </si>
  <si>
    <t>Gonzalez, Mauricio/I-2772-2013; Gutierrez, Rodrigo/ABA-9285-2020; Maldonado Soto, Jonathan Elias/J-6429-2012</t>
  </si>
  <si>
    <t>Mandakovic, Dinka/0000-0002-1406-8175; Aguado Norese, Maria Constanza/0000-0002-0831-2290; Gonzalez Canales, Mauricio Alejandro/0000-0002-1592-9758; Maldonado Soto, Jonathan Elias/0000-0002-9967-0885; Gaete, Alexis/0000-0001-9132-231X; Gutierrez, Rodrigo/0000-0002-5961-5005</t>
  </si>
  <si>
    <t>0028-646X</t>
  </si>
  <si>
    <t>1469-8137</t>
  </si>
  <si>
    <t>10.1111/nph.18080</t>
  </si>
  <si>
    <t>WOS:000776949600001</t>
  </si>
  <si>
    <t>Contreras-Abarca, R; Crespin, SJ; Moreira-Arce, D; Simonetti, JA</t>
  </si>
  <si>
    <t>Contreras-Abarca, Rocio; Crespin, Silvio J.; Moreira-Arce, Dario; Simonetti, Javier A.</t>
  </si>
  <si>
    <t>Redefining feral dogs in biodiversity conservation</t>
  </si>
  <si>
    <t>BIOLOGICAL CONSERVATION</t>
  </si>
  <si>
    <t>Unlike most feral domestic animals, ranging behavior, diet dependence, and human socialization have been used as criteria to define feral dogs. These criteria can obstruct wildlife conservation if decisions depend on identifying ferality in dogs. We argue that diet dependence and human socialization are unnecessary to define ferality in situations where dogs constitute a threat to wildlife. Human-dependent diet and sociability are not exclusive to house dogs; thus, they do not differentiate ferality with certainty, and they have no established testing methods or thresholds. Most notably, they obstruct management by complicating feral dog identification. As a case study, legislation in Chile surrounding dog management does not recognize the existence of feral dogs and bans the application of lethal methods on dogs. This impairs conservation because the current definition makes it impossible to distinguish if a dog is feral at first sight. This is a problem in the small-scale livestock industry, where goat and sheep losses are mainly caused by dogs. Stakeholders could kill attacking dogs to defend their livestock, risking a lawsuit if those dogs were owned, or continue to lose their livelihood. Neither option benefits livestock owners. To not hinder conservation, we propose feral dogs be defined based only on ownership status, ranging behavior, and location in the context of management, and offer a classification based on these criteria. However, we contend that whether a dog is feral is not important for decision-making. Instead, dogs should be controlled if they are found on any public space unaccompanied by humans.</t>
  </si>
  <si>
    <t>Moreira-Arce, Dario/ABG-2898-2021; Simonetti, Javier/A-4658-2008; Crespin, Silvio/AAT-7564-2021</t>
  </si>
  <si>
    <t>Crespin, Silvio/0000-0002-2724-1117; Contreras-Abarca, Rocio/0000-0002-1124-8760; Moreira Arce, Dario/0000-0002-1188-496X</t>
  </si>
  <si>
    <t>0006-3207</t>
  </si>
  <si>
    <t>1873-2917</t>
  </si>
  <si>
    <t>10.1016/j.biocon.2021.109434</t>
  </si>
  <si>
    <t>WOS:000820027500018</t>
  </si>
  <si>
    <t>Abarzúa, RI; Hernández-Durán, E; Nguyen-Minh, T; Kestens, LA; Rivera, JLV; Cerda, FMC</t>
  </si>
  <si>
    <t>Iquilio Abarzua, Roberto; Hernandez-Duran, Eliseo; Nguyen-Minh, Tuan; Kestens, Leo A., I; Valin Rivera, Jose Luis; Castro Cerda, Felipe M.</t>
  </si>
  <si>
    <t>Microstructure, Anisotropy and Formability Evolution of an Annealed AISI 430 Stainless Steel Sheet</t>
  </si>
  <si>
    <t>STEEL RESEARCH INTERNATIONAL</t>
  </si>
  <si>
    <t>The effect of the microstructure on the principal strain paths (uniaxial, plane, and biaxial) in the formability processes of ferritic stainless steel AISI 430 sheets is studied. The Marciniak test (determination of the plastic strain of sheet metal with a flat tip punch) is applied to determine the forming limit curves and different strain levels in the strain paths by the digital image correlation technique. The formability is discussed in light of the microstructure, standard mechanical properties, work hardening behavior, and anisotropy measurements (R-value). Electron backscatter diffraction analysis is carried out to determine the texture of the selected strain paths. The texture evolution shows a marked gamma (// normal direction [ND]) fiber and cube ({001} ) texture component under the biaxial strain mode, whereas the alpha (// rolling direction [RD]) fiber is somewhat favored under uniaxial plane strain. The results are compared with texture simulations performed under the fully constrained Taylor model, finding reasonable agreement with the experimentally measured main components.</t>
  </si>
  <si>
    <t>Nguyen-Minh, Tuan/AFE-8197-2022; Castro Cerda, Felipe Manuel/Q-2714-2016; Kestens, Leo/K-1716-2014</t>
  </si>
  <si>
    <t>Hernandez, Eliseo/0000-0002-3959-1210; Nguyen-Minh, Tuan/0000-0002-1855-6619; Castro Cerda, Felipe Manuel/0000-0001-8126-5593; Kestens, Leo/0000-0002-7209-0469</t>
  </si>
  <si>
    <t>1611-3683</t>
  </si>
  <si>
    <t>1869-344X</t>
  </si>
  <si>
    <t>10.1002/srin.202100114</t>
  </si>
  <si>
    <t>NOV 2021</t>
  </si>
  <si>
    <t>WOS:000716377600001</t>
  </si>
  <si>
    <t>Osorio-Mora, A; Soto-Bustos, M; Gatica, G; Palominos, P; Linfati, R</t>
  </si>
  <si>
    <t>Osorio-Mora, Alan; Soto-Bustos, Mauricio; Gatica, Gustavo; Palominos, Pedro; Linfati, Rodrigo</t>
  </si>
  <si>
    <t>The Multi-Depot Cumulative Vehicle Routing Problem With Mandatory Visit Times and Minimum Delayed Latency</t>
  </si>
  <si>
    <t>This paper introduces a novel variant of the cumulative vehicle routing problem (CCVRP) that deals with home health care (HHC) logistics. It includes multiple nonfixed depots and emergency trips from patients to the closest depot. The aim is to minimize the system's delayed latency by satisfying mandatory visit times. Delayed latency corresponds to caregivers' total overtime hours worked while visiting patients. A new mixed-integer linear programming model is proposed to address this problem. Computational experiments, with more than 165 new benchmark instances, are carried out using the CPLEX and Gurobi MIP solvers. The results indicate that patients' geographical distribution directly impacts the complexity of the problem. An analysis of the model parameters proves that instances with more depots/vehicles or longer workdays are significantly easier to solve than are original cases. The results show that Gurobi outperforms CPLEX in 55% of the instances analyzed, while CPLEX performs better in only 16% of them. To the best of our knowledge, this is the first VRP that minimizes delayed latency and the first HHC routing study to use a cumulative objective function.</t>
  </si>
  <si>
    <t>gatica, gustavo/KXR-7308-2024; Linfati, Rodrigo/X-9326-2018</t>
  </si>
  <si>
    <t>Osorio-Mora, Alan/0000-0002-2040-5959; Gustavo, Gatica/0000-0002-1816-6856; Palominos, Pedro/0000-0002-5695-3025</t>
  </si>
  <si>
    <t>10.1109/ACCESS.2021.3058242</t>
  </si>
  <si>
    <t>WOS:000619292900001</t>
  </si>
  <si>
    <t>Mariño, C; Basbus, J; Alonso, JA; Troncoso, L</t>
  </si>
  <si>
    <t>Marino, C.; Basbus, J.; Alonso, J. A.; Troncoso, L.</t>
  </si>
  <si>
    <t>Structural characterization and electrochemical properties of (La,Sr)(Al,Mg)O4-δperovskites</t>
  </si>
  <si>
    <t>LaSrAl1-xMgxO4-delta(x= 0.0-0.3) layered perovskites were synthesized by a nitrate-citrate route followed by annealing in air at 1100 degrees C, and studied as potential electrolyte materials in solid oxide fuel cells (SOFCs). The products obtained were initially characterized by X-ray diffraction (XRD). The compounds were indexed to theI4/mmmspace group with K2NiF4-type structure. Neutron powder diffraction data were collected to determine the crystallographic features. A complementary study of pellets sintered at 1400 degrees C was performed by scanning electron microscopy (SEM) and energy dispersive spectroscopy (EDS), and the segregation of secondary phases rich in Sr or La was observed for Mg contents withx &gt;= 0.2. It was also noticed that Mg doping preserved the sintering capability of the compounds. Thermogravimetric (TG) measurements from green powders indicated that phase formation occurred above 900 degrees C. The thermal expansion coefficient (TEC) values were close to 10 x 10(-6)K(-1), indicating that (La,Sr)(Al,Mg)O(4-delta)layered perovskites are compatible with other SOFC materials. The electrical properties for single-phase compounds (x= 0.0 and 0.1) were studied by electrochemical impedance spectroscopy (EIS). The total conductivity at 900 degrees C forx= 0.1 was sigma= 1.79 mS cm(-1), whereas forx= 0.0,sigma= 4.94 mu S cm(-1). The total conductivity was three orders of magnitude higher forx= 0.1 with respect to the undoped material. The high activation energy values around 1.5 eV indicated that the transport mechanism was dominated by oxygen vacancy diffusion. The results obtained suggest that LaSrAl(0.9)Mg(0.1)O(4-delta)could be applied as an electrolyte in energy conversion electrochemical systems.</t>
  </si>
  <si>
    <t>; Alonso, Jose Antonio/A-5245-2011</t>
  </si>
  <si>
    <t>Troncoso, Loreto/0000-0003-1621-3310; Alonso, Jose Antonio/0000-0001-5329-1225</t>
  </si>
  <si>
    <t>10.1039/d0nj01682a</t>
  </si>
  <si>
    <t>WOS:000548246700021</t>
  </si>
  <si>
    <t>Caceres-Jensen, L; Rodríguez-Becerra, J; Sierra-Rosales, P; Escudey, M; Valdebenito, J; Neira-Albornoz, A; Dominguez-Vera, V; Villagra, CA</t>
  </si>
  <si>
    <t>Caceres-Jensen, Lizethly; Rodriguez-Becerra, Jorge; Sierra-Rosales, Paulina; Escudey, Mauricio; Valdebenito, Jennifer; Neira-Albornoz, Angelo; Dominguez-Vera, Valentina; Villagra, Cristian A.</t>
  </si>
  <si>
    <t>Electrochemical method to study the environmental behavior of Glyphosate on volcanic soils: Proposal of adsorption-desorption and transport mechanisms</t>
  </si>
  <si>
    <t>Glyphosate is used extensively worldwide, but current evidence suggests detrimental effects on the environment, pollinators, and human health. Glyphosate adsorption kinetics and adsorption/desorption were studied through batch sorption experiments in ten typical volcanic ash-derived soils from Andisol and Ultisol orders. Two kinetic models were used to fit the experimental data: i. Models that allowed establishment of principally kinetic parameters and modeling of the adsorption process, and ii. Models described solute transport mechanisms commonly used for remediation purposes. Adsorption kinetic data were best fitted by the pseudo-second-order kinetic model and Two-Site Nonequilibrium model. These models suggest that mechanisms are complex due to rapid surface adsorption in ultisols with mass transfer controlling adsorption kinetics across the boundary layer, as indicated by the high h and low t(1/2) values. High intraparticle diffusion into macropores and micropores was observed for Andisols. The Freundlich model accurately represented adsorption equilibrium data in all races (R-2 &gt; 0.9580) with comparatively higher adsorption capacity on Andisols. K-f values (2.50-52.28 mu g(1-1/n) mL(1/n) g(-1)) and hysteresis were significant in all studied soils. Taken together, these data suggest that Glyphosate may be adsorbed more on Andisol soils in comparison to Ultisols.</t>
  </si>
  <si>
    <t>Cáceres-Jensen, Lizethly/AAC-8527-2020; Sierra-Rosales, Paulina/K-4733-2019; Rodriguez-Becerra, Jorge/F-8714-2017</t>
  </si>
  <si>
    <t>Sierra-Rosales, Paulina/0000-0001-7077-785X; Caceres-Jensen, Lizethly/0000-0002-5903-7356; Villagra, Cristian/0000-0002-6921-597X; Neira Albornoz, Angelo/0000-0002-8895-3628; Rodriguez-Becerra, Jorge/0000-0003-1496-8410</t>
  </si>
  <si>
    <t>NOV 5</t>
  </si>
  <si>
    <t>10.1016/j.jhazmat.2019.120746</t>
  </si>
  <si>
    <t>WOS:000488419700042</t>
  </si>
  <si>
    <t>Ribba, L; Tamayo, L; Flores, M; Riveros, A; Kogan, MJ; Cerda, E; Goyanes, S</t>
  </si>
  <si>
    <t>Ribba, Laura; Tamayo, Laura; Flores, Marcos; Riveros, Ana; Javier Kogan, Marcelo; Cerda, Enrique; Goyanes, Silvia</t>
  </si>
  <si>
    <t>Asymmetric biphasic hydrophobic/hydrophilic poly(lactic acid)-polyvinyl alcohol meshes with moisture control and noncytotoxic effects for wound dressing applications</t>
  </si>
  <si>
    <t>JOURNAL OF APPLIED POLYMER SCIENCE</t>
  </si>
  <si>
    <t>A noncytotoxic film was developed in this work with asymmetric biphasic properties (hydrophilic/hydrophobic) that allow for gas exchange. Among its many biomedical applications, it could be applied as a wound dressing material where the absorption of exuded fluids and control of water loss is required simultaneously. Thin meshes were developed modifying one face of poly(lactic acid) (PLA) electrospun mats with polyvinyl alcohol (PVA) using a simple photografting methodology. The contact angle of the modified face of the film was 44 degrees while that of the other face was the original value of 122 degrees. The chemical modification was covalent, as confirmed by X-ray photoelectron spectroscopy, stable over time and resistant to successive washing steps. Cytotoxic assays with fibroblast cells showed that PVA photo-grafted onto PLA meshes present a high cell viability percentage. (c) 2019 Wiley Periodicals, Inc. J. Appl. Polym. Sci. 2019, 136, 47369.</t>
  </si>
  <si>
    <t>riveros, ana/AAD-2134-2020; Ribba, Laura/ITU-5815-2023; kogan, Marcelo/I-2868-2013; Goyanes, Silvia/AAW-8165-2020; Tamayo, Laura/I-8942-2018; Flores Carrasco, Marcos/E-8058-2012</t>
  </si>
  <si>
    <t>Riveros, Ana Luisa/0000-0002-1926-4562; Goyanes, Silvia/0000-0002-2200-0576; Kogan, Marcelo/0000-0003-0608-5087; Flores Carrasco, Marcos/0000-0002-9766-2830; Tamayo, Laura/0000-0003-1159-5305; Ribba, Laura/0000-0001-7535-7205</t>
  </si>
  <si>
    <t>0021-8995</t>
  </si>
  <si>
    <t>1097-4628</t>
  </si>
  <si>
    <t>10.1002/app.47369</t>
  </si>
  <si>
    <t>WOS:000456861100012</t>
  </si>
  <si>
    <t>Sáez-Briones, P; Castro-Castillo, V; Díaz-Véliz, G; Valladares, L; Barra, R; Hernández, A; Cassels, BK</t>
  </si>
  <si>
    <t>Saez-Briones, Patricio; Castro-Castillo, Vicente; Diaz-Veliz, Gabriela; Valladares, Luis; Barra, Rafael; Hernandez, Alejandro; Cassels, Bruce K.</t>
  </si>
  <si>
    <t>Aromatic Bromination Abolishes the Psychomotor Features and Pro-social Responses of MDMA (Ecstasy) in Rats and Preserves Affinity for the Serotonin Transporter (SERT)</t>
  </si>
  <si>
    <t>The entactogen MDMA (3,4-methylenedioxy-methamphetamine, Ecstasy) exerts its psychotropic effects acting primarily as a substrate of the serotonin transporter (SERT) to induce a non-exocytotic release of serotonin. Nevertheless, the roles of specific positions of the aromatic ring of MDMA associated with the modulation of typical entactogenic effects, using analogs derived from the MDMA template, are still not fully understood. Among many possibilities, aromatic halogenation of the phenylalkylamine moiety may favor distribution to the brain due to increased lipophilicity, and sometimes renders psychotropic substances of high affinity for their molecular targets and high potency in humans. In the present work, a new MDMA analog brominated at C(2) of the aromatic ring (2-Br-4,5-MDMA) has been synthesized and pharmacologically characterized in vitro and in vivo. First, binding competition experiments against the SERT-blocker citalopram were carried out in human platelets and compared with MDMA. Besides, its effects on platelet aggregation were performed in platelet enriched human plasma using collagen as aggregation inductor. Second, as platelets are considered an appropriate peripheral model for estimating central serotonin availability, the functional effects of 2-Br-4,5-MDMA and MDMA on ATP release during human platelet aggregation were evaluated. The results obtained showed that 2-Br-4,5-MDMA exhibits higher affinity for SERT than MDMA and fully abolishes both platelet aggregation and ATP release, resembling the pharmacological profile of citalopram. Subsequent in vivo evaluation in rats at three dose levels showed that 2-Br-4,5-MDMA lacks all key MDMA-like behavioral responses in rats, including hyperlocomotion, enhanced active avoidance conditioning responses and increased social interaction. Taken together, the results obtained are consistent with the notion that 2-Br-4,5-MDMA should not be expected to be an MDMA-like substrate of SERT, indicating that aromatic bromination at C(2) modulates the pharmacodynamic properties of the substrate MDMA, yielding a citalopram-like compound.</t>
  </si>
  <si>
    <t>Diaz-Veliz, Gabriela/A-2075-2008; Hernandez, Alejandro/M-4796-2019; Cassels, Bruce/H-6937-2013</t>
  </si>
  <si>
    <t>Diaz-Veliz, Gabriela/0000-0001-9549-4485; Hernandez, Alejandro/0000-0001-9222-6522</t>
  </si>
  <si>
    <t>10.3389/fphar.2019.00157</t>
  </si>
  <si>
    <t>WOS:000459850000002</t>
  </si>
  <si>
    <t>Prabhakaran, T; Mangalaraja, RV; Denardin, JC; Udayabhaskar, R; Varaprasad, K; Mansilla, HD; Contreras, D</t>
  </si>
  <si>
    <t>Prabhakaran, T.; Mangalaraja, R. V.; Denardin, Juliano C.; Udayabhaskar, R.; Varaprasad, K.; Mansilla, H. D.; Contreras, David</t>
  </si>
  <si>
    <t>Studies on the functional properties of free-standing polyvinyl alcohol/(CoFe2O4/CoFe2) composite films</t>
  </si>
  <si>
    <t>In this report, the functional properties of polyvinyl alcohol/(CoFe2O4/CoFe2) composite films fabricated through solution casting method were reported. Highly-magnetic CoFe2O4/CoFe2 composite was obtained through thermal reduction process and the effect of CoFe2O4/CoFe2 loading on the magnetic, optical, thermal and mechanical properties of PVA composite films was evaluated. At room temperature, the optical transparency was decreased from 68 to 38% but the magnetization was enhanced to 42.37 emu/g by an increase of CoFe2O4/CoFe2 to 15 wt%. Also, the visible-light emission intensity near 400-521 nm was influenced. We demonstrated that the wt% of CoFe2O4/CoFe2 and -OH intramolecular interactions between the polymer-chains played an important role in controlling the functional properties of composites. The performance analysis and comparison of the results revealed that PVA-composite film fabricated with 5 wt% of CoFe2O4/CoFe2 displayed significant magnetization, luminescence intensity, and high tensile-strength compared to others and was found to be a promising candidate for smart devices.</t>
  </si>
  <si>
    <t>Varaprasad, Kokkarachedu/F-9505-2012; Contreras, David/C-6830-2012; Viswanathan, Mangalaraja/AAM-6090-2020; THANDAPANI, PRABHAKARAN/L-3282-2018; Denardin, Juliano/S-6407-2019; rednam, udayabhaskar/D-8704-2014</t>
  </si>
  <si>
    <t>Denardin, Juliano/0000-0002-1373-6207; Contreras, David/0000-0003-1346-5918; Mansilla, Hector/0000-0003-3589-908X; rednam, udayabhaskar/0000-0002-6434-0560; Varaprasad, Kokkarachedu/0000-0002-1694-3447</t>
  </si>
  <si>
    <t>10.1016/j.mseb.2017.09.024</t>
  </si>
  <si>
    <t>WOS:000414880700028</t>
  </si>
  <si>
    <t>Aspée, A; Aliaga, C; Moretti, L; Zúñiga-Núñez, D; Godoy, J; Pino, E; Cárdenas-Jirón, G; Lopez-Alarcon, C; Scaiano, JC; Alarcon, EI</t>
  </si>
  <si>
    <t>Aspee, Alexis; Aliaga, Christian; Moretti, Luca; Zuniga-Nunez, Daniel; Godoy, Jessica; Pino, Eduardo; Cardenas-Jiron, Gloria; Lopez-Alarcon, Camilo; Scaiano, Juan C.; Alarcon, Emilio I.</t>
  </si>
  <si>
    <t>Reaction Kinetics of Phenolic Antioxidants toward Photoinduced Pyranine Free Radicals in Biological Models</t>
  </si>
  <si>
    <t>JOURNAL OF PHYSICAL CHEMISTRY B</t>
  </si>
  <si>
    <t>8-Hydroxy-1,3,6-pyrenetrisulfonic acid (pyranine, PyOH) free radicals were induced by laser excitation at visible wavelengths (470 nm). The photochemical process involves photoelectron ejection from PyO- to produce PyO center dot and PyO center dot- with maxima absorption at 450 and 510 nm, respectively. The kinetic rate constants for phenolic antioxidants with PyO center dot, determined by nanosecond time-resolved spectroscopy, were largely reliant on the ionic strength depending on the antioxidant phenol/phenolate dissociation constant. Further, the apparent rate constant measured in the presence of Triton X100 micelles was influenced by the antioxidant partition between the micelle and the dispersant aqueous media but limited by its exit rates from the micelle. Similarly, the rate reaction between ascorbic add and PyO center dot was markedly affected by the presence of human serum albumin responding to the dynamic of the ascorbic acid binding to the protein.</t>
  </si>
  <si>
    <t>Lopez, Camilo/J-5770-2013; Aliaga, Christian/E-9717-2012; Cardenas-Jiron, Gloria/H-9508-2012; Moretti, Luca/I-5251-2017</t>
  </si>
  <si>
    <t>Cardenas-Jiron, Gloria/0000-0003-4305-8088; Pino, Eduardo Francisco/0000-0002-7851-3952; Moretti, Luca/0000-0001-8092-0752; Alarcon, Emilio/0000-0001-5100-6179; Zuniga, Daniel/0000-0001-9967-1653; Lopez, Camilo/0000-0002-0174-8972; Scaiano, Juan/0000-0002-4838-7123</t>
  </si>
  <si>
    <t>1520-6106</t>
  </si>
  <si>
    <t>1520-5207</t>
  </si>
  <si>
    <t>JUL 6</t>
  </si>
  <si>
    <t>10.1021/acs.jpcb.7b02779</t>
  </si>
  <si>
    <t>WOS:000405253000006</t>
  </si>
  <si>
    <t>Molina, M; Fuentes, R; Calderón, R; Escudey, M; Avendaño, K; Gutiérrez, M; Chang, AC</t>
  </si>
  <si>
    <t>Molina, Mauricio; Fuentes, Roxana; Calderon, Raul; Escudey, Mauricio; Avendano, Katherine; Gutierrez, Marlen; Chang, Andrew C.</t>
  </si>
  <si>
    <t>Impact of forest fire ash on surface charge characteristics of andisols</t>
  </si>
  <si>
    <t>SOIL SCIENCE</t>
  </si>
  <si>
    <t>Forest fires are a common occurrence in central southern Chile where soils are mostly Andisols. The ash deposits may alter the chemical properties of the soils in the burned areas and nearby agricultural lands. In a column experiment, three Andisols found in this region were treated with 2-cm-thick ash deposit on the surface and leached with 12 pore volumes of water for 3 months. At the end of the leaching, the ashtreated and their respective control soils were sectioned, and the surface charge characteristics of each soil section were determined by electrophoretic mobility test and potentiometric titration. Chemical constituents released from the ash affected mainly the surface 0- to 5-cm section of the soils. The ash treatment and leaching caused the soil pH of the 0-to 5-cm section to increase from 2 to 3 pH units. Consequently, the negative surface charge and cation exchange capacity of affected soils both increased. The ash treatment changed the isoelectric point when the isoelectric point of respective control soil section was &gt; 3. The point of zero salt effect and the point of zero net proton charge of the ashtreated soils were increased in the 0- to 5-cm section and the influences of the ash leachates gradually diminished with soil depths. The alkaline leachates dissolved and mobilized the soil organic carbon and associated soil constituents. The effects observed on the surface charge and dissociation constants are consistent with anion and/or dissolved organic carbon adsorption. The surface dissociation constants, estimated by the constant capacitance model, showed that the ash treatment caused modifications of the active sites on the soil particles. Although ash leachates increase the cation retention capacity, the adsorption of other cations may be adversely affected by the ash deposit that is rich in Ca2+ and K+.</t>
  </si>
  <si>
    <t>Calderon, Raul/AAP-5930-2020</t>
  </si>
  <si>
    <t>Calderon Araya, Raul Alexis/0000-0002-1094-9661</t>
  </si>
  <si>
    <t>0038-075X</t>
  </si>
  <si>
    <t>1538-9243</t>
  </si>
  <si>
    <t>10.1097/ss.0b013e31814cee44</t>
  </si>
  <si>
    <t>WOS:000250271600008</t>
  </si>
  <si>
    <t>Guzman, HS; Toro, JE; Oyarzun, PA; Illesca, A; Avila, X; Gardner, JPA</t>
  </si>
  <si>
    <t>Guzman, Hardy S.; Toro, Jorge E.; Oyarzun, Pablo A.; Illesca, Alex; Avila, Xiomara; Gardner, Jonathan P. A.</t>
  </si>
  <si>
    <t>Species-Specific Mytilus Markers or Hybridization Evidence?</t>
  </si>
  <si>
    <t>The development of molecular methods to detect Mytilus hybrids is important for food authentication, conservation, and the sustainable management of shellfish aquaculture as accurate food labeling is a legal requirement, and because introgression may promote undesirable phenotypes or displace native species. However, nuclear and mitochondrial markers can segregate independently, compromising diagnostic congruence between these markers. This study aimed to detect hybrids in the Mytilus edulis species complex using a multi-locus approach, including RFLP-PCR assays for Me 15/16, 16S rRNA, and COIxba, in samples collected from five continents. We used a model-based Bayesian method for hybrid and pure species detection to analyze the diagnostic potential of nuclear and mitochondrial markers in mussel samples from South America, North America, Africa, Oceania, and Europe. Our results showed that the combined use of markers can differentiate between M. trossulus, M. edulis, M. galloprovincialis, and M. chilensis. The combined use of nuclear and mitochondrial molecular markers also improves hybrid detection and allows us to identify introgression using Bayesian analysis.</t>
  </si>
  <si>
    <t>Toro, Jorge/B-8829-2008</t>
  </si>
  <si>
    <t>10.3390/d17020082</t>
  </si>
  <si>
    <t>WOS:001433224700001</t>
  </si>
  <si>
    <t>Jorquera, B; Valenzuela-Barra, G; Mayorga, A; Mejía, J; Núñez, G; Gómez, M; Montenegro, G; Quezada, WEV; Echeverría, J; de Camargo, AC; von Poser, GL; Bridi, R</t>
  </si>
  <si>
    <t>Jorquera, Bairon; Valenzuela-Barra, Gabriela; Mayorga, Ailin; Mejia, Jessica; Nunez, Gabriel; Gomez, Miguel; Montenegro, Gloria; Quezada, Waleska E. Vera; Echeverria, Javier; de Camargo, Adriano Costa; von Poser, Gilsane Lino; Bridi, Raquel</t>
  </si>
  <si>
    <t>Exudate and Propolis from Escallonia pulverulenta: Phytochemical Characterization and Antibacterial Activity</t>
  </si>
  <si>
    <t>PLANTS-BASEL</t>
  </si>
  <si>
    <t>Propolis is a complex mixture formed from exudates that bees collect from plants and then mix with beeswax and their own salivary enzymes. Chilean propolis is characterized by the presence of phenolic compounds, which are considered responsible for the biological activities. The endemic species Escallonia pulverulenta (Ruiz and Pav.) Pers. [Escalloniaceae] is a recognized source of exudate to produce propolis. This study reports for the first time the chemical profile and antibacterial activity of E. pulverulenta exudate and leaves, as well as two samples of Chilean propolis. Palynological and morphological analysis showed the presence of E. pulverulenta as one of the main species in the propolis samples. UPLC-MS/MS analyses enabled the identification of phenolic acids in the leaves and in the propolis. Conversely, flavonoids are mainly present in exudates and propolis. Quercetin is the most abundant flavonol in the exudate, with similar concentrations in the propolis samples. Nevertheless, the main compound present in both samples of propolis was the flavanone pinocembrin. The antibacterial results obtained for exudate and propolis have shown a similar behavior, especially in the inhibition of Streptococcus pyogenes. These results show the importance of the exudates collected by the bees in the chemical composition and antibacterial capacity of propolis.</t>
  </si>
  <si>
    <t>Bridi, Raquel/JCN-9916-2023; Echeverría, Javier/E-9989-2011; de Camargo, Adriano Costa/I-5161-2012</t>
  </si>
  <si>
    <t>Echeverria, Javier/0000-0002-1688-968X; de Camargo, Adriano Costa/0000-0001-9404-1193</t>
  </si>
  <si>
    <t>2223-7747</t>
  </si>
  <si>
    <t>10.3390/plants13141971</t>
  </si>
  <si>
    <t>WOS:001282317000001</t>
  </si>
  <si>
    <t>Cornejo, FA; Muñoz-Villagrán, C; Luraschi, RA; Sandoval-Díaz, MP; Cancino, CA; Pugin, B; Morales, EH; Piotrowski, JS; Sandoval, JM; Vásquez, CC; Arenas, FA</t>
  </si>
  <si>
    <t>Cornejo, Fabian A.; Munoz-Villagran, Claudia; Luraschi, Roberto A.; Sandoval-Diaz, Maria P.; Cancino, Camila A.; Pugin, Benoit; Morales, Eduardo H.; Piotrowski, Jeff S.; Sandoval, Juan M.; Vasquez, Claudio C.; Arenas, Felipe A.</t>
  </si>
  <si>
    <t>Soft-metal(loid)s induce protein aggregation in Escherichia coli</t>
  </si>
  <si>
    <t>Metal(loid) salts were used to treat infectious diseases in the past due to their exceptional biocidal properties at low concentrations. However, the mechanism of their toxicity has yet to be fully elucidated. The production of reactive oxygen species (ROS) has been linked to the toxicity of soft metal(loid)s such as Ag(I), Au(III), As(III), Cd(II), Hg(II), and Te(IV). Nevertheless, few reports have described the direct, or ROS-independent, effects of some of these soft-metal(loid)s on bacteria, including the dismantling of iron-sulfur clusters [4Fe-4S] and the accumulation of porphyrin IX. Here, we used genome-wide genetic, proteomic, and biochemical approaches under anaerobic conditions to evaluate the direct mechanisms of toxicity of these metal(loid)s in Escherichia coli. We found that certain soft-metal(loid)s promote protein aggregation in a ROS-independent manner. This aggregation occurs during translation in the presence of Ag(I), Au(III), Hg(II), or Te(IV) and post-translationally in cells exposed to Cd(II) or As(III). We determined that aggregated proteins were involved in several essential biological processes that could lead to cell death. For instance, several enzymes involved in amino acid biosynthesis were aggregated after soft-metal(loid) exposure, disrupting intracellular amino acid concentration. We also propose a possible mechanism to explain how soft-metal(loid)s act as proteotoxic agents.</t>
  </si>
  <si>
    <t>Hernández, Eduardo/N-4531-2013; Luraschi, Roberto/AAI-7965-2021</t>
  </si>
  <si>
    <t>Cornejo, Fabian/0000-0002-6633-392X</t>
  </si>
  <si>
    <t>NOV 22</t>
  </si>
  <si>
    <t>10.3389/fmicb.2023.1281058</t>
  </si>
  <si>
    <t>WOS:001114639000001</t>
  </si>
  <si>
    <t>Sandino, MS; Godoy, F; Vargas, C; Elorrieta, F; Huidobro, L; Barrera, F; Ferreccio, C</t>
  </si>
  <si>
    <t>Spencer Sandino, Maria; Godoy, Franco; Vargas, Claudio; Elorrieta, Felipe; Huidobro, Laura; Barrera, Francisco; Ferreccio, Catterina</t>
  </si>
  <si>
    <t>DEVELOPMENT OF A NON- INVASIVE DIAGNOSIS FOR FATTY LIVER IN CHILE: PRELIMINARY RESULTS</t>
  </si>
  <si>
    <t>HEPATOLOGY</t>
  </si>
  <si>
    <t>Meeting of the American-Association-for-the-Study-of-Liver-Diseases (AASLD)</t>
  </si>
  <si>
    <t>NOV 10-14, 2023</t>
  </si>
  <si>
    <t>Boston, MA</t>
  </si>
  <si>
    <t>Amer Assoc Study Liver Dis</t>
  </si>
  <si>
    <t>Huidobro, Laura/AAN-8812-2021; Elorrieta, Felipe/AAX-2057-2020</t>
  </si>
  <si>
    <t>0270-9139</t>
  </si>
  <si>
    <t>1527-3350</t>
  </si>
  <si>
    <t>2035- A</t>
  </si>
  <si>
    <t>S790</t>
  </si>
  <si>
    <t>S791</t>
  </si>
  <si>
    <t>WOS:001094865402005</t>
  </si>
  <si>
    <t>Joseph, HS; Pachiappan, T; Avudaiappan, S; Flores, EIS</t>
  </si>
  <si>
    <t>Joseph, Herbert Sinduja; Pachiappan, Thamilselvi; Avudaiappan, Siva; Flores, Erick I. Saavedra</t>
  </si>
  <si>
    <t>A Study on Mechanical and Microstructural Characteristics of Concrete Using Recycled Aggregate</t>
  </si>
  <si>
    <t>The objective of this paper is to provide a comprehensive study about the performance of concrete using mixed coarse recycled aggregate (MCRA) as an alternative for natural aggregate (NA) at replacement levels of 0, 30, 60, and 100%, which can greatly reduce the environmental pollution by incorporating the construction and demolition wastes in the reproduction of concrete. The focus of this study was to use the raw MCRA that was directly obtained from a recycling plant and not further processed. Initially, MCRA was studied to ascertain if its property meets the recommended Indian standards for natural aggregates. Using the slump test, the workability of freshly prepared concrete with a characteristic strength of 30 MPa was assessed. Additionally, the mechanical performance of concrete was assessed on the specimens prepared in the different forms: cubes, cylinders, and beams. Moreover, Scanning Electron Microscopy (SEM) with EDAX, XRD, and FTIR were used to study the microstructural behavior of selected optimum and control mixes at 7 and 28 days of curing. The studies revealed that a higher MCRA content improved the workability of concrete and 30% replacement of MCRA improved the compressive strength by 11.01, 6.98, 6.19, and 14.24% at 7, 28, 56, and 90 days respectively. At the same time, the 30% replacement of the MCRA mix showed an improved split tensile and flexural strength by 2.92 and 6.26%, respectively. The microstructural analysis showed that the optimum mixture had a more condensed microstructure. Therefore, 30% replacement of MCRA can be incorporated in the characteristic strength of concrete of 30 MPa. In particular, MCRA incorporation had a positive influence similar to conventional concrete on the physical, mechanical, and microstructural properties, which can increase the utilization of all kinds of directly obtained construction and demolition wastes to increase the circular economy in the construction sector.</t>
  </si>
  <si>
    <t>Avudaiappan, Siva/AAV-7579-2021; JOSEPH, HERBERT/ABG-3039-2020; Flores, Erick/I-7646-2012</t>
  </si>
  <si>
    <t>, HERBERT SINDUJA J/0000-0001-8804-6879</t>
  </si>
  <si>
    <t>10.3390/ma15217535</t>
  </si>
  <si>
    <t>WOS:000882171400001</t>
  </si>
  <si>
    <t>Arias, P; Arza, A; Schaposnik, FA; Vargas-Arancibia, D; Venegas, M</t>
  </si>
  <si>
    <t>Arias, Paola; Arza, Ariel; Schaposnik, Fidel A.; Vargas-Arancibia, Diego; Venegas, Moira</t>
  </si>
  <si>
    <t>Vortex solutions in the presence of dark portals</t>
  </si>
  <si>
    <t>INTERNATIONAL JOURNAL OF MODERN PHYSICS A</t>
  </si>
  <si>
    <t>The existence of hidden sectors weakly coupled to the visible one has been extensively studied as a way to extend the Standard Model (SM) and to provide a good dark matter candidate. In this work we analyze two models in which gauge and scalar hidden fields interact with the visible sector which, for simplicity we take as an Abelian-Higgs model. In one of them, the hidden sector consists of an uncharged scalar. The connection with the visible Abelian-Higgs sector is in this case provided by the interaction between the scalars in the two sectors and also by the coupling between the hidden scalar and the visible squared field strength. This model can be seen as an extension of previously studied ones both in high energy and in condensed matter physics and the solutions that we find indicate that it could be relevant in connection to establishing the dark matter relic density. In the second model, both sectors correspond to spontaneously broken gauge theories and hence they feature classical vortex solutions. By introducing three different portals between the two sectors, we analyze the dependence of the model dynamics on the portal parameters and discuss the physical implications in connection with dark matter and gravitational radiation issues.</t>
  </si>
  <si>
    <t>Arias, Paola/Q-5912-2017</t>
  </si>
  <si>
    <t>Arias, Paola/0000-0001-5551-9182</t>
  </si>
  <si>
    <t>0217-751X</t>
  </si>
  <si>
    <t>1793-656X</t>
  </si>
  <si>
    <t>10.1142/S0217751X22500877</t>
  </si>
  <si>
    <t>WOS:000811562100009</t>
  </si>
  <si>
    <t>Castro, M; Baltazar, SE; Rojas-Nunez, J; Bringa, E; Valencia, FJ; Allende, S</t>
  </si>
  <si>
    <t>Castro, Mario; Baltazar, Samuel E.; Rojas-Nunez, Javier; Bringa, Eduardo; Valencia, Felipe J.; Allende, Sebastian</t>
  </si>
  <si>
    <t>Enhancing the magnetic response on polycrystalline nanoframes through mechanical deformation</t>
  </si>
  <si>
    <t>The mechanical and magnetic properties of polycrystalline nanoframes were investigated using atomistic molecular dynamics and micromagnetic simulations. The magneto-mechanical response of Fe hollow-like nanocubes was addressed by uniaxial compression carried out by nanoindentation. Our results show that the deformation of a nanoframe is dominated at lower strains by the compression of the nanostructure due to filament bending. This leads to the nanoframe twisting perpendicular to the indentation direction for larger indentation depths. Bending and twisting reduce stress concentration and, at the same time, increase coercivity. This unexpected increase of the coercivity occurs because the mechanical deformation changes the cubic shape of the nanoframe, which in turn drives the system to more stable magnetic states. A coercivity increase of almost 100 mT is found for strains close to 0.03, which are within the elastic regime of the Fe nanoframe. Coercivity then decreases at larger strains. However, in all cases, the coercivity is higher than for the undeformed nanoframe. These results can help in the design of new magnetic devices where mechanical deformation can be used as a primary tool to tailor the magnetic response on nanoscale solids.</t>
  </si>
  <si>
    <t>Castro, Mario/A-3585-2009; Valencia, Felipe/D-9223-2015; Baltazar, Samuel/E-1814-2011; Bringa, Eduardo/F-8918-2011; Rojas, Javier/JYP-5531-2024</t>
  </si>
  <si>
    <t>Baltazar, Samuel/0000-0001-9826-9400</t>
  </si>
  <si>
    <t>APR 8</t>
  </si>
  <si>
    <t>10.1038/s41598-022-09647-2</t>
  </si>
  <si>
    <t>WOS:000781895600007</t>
  </si>
  <si>
    <t>Gil-Durán, C; Sepúlveda, R; Rojas, M; Castro-Fernández, V; Guixé, V; Vaca, I; Levicán, G; González-Nilo, FD; Ravanal, MC; Chávez, R</t>
  </si>
  <si>
    <t>Gil-Duran, Carlos; Sepulveda, Romina, V; Rojas, Maximiliano; Castro-Fernandez, Victor; Guixe, Victoria; Vaca, Inmaculada; Levican, Gloria; Gonzalez-Nilo, Fernando D.; Ravanal, Maria-Cristina; Chavez, Renato</t>
  </si>
  <si>
    <t>The Emergence of New Catalytic Abilities in an Endoxylanase from Family GH10 by Removing an Intrinsically Disordered Region</t>
  </si>
  <si>
    <t>Endoxylanases belonging to family 10 of the glycoside hydrolases (GH10) are versatile in the use of different substrates. Thus, an understanding of the molecular mechanisms underlying substrate specificities could be very useful in the engineering of GH10 endoxylanases for biotechnological purposes. Herein, we analyzed XynA, an endoxylanase that contains a (beta/alpha)(8)-barrel domain and an intrinsically disordered region (IDR) of 29 amino acids at its amino end. Enzyme activity assays revealed that the elimination of the IDR resulted in a mutant enzyme (XynA &amp; UDelta;29) in which two new activities emerged: the ability to release xylose from xylan, and the ability to hydrolyze p-nitrophenyl-beta-d-xylopyranoside (pNPXyl), a substrate that wild-type enzyme cannot hydrolyze. Circular dichroism and tryptophan fluorescence quenching by acrylamide showed changes in secondary structure and increased flexibility of XynA &amp; UDelta;29. Molecular dynamics simulations revealed that the emergence of the pNPXyl-hydrolyzing activity correlated with a dynamic behavior not previously observed in GH10 endoxylanases: a hinge-bending motion of two symmetric regions within the (beta/alpha)(8)-barrel domain, whose hinge point is the active cleft. The hinge-bending motion is more intense in XynA &amp; UDelta;29 than in XynA and promotes the formation of a wider active site that allows the accommodation and hydrolysis of pNPXyl. Our results open new avenues for the study of the relationship between IDRs, dynamics and activity of endoxylanases, and other enzymes containing (beta/alpha)(8)-barrel domain.</t>
  </si>
  <si>
    <t>Levican, Gloria/R-5191-2019; Sepulveda, Romina/ITT-1749-2023; Ravanal, Maria/G-8682-2018; Castro-Fernandez, Victor/K-9621-2018; Guixe, Victoria/I-1126-2013; Gonzalez Nilo, Fernando Danilo/M-5671-2016</t>
  </si>
  <si>
    <t>Castro-Fernandez, Victor/0000-0002-4309-6415; Guixe, Victoria/0000-0001-9643-1339; Gil-Duran, Carlos Andres/0000-0001-9638-6902; Sepulveda, Romina V./0000-0001-8899-1440; Gonzalez Nilo, Fernando Danilo/0000-0001-6857-3575; Ravanal, Maria Cristina/0000-0003-2462-6270; Chavez, Renato/0000-0003-1754-3610</t>
  </si>
  <si>
    <t>10.3390/ijms23042315</t>
  </si>
  <si>
    <t>WOS:000774286000001</t>
  </si>
  <si>
    <t>Mujica, ML; Sotomayor-Santander, I; Hermosilla-Ibáñez, P; Oyarzun-Ampuero, F; Rodríguez, MC; Rivas, GA; Venegas-Yazigi, D; Bollo, S</t>
  </si>
  <si>
    <t>Mujica, Michael Lopez; Sotomayor-Santander, Ilania; Hermosilla-Ibanez, Patricio; Oyarzun-Ampuero, Felipe; Rodriguez, Marcela C.; Rivas, Gustavo A.; Venegas-Yazigi, Diego; Bollo, Soledad</t>
  </si>
  <si>
    <t>MWCNT-organoimido Polyoxomolybdate Hybrid Material: Analytical Applications for Amperometric Sensing of Hydrogen Peroxide</t>
  </si>
  <si>
    <t>ELECTROANALYSIS</t>
  </si>
  <si>
    <t>We report a hybrid material obtained by dispersing the polyoxometalate n-[Bu-4-N](2)[Mo6O18NC13H9] functionalized with 2-aminofluorene (POMAF) and multi-walled carbon nanotubes (MWCNTs) in 1,3-dioxolane (MWCNT- POMAF). We demonstrate the peroxidase-like activity of the hybrid material and its application for the amperometric quantification of hydrogen peroxide at -0.450 V previous drop-coating at glassy carbon electrodes, with a linear range between 1.0 mu M and 6.0 mu M and a detection limit of 330 nM. The reproducibility was 2.2 % using one MWCNTs-POMAF dispersion, and 3.9 % using 4 different dispersions. The sensor was successfully used for the quantification of hydrogen peroxide in enriched milk samples.</t>
  </si>
  <si>
    <t>Venegas-Yazigi, Diego/C-5022-2009; Rivas, Gustavo/AAB-2141-2020; Rodriguez, Marcela C/GOK-1802-2022; Bollo, Soledad/B-5257-2011; Hermosilla-Ibanez, Patricio/Y-7454-2018</t>
  </si>
  <si>
    <t>Oyarzun-Ampuero, Felipe/0000-0002-4951-0701; Hermosilla-Ibanez, Patricio/0000-0002-2272-9690; Bollo, Soledad/0000-0003-0868-4294</t>
  </si>
  <si>
    <t>1040-0397</t>
  </si>
  <si>
    <t>1521-4109</t>
  </si>
  <si>
    <t>10.1002/elan.202100149</t>
  </si>
  <si>
    <t>WOS:000654744900001</t>
  </si>
  <si>
    <t>Laroze, D; Hugh-Jones, D; Leininger, A</t>
  </si>
  <si>
    <t>Laroze, Denise; Hugh-Jones, David; Leininger, Arndt</t>
  </si>
  <si>
    <t>The impact of group identity on coalition formation</t>
  </si>
  <si>
    <t>RESEARCH &amp; POLITICS</t>
  </si>
  <si>
    <t>Bargaining and coalition building are a central part of modern politics. We argue that majoritarian bargaining is important for the formation of coalitions and that group-identity preferences have an impact on partner selection. We tested the effect of gender, race, and ideological distance in a majority-rule bargaining experiment and found that ideological distance significantly affected the likelihood and amount offered to potential partners. We concluded that formateurs are not necessarily purely rational actors pursuing policy goals and/or the benefits of office. Rather, they also care about the identity of their partners, preferring others who are like themselves.</t>
  </si>
  <si>
    <t>Leininger, Arndt/I-1423-2019</t>
  </si>
  <si>
    <t>2053-1680</t>
  </si>
  <si>
    <t>10.1177/2053168020967488</t>
  </si>
  <si>
    <t>WOS:000592490700001</t>
  </si>
  <si>
    <t>Diaz, M; Cardenas, R; Ibaceta, E; Mora, A; Urrutia, M; Espinoza, M; Rojas, F; Wheeler, P</t>
  </si>
  <si>
    <t>Diaz, Matias; Cardenas, Roberto; Ibaceta, Efrain; Mora, Andres; Urrutia, Matias; Espinoza, Mauricio; Rojas, Felix; Wheeler, Patrick</t>
  </si>
  <si>
    <t>An Overview of Modelling Techniques and Control Strategies for Modular Multilevel Matrix Converters</t>
  </si>
  <si>
    <t>The Modular Multilevel Matrix Converter is a relatively new power converter topology appropriate for high-power Alternating Current (AC) to AC purposes. Several publications in the literature have highlighted the converter capabilities such as modularity, control flexibility, the possibility to include redundancy, and power quality. Nevertheless, the topology and control of this converter are relatively complex to design and implement, considering that the converter has a large number of cells and floating capacitors. Therefore multilayer nested control systems are required to maintain the capacitor voltage of each cell regulated within an acceptable range. There are no other review papers where the modelling, control systems and applications of the Modular Multilevel Matrix Converter are discussed. Hence, this paper aims to facilitate further research by presenting the technology related to the Modular Multilevel Matrix Converter, focusing on a comprehensive revision of the modelling and control strategies.</t>
  </si>
  <si>
    <t>Espinoza, Mauricio/AAH-8647-2019; Mora, Andres/I-6953-2015; Rojas, Felix/U-3305-2019; Diaz, Matias/R-7570-2018; Cardenas, Roberto/C-6395-2011</t>
  </si>
  <si>
    <t>Rojas, Felix/0000-0001-6145-2826; Diaz, Matias/0000-0003-4489-9532; Cardenas, Roberto/0000-0003-3853-7703; MORA, ANDRES/0000-0002-5606-2783; Wheeler, Patrick/0000-0003-0307-581X</t>
  </si>
  <si>
    <t>10.3390/en13184678</t>
  </si>
  <si>
    <t>WOS:000580100300001</t>
  </si>
  <si>
    <t>De Bonfils, P; Verron, E; Sandoval-Altamirano, C; Jaque, P; Moreau, X; Gunther, G; Nun, P; Coeffard, V</t>
  </si>
  <si>
    <t>De Bonfils, Paul; Verron, Elise; Sandoval-Altamirano, Catalina; Jaque, Pablo; Moreau, Xavier; Gunther, German; Nun, Pierrick; Coeffard, Vincent</t>
  </si>
  <si>
    <t>Unusual Oxidative Dealkylation Strategy toward Functionalized Phenalenones as Singlet Oxygen Photosensitizers and Photophysical Studies</t>
  </si>
  <si>
    <t>JOURNAL OF ORGANIC CHEMISTRY</t>
  </si>
  <si>
    <t>A series of functionalized 6-alkoxy phenalenones was prepared through an unprecedented oxidative dealkylation of readily available phenalene precursors. The starting phenalenes were efficiently synthesized via an aminocatalyzed annulation/O-alkylation strategy starting from simple substrates. The spectroscopic properties of some phenalenones were investigated in different solvents. Introducing an alkoxy substituent at the 6-position onto the phenalenone framework results in a red shift of the absorption. The synthesized phenalenones exhibit low fluorescence quantum yields, and the fluorescence decay was studied in different solvents, highlighting the presence of several lifetimes. The singlet oxygen (O-1(2)) photosensitizing propensity of some phenalenones was investigated, and the results showed the striking importance of the phenalenone molecular structure in generating singlet oxygen with high yields. The ability of phenalenones to generate singlet oxygen was then harnessed in three photooxygenation reactions: anthracene oxidation, oxy-functionalization of citronellol through the Schenck-ene reaction, and photooxidation of a diene.</t>
  </si>
  <si>
    <t>Jaque, Pablo/C-7803-2011; Verron, Elise/P-2645-2014; Gunther, German/I-1028-2013; Nun, Pierrick/O-9582-2016</t>
  </si>
  <si>
    <t>Moreau, Xavier/0000-0002-6737-9671; COEFFARD, Vincent/0000-0003-2982-7880; Sandoval-Altamirano, Catalina/0000-0002-8550-3218; Verron, Elise/0000-0003-4276-5127; Gunther, German/0000-0002-4733-8426; Jaque, Pablo/0000-0002-4055-3553; Nun, Pierrick/0000-0003-4501-0555</t>
  </si>
  <si>
    <t>0022-3263</t>
  </si>
  <si>
    <t>1520-6904</t>
  </si>
  <si>
    <t>AUG 21</t>
  </si>
  <si>
    <t>10.1021/acs.joc.0c01140</t>
  </si>
  <si>
    <t>WOS:000563754800026</t>
  </si>
  <si>
    <t>Shamshuddin, MA; Rojas, F; Cardenas, R; Pereda, J; Diaz, M; Kennel, R</t>
  </si>
  <si>
    <t>Shamshuddin, Mohammed Azharuddin; Rojas, Felix; Cardenas, Roberto; Pereda, Javier; Diaz, Matias; Kennel, Ralph</t>
  </si>
  <si>
    <t>Solid State Transformers: Concepts, Classification, and Control</t>
  </si>
  <si>
    <t>Increase in global energy demand and constraints from fossil fuels have encouraged a growing share of renewable energy resources in the utility grid. Accordingly, an increased penetration of direct current (DC) power sources and loads (e.g., solar photovoltaics and electric vehicles) as well as the necessity for active power flow control has been witnessed in the power distribution networks. Passive transformers are susceptible to DC offset and possess no controllability when employed in smart grids. Solid state transformers (SSTs) are identified as a potential solution to modernize and harmonize alternating current (AC) and DC electrical networks and as suitable solutions in applications such as traction, electric ships, and aerospace industry. This paper provides a complete overview on SST: concepts, topologies, classification, power converters, material selection, and key aspects for design criteria and control schemes proposed in the literature. It also proposes a simple terminology to identify and homogenize the large number of definitions and structures currently reported in the literature.</t>
  </si>
  <si>
    <t>Rojas, Felix/U-3305-2019; Shamshuddin, Mohammed Azharuddin/AAS-4675-2021; Diaz, Matias/R-7570-2018; Cardenas, Roberto/C-6395-2011; Pereda Torres, Javier/F-8244-2013</t>
  </si>
  <si>
    <t>Shamshuddin, Mohammed Azharuddin/0000-0002-8452-9205; Diaz, Matias/0000-0003-4489-9532; Cardenas, Roberto/0000-0003-3853-7703; Rojas, Felix/0000-0001-6145-2826; Shamshuddin MD, Dr./0000-0002-2453-8492; Pereda Torres, Javier/0000-0002-3407-5233</t>
  </si>
  <si>
    <t>10.3390/en13092319</t>
  </si>
  <si>
    <t>WOS:000535739300197</t>
  </si>
  <si>
    <t>Lahoz-García, N; Milla-Tobarra, M; García-Hermoso, A; Hernández-Luengo, M; Pozuelo-Carrascosa, DP; Martínez-Vizcaíno, V</t>
  </si>
  <si>
    <t>Lahoz-Garcia, Noelia; Milla-Tobarra, Marta; Garcia-Hermoso, Antonio; Hernandez-Luengo, Monserrat; Pozuelo-Carrascosa, Diana P.; Martinez-Vizcaino, Vicente</t>
  </si>
  <si>
    <t>Associations between Dairy Intake, Body Composition, and Cardiometabolic Risk Factors in Spanish Schoolchildren: The Cuenca Study</t>
  </si>
  <si>
    <t>Full-fat dairy has been traditionally associated with obesity and cardiovascular disease (CVD); however, recent evidence shows that the amount of dairy intake might have a beneficial effect over these pathologies, regardless of their fat content. The aim of this study was to examine the association between the intake of dairy products (including milk with different fat contents) with both adiposity and serum lipid concentration, adjusted by cardiorespiratory fitness (CRF), in Spanish schoolchildren. A cross-sectional study of 1088 children, aged 8 to 11 years, was conducted in which anthropometric variables (body mass index (BMI), waist circumference (WC), fat mass percentage (FM%) and fat mass index (FMI)), blood lipid profile, and dairy intake (using a food frequency questionnaire), and CRF (through a 20-m shuttle run test) were measured. Results showed that children with lower BMI, WC, FM%, and FMI had higher whole-fat milk intake and lower skimmed and semi-skimmed milk intake than children with higher BMI, WC, FM%, and FMI. Children with normal levels of triglycerides and high density lipoproteins (HLD) cholesterol consumed more whole-fat milk and less reduced-fat milk than children with dyslipidemic patterns. These relationships persisted after adjustment for CRF. Our findings suggest that full-fat milk intake should be promoted in children without obesity or high cardiometabolic risk.</t>
  </si>
  <si>
    <t>Carrascosa, Diana/R-4379-2017; García-Hermoso, Antonio/ADU-2591-2022; Garcia-Hermoso, Antonio/P-1857-2017; MARTINEZ VIZCAINO, VICENTE/R-4336-2017</t>
  </si>
  <si>
    <t>Garcia-Hermoso, Antonio/0000-0002-1397-7182; MARTINEZ VIZCAINO, VICENTE/0000-0001-6121-7893</t>
  </si>
  <si>
    <t>10.3390/nu11122940</t>
  </si>
  <si>
    <t>WOS:000506917800102</t>
  </si>
  <si>
    <t>Tirapegui, C; Rojas-Poblete, M; Arratia-Perez, R; Linares-Flores, C; Islas, R; Schott, E; Guajardo-Maturana, R</t>
  </si>
  <si>
    <t>Tirapegui, Cristian; Rojas-Poblete, Macarena; Arratia-Perez, Ramiro; Linares-Flores, Cristian; Islas, Rafael; Schott, Eduardo; Guajardo-Maturana, Raul</t>
  </si>
  <si>
    <t>Optical and electronic properties of benzopyrylium derivatives. Theoretical-experimental synergy towards novel DSSCs devices</t>
  </si>
  <si>
    <t>Here, we discuss the formation of several heterocyclic benzopyrylium compounds via joint experimental-theoretical efforts, in order to obtaining a better understanding of the diverse properties of these interesting organic species. Our results suggest these benzopyrylium dyes as interesting sensitizers in the novel design of new solar cells from the basis of their optical properties and pH-dependent characteristics. The role of aromatic stability of the pyrylium compounds in the obtained properties is discussed in terms of both NBO and analysis of the induced magnetic field toward the isotropic respond. Furthermore, optical properties were analyzed in the framework of TD-DFT methodologies. Noteworthy changes in red-shift and absorptions lambda(max) a are observed that contribute toward the interesting DSSCs applications. Additionally, the emission profile of 2a derivative was obtained in agreement to both theoretically and experimental strategy. We expect that our results can be informative for further development of heterocyclic benzopyrylium compounds and their application in DSSCs devices.</t>
  </si>
  <si>
    <t>Islas, Rafael/B-1656-2012; Arratia-Perez, Ramiro/AAG-2648-2019; Schott, Eduardo/J-7540-2015; Tirapegui, Cristian/U-3748-2018</t>
  </si>
  <si>
    <t>Schott, Eduardo/0000-0002-2546-304X; Tirapegui, Cristian/0000-0002-2895-3204; Islas, Rafael/0000-0001-5655-107X; Linares-Flores, Cristian/0000-0002-2967-0388; Guajardo-Maturana, Raul/0000-0001-7222-6955</t>
  </si>
  <si>
    <t>10.1016/j.dyepig.2018.08.044</t>
  </si>
  <si>
    <t>WOS:000449241200045</t>
  </si>
  <si>
    <t>Diaz, M; Rojas, F; Espinoza, M; Mora, A; Wheeler, P; Cardenas, R</t>
  </si>
  <si>
    <t>Diaz, Matias; Rojas, Felix; Espinoza, Mauricio; Mora, Andres; Wheeler, Pat; Cardenas, Roberto</t>
  </si>
  <si>
    <t>Closed Loop Vector Control of the Modular Multilevel Matrix Converter for Equal Input-Output operating frequencies</t>
  </si>
  <si>
    <t>2017 IEEE SOUTHERN POWER ELECTRONICS CONFERENCE (SPEC)</t>
  </si>
  <si>
    <t>IEEE Southern Power Electronics Conference (SPEC)</t>
  </si>
  <si>
    <t>DEC 04-07, 2017</t>
  </si>
  <si>
    <t>Puerto Varas, CHILE</t>
  </si>
  <si>
    <t>Inst Elect &amp; Elect Engineers,IEEE Power Elect Soc,Univ Talca</t>
  </si>
  <si>
    <t>The Modular Multilevel Matrix Converter ((MC)-C-3) is an AC-to-AC Modular Multilevel Converter composed of H-Bridge Power Cells connected to flying capacitors. This converter has been proposed as a solution to high-power drive applications due to its characteristics such as high power quality, medium or high voltage operation and control flexibility. However, the energy balancing of this converter is complex when the Input Port has a frequency close to the Output Port frequency because large voltage fluctuations can appear in the flying capacitors. Consequently, this paper proposes a novel Closed-Loop Vector Control Strategy, which is implemented in dq synchronous frames, to allow the operation of the converter in a broad range of operating frequencies. Extensive discussion of the model and control of the (MC)-C-3 is presented. The effectiveness of the proposed Control Strategy is validated through simulations and experimental results obtained with a 27 power-cells prototype.</t>
  </si>
  <si>
    <t>Diaz, Matias/R-7570-2018; Espinoza, Mauricio/AAH-8647-2019; Mora, Andres/I-6953-2015; Rojas, Felix/U-3305-2019</t>
  </si>
  <si>
    <t>WOS:000454362300040</t>
  </si>
  <si>
    <t>Martínez, P; Rojas, G; Fritsch, R; Martínez, V; Vöhringer, PA; Castro, A</t>
  </si>
  <si>
    <t>Martinez, Pablo; Rojas, Graciela; Fritsch, Rosemarie; Martinez, Vania; Vohringer, Paul A.; Castro, Ariel</t>
  </si>
  <si>
    <t>Comorbidity in people with depression seeking help at primary health care centers in Santiago, Chile</t>
  </si>
  <si>
    <t>Background: International evidence has shown the complex interaction between depression and chronic physical diseases. Depression in scenarios involving multiple comorbidities has not received enough attention in Chile. Aim: To characterize the depressed people who consult at Primary Health Care Centers (PHCCs), taking into account the presence of chronic physical or psychiatric comorbidity. Materials and Methods: A secondary analysis of databases used in a clinical trial. Two hundred fifty six adults seeking professional help were recruited in four PHCCs located in the Metropolitan Region. These people had a major depressive episode, identified with a structured psychiatric interview (MINI), and gave their informed consent to participate. Socio-demographic information was collected, depressive symptomatology was measured with the patient health questionnaire 9 (PHQ-9), psychiatric morbidity was assessed using the Mini International Neuropsychiatric Interview (MINI), and chronic physical diseases were self-reported by the patients. Descriptive analyses of all the variables were conducted. Results: Seventy percent of patients had a history of depression, with a median of two prior depressive episodes. Depressive symptoms were mostly considered as moderate to severe and severe and 31% of the patients had high suicide risk. Seventy eight percent displayed a physical or psychiatric comorbidity. Of these patients, 29% only had a chronic physical comorbidity, while 46% suffered from an additional psychiatric disorder. Conclusions: Depressed individuals who seek help at PHCCs constitute an especially complex population that must be treated taking into account multiple comorbidities.</t>
  </si>
  <si>
    <t>martinez, vania/HTR-5513-2023; Martínez, Pablo/LZF-5853-2025; Fritsch Montero, Rosemarie/C-3519-2009; Vohringer, Paul A/B-5860-2013; Martinez, Vania/LBT-7587-2024</t>
  </si>
  <si>
    <t>Fritsch Montero, Rosemarie/0000-0001-7694-1470; Vohringer, Paul A/0000-0002-2460-4680; Martinez, Vania/0000-0001-5980-7122; Martinez, Pablo/0000-0003-4482-7993</t>
  </si>
  <si>
    <t>10.4067/S0034-98872017000100004</t>
  </si>
  <si>
    <t>WOS:000395362900004</t>
  </si>
  <si>
    <t>Alburquenque, D; Troncoso, L; Denardin, JC; Butera, A; Padmasree, KD; Ortiz, J; Herrera, F; Marco, JF; Gautier, JL</t>
  </si>
  <si>
    <t>Alburquenque, D.; Troncoso, L.; Denardin, J. C.; Butera, A.; Padmasree, K. D.; Ortiz, J.; Herrera, F.; Marco, J. F.; Gautier, J. L.</t>
  </si>
  <si>
    <t>Structural and physicochemical properties of nickel manganite NiMn2O4-δsynthesized by sol-gel and ultra sound assisted methods</t>
  </si>
  <si>
    <t>In this work we present the structural, magnetic and surface characterization of the ceramic nickel manganite oxide NiMn2O4-delta synthesized by two methods: sol-gel and ultrasound-assisted sol-gel using nitrate salts as precursors. We have characterized the non-stoichiometric samples NiMn2O4-delta using different physicochemical analyses. X-ray diffraction and Rietveld refinement of the X-ray data indicated that the samples crystallize in the Fd3m space group characteristic of cubic spinel-related oxides. The specific surface area of the oxides was 1.3 m(2)/g (SG) and 16.3 m(2)/g (UASG). SEM results showed particle agglomerates of 1.05 mu m ( SG) and 0.85 mu m ( UASG). Temperature dependence magnetization measurements were performed and a ferrimagnetic transition was identified at 103 K and 105 K depending on the preparation method ( SG and UASG, respectively). The observed Curie constant was found to vary from 7.4 to 7.7 cm(3) K mol(-1) and hysteretic magnetization vs. applied field curves at different temperatures were obtained. XPS studies of these oxides reveal the presence of Ni2+, Mn2+, Mn3+ and Mn4+ ions at the surface. A probable ionic distribution as a function of the synthesis method is proposed. (C) 2016 Elsevier B.V. All rights reserved.</t>
  </si>
  <si>
    <t>Butera, Alejandro/B-7511-2014; Denardin, Juliano/S-6407-2019; Marco, JF/N-3176-2014</t>
  </si>
  <si>
    <t>Troncoso, Loreto/0000-0003-1621-3310; Marco, JF/0000-0002-5147-1449; Alburquenque, Daniela/0000-0001-9236-3308; Denardin, Juliano/0000-0002-1373-6207; Butera, Alejandro/0000-0003-2466-8972; Herrera, Francisco/0000-0001-7783-2970</t>
  </si>
  <si>
    <t>JUL 5</t>
  </si>
  <si>
    <t>10.1016/j.jallcom.2016.02.090</t>
  </si>
  <si>
    <t>WOS:000373464000043</t>
  </si>
  <si>
    <t>Agüero, SD; Jofre, PA; Standen, CV; Herrera-Valenzuela, T; Cantillana, CM; Robledo, RP; Valdés-Badilla, P</t>
  </si>
  <si>
    <t>Duran Agueero, Samuel; Arroyo Jofre, Patricio; Varas Standen, Camila; Herrera-Valenzuela, Tomas; Moya Cantillana, Cristobal; Pereira Robledo, Rodolfo; Valdes-Badilla, Pablo</t>
  </si>
  <si>
    <t>SLEEP QUALITY, EXCESSIVE DAYTIME SLEEPINESS AND INSOMNIA IN CHILEAN PARALYMPIC ATHLETES</t>
  </si>
  <si>
    <t>Introduction: the sleep takes part in diverse biological and physiological functions, associating his restriction, with minor performance in the sport, nevertheless the quantity and quality of sleep is not known in paralympic athletes. Objective: to determine the sleep quality, insomnia and excessive daytime sleepiness in Chilean paralympic athletes. Methods: descriptive transverse Study, the sample included 33 paralympic athletes (24.2% women), those who were practicing swimming, tennis of table, football 5, powerlifting and tennis chair. The studied variables measured up across two surveys of dream: the Questionnaire of Insomnia and the Pittsburgh Sleep Quality Index. Results: the paralympic athletes sleep were 6.9 +/- 1.4 hours, 27.7% presents daytime sleepiness, 69.6 % insomnia (Survey of insomnia =7), whereas 78.7 % exhibits a bad sleep quality. The age showed a positive correlation with latency to the sleep (r=0.417 *), the insomnia with latency to the sleep (r=0.462 **), the Pittsburg score was correlated negatively by the sleep duration (r = -0.323) and latency to the sleep is correlated positively by the Pittsburgh score (r = 0.603 **). Conclusion: the chilean paralympic athletes, present a low sleep quality, insomnia and excessive daytime sleepiness, situation that might influence negatively the sports performance.</t>
  </si>
  <si>
    <t>Agüero, Samuel/AAZ-6140-2020; Araya, Paz/GXI-0042-2022; Herrera-Valenzuela, Tomas/L-1819-2019</t>
  </si>
  <si>
    <t>Valdes-Badilla, Pablo/0000-0002-3948-8280; Herrera-Valenzuela, Tomas/0000-0002-5219-5896</t>
  </si>
  <si>
    <t>10.3305/nh.2015.32.6.9893</t>
  </si>
  <si>
    <t>WOS:000367417600063</t>
  </si>
  <si>
    <t>Oyanedel, JC; Vargas, S; Mella, C; Páez, D</t>
  </si>
  <si>
    <t>Oyanedel, Juan Carlos; Vargas, Salvador; Mella, Camila; Paez, Dari</t>
  </si>
  <si>
    <t>Validation of the Personal Wellbeing Index (PWI) in vulnerable users of health care services in Santiago, Chile</t>
  </si>
  <si>
    <t>Background: Personal well-being calculates quality of life in terms of the necessary conditions required to live well. Aim: To validate the Personal Wellbeing Index (PWI) in a representative sample of vulnerable users of the public health system in Santiago, Chile. Material and Methods. A probabilistic and multistage sample consisting of 400 individuals aged 44 +/- 18 years (61% females) belonging to the lower income group of the National Health Fund (FONASA), residents of Gran Santiago was surveyed. Internal consistency and correlation between items and scale were examined. Structure was analyzed through confirmatory factor analysis. Results: The seven-item PWI is a good indicator of subjective well-being in the population under study, considering internal consistency, factor loadings, relation with overall life satisfaction and goodness of fit. The indicators mostly associated with personal well-being are the socioeconomic level followed by relationships with the community, health conditions and achievements. Conclusions: The 7-item version of the PWI is suitable for application in vulnerable health service users.</t>
  </si>
  <si>
    <t>Oyanedel, Juan/V-2833-2019; Paez, Dario/D-5207-2009</t>
  </si>
  <si>
    <t>Paez, Dario/0000-0002-8459-6037; Oyanedel, Juan/0000-0003-4023-6926</t>
  </si>
  <si>
    <t>10.4067/S0034-98872015000900007</t>
  </si>
  <si>
    <t>WOS:000365247800007</t>
  </si>
  <si>
    <t>Hamchaoui, F; Alonzo, V; Venegas-Yazigi, D; Rebbah, H; Le Fur, E</t>
  </si>
  <si>
    <t>Hamchaoui, Farida; Alonzo, Veronique; Venegas-Yazigi, Diego; Rebbah, Houria; Le Fur, Eric</t>
  </si>
  <si>
    <t>Six novel transition-metal phosphite compounds, with structure related to yavapaiite: Crystal structures and magnetic and thermal properties of AI[MIII(HPO3)2] (A=K, NH4, Rb and M=V, Fe)</t>
  </si>
  <si>
    <t>Six new transition metal(III) phosphites A(I)[V-III(HPO3)(2)], where A=K (1), NH4 (2) and Rb (3) and A(I)[Fe-III(HPO3)(2)] where A=K (4), NH4 (5) and Rb (6) have been synthesized under hydrothermal conditions and the solid-state structures were solved from single-crystal X-ray diffraction data. These compounds crystallize in the hexagonal system, space group P6(3)mc (no. 186), with a=5.3294(2) angstrom and c=12.3130(5) angstrom for 1, a=5.3330(2) angstrom and c=12.8760(4) angstrom for 2, a=5.3459(2) angstrom and c=12.6850(8) angstrom for 3, a=5.3256(1) angstrom and c=12.2362(3) angstrom for 4, a=5.3229(2) angstrom and c=12.8562(4) angstrom for 5, a=5.3393(2) angstrom and c=12.6913(5) angstrom for 6, with Z=2 in the six phases. The crystal structures of these compounds are isotypic and exhibit a layered structure stacked along the c-axis with the A(+) cations located in the interlayer space. The [M-III(HPO3)(2)](-) sheets are formed by MO6 octahedra interconnected by HPO3 tetrahedral phosphite oxoanions through sharing vertices. Thermal analysis shows a large range of stability for compounds containing potassium and rubidium cations with decomposition starting around 550 K for stable compounds and above 840 K for the most stable compounds leading in general to pyrophosphate compounds. Triangular nets of metallic centers are observed within the layers in which antiferromagnetic interactions are evidenced by magnetic susceptibility measurements suggesting magnetic frustration. (C) 2012 Elsevier Inc. All rights reserved.</t>
  </si>
  <si>
    <t>Venegas-Yazigi, Diego/0000-0001-7816-2841</t>
  </si>
  <si>
    <t>10.1016/j.jssc.2012.10.007</t>
  </si>
  <si>
    <t>WOS:000314320800044</t>
  </si>
  <si>
    <t>Mattiello, R; Mallol, J; Fischer, GB; Mocelin, HT; Rueda, B; Sarria, EE</t>
  </si>
  <si>
    <t>Mattiello, Rita; Mallol, Javier; Fischer, Gilberto Bueno; Mocelin, Helena Teresinha; Rueda, Belkys; Sarria, Edgar Enrique</t>
  </si>
  <si>
    <t>Pulmonary function in children and adolescents with postinfectious bronchiolitis obliterans</t>
  </si>
  <si>
    <t>JORNAL BRASILEIRO DE PNEUMOLOGIA</t>
  </si>
  <si>
    <t>Objective: To describe the pulmonary function in children and adolescents with postinfectious bronchiolitis obliterans (PIBO), as well as to evaluate potential risk factors for severe impairment of pulmonary function. Methods: The pulmonary function of 77 participants, aged 8-18 years, was assessed by spirometry and plethysmography. The following parameters were analyzed: FVC; FEV1; FEF25-75%; FEV1/FVC; RV; TLC; RV/TLC; intrathoracic gas volume; and specific airway resistance (sRaw). We used Poisson regression to investigate the following potential risk factors for severe impairment of pulmonary function: gender; age at first wheeze; age at diagnosis; family history of asthma; tobacco smoke exposure; length of hospital stay; and duration of mechanical ventilation. Results: The mean age was 13.5 years. There were pronounced decreases in FEV1 and FEF25-75%, as well as increases in RV and sRaw. These alterations are characteristic of obstructive airway disease. For the parameters that were the most affected, the mean values (percentage of predicted) were as follows: FEV1 = 45.9%; FEF25-75% = 21.5%; RV = 281.1%; RV/TLC = 236.2%; and sRaw = 665.3%. None of the potential risk factors studied showed a significant association with severely impaired pulmonary function. Conclusions: The patients with PIBO had a common pattern of severe pulmonary function impairment, characterized by marked airway obstruction and pronounced increases in RV and sRaw. The combination of spirometric and plethysmographic measurements can be more useful for assessing functional damage, as well as in the follow-up of these patients, than are either of these techniques used in isolation. Known risk factors for respiratory diseases do not seem to be associated with severely impaired pulmonary function in PIBO.</t>
  </si>
  <si>
    <t>Mattiello, Rita/B-1748-2012; Mattiello, Rita/K-3344-2015</t>
  </si>
  <si>
    <t>Mallol, Javier/0000-0003-2528-8672; Mattiello, Rita/0000-0002-0548-3342</t>
  </si>
  <si>
    <t>1806-3713</t>
  </si>
  <si>
    <t>1806-3756</t>
  </si>
  <si>
    <t>10.1590/S1806-37132010000400010</t>
  </si>
  <si>
    <t>WOS:000281227400010</t>
  </si>
  <si>
    <t>Stepanova, M; Antonova, EE; Bosqued, JM</t>
  </si>
  <si>
    <t>Stepanova, M.; Antonova, E. E.; Bosqued, J. -M.</t>
  </si>
  <si>
    <t>Study of plasma pressure distribution in the inner magnetosphere using low-altitude satellites and its importance for the large-scale magnetospheric dynamics</t>
  </si>
  <si>
    <t>Plasma pressure distribution in the inner magnetosphere is one of the key parameters for understanding main processes of the magnetospheric dynamics including geomagnetic substroms. However, the pressure profiles obtained from in situ measurements by the high-altitude satellites do not allow the tracking of the magnetospheric dynamics, because a time necessary to obtain these profiles (hours) generally exceeds the characteristic times of the main magnetospheric processes (minutes or less). On contrary, fast movement of low-altitude satellites makes it possible to obtain quasi-instantaneous profiles of plasma pressure along the satellite trajectory - radial or azimuthal, depending on the satellite orbit. Precipitating particle fluxes, measured by the low-altitude Aureol-3 satellite were used. Mapping into the equatorial plane and determination of a volume of the magnetic flux tube were made using the Tsyganenko 96 and 01 geomagnetic field models. Study of radial plasma gradients showed that the inner magnetosphere is stable for development of flute (interchange) instability. Modified interchange instability related to azimuthal plasma pressure gradients and field-aligned currents in equilibrium was proposed as a source of substorm expansion phase onset. It can develop when the density of the field-aligned current reaches a definite threshold value. The growth rate of the instability is higher in the region of upward field-aligned current, where the existing field-aligned potential drop leads to the magnetosphere-ionosphere decoupling. (C) 2006 Published by Elsevier Ltd on behalf of COSPAR.</t>
  </si>
  <si>
    <t>Antonova, Elizaveta/A-2716-2012; Stepanova, Marina/D-6329-2011</t>
  </si>
  <si>
    <t>Stepanova, Marina/0000-0002-1053-3375</t>
  </si>
  <si>
    <t>10.1016/j.asr.2006.05.013</t>
  </si>
  <si>
    <t>WOS:000202988500010</t>
  </si>
  <si>
    <t>Amirian, R; Pour, PM; Maleki, H; Fakhri, S; Asgary, S; Farzaei, MH; Echeverría, J</t>
  </si>
  <si>
    <t>Amirian, Roshanak; Pour, Pardis Mohammadi; Maleki, Hassan; Fakhri, Sajad; Asgary, Sedigheh; Farzaei, Mohammad Hossein; Echeverria, Javier</t>
  </si>
  <si>
    <t>Evaluating the anti-neuropathic effects of the thymol-loaded nanofibrous scaffold in a rat model of spinal cord injury</t>
  </si>
  <si>
    <t>Background Spinal cord injury (SCI) is a debilitating condition characterized by partial or complete loss of motor and sensory function caused by mechanical trauma to the spinal cord. Novel therapeutic approaches are continuously explored to enhance spinal cord regeneration and functional recovery.Purpose In this study, we investigated the efficacy of the poly(vinyl alcohol) and chitosan (PVA/CS) scaffold loaded with different thymol concentrations (5, 10, and 15 wt%) in a rat compression model for SCI treatment compare to other (e.g., thymol and scaffold) control groups.Results and discussion The thymol-loaded scaffold exhibited a smooth surface and a three-dimensional nanofibrous structure with nanoscale diameter. The conducted analyses verified the successful incorporation of thymol into the scaffold and its high water absorption, porosity, and wettability attributes. Behavioral assessment of functional recovery showed improving sensory and locomotor impairment. Furthermore, histopathological examinations indicated the regenerative potential of the thymol-loaded nanofiber scaffold, by neuronal survival.Conclusion Therefore, these findings suggest that the thymol-loaded nanofibrous scaffolds have promising pharmacological activities for alleviating neuropathic pain and addressing complications induced by SCI.</t>
  </si>
  <si>
    <t>Farzaei, Mohammad/M-5779-2017; Echeverría, Javier/AAK-3323-2020; pour, pardis/I-8404-2019; Maleki, Hassan/AAL-4384-2021</t>
  </si>
  <si>
    <t>10.3389/fphar.2025.1507397</t>
  </si>
  <si>
    <t>WOS:001469176300001</t>
  </si>
  <si>
    <t>Durairaj, S; Annamalai, P; Dhanalakshmi, R; Ghosh, D</t>
  </si>
  <si>
    <t>Durairaj, Sivaraj; Annamalai, Padmanaban; Dhanalakshmi, Radhalayam; Ghosh, Deepa</t>
  </si>
  <si>
    <t>Advances and Outlook of Ti3C2-Based Catalysts for Electrocatalytic Hydrogen Production: A Comprehensive Overview</t>
  </si>
  <si>
    <t>ENERGY &amp; FUELS</t>
  </si>
  <si>
    <t>Understanding the importance of sustainable and renewable energy sources as well as effective conversion technologies is crucial to tackling the various energy challenges we face today. Hydrogen energy has arisen as one of the most important renewable energy sources, driven by the growing global demand for energy and environmental concerns. Electrocatalysis plays a pivotal role in the advancement of a sustainable energy economy by enabling the production of efficient hydrogen production. Currently, electrochemical hydrogen energy technologies are increasingly becoming integral to our daily lives, reflecting their significance and potential for addressing energy sustainability issues. The present investigation provides a thorough analysis of the latest developments in catalysts used for electrocatalytic hydrogen production. It delves into the synthesis, properties, and catalytic mechanisms of Ti3C2 while also highlighting recent research progress made in Ti3C2-based catalysts. The synthesis of Ti3C2 MXene is explored, focusing on different selective etching methods and their effects on the structural and surface properties of the materials produced. Exploring the detailed properties of Ti3C2 MXene, such as its conductivity, surface chemistry, mechanical stability, and electrochemical properties, provides a solid foundation on which to understand its catalytic performance. Understanding the process of the Ti3C2 electrocatalytic hydrogen evolution reaction (HER) is crucial, with a focus on the importance of surface terminations and electronic structure in promoting effective hydrogen production. A comprehensive analysis of the latest developments in Ti3C2-based catalysts is provided, encompassing a wide range of material combinations. This involves the use of bare Ti3C2 with different surface terminations, Ti3C2 combined with transition metal phosphides (TMPs), transition metal chalcogenides (TMCs), metal oxides, metals, and hybrid materials that include carbonaceous components. Studies have shown that the combination of Ti3C2 and other materials leads to significant improvements in HER activity, highlighting the synergistic effects between them. These advances include advances in the overpotential, Tafel slope, stability, and overall effectiveness of catalysis. This review also highlights current challenges and suggests future perspectives for the advancement of Ti3C2-based electrocatalysts for sustainable hydrogen production.</t>
  </si>
  <si>
    <t>; D, SIVARAJ/F-3334-2015; ANNAMALAI, PADMANABAN/AAX-1329-2021</t>
  </si>
  <si>
    <t>Radhalayam, Dhanalakshmi/0000-0002-7643-0555; D, SIVARAJ/0000-0002-0165-8491; ANNAMALAI, PADMANABAN/0000-0003-0380-9895</t>
  </si>
  <si>
    <t>0887-0624</t>
  </si>
  <si>
    <t>1520-5029</t>
  </si>
  <si>
    <t>10.1021/acs.energyfuels.4c03966</t>
  </si>
  <si>
    <t>WOS:001333385600001</t>
  </si>
  <si>
    <t>Rojas-Nunez, J; García-García, A; Huitrón-Segovia, EA; Bringa, EM; Baltazar, SE</t>
  </si>
  <si>
    <t>Rojas-Nunez, Javier; Garcia-Garcia, Alejandra; Huitron-Segovia, Esther A.; Bringa, Eduardo M.; Baltazar, Samuel E.</t>
  </si>
  <si>
    <t>Graphene oxide under the nanoscope: A comprehensive study of nanoindentation behavior</t>
  </si>
  <si>
    <t>Graphene oxide membranes are expected to become one of the most important materials for technological applications due to their highly reactive surface, being directly related to their atomistic configuration. The understanding of its structure and physicochemical properties under mechanical deformation is becoming crucial in the development of new applications; however, the role of the different functional groups in the membrane and their response to external factors like indentation is still unclear. Nanoindentation experiments show elastic behavior when the penetration is small compared to the indenter radius and the membrane diameter. Molecular Dynamics simulations for large 3-layer graphene oxide membranes were carried out for a 50% oxidation content and the inclusion of epoxy and hydroxy groups. Simulations showed an elastic modulus similar to experimental values. After the elastic regime, the mechanical behavior is dominated by the evolution of functional groups. A quasi-elastic regime is uncovered, where unloading leads to self-healing of broken bonds. Finally, large indenter penetration leads to fracture, with fracture stress similar to experimental values.</t>
  </si>
  <si>
    <t>Garcia, Alejandra/IQT-2699-2023; Baltazar, Samuel/E-1814-2011; Rojas, Javier/JYP-5531-2024; Bringa, Eduardo/F-8918-2011; Garcia-Garcia, A./B-1478-2012</t>
  </si>
  <si>
    <t>Rojas-Nunez, Javier/0000-0002-2343-3533; Bringa, Eduardo/0000-0002-1403-1954; Garcia-Garcia, A./0000-0001-7794-135X; Baltazar, Samuel/0000-0001-9826-9400</t>
  </si>
  <si>
    <t>10.1016/j.jmrt.2024.03.177</t>
  </si>
  <si>
    <t>WOS:001225515100001</t>
  </si>
  <si>
    <t>Seia, MG; Jara, P; Llano, MBD; Richard, A; Lothari, L; Giambiagi, LB</t>
  </si>
  <si>
    <t>Seia, Milagros Gutierrez; Jara, Pamela; Llano, Macarena Bertoa del; Richard, Andres; Lothari, Lucas; Giambiagi, Laura Beatriz</t>
  </si>
  <si>
    <t>Pre-Andean deformation and its influence on the shortening of the Southern Precordillera, Mendoza, Argentina</t>
  </si>
  <si>
    <t>Andean structures preserve evidence of previous periods of deformation along the proto-Pacific margin of Gondwana. Particularly, the Southern Precordillera, in the southern Central Andes, presents a combination of different structural domains and a double vergence related to the reactivation of pre-Andean structures. This combination and the superposition of deformational events make it difficult to understand the stratigraphic systems and the evolution of the region. This contribution presents detailed information about the structures and evolution of the Southern sector of the Precordillera, focusing on the control exerted by Paleozoic structures over the recent Andean deformation, and the deformational styles of this fold-and-thrust belt. Three main structural domains are recognized. The western domain is characterized by high-angle back-thrusts that concentrate the highest amount of uplift. The central domain is composed of reverse double-vergence faults, and high-angle strike-slip faults. The eastern domain is characterized by pure contractional deformation and only east-verging structures. Four deformational events are recorded and analyzed along the Southern Precordillera at 32 degrees 30 ' S: (1) an Early Paleozoic compressional event, (2) a Late Paleozoic compressional event, (3) a Triassic extensional event, and (4) the Cenozoic Andean compressional event. Our model for the Cenozoic deformation of the Southern Precordillera is restricted to three stages of deformation. During the first stage, Paleozoic west-verging faults are reactivated. The second stage implies reactivation of Paleozoic and Permian-Triassic structures and the generation of reverse Andean faults. The final stage consists of the generation of NE-SW Andean thrusts.</t>
  </si>
  <si>
    <t>Richard, Antonin/A-2091-2011</t>
  </si>
  <si>
    <t>Jara, Pamela/0000-0002-9717-9283; Gutierrez Seia, Milagros/0000-0003-1398-0071; Bertoa del Llano, Macarena/0000-0002-3112-9291</t>
  </si>
  <si>
    <t>1873-0647</t>
  </si>
  <si>
    <t>10.1016/j.jsames.2023.104322</t>
  </si>
  <si>
    <t>WOS:000988596500001</t>
  </si>
  <si>
    <t>Liu, ST; Gil, Y; Zhao, C; Wu, JJ; Zhu, ZH; Li, XL; Aravena, D; Tang, JK</t>
  </si>
  <si>
    <t>Liu, Shuting; Gil, Yolimar; Zhao, Chen; Wu, Jinjiang; Zhu, Zhenhua; Li, Xiao-Lei; Aravena, Daniel; Tang, Jinkui</t>
  </si>
  <si>
    <t>A conjugated Schiff-base macrocycle weakens the transverse crystal field of air-stable dysprosium single-molecule magnets</t>
  </si>
  <si>
    <t>Self-condensation of bifunctional 8-aminoquinoline-2-carbaldehyde templated by dysprosium(m) ions followed by the replacement of axial ligands with triphenylsilanol in the presence of Et3N produced two belt macrocycle complexes, [Dy(L1(N6))(Ph3SiO)(2)][CIO4] (1) and [Dy(L1(N6))(Ph3SiO)(2)][OTf] (2) (L1(N6) = 2,5,8-triaza-1(8,2),4,7(2,8)-triquinolinacyclononaphane-2,5,8-triene). For comparison, other kinds of belt macrocycle complexes [Dy(RRRR-L2(N6))(Ph3SiO)(2)][(3-Br-C6H4)B(C6H5)(3)] (3R), [Dy(SSSS-L2(N6))(Ph3SiO)(2)][(3-Br-C6H4)B(C6H5)(3)] (3S), [Dy(RRRR-L2(N6))(Ph3SiO)(2)][(4-Br-C6H4)B(C6H5)(3)] (4R) and [Dy(SSSS-L2(N6)) (Ph3SiO)(2)][(4-Br-C6H4)B(C6H5)(3)] (4S) (L2(N6) = (2E,5E,8E,11E)-3,5,9,11-tetraaza-1,7(2,6)-dipyridina-4,10(1,2)-dicyclohexanacyclododecaphane-2,5,8,11-tetraene) were also prepared using the same procedure except that the equatorial macrocycle was built from a [2 + 2]-condensation of cyclohexane-1,2-diamine and pyridine-2,6-dicarbaldehyde. These structurally similar complexes have almost identical axial Dy-O distances but distinguishable equatorial Dy-N distances, i.e. longer Dy-N distances were observed in 1 and 2, suggesting a weaker equatorial crystal field. Magnetism measurements reveal a typical zero-field singlemolecule magnet (SMM) behavior with the effective energy barriers (U-eff) up to 1732(43) K, 1680(9) K, 1363(22) K/1415(24) K and 1369(34) K/1434(29) K for 1, 2, 3R/3S and 4R/4S, respectively. The experimental results are supported by ab initio calculations, which exhibit relaxation of the magnetization via higher excited states in 1 and 2 as the consequence of a weaker equatorial crystal field and a less distorted coordination geometry, which efficiently hampers the transverse components of magnetization. This work unequivocally evidenced the dominance of L1(N6) over L2(N6) in weakening the transverse crystal field, providing a new route to construct high-performance air-stable lanthanide SMMs.</t>
  </si>
  <si>
    <t>Li, Xiao-Lei/ABG-7816-2021; zhu, zhenhua/KFR-2427-2024; Tang, Jinkui/A-1830-2014; Aravena, Daniel/F-2174-2011</t>
  </si>
  <si>
    <t>Zhu, Zhenhua/0000-0002-9520-7930; zhao, chen/0000-0001-5599-7416; Tang, Jinkui/0000-0002-8600-7718; Gil Sanchez, Yolimar/0000-0002-1756-2726; Li, Xiao-Lei/0000-0002-1648-9459; Aravena, Daniel/0000-0003-3140-4852</t>
  </si>
  <si>
    <t>10.1039/d2qi01565j</t>
  </si>
  <si>
    <t>AUG 2022</t>
  </si>
  <si>
    <t>WOS:000839631300001</t>
  </si>
  <si>
    <t>Loyo, C; Moreno-Serna, V; Fuentes, J; Amigo, N; Sepúlveda, FA; Ortiz, JA; Rivas, LM; Ulloa, MT; Benavente, R; Zapata, PA</t>
  </si>
  <si>
    <t>Loyo, Carlos; Moreno-Serna, Viviana; Fuentes, Jairo; Amigo, Nicolas; Antonella Sepulveda, Francesca; Ortiz, J. Andres; Rivas, Lina M.; Teresa Ulloa, Maria; Benavente, Rosario; Zapata, Paula A.</t>
  </si>
  <si>
    <t>PLA/CaO nanocomposites with antimicrobial and photodegradation properties</t>
  </si>
  <si>
    <t>POLYMER DEGRADATION AND STABILITY</t>
  </si>
  <si>
    <t>CaO nanoparticles sized ca. 26 nm were organically modified with oleic acid (Ol-CaO), and both were incorporated into PLA at concentrations of 5 and 8 wt.% by a melting process. Modification of nanoparticles improved the distribution into PLA, as seen by transmission electron microscopy (TEM). Thermal analysis revealed that the presence of Ol-CaO in the PLA matrix promoted a decrease ca. 13% in the glass transition temperature (T-g). The thermal stability of the PLA/Ol-CaO decreased ca. 23% compared to the neat PLA due to the catalytic activity from nanoparticles, while Vickers Microhardness (HV) for nanocomposites PLA/Ol-CaO increased ca. 9%, compared with the neat PLA, due to the good dispersion of modified-surface Ol-CaO nanoparticles in PLA. PLA/Ol-CaO nanocomposites reached 99.9% of antimicrobial effectiveness against E. coli for nanoparticles content above 8 wt.%. From photodegradation tests under irradiation during five days, it was verified that the presence of CaO nanoparticles accelerated the photodegradation of the polymer matrix nanoparticles into PLA promoted a decreasing ca. 13% of T-g and an increase in the degree of crystallinity (Xc) (ca. 7%), compared to PLA/CaO without irradiation. Besides, the viscosity molecular weight ((M) over barv) of PLA/CaO showed a higher decrease than neat PLA after irradiation, and SEM analysis showed that the nanocomposites presented cavities around the nanoparticles after irradiation. Our results showed that incorporating CaO nanoparticles into the PLA polymer matrix allows future development of more sustainable materials as nanocomposites for food packaging or medical devices. (C) 2022 Elsevier Ltd. All rights reserved.</t>
  </si>
  <si>
    <t>Sepúlveda, Francesca/AAW-8092-2021; Loyo, Carlos/AAZ-6777-2021; Ortiz, J. Andrés/R-4060-2019; Moreno Serna, Viviana/LZI-3166-2025</t>
  </si>
  <si>
    <t>Sepulveda Espinoza, Francesca Antonella/0000-0001-5135-8123; Loyo Davila, Carlos David/0000-0003-4177-2958; Ortiz, J. Andres/0000-0002-3142-9470; Moreno Serna, Viviana/0000-0001-9042-1738; Zapata, Paula Andrea/0000-0003-3361-6226</t>
  </si>
  <si>
    <t>0141-3910</t>
  </si>
  <si>
    <t>1873-2321</t>
  </si>
  <si>
    <t>10.1016/j.polymdegradstab.2022.109865</t>
  </si>
  <si>
    <t>FEB 2022</t>
  </si>
  <si>
    <t>WOS:000763040900012</t>
  </si>
  <si>
    <t>Pino-Cortés, E; Carrasco, S; Acosta, J; Albuquerque, TTD; Pedruzzi, R; Díaz-Robles, LA</t>
  </si>
  <si>
    <t>Pino-Cortes, Ernesto; Carrasco, Samuel; Acosta, Jonathan; de Almeida Albuquerque, Taciana Toledo; Pedruzzi, Rizzieri; Diaz-Robles, Luis A.</t>
  </si>
  <si>
    <t>An evaluation of the photochemical air quality modeling using CMAQ in the industrial area of Quintero-Puchuncavi-Concon, Chile</t>
  </si>
  <si>
    <t>ATMOSPHERIC POLLUTION RESEARCH</t>
  </si>
  <si>
    <t>The air pollution has impacted for years the population and the ecosystem in the industrial area located in Quintero, Puchuncavi, and Concon counties, the coastal area of Central Chile. In this study, we used the WRFSMOKE-CMAQ model system to evaluate the photochemical modeling of PM10, PM2.5, and O3. The industrial and the residential wood combustion sources were the main contributors of particulate matter, sulfur dioxide and volatile organic compounds. The small diurnal temperature cycle, the high relative humidity and the low wind speed profiles exposed the meteorological condition of the coastal lows during the period of analysis. The daily average concentrations for PM10 and PM2.5 ranged from 24.03 to 50.10 mu g/m3 and 15.60-21.95 mu g/m3 for observed registries; meanwhile, the simulated results were in the range of 22.71-40.62 mu g/m3 and 5.49-17.29 mu g/m3, respectively. The omission of missing sources in the emission inventory and the default values in the boundary condition could be one of the reasons on the underprediction obtained. The best performance for O3 occurred in the Quintero and Sur stations, located near industrial sources with high NOx and VOC emissions. In the industrial complex, PM10 and PM2.5 concentrations were 10-30 mu g/m3 lower when the industrial emissions were shut down and a negligible difference was observed when the residential wood combustion emissions were not considered. Future air quality modeling must be performed in the same region for other periods like the Summer season. Also, the emission inventory from all sources needs to be accurate with more accurate temporal profiles.</t>
  </si>
  <si>
    <t>Acosta, Jonathan/AAR-7159-2020; Albuquerque, Taciana/AAW-4581-2020; Diaz-Robles, Luis/D-3450-2013; Cortés, Ernesto/Z-2777-2019; Pedruzzi, Rizzieri/AIC-1315-2022</t>
  </si>
  <si>
    <t>Pedruzzi, Rizzieri/0000-0003-0852-0396; Pino-Cortes, Ernesto/0000-0001-5133-2812; Acosta, Jonathan/0000-0001-6323-9746; Toledo de Almeida Albuquerque, Taciana/0000-0002-6611-0283</t>
  </si>
  <si>
    <t>1309-1042</t>
  </si>
  <si>
    <t>10.1016/j.apr.2022.101336</t>
  </si>
  <si>
    <t>WOS:000767373200003</t>
  </si>
  <si>
    <t>Probst, TM; Bazzoli, A; Jenkins, MR; Jiang, LX; Bohle, SL</t>
  </si>
  <si>
    <t>Probst, Tahira M.; Bazzoli, Andrea; Jenkins, Melissa R.; Jiang, Lixin; Lopez Bohle, Sergio</t>
  </si>
  <si>
    <t>Coping With Job Insecurity: Employees With Grit Create I-Deals</t>
  </si>
  <si>
    <t>JOURNAL OF OCCUPATIONAL HEALTH PSYCHOLOGY</t>
  </si>
  <si>
    <t>Although job insecurity has been shown to predict numerous adverse outcomes, more is yet to be known about the mechanisms that explain when and why these effects will occur. Using social exchange as our theoretical foundation and three-wave lagged survey data collected from N = 300 employees within the United States, the current study found support for the contention that individuals with greater job insecurity pursue fewer idiosyncratic deals (I-Deals) with their employers. Fewer I-Deals in turn were associated with lower affective commitment, and higher turnover intentions, perceived psychological contract breach, and psychological contract violation. However, these indirect effects were conditional upon employee levels of grit (specifically, perseverance of effort), such that higher grit attenuated the negative relationship between job insecurity and the pursuit of I-Deals. Given that employees often have little control over the source of their experienced job insecurity (e.g., impending layoffs, a poor economy, announced merger or acquisition), these findings hold promise in potentially alleviating the well-documented negative outcomes of job insecurity through interventions designed to increase employee levels of grit and facilitate the creation of I-Deals.</t>
  </si>
  <si>
    <t>Bazzoli, Andrea/ADR-5546-2022; Bohle, Sergio/P-7698-2014; Probst, Tahira/ABD-5600-2021; Jenkins, Melissa R./KIJ-1724-2024; Probst, Tahira/K-2494-2014</t>
  </si>
  <si>
    <t>Jenkins, Melissa R./0000-0001-8433-3467; Jiang, Lixin/0000-0003-0853-9329; Bazzoli, Andrea/0000-0001-6975-540X; Lopez Bohle, Sergio/0000-0002-6202-4089; Probst, Tahira/0000-0002-2789-4492</t>
  </si>
  <si>
    <t>1076-8998</t>
  </si>
  <si>
    <t>1939-1307</t>
  </si>
  <si>
    <t>10.1037/ocp0000220</t>
  </si>
  <si>
    <t>WOS:000703562400006</t>
  </si>
  <si>
    <t>Valdés, H; Saavedra, A; Flores, M; Vera-Puerto, I; Aviña, H; Belmonte, M</t>
  </si>
  <si>
    <t>Valdes, Hugo; Saavedra, Aldo; Flores, Marcos; Vera-Puerto, Ismael; Avina, Hector; Belmonte, Marisol</t>
  </si>
  <si>
    <t>Reverse Osmosis Concentrate: Physicochemical Characteristics, Environmental Impact, and Technologies</t>
  </si>
  <si>
    <t>This study's aim is to generate a complete profile of reverse osmosis concentrate (ROC), including physicochemical characteristics, environmental impact, and technologies for ROC treatment, alongside element recovery with potential valorization. A systematic literature review was used to compile and analyze scientific information about ROC, and systematic identification and evaluation of the data/evidence in the articles were conducted using the methodological principles of grounded data theory. The literature analysis revealed that two actions are imperative: (1) countries should impose strict regulations to avoid the contamination of receiving water bodies and (2) desalination plants should apply circular economies. Currently, synergizing conventional and emerging technologies is the most efficient method to mitigate the environmental impact of desalination processes. However, constructed wetlands are an emerging technology that promise to be a viable multi-benefit solution, as they can provide simultaneous treatment of nutrients, metals, and trace organic contaminants at a relatively low cost, and are socially accepted; therefore, they are a sustainable solution.</t>
  </si>
  <si>
    <t>Valdés, Hugo/L-2657-2019; Vera-Puerto, Ismael/M-2308-2013; Belmonte, Marisol/AAG-9759-2019; Valdes, Hugo/H-2019-2017</t>
  </si>
  <si>
    <t>Valdes, Hugo/0000-0002-2486-5872; Belmonte, Marisol/0000-0002-3337-9649; Vera-Puerto, Ismael L./0000-0002-6445-2896; Flores, Marcos/0000-0002-2085-5706</t>
  </si>
  <si>
    <t>10.3390/membranes11100753</t>
  </si>
  <si>
    <t>WOS:000711489800001</t>
  </si>
  <si>
    <t>Hernandez-Duran, EI; Corallo, L; Ros-Yanez, T; Castro-Cerda, FM; Petrov, RH</t>
  </si>
  <si>
    <t>Hernandez-Duran, E. I.; Corallo, L.; Ros-Yanez, T.; Castro-Cerda, F. M.; Petrov, R. H.</t>
  </si>
  <si>
    <t>Influence of Mo-Nb-Ti additions and peak annealing temperature on the microstructure and mechanical properties of low alloy steels after ultrafast heating process</t>
  </si>
  <si>
    <t>The influence of the heating rates from 10 to 1000 degrees C/s and annealing temperatures on the microstructure and mechanical properties of two 0.2%C, 1.9%Mn, 1.4%Si cold-rolled steels with and without the addition of carbide-forming elements (Mo, Nb, and Ti) have been investigated. Results show that the increase of the heating rate above 100 degrees C/s refines the parent austenitic grains in both alloys. The increment of the heating rate led to carbon heterogeneities in the austenite, which after subsequent cooling promoted the formation of a complex mixture of fine-grained constituents. As expected, at the lower heating rates the presence of Nb and Ti-rich carbides and carbonitrides controls the austenite grain growth during the annealing treatment. The tensile test results reveal that high heating rates do not have a significant influence on the tensile strength of the alloy with carbide-forming elements. On the other hand, both the ultimate tensile strength (UTS) and total elongation of the alloy without carbide-forming elements decrease, due to the formation of bands of ferrite and high carbon martensite. However, samples treated at heating rates above 100 degrees C/s show a combination of UTS in the range of 1400-1600 MPa, and 12-18% of total elongation. The results suggest that the microstructure heterogeneity obtained after high heating rates, especially the ferrite content, has the major effect on the mechanical behavior of the studied steels.</t>
  </si>
  <si>
    <t>Petrov, Roumen/A-5066-2008; Corallo, Luca/HKW-2240-2023; Castro Cerda, Felipe Manuel/Q-2714-2016</t>
  </si>
  <si>
    <t>Castro Cerda, Felipe Manuel/0000-0001-8126-5593; Corallo, Luca/0000-0001-7102-1501</t>
  </si>
  <si>
    <t>MAR 18</t>
  </si>
  <si>
    <t>10.1016/j.msea.2021.140928</t>
  </si>
  <si>
    <t>WOS:000652330700018</t>
  </si>
  <si>
    <t>Osorio-Comparán, R; Nava, DA; López-Juárez, I; Lomas, V; Kaschel, H; Ahumada, C; Lefranc, G</t>
  </si>
  <si>
    <t>Osorio-Comparan, Roman; Nava, Diego A.; Lopez-Juarez, Ismael; Lomas, Victor; Kaschel, Hector; Ahumada, Cristian; Lefranc, Gaston</t>
  </si>
  <si>
    <t>Recognition and simulation of a vision system for a KUKA KR-5 industrial manipulator</t>
  </si>
  <si>
    <t>2021 IEEE CHILEAN CONFERENCE ON ELECTRICAL, ELECTRONICS ENGINEERING, INFORMATION AND COMMUNICATION TECHNOLOGIES (IEEE CHILECON 2021)</t>
  </si>
  <si>
    <t>IEEE Chilean Conference on Electrical, Electronics Engineering, Information and Communication Technologies (CHILECON)</t>
  </si>
  <si>
    <t>DEC 06-09, 2021</t>
  </si>
  <si>
    <t>IEEE,IEEE Consejo Chile, IEEE Chile Centro,Asociac Chilena Control Automatico,IEEE Chilean Chapter Control Syst,IEEE Chilean Chapter SMC,IEEE Chilean Chapter Educ,Int Federat Automat Control,IEEE Syst, Man &amp; Cybernet Soc,IEEE Control Syst Soc,IEEE Educ Soc,Chilean Assoc Elect &amp; Elect Ind,IEEE Consejo Chile, Chile Sur,Chilean Assoc Engineeres</t>
  </si>
  <si>
    <t>The objective of this article is to have a computer vision system capable of recognizing various objects in a given plan, so that a KUKA KR-5 industrial robot can perform manipulation tasks with said objects. Three algorithms are evaluated to improve the performance of this vision system, with the ability to recognize multiple objects and their positions. A Microsoft Kinect 2.0 sensor is used as an input device to a system with a KUKA KR- 5 industrial robotic manipulator. Object recognition is done by two algorithms; FastOrb and Brisk, while a third Ransac-PCA algorithm is used for object detection. With the combination of these algorithms, it is possible to recognize more than two objects in a three-dimensional working environment. Finally, the Moveit algorithm is used to obtain trajectories and calculate the inverse kinematics and Gazebo to obtain the simulation of the KUKA KR-5 industrial manipulator.</t>
  </si>
  <si>
    <t>; Lopez-Juarez, Ismael/E-7088-2011; Osorio-Comparan, Roman/GLR-4090-2022</t>
  </si>
  <si>
    <t>Kaschel, Hector/0000-0002-0868-7834; Ahumada, Cristian/0000-0002-2647-1383; Lopez-Juarez, Ismael/0000-0001-6405-5519; Osorio-Comparan, Roman/0000-0002-1887-9813</t>
  </si>
  <si>
    <t>978-1-6654-0873-8</t>
  </si>
  <si>
    <t>10.1109/CHILECON54041.2021.9702984</t>
  </si>
  <si>
    <t>WOS:000788072700117</t>
  </si>
  <si>
    <t>Muneeswaran, M; Akbari-Fakhrabadi, A; Pinilla, MAG; Denardin, JC</t>
  </si>
  <si>
    <t>Muneeswaran, Muniyandi; Akbari-Fakhrabadi, Ali; Gracia Pinilla, Miguel Angel; Denardin, Juliano C.</t>
  </si>
  <si>
    <t>Structural, electrical, ferroelastic behavior, and multiferroic properties of BiFeO3</t>
  </si>
  <si>
    <t>BiFeO3 was synthesized by conventional solid-state reaction method, and its structural, vibrational, electrical, ferroelastic, and multiferroic properties were studied. X-ray diffraction analysis and Rietveld refinement confirmed its rhombohedral crystal structural with the space group of R3c. SEM images show the rectangular shaped micrograins. The stress-strain curves obtained from uniaxial compressive tests with different maximum stresses exhibit hysteresis loops with different remnant strains due to ferroelastic domain switching during compression loading and partial domain switching back upon unloading. From Raman spectra, we have observed 3A(1) and 6E modes in the range of 100-600 cm(-1). Dielectric constant and dielectric loss were measured as a function of frequency in the range 100 Hz to 1 MHz. The leakage current density was found to be 8.07 x 10(-7) A/cm(2) at higher electric field. In further, we performed the ferroelectric, magnetic, and magnetoelectric effect for the confirmation of its multiferroic behavior.</t>
  </si>
  <si>
    <t>Muniyandi, Muneeswaran/ABF-7847-2021; Denardin, Juliano/S-6407-2019; Gracia-Pinilla, Miguel Angel/M-7508-2014; Akbari-Fakhrabadi, Ali/G-6987-2016</t>
  </si>
  <si>
    <t>Gracia-Pinilla, Miguel Angel/0000-0002-4716-4817; Akbari-Fakhrabadi, Ali/0000-0002-2906-8549; Muniyandi, Muneeswaran/0000-0002-8259-0141</t>
  </si>
  <si>
    <t>10.1007/s10854-020-03865-y</t>
  </si>
  <si>
    <t>JUL 2020</t>
  </si>
  <si>
    <t>WOS:000544851500002</t>
  </si>
  <si>
    <t>Krahmer, DM; Egea, AJS; Celentano, D; Martynenko, ; Cruchaga, M</t>
  </si>
  <si>
    <t>Martinez Krahmer, D.; Sanchez Egea, A. J.; Celentano, D.; Martynenko, V; Cruchaga, M.</t>
  </si>
  <si>
    <t>Friction characterization when combining laser surface texturing and graphite-based lubricants</t>
  </si>
  <si>
    <t>The present work analyzes the friction capabilities at room temperature of three types of lubricants (denoted as A, B and C) with a graphite concentration of 5%. To do that, the standard pin -on disc test is deployed to study the variation of the friction coefficient when combining these graphite-based lubricants with surfaces made by grinding and different laser surface textures. These lubricants are characterized by measuring the percent of the chemical elements, the average size of the graphite particles and the kinematic viscosity. The experiments show that the lubricant B combined with a higher density of LST presents the lowest friction coefficient of about 0.24. Additionally, assuming a hydrodynamic regime for the textured surfaces, the fluid dynamics simulations carried out as part of the study showed, in agreement with the experimental measurements, the lowest friction coefficient value for a textured surface with the highest dimple density. This seems to be associated to the combined effect of an increase of the hydrodynamic pressure with a weak vortex formation within the dimples, due to the low distortion of the streamlines which, ultimately, attenuates the friction coefficient between the surfaces. (C) 2019 The Authors. Published by Elsevier B.V.</t>
  </si>
  <si>
    <t>Celentano, Diego/JQW-5027-2023; Sanchez Egea, Antonio J./S-4790-2016</t>
  </si>
  <si>
    <t>Sanchez Egea, Antonio J./0000-0001-8085-6869; Martinez Krahmer, Daniel/0000-0002-0184-2168</t>
  </si>
  <si>
    <t>10.1016/j.jmrt.2019.12.007</t>
  </si>
  <si>
    <t>WOS:000521952300059</t>
  </si>
  <si>
    <t>López-Gil, JF; Brazo-Sayavera, J; García-Hermoso, A; Lucas, JLY</t>
  </si>
  <si>
    <t>Francisco Lopez-Gil, Jose; Brazo-Sayavera, Javier; Garcia-Hermoso, Antonio; Yuste Lucas, Juan Luis</t>
  </si>
  <si>
    <t>Adherence to Mediterranean Diet Related with Physical Fitness and Physical Activity in Schoolchildren Aged 6-13</t>
  </si>
  <si>
    <t>The relationship between adherence to the Mediterranean Diet (MD) and both physical fitness (PF) and physical activity (PA) level has been analysed in several studies. The aim of this research was to describe, compare and analyse the level of PF and PA in schoolchildren aged 6-13 in the Region of Murcia, according to adherence to the MD. A descriptive and cross-sectional study was performed. A total of 370 schoolchildren (44.9% girls) aged 6-13 (8.7 +/- 1.8) from six primary schools in the Region of Murcia (Spain). Mediterranean Diet Quality Index for children and teenagers (KIDMED) was used to determinate the adherence to the MD. The ALPHA-FIT Test Battery was applied for assess body composition and PF. PA level was determined using Physical Activity Questionnaire for Older Children (PAQ-C). Only 25.9% of the schoolchildren had optimal adherence to the MD. Regarding the scores of the different PF tests in MD groups, only statistically significant differences were found for cardiorespiratory fitness (CRF) (p = 0.048) in boys. PA level showed statistically significant differences in both boys (p = 0.040) and girls (p = 0.016). A positive relationship was found between the KIDMED and PA level (p = 0.235). A higher probability of having a greater CRF (OR = 1.17; CI = 1.02-1.34) and PA level (OR = 7.84; CI = 2.84-21.60) was found in high MD group. These results suggest that an optimal adherence to the MD is associated with higher CRF and PA level in the selected schoolchildren.</t>
  </si>
  <si>
    <t>López-Gil, José Francisco/AAN-5618-2020; García-Hermoso, Antonio/ADU-2591-2022; Brazo-Sayavera, Javier/G-5601-2011; Garcia-Hermoso, Antonio/P-1857-2017</t>
  </si>
  <si>
    <t>Lopez-Gil, Jose Francisco/0000-0002-7412-7624; Brazo-Sayavera, Javier/0000-0001-6249-5131; yuste lucas, juan luis/0000-0001-9699-756X; Garcia-Hermoso, Antonio/0000-0002-1397-7182</t>
  </si>
  <si>
    <t>10.3390/nu12020567</t>
  </si>
  <si>
    <t>WOS:000522458700294</t>
  </si>
  <si>
    <t>Cid, FM; Muñoz, HD; Ferro, EF; Nogales, OG; Briceño, MH</t>
  </si>
  <si>
    <t>Maureira Cid, Fernando; Diaz Munoz, Hernan; Flores Ferro, Elizabeth; Gavotto Nogales, Omar; Hadweh Briceno, Marcelo</t>
  </si>
  <si>
    <t>Variations in nonlinear gamma wave dynamics during the resolution of a test of attention after the application of physical exercise</t>
  </si>
  <si>
    <t>Introduction: Electroencephalography is a useful tool for studying the association between motor activities and cognitive functions. Material and method: the aim of this research was to study the effects of 30 minutes of aerobic exercise on gamma brain waves during the resolution of a selective attention test. The sample consisted of 12 university students (7 experimental and 5 control). The recording of brain activity was performed with brain-interface device Emotiv Epoc (R) during the resolution of the Toulouse-Pieron selective attention test conducted before and after 30 minutes of aerobic physical exercise. Results: variations in Hurst indices are observed in the right and left prefrontal regions, in addition to the left temporal region after physical exercise. The correlations of the frontal, temporal and occipital regions increased or decreased after the intervention, although the scores on the test increased in all of them. Conclusions: it is not possible to associate a single brain function with the improvement in the results of a cognitive test after physical exercise, as there exists an enormous variability of brain strategies for solving a cognitive problem.</t>
  </si>
  <si>
    <t>WOS:000519562000047</t>
  </si>
  <si>
    <t>Tarisciotti, L; Costabeber, A; Díaz, M; Cardenas, R</t>
  </si>
  <si>
    <t>Tarisciotti, Luca; Costabeber, Alessandro; Diaz, Matias; Cardenas, Roberto</t>
  </si>
  <si>
    <t>Improved Modular Multilevel Converter topology for low voltage variable speed drives</t>
  </si>
  <si>
    <t>2020 IEEE INTERNATIONAL CONFERENCE ON INDUSTRIAL TECHNOLOGY (ICIT)</t>
  </si>
  <si>
    <t>IEEE International Conference on Industrial Technology</t>
  </si>
  <si>
    <t>IEEE International Conference on Industrial Technology (ICIT)</t>
  </si>
  <si>
    <t>FEB 26-28, 2020</t>
  </si>
  <si>
    <t>Buenos Aires, ARGENTINA</t>
  </si>
  <si>
    <t>Modular Multilevel Converters (MMC) are becoming increasingly popular for HVDC applications and in medium voltage grids and drives. On the contrary, in high-speed low-voltage drives MMCs are typically not considered a good option due to their relatively low power density. In this paper, a new topology is proposed, enhancing the MMC by coupling upper and lower arm sub-modules via Dual Active Bridge (DAB) converters, leading to a sensible reduction of the sub-module capacitance whilst keeping low control complexity. The resulting topology is applied to a high-speed low voltage permanent magnet drive, analyzing the drive startup and its practical operation. Finally, the theoretical claims are validated with simulation results.</t>
  </si>
  <si>
    <t>Tarisciotti, Luca/V-6093-2019; Diaz, Matias/R-7570-2018; Cardenas, Roberto/C-6395-2011</t>
  </si>
  <si>
    <t>Diaz, Matias/0000-0003-4489-9532; Cardenas, Roberto/0000-0003-3853-7703</t>
  </si>
  <si>
    <t>2643-2978</t>
  </si>
  <si>
    <t>978-1-7281-5754-2</t>
  </si>
  <si>
    <t>10.1109/ICIT45562.2020.9067144</t>
  </si>
  <si>
    <t>WOS:000560681600127</t>
  </si>
  <si>
    <t>Boukhalfa, A; Miceli, C; Avalos, Y; Morel, E; Dupont, N</t>
  </si>
  <si>
    <t>Boukhalfa, Asma; Miceli, Caterina; Avalos, Yenniffer; Morel, Etienne; Dupont, Nicolas</t>
  </si>
  <si>
    <t>Interplay between primary cilia, ubiquitin-proteasome system and autophagy</t>
  </si>
  <si>
    <t>BIOCHIMIE</t>
  </si>
  <si>
    <t>Cilia are microtubule-based organelles located at the cell surface of many eukaryotic cell types. Cilia control different cellular functions ranging from motility (for motile cilia) to signal transduction pathways (for primary cilia). A variety of signaling pathways are coordinated by this organelle during development, cell migration and cell differentiation. Interestingly, aberrant ciliogenesis or altered cilium signaling has been associated with human diseases, notably in cancer. Disruption of cilia through mutation of genes encoding cilia proteins has been also linked to multiple human disorders referred as ciliopathies. Recent studies highlight the interplay between cilia and proteostasis. Here we review findings regarding the crosstalk between cilia and two proteolytic systems, the ubiquitin proteasome system and the autophagy-lysosomal system and discuss the potential implications in human disease including ciliopathies. (C) 2019 Elsevier B.V. and Societe Francaise de Biochimie et Biologie Moleculaire (SFBBM). All rights reserved.</t>
  </si>
  <si>
    <t>MICELI, CATERINA/LBH-5335-2024; DUPONT, NICOLAS/AAJ-7192-2021; MOREL, Etienne/N-2194-2014</t>
  </si>
  <si>
    <t>MICELI, CATERINA/0000-0001-6632-7493; Avalos, Yenniffer/0000-0002-0450-8552; DUPONT, NICOLAS/0000-0002-3056-9906; MOREL, Etienne/0000-0002-4763-4954</t>
  </si>
  <si>
    <t>0300-9084</t>
  </si>
  <si>
    <t>1638-6183</t>
  </si>
  <si>
    <t>10.1016/j.biochi.2019.06.009</t>
  </si>
  <si>
    <t>WOS:000492314700025</t>
  </si>
  <si>
    <t>Jiménez, RE; Bachelet, VC; Gomolán, P; Lefio, LA; Goyenechea, M</t>
  </si>
  <si>
    <t>Jimenez, Rosa E.; Bachelet, Vivienne C.; Gomolan, Patricio; Alvaro Lefio, Luis; Goyenechea, Matias</t>
  </si>
  <si>
    <t>Violence and burnout in health care emergency workers in Santiago, Chile: A survey-based cross-sectional study</t>
  </si>
  <si>
    <t>INTERNATIONAL EMERGENCY NURSING</t>
  </si>
  <si>
    <t>Shortage of quantitative studies regarding health risks for emergency services workers is a concern for Chilean's occupational health organizations. Objective: To explore the incidence of violence and burnout in emergency services of the Metropolitan Region of Chile, and associations with workers' characteristics and workplace conditions. Methods: A cross-sectional study was carried out from January to August 2016. A self-reported questionnaire explored about frequency and seriousness of violence episodes and about symptoms of burnout with the Maslach Burnout Inventory. Results: Of the 565 workers participating, 71% (95% CI 66.7-74.5) said violence episodes occurred at least once a week; 71.3% (95% CI 67.3-75.0) were victims of some aggression in the previous 12 months. Patients companions, relatives or friends arose as the main aggressors and the severity of the episodes was considered slight or moderate by more than 50% of participants. Fifty-seven respondents (10.5%, CI 95% 8.1-13.5) classified as having a burnout syndrome. Having been a victim of violence was associated to high emotional exhaustion (ORadj = 1.7, 95% CI: 1.1-2.8) and depersonalization (ORadj = 2.0, 95% CI 1.3-3.3). Conclusions: Violence is a problem in the emergency departments of Chile's Metropolitan Region. Burnout is also present and independently associated to violence.</t>
  </si>
  <si>
    <t>Bachelet, Vivienne/JAN-7158-2023</t>
  </si>
  <si>
    <t>Goyenechea Hidalgo, Matias/0000-0003-3127-7996</t>
  </si>
  <si>
    <t>1755-599X</t>
  </si>
  <si>
    <t>1878-013X</t>
  </si>
  <si>
    <t>10.1016/j.ienj.2019.100792</t>
  </si>
  <si>
    <t>WOS:000498027000007</t>
  </si>
  <si>
    <t>Morales, F; Márquez, G; Sagredo, V; Torres, TE; Denardin, JC</t>
  </si>
  <si>
    <t>Morales, F.; Marquez, G.; Sagredo, V; Torres, T. E.; Denardin, J. C.</t>
  </si>
  <si>
    <t>Structural and magnetic properties of silica-coated magnetite nanoaggregates</t>
  </si>
  <si>
    <t>PHYSICA B-CONDENSED MATTER</t>
  </si>
  <si>
    <t>Magnetite nanoparticles were synthesized by the coprecipitation method. Additionally, two composites of silicacoated magnetite nanoparticles were synthesized by the Stober method. The synthesized nanocompounds were characterized by X-ray diffraction, FTIR spectroscopy, transmission electron microscopy and vibrating sample magnetometry. The magnetite nanoparticles have a single crystalline phase corresponding to the cubic spinel structure. The magnetite nanocompound is formed by faceted nanoparticles with a mean size of 9 nm, while the composites consist mainly of aggregates of magnetite nanoparticles coated with silica, with mean sizes of 22 and 55 nm. The magnetization measurements of the three nanocompounds suggest that the nanoparticles are in the superparamagnetic regime at room temperature, with a small amount of nanoparticles in the blocked regime.</t>
  </si>
  <si>
    <t>Molina, Teobaldo/AAV-2531-2020; Denardin, Juliano/S-6407-2019; Marquez, Gerson/G-9491-2019; Torres Molina, Teobaldo Enrique/F-9914-2016</t>
  </si>
  <si>
    <t>Marquez, Gerson/0000-0003-3769-3552; Torres Molina, Teobaldo Enrique/0000-0002-6116-9331; Morales Alvarez, Fabiana Nakary/0000-0001-6309-6706</t>
  </si>
  <si>
    <t>0921-4526</t>
  </si>
  <si>
    <t>1873-2135</t>
  </si>
  <si>
    <t>10.1016/j.physb.2019.08.007</t>
  </si>
  <si>
    <t>WOS:000485002600032</t>
  </si>
  <si>
    <t>Yañez, O; Vásquez-Espinal, A; Pino-Rios, R; Ferraro, F; Pan, S; Osorio, E; Merino, G; Tiznado, W</t>
  </si>
  <si>
    <t>Yanez, Osvaldo; Vasquez-Espinal, Alejandro; Pino-Rios, Ricardo; Ferraro, Franklin; Pan, Sudip; Osorio, Edison; Merino, Gabriel; Tiznado, William</t>
  </si>
  <si>
    <t>Reply to the 'Comment on Exploiting electronic strategies to stabilize a planar tetracoordinate carbon in cyclic aromatic hydrocarbons' by V. S. Thimmakondu, Chem. Commun., 2019, DOI:; 10.1039/c9cc04639a</t>
  </si>
  <si>
    <t>The effectiveness of our proposed approach to stabilize a planar tetracoordinate carbon (ptC) in cyclic aromatic hydrocarbons, introduced in the title article, is unquestionable as our exhaustive searches on the singlet and triplet potential energy surfaces of the new ptC molecules identified as viable species are reproducible. Besides, the T-1 diagnostic value for the Si2C5H2 system reported in the comment seems to be the T-1 amplitudes. We recomputed the T-1 diagnostic value using different software (Gaussian and ORCA), which gave similar values to that reported in our communication. Additionally, a multiconfigurational (complete active space SCF) calculation fully confirms the mono-configurational character of the questioned Si2C5H2 ptC structure. We accept that the linear isomer for the C7H2 system, in the triplet electronic state, is competitive with the isomer reported in our article, in the singlet electronic state, as mentioned in the title comment. However, this is a minor correction that does not affect the primary goal and main conclusions of our communication.</t>
  </si>
  <si>
    <t>Merino, Gabriel/A-1046-2009; Pan, Sudip/I-8264-2014; Ferraro Gomez, Franklin/D-7896-2016; Osorio, Edison/L-7964-2015; Vasquez-Espinal, Alejandro/X-7300-2019; Tiznado, William/G-7479-2014</t>
  </si>
  <si>
    <t>Pino Rios, Ricardo/0000-0003-4756-1115; Ferraro Gomez, Franklin/0000-0002-9996-8964; Osorio, Edison/0000-0001-7636-8168; Vasquez-Espinal, Alejandro/0000-0003-3501-7905; Tiznado, William/0000-0002-6061-8879; Yanez Osses, Osvaldo Andres/0000-0001-8993-9353</t>
  </si>
  <si>
    <t>OCT 28</t>
  </si>
  <si>
    <t>10.1039/c9cc06470b</t>
  </si>
  <si>
    <t>WOS:000490779100029</t>
  </si>
  <si>
    <t>Cisterna, BA; Arroyo, P; Puebla, C</t>
  </si>
  <si>
    <t>Cisterna, Bruno A.; Arroyo, Pablo; Puebla, Carlos</t>
  </si>
  <si>
    <t>Role of Connexin-Based Gap Junction Channels in Communication of Myelin Sheath in Schwann Cells</t>
  </si>
  <si>
    <t>FRONTIERS IN CELLULAR NEUROSCIENCE</t>
  </si>
  <si>
    <t>Peripheral nerves have the capacity to conduct action potentials along great distances and quickly recover following damage which is mainly due to Schwann cells (SCs), the most abundant glial cells of the peripheral nervous system (PNS). SCs wrap around an axonal segment multiple times, forming a myelin sheath, allowing for a significant increase in action potential conduction by insulating the axons. Mature myelin consists of compact and non-compact (or cytoplasmic) myelin zones. Non-compact myelin is found in paranodal loops bordering the nodes of Ranvier, and in the inner and outermost cytoplasmic tongues and is the region in which Schmidt-Lanterman incisures (SLI; continuous spirals of overlapping cytoplasmic expansions within areas of compact myelin) are located. Using different technologies, it was shown that the layers of non-compact myelin could be connected to each other by gap junction channels (GJCs), formed by connexin 32 (Cx32), and their relative abundance allows for the transfer of ions and different small molecules. Likewise, Cx29 is expressed in the innermost layer of the myelin sheath. Here it does not form GJCs but colocalizes with K(v)1, which implies that the SCs play an active role in the electrical condition in mammals. The critical role of GJCs in the functioning of myelinating SCs is evident in Charcot-Marie-Tooth disease (CMT), X-linked form 1 (CMTX1), which is caused by mutations in the gap junction protein beta 1 (GJB1) gene that codes for Cx32. Although the management of CMT symptoms is currently supportive, there is a recent method for targeted gene delivery to myelinating cells, which rescues the phenotype in KO-Cx32 mice, a model of CMTX1. In this mini-review article, we discuss the current knowledge on the role of Cxs in myelin-forming SCs and summarize recent discoveries that may become a real treatment possibility for patients with disorders such as CMT.</t>
  </si>
  <si>
    <t>Cisterna, Bruno A./0000-0002-3421-8628; Puebla, Carlos/0000-0001-6648-2135</t>
  </si>
  <si>
    <t>1662-5102</t>
  </si>
  <si>
    <t>10.3389/fncel.2019.00069</t>
  </si>
  <si>
    <t>WOS:000460027100001</t>
  </si>
  <si>
    <t>Pocivavsek, L; Pugar, J; O'Dea, R; Ye, SH; Wagner, W; Tzeng, E; Velankar, S; Cerda, E</t>
  </si>
  <si>
    <t>Pocivavsek, Luka; Pugar, Joseph; O'Dea, Robert; Ye, Sang-Ho; Wagner, William; Tzeng, Edith; Velankar, Sachin; Cerda, Enrique</t>
  </si>
  <si>
    <t>Topography-driven surface renewal</t>
  </si>
  <si>
    <t>NATURE PHYSICS</t>
  </si>
  <si>
    <t>Natural surfaces excel in self-renewal and preventing bio-fouling, while synthetic materials placed in contact with complex fluids quickly foul(1,2). We present a novel biophysics-inspired mechanism(3,4) for surface renewal using actuating surface topography, generated by wrinkling. We calculate a critical surface curvature, given by an intrinsic characteristic length scale of the fouling layer that accounts for its effective flexural or bending stiffness and adhesion energy, beyond which surface renewal occurs. The effective bending stiffness includes the elasticity and thickness of the fouling patch, but also the boundary layer depth of the imposed wrinkled topography. The analytical scaling laws are validated using finite-element simulations and physical experiments. Our data span over five orders of magnitude in critical curvatures and are well normalized by the analytically calculated scaling. Moreover, our numerics suggests an energy-release mechanism whereby stored elastic energy in the fouling layer drives surface renewal. The strategy is broadly applicable to any surface with tunable topography and fouling layers with elastic response.</t>
  </si>
  <si>
    <t>Ye, Sang-Ho/H-5294-2011</t>
  </si>
  <si>
    <t>Ye, Sang-Ho/0000-0002-4760-9812; O'Dea, Robert/0000-0002-7280-4687; Velankar, Sachin/0000-0001-7541-1355</t>
  </si>
  <si>
    <t>1745-2473</t>
  </si>
  <si>
    <t>1745-2481</t>
  </si>
  <si>
    <t>10.1038/s41567-018-0193-x</t>
  </si>
  <si>
    <t>WOS:000443584000028</t>
  </si>
  <si>
    <t>Cárdenas-López, FA; Lamata, L; Retamal, JC; Solano, E</t>
  </si>
  <si>
    <t>Cardenas-Lopez, F. A.; Lamata, L.; Retamal, J. C.; Solano, E.</t>
  </si>
  <si>
    <t>Multiqubit and multilevel quantum reinforcement learning with quantum technologies</t>
  </si>
  <si>
    <t>We propose a protocol to perform quantum reinforcement learning with quantum technologies. At variance with recent results on quantum reinforcement learning with superconducting circuits, in our current protocol coherent feedback during the learning process is not required, enabling its implementation in a wide variety of quantum systems. We consider diverse possible scenarios for an agent, an environment, and a register that connects them, involving multiqubit and multilevel systems, as well as open-system dynamics. We finally propose possible implementations of this protocol in trapped ions and superconducting circuits. The field of quantum reinforcement learning with quantum technologies will enable enhanced quantum control, as well as more efficient machine learning calculations.</t>
  </si>
  <si>
    <t>Retamal, Juan/G-6425-2010; Lamata, Lucas/B-2439-2009; Cárdenas López, Francisco/IXN-4622-2023; Solano, Enrique/C-2895-2017; Lamata, Lucas/CAG-6488-2022</t>
  </si>
  <si>
    <t>Cardenas, Francisco/0000-0002-2916-2826; SOLANO VILLANUEVA, ENRIQUE LEONIDAS/0000-0002-8602-1181; Lamata, Lucas/0000-0002-9504-8685; Retamal Abarzua, Juan Carlos/0000-0002-7174-7879</t>
  </si>
  <si>
    <t>JUL 19</t>
  </si>
  <si>
    <t>e0200455</t>
  </si>
  <si>
    <t>10.1371/journal.pone.0200455</t>
  </si>
  <si>
    <t>WOS:000439120000020</t>
  </si>
  <si>
    <t>Olmedilla, A; Torres-Luque, G; García-Mas, A; Rubio, VJ; Ducoing, E; Ortega, E</t>
  </si>
  <si>
    <t>Olmedilla, Aurelio; Torres-Luque, Gema; Garcia-Mas, Alexandre; Rubio, Victor J.; Ducoing, Eugenio; Ortega, Enrique</t>
  </si>
  <si>
    <t>Psychological Profiling of Triathlon and Road Cycling Athletes</t>
  </si>
  <si>
    <t>Psychological characteristics of athletes play a key role in sport performance and may moderate and mediate the influence of technical, tactical, and physical abilities athletes show. Different authors have emphasized the special attention such psychological characteristics should receive considering the extent they can influence athletes' behavior either in training or in competition. This paper is aimed at describing the psychological profiles of two cycling sports: triathlon and road cycling. One hundred and twenty-nine male and female professional and amateur cycling athletes (35.74 years old average age +/- 12.79; 14.94 average number of years practicing cycling +/- 11.20) were assessed on different psychological characteristics. For that purpose, the Psychological Characteristics related to the Sport Performance (CPRD) Questionnaire and the Psychological Skills Inventory for Sports (PSIS) was used. Results showed significant differences among triathlon and road cyclists (Stress control = t(116) = -3.711, p = 0.000, d = 0.48; Influence of Performance Evaluation = t(115) = -3-115, p = 0.002, d = 0.49; Motivation = t(124) = -5.520, p = 0.000, d = 0.82; Mental Skills = t(119) = -4.985, p = 0.000, d = 1.02). There were no significant differences between men and women though there were differences among pros and amateur athletes. Triathlon professional, compared to amateurs, showed higher scores in all the psychological dimensions assessed (Stress control = t(85) = 3.005, p = 0.003, d = 1.07; Influence of Performance Evaluation = t(83) = 2.858, p = 0.005, 0.77; Motivation = t(91) = 2.721, p = 0.008, d = 0.26; Mental Skills = t(87) = 2.556, p = 0.012, d = 0.77). The results of this descriptive study contribute to establishing a model of optimal psychological profiling applied to the different cycling groups that can be used by sport psychologist, trainers, and coaches in order to promote peak performance of these athletes.</t>
  </si>
  <si>
    <t>Garcia-Mas, Alexandre/AAB-5955-2021; Zafra, Aurelio/D-4649-2012; Rubio, Victor/B-7568-2011; Torres Luque, Gemma/W-7051-2018; Ortega-Toro, Enrique/G-6446-2011</t>
  </si>
  <si>
    <t>Rubio, Victor/0000-0002-4943-3865; Torres Luque, Gemma/0000-0002-6212-9702; Ortega-Toro, Enrique/0000-0002-9067-4337</t>
  </si>
  <si>
    <t>JUL 4</t>
  </si>
  <si>
    <t>10.3389/fpsyg.2018.00825</t>
  </si>
  <si>
    <t>WOS:000437319500001</t>
  </si>
  <si>
    <t>Castillo, A; Tello, M; Ringwald, K; Acuña, LG; Quatrini, R; Orellana, O</t>
  </si>
  <si>
    <t>Castillo, Andres; Tello, Mario; Ringwald, Kenneth; Acuna, Lillian G.; Quatrini, Raquel; Orellana, Omar</t>
  </si>
  <si>
    <t>A DNA segment encoding the anticodon stem/loop of tRNA determines the specific recombination of integrative-conjugative elements in Acidithiobacillus species</t>
  </si>
  <si>
    <t>RNA BIOLOGY</t>
  </si>
  <si>
    <t>Horizontal gene transfer is crucial for the adaptation of microorganisms to environmental cues. The acidophilic, bioleaching bacterium Acidithiobacillus ferrooxidans encodes an integrative-conjugative genetic element (ICEAfe1) inserted in the gene encoding a tRNA(Ala). This genetic element is actively excised from the chromosome upon induction of DNA damage. A similar genetic element (ICEAca(TY).2) is also found in an equivalent position in the genome of Acidithiobacillus caldus. The local genomic context of both mobile genetic elements is highly syntenous and the cognate integrases are well conserved. By means of site directed mutagenesis, target site deletions and in vivo integrations assays in the heterologous model Escherichia coli, we assessed the target sequence requirements for site-specific recombination to be catalyzed by these integrases. We determined that each enzyme recognizes a specific small DNA segment encoding the anticodon stem/loop of the tRNA as target site and that specific positions in these regions are well conserved in the target attB sites of orthologous integrases. Also, we demonstrate that the local genetic context of the target sequence is not relevant for the integration to take place. These findings shed new light on the mechanism of site-specific integration of integrative-conjugative elements in members of Acidithiobacillus genus.</t>
  </si>
  <si>
    <t>Tello, Mario/N-4198-2019; Quatrini, Raquel/GSD-7689-2022</t>
  </si>
  <si>
    <t>Castillo, Andres E./0000-0001-9644-3719; Tello, Mario/0000-0003-4573-6460; Acuna, Lillian/0000-0002-9327-2122</t>
  </si>
  <si>
    <t>1547-6286</t>
  </si>
  <si>
    <t>1555-8584</t>
  </si>
  <si>
    <t>4-5</t>
  </si>
  <si>
    <t>10.1080/15476286.2017.1408765</t>
  </si>
  <si>
    <t>WOS:000441672400008</t>
  </si>
  <si>
    <t>Montejo-Sánchez, S; Azurdia-Meza, CA; Souza, RD; Fernandez, EMG; Soto, I; Rebelatto, JL</t>
  </si>
  <si>
    <t>Montejo-Sanchez, Samuel; Azurdia-Meza, Cesar A.; Souza, Richard Demo; Garcia Fernandez, Evelio M.; Soto, Ismael; Rebelatto, Joao Luiz</t>
  </si>
  <si>
    <t>An Alternative Non-cooperative Transmission Scheme based on Coded Redundant Information</t>
  </si>
  <si>
    <t>2017 IEEE 9TH LATIN-AMERICAN CONFERENCE ON COMMUNICATIONS (LATINCOM)</t>
  </si>
  <si>
    <t>IEEE Latin American Conference on Communications</t>
  </si>
  <si>
    <t>9th IEEE Latin-American Conference on Communications (LATINCOM)</t>
  </si>
  <si>
    <t>NOV 08-10, 2017</t>
  </si>
  <si>
    <t>Guatemala City, GUATEMALA</t>
  </si>
  <si>
    <t>Some of the future wireless networks are related to the provision of higher data rates and lower energy consumption. In contrast to the clear increasing spectrum demand, bandwidth is a limited resource. Cooperative diversity allows to increase the spectral efficiency and the reliability of the communication. However, in scenarios with high node density and high mobile data traffic volume the collaboration between multiple nodes can be a huge challenge. In this paper we focus on cognitive radio scenarios in which the users are only allowed to transmit with a limited power and have few opportunities to access the medium. Then, we propose an alternative non-cooperative transmission scheme based on coded redundant information through which users can automatically revert back, when cooperation is not possible. The results indicate that the proposed method outperforms direct transmission and simple repetition schemes, in terms of reliability, as well as spectral and energy efficiency.</t>
  </si>
  <si>
    <t>Montejo-Sánchez, Samuel/AAX-4151-2020; Rebelatto, João/L-5684-2013; Souza, Richard/E-7928-2010; Meza, Cesar/D-6948-2014; Fernandez, Evelio/AAO-4660-2020</t>
  </si>
  <si>
    <t>Montejo-Sanchez, Samuel/0000-0003-1622-3180; Fernandez, Evelio/0000-0003-1707-8595; Soto, Ismael/0000-0002-5501-5651; Souza, Richard/0000-0002-7389-6245</t>
  </si>
  <si>
    <t>2330-989X</t>
  </si>
  <si>
    <t>978-1-5386-2098-4</t>
  </si>
  <si>
    <t>WOS:000426109600006</t>
  </si>
  <si>
    <t>do O, Joao Marcos; Lorca, Sebastian; Sanchez, Justino; Ubilla, Pedro</t>
  </si>
  <si>
    <t>Positive solutions for some nonlocal and nonvariational elliptic systems</t>
  </si>
  <si>
    <t>COMPLEX VARIABLES AND ELLIPTIC EQUATIONS</t>
  </si>
  <si>
    <t>Using fixed point techniques, we study the existence and multiplicity of positive radial solutions for two classes of nonlocal elliptic systems defined on bounded annular domains or exterior domains. To this end, we reduce our problem to second-order functional ordinary elliptic systems. Our approach also allows us to study systems involving various orders, which serve as models for the suspension bridge equations.</t>
  </si>
  <si>
    <t>1747-6933</t>
  </si>
  <si>
    <t>1747-6941</t>
  </si>
  <si>
    <t>MAR 3</t>
  </si>
  <si>
    <t>10.1080/17476933.2015.1064404</t>
  </si>
  <si>
    <t>WOS:000369711900001</t>
  </si>
  <si>
    <t>Martínez-González, AE; Rodríguez-Jiménez, T; Piqueras, JA; Vera-Villarroel, P; Godoy, A</t>
  </si>
  <si>
    <t>Martinez-Gonzalez, Agustin E.; Rodriguez-Jimenez, Tiscar; Piqueras, Jose A.; Vera-Villarroel, Pablo; Godoy, Antonio</t>
  </si>
  <si>
    <t>Psychometric Properties of the Obsessive-Compulsive Inventory-Child Version (OCI-CV) in Chilean Children and Adolescents</t>
  </si>
  <si>
    <t>In recent years, there has been a considerable increase in the development of assessment tools for obsessive-compulsive symptomatology in children and adolescents. The Obsessive Compulsive Inventory-Child Version (OCI-CV) is a well-established assessment self-report, with special interest for the assessment of dimensions of Obsessive Compulsive Disorder (OCD). This instrument has shown to be useful for clinical and non-clinical populations in two languages (English and European Spanish). Thus, the aim of this study was to analyze the psychometric properties of the OCI-CV in a Chilean community sample. The sample consisted of 816 children and adolescents with a mean age of 14.54 years (SD = 2.21; range = 10-18 years). Factor structure, internal consistency, test-retest reliability, convergent/ divergent validity, and gender/age differences were examined. Confirmatory factor analysis showed a 6-factor structure (Doubting/Checking, Obsessing, Hoarding, Washing, Ordering, and Neutralizing) with one second-order factor. Good estimates of reliability (including internal consistency and test-retest), evidence supporting the validity, and small age and gender differences (higher levels of OCD symptomatology among older participants and women, respectively) are found. The OCI-CV is also an adequate scale for the assessment of obsessions and compulsions in a general population of Chilean children and adolescents.</t>
  </si>
  <si>
    <t>MARTINEZ-GONZALEZ, AGUSTIN/Z-1311-2019; Godoy, Antonio/AAC-7087-2020; Rodriguez-Jimenez, Tiscar/K-5785-2017; Piqueras, Jose A/C-6011-2011; Vera-Villarroel, Pablo/A-1134-2011; MARTINEZ-GONZALEZ, AGUSTIN ERNESTO/L-8523-2014; Godoy, Antonio/M-9401-2014</t>
  </si>
  <si>
    <t>Piqueras, Jose A/0000-0002-3604-5441; Vera-Villarroel, Pablo/0000-0001-9187-8414; MARTINEZ-GONZALEZ, AGUSTIN ERNESTO/0000-0002-9576-7348; Godoy, Antonio/0000-0003-2736-9871</t>
  </si>
  <si>
    <t>AUG 28</t>
  </si>
  <si>
    <t>e0136842</t>
  </si>
  <si>
    <t>10.1371/journal.pone.0136842</t>
  </si>
  <si>
    <t>WOS:000360299100148</t>
  </si>
  <si>
    <t>Valdés-Badilla, PA; Godoy-Cumillaf, AER; Herrera-Valenzuela, TN; Ramírez-Campillo, R</t>
  </si>
  <si>
    <t>Antonio Valdes-Badilla, Pablo; Roberto Godoy-Cumillaf, Andres Esteban; Nicolas Herrera-Valenzuela, Tomas; Ramirez-Campillo, Rodrigo</t>
  </si>
  <si>
    <t>Anthropometric and fitness profile of senior basketball players</t>
  </si>
  <si>
    <t>The demographic and social changes are causing a gradual increase in people over 60 years worldwide, situation thar is similar in Chile, so the study of variables related to this group of the population becomes important. In this regard, the aim of this study is to determine the anthropometric and physical fitness profile of senior basketball players (SBP). This is a descriptive, cross-sectional, quantitative research. The sample included 30 SBP (age 66.7 +/- 6.8 years) belonging to the league of the Senior Basketball Association of the Araucania Region, Chile. The dependent variables studied correspond to body composition, somatotype and fitness (strength, endurance, flexibility, agility and dynamic balance). Results indicate that the SBP showed endomorphic, mesomorphic and ectomorphic values of 4.1, 6.1 and 1.0, respectively, as meso-endomorphs with a muscle mass of 45% and body fat of 24.5%. Compared to age and sex counterparts, SBP exhibit equal (40% of SBP) or even higher (40% of SBP) values for physical fitness perfomance variables. In conclusion, SBP have a favorable anthropometric and physical fitness profile for their age and sex, suggesting that the systematic practice of basketball would have a positive impact on body composition and physical fitness-function in older adults, however more experimental research is needed to corroborate this.</t>
  </si>
  <si>
    <t>Ramirez-Campillo, Rodrigo/M-1258-2016; Herrera-Valenzuela, Tomas/L-1819-2019</t>
  </si>
  <si>
    <t>Valdes-Badilla, Pablo/0000-0002-3948-8280; Herrera-Valenzuela, Tomas/0000-0002-5219-5896; Ramirez-Campillo, Rodrigo/0000-0003-2035-3279</t>
  </si>
  <si>
    <t>10.4067/S0717-95022015000100045</t>
  </si>
  <si>
    <t>WOS:000353626300045</t>
  </si>
  <si>
    <t>Kramer, V; Juri, C; Chana-Cuevas, P; Pruzzo, R; Amaral, A; Coudeu, I; Avila-Sobarzo, M; Rösch, F; Amaral, H</t>
  </si>
  <si>
    <t>Kramer, Vasko; Juri, Carlos; Chana-Cuevas, Pedro; Pruzzo, Rossana; Amaral, Andres; Coudeu, Irene; Avila-Sobarzo, Mario; Roesch, Frank; Amaral, Horacio</t>
  </si>
  <si>
    <t>Dopamine transporter quantification by PET with [18F]PR04. MZ in patients with early Parkinson's disease</t>
  </si>
  <si>
    <t>Chana-Cuevas, Pedro/AAM-8215-2020; Roesch, Frank/AAU-9403-2020</t>
  </si>
  <si>
    <t>WOS:000361438102495</t>
  </si>
  <si>
    <t>Cordero, RR; Damiani, A; Seckmeyer, G; Riechelmann, S; Labbe, F; Laroze, D; Garate, F</t>
  </si>
  <si>
    <t>Cordero, Raul R.; Damiani, Alessandro; Seckmeyer, Gunther; Riechelmann, Stefan; Labbe, Fernando; Laroze, David; Garate, Fernanda</t>
  </si>
  <si>
    <t>Satellite-derived UV climatology at Escudero Station, Antarctic Peninsula</t>
  </si>
  <si>
    <t>ANTARCTIC SCIENCE</t>
  </si>
  <si>
    <t>We have used data from the Ozone Monitoring Instrument (OMI) aboard NASA's Earth Observing System (EOS) Aura satellite over the period 2004-11 to describe the characteristics of surface ultraviolet (UV) irradiance at Escudero Station (62 degrees 12S, 58 degrees 57W). The station is located on King George Island (northern Antarctic Peninsula). Temperatures in summer are frequently above 0 degrees C, and the surrounding ocean is typically ice-free. We found that the UV irradiance at Escudero is driven by the Antarctic ozone hole (which annually in spring leads to significant variations in the ozone) and by clouds (which are more frequent and have a larger optical depth compared with other Antarctic sites). The combined effect of ozone and clouds led to significant variations in the surface UV. The variability (taken as the standard deviation of the UV estimates retrieved from OMI) is typically greater than 30% at Escudero, but may reach values greater than 50% in spring. The consistency of OMI-derived data was checked by using ground-based spectral measurements carried out under controlled conditions in January 2011.</t>
  </si>
  <si>
    <t>Cordero, Raul/M-7979-2017; Damiani, Alessandro/X-4677-2019; Laroze, David/Z-2852-2019; Laroze, David/E-9134-2011</t>
  </si>
  <si>
    <t>Laroze, David/0000-0002-6487-8096; Damiani, Alessandro/0000-0003-3014-6193; Cordero, Raul R./0000-0001-7607-7993</t>
  </si>
  <si>
    <t>0954-1020</t>
  </si>
  <si>
    <t>1365-2079</t>
  </si>
  <si>
    <t>10.1017/S0954102013000175</t>
  </si>
  <si>
    <t>WOS:000328547200007</t>
  </si>
  <si>
    <t>Deroin, B; Kleptsyn, V; Navas, A; Parwani, K</t>
  </si>
  <si>
    <t>Deroin, B.; Kleptsyn, V.; Navas, A.; Parwani, K.</t>
  </si>
  <si>
    <t>SYMMETRIC RANDOM WALKS ON Homeo+(R)</t>
  </si>
  <si>
    <t>ANNALS OF PROBABILITY</t>
  </si>
  <si>
    <t>We study symmetric random walks on finitely generated groups of orientation-preserving homeomorphisms of the real line. We establish an oscillation property for the induced Markov chain on the line that implies a weak form of recurrence. Except for a few special cases, which can be treated separately, we prove a property of global stability at a finite distance: roughly speaking, there exists a compact interval such that any two trajectories get closer and closer whenever one of them returns to the compact interval. The probabilistic techniques employed here lead to interesting results for the study of group actions on the line. For instance, we show that under a suitable change of the coordinates, the drift of every point becomes zero provided that the action is minimal. As a byproduct, we recover the fact that every finitely generated group of homeomorphisms of the real line is topologically conjugate to a group of (globally) Lipschitz homeomorphisms. Moreover, we show that such a conjugacy may be chosen in such a way that the displacement of each element is uniformly bounded.</t>
  </si>
  <si>
    <t>Navas Flores, Andres Ignacio/0000-0002-0853-5136; Kleptsyn, Victor/0000-0001-5825-5856</t>
  </si>
  <si>
    <t>0091-1798</t>
  </si>
  <si>
    <t>3B</t>
  </si>
  <si>
    <t>10.1214/12-AOP784</t>
  </si>
  <si>
    <t>WOS:000320069500010</t>
  </si>
  <si>
    <t>Cheuquepán, W; Villagra, D; Azócar, MI; Ramírez, G; Chen, YY; Matsuhiro, B; Mendoza, L; Isaacs, M; Aguirre, MJ</t>
  </si>
  <si>
    <t>Cheuquepan, W.; Villagra, D.; Azocar, M. I.; Ramirez, G.; Chen, Y. Y.; Matsuhiro, B.; Mendoza, L.; Isaacs, M.; Aguirre, M. J.</t>
  </si>
  <si>
    <t>EFFECT OF THE NUMBER OF SUBSTITUENTS ON THE BEHAVIOR OF MODIFIED ELECTRODES WITH COBALT PORPHYRINS SUBSTITUTED WITH A DIFFERENT NUMBERS OF BIS(METHOXYPHENYL) GROUPS TOWARD THE OXIDATION OF SULFITE.</t>
  </si>
  <si>
    <t>In this study, we compared four glassy carbon electrodes modified with adsorbed porphyrins of cobalt containing one, two, three, or four bis(methoxyphenyl) groups as substituents of the ligand. The aim of this work was to determine the effect of these donating groups on the electrocatalyst behavior of the modified electrodes for the reduction or oxidation of sulfite in water or in mixtures of 12% ethanol in water (v/v) at different pHs. The results showed that the modified electrodes are not catalytic toward the electro-reduction of sulfite in the whole range of pH studied (2-12). However, all the electrodes showed a catalytic toward the oxidation of sulfite at basic pHs. We found that the best catalytic system was the four-substituted porphyrin modified electrode at pH 9.8. This system performed well as an amperometric sensor for sulfite in ethanol-water mixtures and in aqueous solutions at the same pH. When the calibration curve was carried out by cyclic voltammetry, a detection limit of 0.10 mg L-1 for the four-substituted cobalt porphyrin modified electrode in water and in ethanol-water mixtures was found.</t>
  </si>
  <si>
    <t>Valenzuela, William/AAN-9176-2020; Aguirre, Maria/A-3935-2013; Azocar, Manuel/I-1226-2013; Villagra, Diego/H-6694-2013; Isaacs, Mauricio/N-3027-2013</t>
  </si>
  <si>
    <t>Ramirez, Galo/0000-0002-6217-4730; Aguirre, Maria/0000-0003-1134-4469; Azocar Guzman, Manuel/0000-0003-1098-4659; Isaacs Casanova, Mauricio/0000-0003-0503-0949; Cheuquepan, William/0000-0001-6741-1144</t>
  </si>
  <si>
    <t>WOS:000279984400024</t>
  </si>
  <si>
    <t>Riveros, V; Gulppi, M; Páez, M; Zagal, JH; Rangel, CM; Huerta, D; Skeldon, P; Thompson, GE</t>
  </si>
  <si>
    <t>Influence of surface treatments in the initial stages of anodizing Al-Ag alloys in neutral electrolytes</t>
  </si>
  <si>
    <t>Using voltage-time responses and cyclic voltammetry, the initial stages of anodizing of Al-2.1 at.% Ag and Al-4 at.% Ag alloys are shown to depend upon the heat treatment of the alloys and the pre-treatment of the alloy surfaces. Chemical polishing of solution-treated alloys leads to relatively uniform anodic oxidation on a relatively smooth alloy surface, in the absence of significant effects of coarse, silver-rich intermetallics. In contrast, losses of current to oxygen generation arise for the roughened alloy surface from mechanical polishing. With ageing, secondary reactions at the relatively silver-rich intermetallics are more prevalent, although the effects on the voltage-time response depend upon the balance between processes occurring on the matrix and intermetallic regions, including film growth, oxygen generation within the anodic film, film damage due to release of oxygen, dissolution of silver species and re-growth of damaged film.</t>
  </si>
  <si>
    <t>Pappas, Georgios/F-7194-2014; Paez, Maritza/M-2010-2014; zagal, jose/L-9648-2014; Gulppi, Miguel/KTA-6210-2024; Rangel, Carmen M./D-5477-2011</t>
  </si>
  <si>
    <t>paez, maritza/0000-0001-5881-884X; Rangel, Carmen M./0000-0001-7996-8142; Gulppi, Miguel/0000-0001-6099-4463</t>
  </si>
  <si>
    <t>10.1007/s10008-005-0659-5</t>
  </si>
  <si>
    <t>WOS:000233466400004</t>
  </si>
  <si>
    <t>Alarcon, EI; González-Béjar, M; Montes-Navajas, P; Garcia, H; Lissi, EA; Scaiano, JC</t>
  </si>
  <si>
    <t>Alarcon, Emilio, I; Gonzalez-Bejar, Maria; Montes-Navajas, Pedro; Garcia, Hermenegildo; Lissi, Eduardo A.; Scaiano, Juan C.</t>
  </si>
  <si>
    <t>Unexpected solvent isotope effect on the triplet lifetime of methylene blue associated to cucurbit[7]uril</t>
  </si>
  <si>
    <t>PHOTOCHEMICAL &amp; PHOTOBIOLOGICAL SCIENCES</t>
  </si>
  <si>
    <t>Methylene blue shows an isotope dependent triplet lifetime that is 50% longer in D2O compared with H2O as a result of electronic-to-vibrational relaxation. The effect is enhanced when the dye is bound to curcubit[7]uril due to a combination of restricted mobility and a unfavorable vibrational coupling.</t>
  </si>
  <si>
    <t>Alarcon, Emilio/A-7285-2011; Garcia, Hermenegildo/E-3296-2010; Gonzalez-Bejar, Maria/B-6934-2014</t>
  </si>
  <si>
    <t>Scaiano, Juan/0000-0002-4838-7123; Gonzalez-Bejar, Maria/0000-0001-5434-4210</t>
  </si>
  <si>
    <t>1474-905X</t>
  </si>
  <si>
    <t>1474-9092</t>
  </si>
  <si>
    <t>10.1039/c1pp05227f</t>
  </si>
  <si>
    <t>WOS:000692416700003</t>
  </si>
  <si>
    <t>VALDES, JE; TAMAYO, GM; ARISTA, NR; LANTSCHNER, GH; ECKARDT, JC</t>
  </si>
  <si>
    <t>THE INFLUENCE OF FOIL ROUGHNESS ON LOW-ENERGY STOPPING POWERS - CALCULATIONS BASED ON MULTIPLE-SCATTERING THEORY</t>
  </si>
  <si>
    <t>JOURNAL OF PHYSICS-CONDENSED MATTER</t>
  </si>
  <si>
    <t>The influence of foil roughness on energy-loss measurements is evaluated. Corr</t>
  </si>
  <si>
    <t>Valdes, Jorge/IYJ-2578-2023</t>
  </si>
  <si>
    <t>Valdes Leyton, Jorge Eduardo/0000-0001-5465-7567</t>
  </si>
  <si>
    <t>0953-8984</t>
  </si>
  <si>
    <t>1361-648X</t>
  </si>
  <si>
    <t>AUG 16</t>
  </si>
  <si>
    <t>33A</t>
  </si>
  <si>
    <t>A293</t>
  </si>
  <si>
    <t>A294</t>
  </si>
  <si>
    <t>10.1088/0953-8984/5/33A/102</t>
  </si>
  <si>
    <t>WOS:A1993LV24500104</t>
  </si>
  <si>
    <t>The Thioredoxin Fold Protein (TFP2) from Extreme Acidophilic Leptospirillum sp. CF-1 Is a Chaperedoxin-like Protein That Prevents the Aggregation of Proteins under Oxidative Stress. (vol 25, 6905, 2024)</t>
  </si>
  <si>
    <t>Munoz-Villagran, Claudia/0009-0009-8087-0287</t>
  </si>
  <si>
    <t>10.3390/ijms252312489</t>
  </si>
  <si>
    <t>WOS:001377199000001</t>
  </si>
  <si>
    <t>Merino-Muñoz, P; Teixeira, FG; Pérez-Contreras, J; Inostroza-Rios, F; Ferreira, A; Brito, C; Miarka, B; Aedo-Muñoz, E</t>
  </si>
  <si>
    <t>Merino-Munoz, Pablo; Teixeira, Felipe Guimaraes; Perez-Contreras, Jorge; Inostroza-Rios, Felipe; Ferreira, Aleksandro; Brito, Ciro; Miarka, Bianca; Aedo-Munoz, Esteban</t>
  </si>
  <si>
    <t>Intra-test reliability of the countermovement push-up and its relationship with anthropometric parameters in semi-professional kickboxers</t>
  </si>
  <si>
    <t>Objective: This study aimed to investigate the intra-test reliability of countermovement push-up (CMPU) in semi-professional kickboxing athletes and to analyze the association with anthropometric measurements of the upper limb. Methods: 8 semi-professional kickboxing athletes (7 male and 1 female athletes) underwent a series of assessments, including skinfold thickness, limb circumference measurements, and the CMPU test with force platforms. Intraclass correlation coefficients (ICC) and coefficients of variation (CV%) were calculated for CMPU variables. Additionally, Spearman correlation coefficients were computed to assess the relationship between upper limb anthropometric data and CMPU variables derived from the force platform. Results: The ICC and CV% values indicated that the analyzed performance variables exhibited reliability ranging from poor to excellent (ICC = 0.65-0.77, CV% = 5.6-20.8). Push-off time and rate of power development concentric demonstrated unclear reliability (ICC = 0.15-0.31, CV% = 7.5-14.9), while rate of force development braking showed poor to good reliability (ICC = 0.44, CV% = 27.4). Strong to very strong correlations were observed between relaxed arm circumference, contracted arm circumference, forearm circumference, bicipital fold, and concentric impulse, peak force, and peak power. Conclusion: The results of this study emphasize the reliability of CMPU testing in semi-professional kickboxing athletes, making it a potentially valuable tool for monitoring upper limb force and power variables. Additionally, the robust correlations suggest that variations in upper limb circumference can significantly influence force and power generation during the CMPU test. These findings have implications for training program design and performance assessment in activities reliant on upper body strength and power, such as kickboxing.</t>
  </si>
  <si>
    <t>Merino Muñoz, Pablo/JGL-6690-2023; Aedo-Muñoz, Esteban/R-5623-2019; Inostroza Ríos, Felipe/HNQ-1116-2023</t>
  </si>
  <si>
    <t>WOS:001335698900001</t>
  </si>
  <si>
    <t>ON RESIDUES AND CONJUGACIES FOR GERMS OF 1-D PARABOLIC DIFFEOMORPHISMS IN FINITE REGULARITY</t>
  </si>
  <si>
    <t>JOURNAL OF THE INSTITUTE OF MATHEMATICS OF JUSSIEU</t>
  </si>
  <si>
    <t>We study conjugacy classes of germs of nonflat diffeomorphisms of the real line fixing the origin. Based on the work of Takens and Yoccoz, we establish results that are sharp in terms of differentiability classes and order of tangency to the identity. The core of all of this lies in the invariance of residues under low-regular conjugacies. This may be seen as an extension of the fact (also proved in this article) that the value of the Schwarzian derivative at the origin for germs of $C&lt;^&gt;3$ parabolic diffeomorphisms is invariant under $C&lt;^&gt;2$ parabolic conjugacy, though it may vary arbitrarily under parabolic $C&lt;^&gt;1$ conjugacy.</t>
  </si>
  <si>
    <t>1474-7480</t>
  </si>
  <si>
    <t>1475-3030</t>
  </si>
  <si>
    <t>10.1017/S1474748023000403</t>
  </si>
  <si>
    <t>WOS:001112768300001</t>
  </si>
  <si>
    <t>Choppara, D; Garmulewicz, A; Pearce, JM</t>
  </si>
  <si>
    <t>Choppara, Dheeraj; Garmulewicz, Alysia; Pearce, Joshua M.</t>
  </si>
  <si>
    <t>Open-source 3-D printing materials database generator</t>
  </si>
  <si>
    <t>JOURNAL OF MANUFACTURING TECHNOLOGY MANAGEMENT</t>
  </si>
  <si>
    <t>PurposeThis study aims to apply an open-source approach to protect the 3D printing industry from innovation stagnation due to broad patenting of obvious materials.Design/methodology/approachTo do this, first an open-source implementation of the first five conditions of an open-source algorithm developed to identify all obvious 3-D printing materials was implemented in Python, and the compound combinations of two and three constituents were tested on ten natural and synthetic compounds. The time complexity for combinations composed of two constituents and three constituents is determined to be O(n(2)) and O(n(3)), respectively.FindingsGenerating all combinations of materials available on the Chemical Abstracts Services (CAS) registry on the fastest processor on the market will require at least 73.9 h for the latter, but as the number of constituents increases the time needed becomes prohibitive (e.g. 3 constituents is 1.65 million years). To demonstrate how machine learning (ML) could help prioritize both theoretical as well as experimental efforts a three-part biomaterial consisting of water, agar and glycerin was used as a case study. A decision tree model is trained with the experimental data and is used to fill in missing physical properties, including Young's modulus and yield strength, with 84.9 and 85.1% accuracy, respectively.Originality/valueThe results are promising for an open-source system that can theoretically generate all possible combinations of materials for 3-D printing that can then be used to identify suitable printing material for specific business cases based on desired material properties.</t>
  </si>
  <si>
    <t>Garmulewicz, Alysia/HTS-8792-2023; Pearce, Joshua/C-9240-2013</t>
  </si>
  <si>
    <t>Garmulewicz, Alysia/0000-0001-8468-5809; Pearce, Joshua/0000-0001-9802-3056</t>
  </si>
  <si>
    <t>1741-038X</t>
  </si>
  <si>
    <t>1758-7786</t>
  </si>
  <si>
    <t>10.1108/JMTM-01-2023-0010</t>
  </si>
  <si>
    <t>WOS:001033203100001</t>
  </si>
  <si>
    <t>Venegas, R; Muñoz-Becerra, K; Juillard, S; Zhang, L; Oñate, R; Ponce, I; Vivier, V; Recio, FJ; Sánchez-Sánchez, CM</t>
  </si>
  <si>
    <t>Venegas, Ricardo; Munoz-Becerra, Karina; Juillard, Sophie; Zhang, Lin; Onate, Ruben; Ponce, Ingrid; Vivier, Vincent; Recio, Francisco J.; Sanchez-Sanchez, Carlos M.</t>
  </si>
  <si>
    <t>Proving ligand structure-reactivity correlation on multinuclear copper electrocatalysts supported on carbon black for the oxygen reduction reaction</t>
  </si>
  <si>
    <t>Bioinspired transition-metal catalysts seek to mimic the specific active site of metalloenzymes, as the multicopper oxidase, that can efficiently reduce dioxygen to water via a complete 4-electrons mechanism at low over-potential. However, the multicopper oxidase enzymes lack stability under operando conditions, hampering their application in fuel cell electrodes. Bioinspired multicopper catalysts present a remarkable electrocatalytic activity for the oxygen reduction reaction (ORR), where the structure and electronic properties of the ligands play a fundamental role. In this work, we explore the instantaneous catalytic activity and its evolution under operando conditions of two multicopper catalysts with different ligand flexibility, pyridyl ligand (CuL1), and pyridylmethyl ligand (CuL2), by conventional electrochemical techniques and scanning electrochemical microscopy (SECM). Both catalysts present similar instantaneous electrocatalytic activity with no significant role of the ligand, but there is a change in the mechanism. While the rigidity of CuL1 reduces the dioxygen via direct 4e-, the catalyst with higher flexibility (CuL2) follows a 2e(-)x 2e(-) mechanism. The production of H2O2 as ORR byproduct eval-uated by rotating ring-disk electrode (RRDE) and stability test evaluated under ORR operating conditions by SECM imaging of both catalysts demonstrated a higher decrease in catalytic activity and higher H2O2 production in CuL2 than in CuL1, which evidences a ligand structure-reactivity correlation. These results contribute to the rational design of next generation of copper catalysts and open the door to a new methodology to evaluate the activity evolution under operando conditions by SECM.</t>
  </si>
  <si>
    <t>Venegas, Ricardo/U-6376-2019; Muñoz-Becerra, Karina/GPP-1386-2022; Recio, Javier/GVU-5031-2022; Ponce, Ingrid/L-9679-2014; Vivier, Vincent/J-8670-2012</t>
  </si>
  <si>
    <t>Recio, Francisco/0000-0002-5181-3197; Munoz-Becerra, Karina/0000-0001-9882-6342; Ponce Hormazabal, Ingrid/0000-0002-3896-9576; Venegas, Ricardo/0000-0001-7440-484X; Vivier, Vincent/0000-0001-5424-0083</t>
  </si>
  <si>
    <t>10.1016/j.electacta.2022.141304</t>
  </si>
  <si>
    <t>WOS:000877516400005</t>
  </si>
  <si>
    <t>Oliva, CA; Stehberg, J; Barra, R; Mariqueo, T</t>
  </si>
  <si>
    <t>Oliva, Carolina A.; Stehberg, Jimmy; Barra, Rafael; Mariqueo, Trinidad</t>
  </si>
  <si>
    <t>Neuropathic Pain Induces Interleukin-1β Sensitive Bimodal Glycinergic Activity in the Central Amygdala</t>
  </si>
  <si>
    <t>Neuropathic pain reduces GABA and glycine receptor (GlyR)-mediated activity in spinal and supraspinal regions associated with pain processing. Interleukin-1 beta (IL-1 beta) alters Central Amygdala (CeA) excitability by reducing glycinergic inhibition in a mechanism that involves the auxiliary beta-subunit of GlyR (beta GlyR), which is highly expressed in this region. However, GlyR activity and its modulation by IL-1 beta in supraspinal brain regions under neuropathic pain have not been studied. We performed chronic constriction injury (CCI) of the sciatic nerve in male Sprague Dawley rats, a procedure that induces hind paw plantar hyperalgesia and neuropathic pain. Ten days later, the rats were euthanized, and their brains were sliced. Glycinergic spontaneous inhibitory currents (sIPSCs) were recorded in the CeA slices. The sIPSCs from CeA neurons of CCI animals show a bimodal amplitude distribution, different from the normal distribution in Sham animals, with small and large amplitudes of similar decay constants. The perfusion of IL-1 beta (10 ng/mL) in these slices reduced the amplitudes within the first five minutes, with a pronounced effect on the largest amplitudes. Our data support a possible role for CeA GlyRs in pain processing and in the neuroimmune modulation of pain perception.</t>
  </si>
  <si>
    <t>stehberg, jimmy/JVZ-2690-2024; Oliva, Carolina/AAF-3887-2019</t>
  </si>
  <si>
    <t>Stehberg, Jimmy/0000-0001-7897-9552; Oliva, Carolina/0000-0002-5917-9856</t>
  </si>
  <si>
    <t>10.3390/ijms23137356</t>
  </si>
  <si>
    <t>WOS:000824090300001</t>
  </si>
  <si>
    <t>Jativa, PP; Azurdia-Meza, CA; Zabala-Blanco, D; Gutierrez, CA; Sanchez, I; Castillo-Soria, FR; Seguel, F</t>
  </si>
  <si>
    <t>Jativa, Pablo Palacios; Azurdia-Meza, Cesar A.; Zabala-Blanco, David; Gutierrez, Carlos A.; Sanchez, Ivan; Castillo-Soria, Francisco R.; Seguel, Fabian</t>
  </si>
  <si>
    <t>Bit error probability of VLC systems in underground mining channels with imperfect CSI</t>
  </si>
  <si>
    <t>AEU-INTERNATIONAL JOURNAL OF ELECTRONICS AND COMMUNICATIONS</t>
  </si>
  <si>
    <t>Analytical expressions of the statistical distribution of the underground mining visible light communication (UMVLC) square-channel gain are derived considering scattering, shadowing, and a random position and orientation of the receiver. These expressions are employed to compute the system's bit error probability (BEP) considering shot and thermal noises, on-off keying modulation, as well as perfect and imperfect channel state information (CSI) at the receiver side. The results obtained for the BEP are validated by computer simulations for various UMVLC scenarios. A close agreement is observed between the analytical and simulated curves. Furthermore, the performance of the UM-VLC system improves by increasing the field-of-view (FoV) and/or signal-to-noise-ratio. Indeed, for a FoV value of 45 for both the UM-VLC system with perfect CSI and imperfect CSI, the best performance in terms of BEP is obtained. In terms of the UM-VLC system with imperfect CSI, BEP curves saturate for higher values of signal-to-noise-ratio (SNR) due to lower values of FoV, specifically in the case of 45. Finally, the performance of the UM-VLC system increases significantly for higher values of SNR, specifically in the case of 20 dB.</t>
  </si>
  <si>
    <t>Gutierrez, Carlos/A-4556-2013; Seguel, Fabian/ABC-4765-2020; Palacios Játiva, Pablo/AAE-8235-2019; Meza, Cesar/D-6948-2014; Castillo-Soria, Francisco R./F-5815-2019</t>
  </si>
  <si>
    <t>Sanchez Salazar, Ivan Ricardo/0000-0003-0686-8612; Seguel, Fabian/0000-0001-6567-8988; Castillo-Soria, Francisco R./0000-0002-5550-8819; gutierrez diaz de leon, carlos adrian/0000-0002-6234-7849; Palacios, Pablo/0000-0002-3958-503X</t>
  </si>
  <si>
    <t>1434-8411</t>
  </si>
  <si>
    <t>1618-0399</t>
  </si>
  <si>
    <t>10.1016/j.aeue.2021.154101</t>
  </si>
  <si>
    <t>WOS:000795779000001</t>
  </si>
  <si>
    <t>Aravena-Sagardia, P; García-Sandoval, A; Herrera-Valenzuela, T; Branco, BHM; Vargas-Vitoria, R; Valdés-Badilla, P</t>
  </si>
  <si>
    <t>Aravena-Sagardia, Pablo; Garcia-Sandoval, Alan; Herrera-Valenzuela, Tomas; Magnani Branco, Braulio Henrique; Vargas-Vitoria, Rodrigo; Valdes-Badilla, Pablo</t>
  </si>
  <si>
    <t>Effects of a resistance training program on body composition and maximum strength in university students according to their baseline body mass index</t>
  </si>
  <si>
    <t>Introduction: Resistance training exercises must be adapted to people's characteristics and dosed individually to achieve maximum benefits. Aim: To compare the effects of a resistance training program on body composition and maximum strength in physically active university students, according to their baseline body mass index (BMI). Material and methods: Twenty-four Physical Education students (15 males and 9 females) completed a supervised resistance training program that lasted eight weeks (16 sessions). The students were previously distributed into a group below the mean BMI group (BMG; n = 11; 7 males and 4 females) and above the mean BMI group (AMG; n = 13; 8 males and 5 females). Body weight, height, BMI, body composition (adipose mass and muscle mass), and maximum upper body strength (bench press and military press), and lower body strength (parallel squat [45 degrees] and deadlift) were measured through a one-repetition maximum (1RM). Results: Fat mass decreased significantly (p&lt; 0.05) with a small effect size (d&lt; 0.30) in both groups (BMG and AMG). In contrast, muscle mass increased significantly (p= 0.008) only in AMG with a small effect size (d= 0.36). Maximum upper and lower body strength increased significantly (p&lt; 0.05) with a small and moderate effect size (d&lt; 0.80) in the BMG and AMG. Comparisons between the groups revealed no significant differences. Conclusions: An eight-week resistance training program significantly reduces fat mass and a significant increase in maximal upper and lower body strength in physically active university students, independent of their baseline BMI. However, only AMG achieves a significant increase in muscle mass.</t>
  </si>
  <si>
    <t>Branco, Braulio/AAA-1747-2019; Herrera-Valenzuela, Tomas/L-1819-2019; Vargas, Rodrigo/ACM-8728-2022; Magnani Branco, Braulio Henrique/B-8178-2017</t>
  </si>
  <si>
    <t>Valdes-Badilla, Pablo/0000-0002-3948-8280; Magnani Branco, Braulio Henrique/0000-0002-4625-9128</t>
  </si>
  <si>
    <t>10.12873/413aravena</t>
  </si>
  <si>
    <t>WOS:000753524800023</t>
  </si>
  <si>
    <t>Martinez, JL; Bmzzone, ME; Morales, B; Palacios, J; Jaimes, L; Knox, M; Vinet, R; Laurido, C</t>
  </si>
  <si>
    <t>Martinez, Jose L.; Bmzzone, Maria E.; Morales, Bernardo; Palacios, Javier; Jaimes, Luisauris; Knox, Marcela; Vinet, Raid; Laurido, Claudio</t>
  </si>
  <si>
    <t>Effects of Indomethacin on the Norepinephrine-Induced Contraction in Vascular Smooth Muscle during Different Stages of the Estrous Cycle</t>
  </si>
  <si>
    <t>PAKISTAN VETERINARY JOURNAL</t>
  </si>
  <si>
    <t>Previous studies have shown that vascular reactivity evaluated in female rat aorta to norepinephrine did not present the same response at all periods of their estrous cycle. During proestrus, the contractile response shows lower values. It was also reported that vascular reactivity had a close relationship with prostaglandins activity. In this study, we studied the response to norepinephrine in rat aorta rings treated with indomethacin. Indomethacin is a well-known inhibitor of prostaglandin synthesis. At low concentrations, the effect of indomethacin was not significant, and vascular reactivity response to norepinephrine was similar to those aortic rings from the control rats (without indomethacin). However, at high concentrations of norepinephrine, a marked difference was observed. The inhibitory action of indomethacin on the synthesis of prostaglandins was effectively reflected in a lower release of prostaglandins. In this way, our results confirm previous findings and indicate that indomethacin increases the constrictor response to norepinephrine, avoiding the vasodilatory effect of prostaglandins. (C) 2019 PVJ. All rights reserved</t>
  </si>
  <si>
    <t>Martinez, Jose/AAA-1725-2020; Palacios, Javier/M-8025-2017</t>
  </si>
  <si>
    <t>0253-8318</t>
  </si>
  <si>
    <t>2074-7764</t>
  </si>
  <si>
    <t>10.29261/pakvetj/2019.093</t>
  </si>
  <si>
    <t>WOS:000483997500022</t>
  </si>
  <si>
    <t>Razeto-Barry, P; Vecchi, D</t>
  </si>
  <si>
    <t>Razeto-Barry, Pablo; Vecchi, Davide</t>
  </si>
  <si>
    <t>Mutational randomness as conditional independence and the experimental vindication of mutational Lamarckism</t>
  </si>
  <si>
    <t>BIOLOGICAL REVIEWS</t>
  </si>
  <si>
    <t>The Modern Synthesis enshrined natural selection as the driver of adaptive evolution mainly by eliminating competing explanations. One of the eliminated competitors was Lamarckism, particularly 'mutational Lamarckism', a hypothesis according to which mutations may be directed towards producing phenotypes that improve the performance of the organism in a particular environment. Contrary to this hypothesis, the Modern Synthesis' view claims that mutations are 'random', even though the precise meaning of the term was never formally explicated. Current evidence seemingly in favour of the existence of legitimate cases of mutational Lamarckism has revitalized interest to seek a clarification of the meaning of the term 'random' in this context. Herein we analyse previous definitions of random mutations and show that they are deficient in three ways: either they are too wide, or too narrow, or dyadic. We argue that the linguistic expression 'random mutation' refers to a triadic rather than a dyadic relationship, propose a new, formal and precise definition based on the probabilistic concept of conditional independence, and finally provide examples of its application. One important consequence of our analysis is that the genomic specificity of the mutational process is not a necessary condition for the existence of mutational Lamarckism.</t>
  </si>
  <si>
    <t>Vecchi, Davide/M-2973-2015</t>
  </si>
  <si>
    <t>Vecchi, Davide/0000-0002-6339-7370</t>
  </si>
  <si>
    <t>1464-7931</t>
  </si>
  <si>
    <t>1469-185X</t>
  </si>
  <si>
    <t>10.1111/brv.12249</t>
  </si>
  <si>
    <t>WOS:000398567200004</t>
  </si>
  <si>
    <t>Bello-Villanueva, AM; Palacio, J; Vera-Villarroel, P; Oviedo-Trespalacios, O; Rodríguez-Díaz, MA; Celis-Atenas, K; Pavez, P</t>
  </si>
  <si>
    <t>Mercedes Bello-Villanueva, Ana; Palacio, Jorge; Vera-Villarroel, Pablo; Oviedo-Trespalacios, Oscar; Alejandra Rodriguez-Diaz, Melissa; Celis-Atenas, Karem; Pavez, Paula</t>
  </si>
  <si>
    <t>The Development and Validation of a scale to measure Reproductive and Sexual Health of young women in the Colombian Caribbean region</t>
  </si>
  <si>
    <t>This article describes the design and validation of a scale for evaluating reproductive and sexual health. 919 young females from 11 to 19 years in five Caribbean-Colombian cities were administered the questionnaire that assesses attitudes and subjective norms about the reproductive sexuality, based on the planned behavior theory (Ajzen &amp; Fishbein, 2000). The reliability and validity of the instrument was analyzed through exploratory factorial analysis with principal components and VARIMAX rotation. The methodology includes two independent studies; in study 1 (pilot test) the first questionnaire consisted of 172 items and decreased to 78 in the final sample. For study 2, the attitude scale reported (Mean = 3.68, ED = 1.21) and Cronbach's alpha reliability was 0.91. Two factors were extracted and grouped into two dimensions that explain 67.10% of the variance. For the subjective norms scale (Mean = 3.8, ED = 1.1) Cronbach's alpha reliability was 0.97 and eleven factors were extracted and grouped into nine dimensions, which explain 75.89% of the variance. The scale showed good reliability and structural stability for the analysis and design of programs for sexual and reproductive health in adolescent girls.</t>
  </si>
  <si>
    <t>Oviedo-Trespalacios, Oscar/IUQ-1875-2023; pavez, paula/ITT-0755-2023; Vera-Villarroel, Pablo/AAQ-8476-2020; Oviedo-Trespalacios, Oscar/K-2462-2012; Vera-Villarroel, Pablo/A-1134-2011; Palacio Sanudo, Jorge Enrique/A-9642-2010</t>
  </si>
  <si>
    <t>Oviedo-Trespalacios, Oscar/0000-0001-5916-3996; Vera-Villarroel, Pablo/0000-0001-9187-8414; Palacio Sanudo, Jorge Enrique/0000-0001-6971-7067; Pavez Salinas, Paula Andrea/0000-0001-7829-8490</t>
  </si>
  <si>
    <t>10.11144/Javeriana.upsy15-1.cvee</t>
  </si>
  <si>
    <t>WOS:000393472600010</t>
  </si>
  <si>
    <t>Kramer, V; Pruzzo, R; Hernandez, E; Chana, P; Juri, C; Riss, P; Rösch, F; Amaral, H</t>
  </si>
  <si>
    <t>Kramer, V.; Pruzzo, R.; Hernandez, E.; Chana, P.; Juri, C.; Riss, P.; Roesch, F.; Amaral, H.</t>
  </si>
  <si>
    <t>[18F] PR04.MZ for Dopamine Transporter Quantification in Low Density Regions - Complete Evaluation and Dosimetry in Healthy Volunteers</t>
  </si>
  <si>
    <t>28th Annual Congress of the European-Association-of-Nuclear-Medicine (EANM)</t>
  </si>
  <si>
    <t>OCT 10-14, 2015</t>
  </si>
  <si>
    <t>Hamburg, GERMANY</t>
  </si>
  <si>
    <t>Chana, Pedro/ABG-9944-2020; Roesch, Frank/AAU-9403-2020</t>
  </si>
  <si>
    <t>P085</t>
  </si>
  <si>
    <t>S381</t>
  </si>
  <si>
    <t>WOS:000363013202260</t>
  </si>
  <si>
    <t>Espinoza, S; Arce, P; San-Martín, E; Lemus, L; Costamagna, J; Farías, L; Rossi, M; Caruso, F; Guerrero, J</t>
  </si>
  <si>
    <t>Espinoza, Sully; Arce, Pablo; San-Martin, Enrique; Lemus, Luis; Costamagna, Juan; Farias, Liliana; Rossi, Miriam; Caruso, Francesco; Guerrero, Juan</t>
  </si>
  <si>
    <t>The crystal structure of mono- and di-nuclear copper(I) complexes with substituted triphenylphosphine ligands</t>
  </si>
  <si>
    <t>Stable mono- and bi-nuclear halide copper(I) complexes with several tri-tolylphosphines as ligands have been synthesized and characterized. Their molecular structures have been determined by X-ray diffraction. Two of these compounds, [CuBr(P(p-tolyl)(3))(3)] and [CuBr{P(m-tolyl)(3))}(3)], are distorted tetrahedral mono nuclear species. The binuclear complex [CuCl{P(o-toly1)(3)}2] has the copper atoms linked through p.-chloro bridges in a trigonal planar coordination and they were obtained in two different crystal systems, monoclinic and triclinic. The complex [{(p-toly1)(3)P}(3)Cu2Cl2] is also binuclear but shows two different coordination modes for each copper center: one is a distorted tetrahedral and the other is trigonal planar. In this binuclear complex the 3-coordinate metal is located in an almost planar structure and the Cu2Cl2 moiety lies in a perfect plane. The Cu-P and Cu-X, (X = Cl, Br) distances are dependent on the structural environment. Although the P-Cu-P and P-Cu-X angles depart from the ideal tetrahedral geometry the orthogonal planes containing Cu and two additional atoms are nearly perpendicular. NMR results suggest that bromine compounds retain in solution their structures established in solid. However the chlorine compounds exhibit a dynamic behavior indicating the presence of more than one species in solution. (C) 2014 Elsevier Ltd. All rights reserved.</t>
  </si>
  <si>
    <t>rossi, massimo/C-8411-2012</t>
  </si>
  <si>
    <t>LEMUS, LUIS/0000-0002-5499-8115; Rossi, Miriam/0000-0001-9609-474X</t>
  </si>
  <si>
    <t>JAN 8</t>
  </si>
  <si>
    <t>10.1016/j.poly.2014.08.055</t>
  </si>
  <si>
    <t>WOS:000347582900051</t>
  </si>
  <si>
    <t>Auguste, S; Alonzo, V; Bataille, T; Le Pollès, L; Cañón-Mancisidor, W; Venegas-Yazigi, D; Le Fur, E</t>
  </si>
  <si>
    <t>Auguste, S.; Alonzo, V.; Bataille, T.; Le Polles, L.; Canon-Mancisidor, W.; Venegas-Yazigi, D.; Le Fur, E.</t>
  </si>
  <si>
    <t>Lithium vanadyl oxalatophosphite: Influence of the water content on the crystal structures and the dehydration scheme</t>
  </si>
  <si>
    <t>Two new lithium vanadyl oxalatophosphites have been synthesized by hydrothermal treatment. The respective formula are Li-2(VOHPO3)(2)C2O4 6H(2)O (1) and Li-2(VOHPO3)(2)C2O4 4H(2)O (2). The structures of the compounds have been determined by single crystal X-ray diffraction. Compound 1 crystallizes in triclinic symmetry in space group P-1, a=6.3592(2) angstrom, b=8.0789(3) angstrom, c=9.1692(3) angstrom, alpha=64.390(2), beta=87.277(2)degrees, gamma=67.624(2) and, compound 2 in monoclinic symmetry, space group P2(1)/a, a=6.3555(2) angstrom b=12.6368(7) angstrom c=9.0242(4) angstrom beta=105.167(3)degrees. The vanadium phosphite framework consists of infinite chains of corner-sharing vanadium octahedra and hydrogenophosphite tetrahedra. The oxalate groups ensure the connection between the chains. The lithium ions and the water molecules are located between the anionic [(VO)(2)(HPO3)(2)C2O4](2-) layers. Thermal behavior of both compounds was carefully studied by combining thermogravimetric analyses and thermal dependant X-ray diffraction in order to study the thermal stability of the layered oxalatophosphites and to see the influence of the decomposition of the carbon-based anions into the final lithium vanadyl phosphate. Various intermediate phases were evidenced and for both compounds the final product was LiVOPO4. (C) 2014 Elsevier Inc. All rights reserved.</t>
  </si>
  <si>
    <t>BATAILLE, Thierry/B-2706-2008; Venegas-Yazigi, Diego/C-5022-2009; Canon-Mancisidor, Walter/K-8764-2014</t>
  </si>
  <si>
    <t>Venegas-Yazigi, Diego/0000-0001-7816-2841; Canon-Mancisidor, Walter/0000-0003-1703-8729; Auguste, Sandy/0000-0002-3777-9527</t>
  </si>
  <si>
    <t>10.1016/j.jssc.2013.12.019</t>
  </si>
  <si>
    <t>WOS:000331686400030</t>
  </si>
  <si>
    <t>Brown, E; Castañeda, F; Cloke, J; Taylor, P</t>
  </si>
  <si>
    <t>Brown, Ed; Castaneda, Francisco; Cloke, Jonathon; Taylor, Peter</t>
  </si>
  <si>
    <t>Towards financial geographies of the unbanked: international financial markets, 'bancarizacion' and access to financial services in Latin America</t>
  </si>
  <si>
    <t>GEOGRAPHICAL JOURNAL</t>
  </si>
  <si>
    <t>Within the context of an exploration of the recent financial geographies literature, which laments the lack of attention paid to the dynamics and impacts of financial globalisation in Latin America and the global South, this paper examines the links between exclusion from formal financial services provision for low-income sectors across Latin America and the unstable nature of regional financial services architecture and economies. The paper examines a range of issues, including control of the financial services infrastructure by foreign corporations, the role of regional elites and (as importantly) the decision making processes of the poor themselves. This contextual analysis is employed to investigate the premise that the future sustainability of Latin American economies and societies more than ever depends on what efforts are made to develop the extension of financial services provision for the excluded and in so doing broaden the complexity, increase the heterogeneity and enhance the stability of the region's economies. To this end, the paper outlines the technical and non-technical barriers to banking the unbanked in the region within the context of an engagement with the dynamics of the radical changes in the international financial services sector that have impacted upon the region over recent years.</t>
  </si>
  <si>
    <t>Castaneda, Francisco/0000-0002-1407-1892; Brown, Edward/0000-0002-0722-9348</t>
  </si>
  <si>
    <t>0016-7398</t>
  </si>
  <si>
    <t>1475-4959</t>
  </si>
  <si>
    <t>10.1111/geoj.12000</t>
  </si>
  <si>
    <t>WOS:000329306300001</t>
  </si>
  <si>
    <t>Luz-Crawford, P; Kurte, M; Bravo-Alegría, J; Contreras, R; Nova-Lamperti, E; Tejedor, G; Noël, D; Jorgensen, C; Figueroa, F; Djouad, F; Carrión, F</t>
  </si>
  <si>
    <t>Luz-Crawford, Patricia; Kurte, Monica; Bravo-Alegria, Javiera; Contreras, Rafael; Nova-Lamperti, Estefania; Tejedor, Gautier; Noel, Daniele; Jorgensen, Christian; Figueroa, Fernando; Djouad, Farida; Carrion, Flavio</t>
  </si>
  <si>
    <t>Mesenchymal stem cells generate a CD4+CD25+ Foxp3+ regulatory T cell population during the differentiation process of Th1 and Th17 cells</t>
  </si>
  <si>
    <t>STEM CELL RESEARCH &amp; THERAPY</t>
  </si>
  <si>
    <t>Introduction: Mesenchymal stem cells (MSCs) are adult, multipotent, stem cells with immunomodulatory properties. The mechanisms involved in the capacity of MSCs to inhibit the proliferation of proinflammatory T lymphocytes, which appear responsible for causing autoimmune disease, have yet to be fully elucidated. One of the underlying mechanisms studied recently is the ability of MSCs to generate T regulatory (Treg) cells in vitro and in vivo from activated peripheral blood mononuclear cells (PBMC), T-CD4+ and also T-CD8+ cells. In the present work we investigated the capacity of MSCs to generate Treg cells using T-CD4+ cells induced to differentiate toward the proinflammatory Th1 and Th17 lineages. Methods: MSCs were obtained from mouse bone marrow and characterized according to their surface antigen expression and their multilineage differentiation potential. CD4(+) T cells isolated from mouse spleens were induced to differentiate into Th1 or Th17 cells and co-cultured with MSCs added at day 0, 2 or 4 of the differentiation processes. After six days, CD25, Foxp3, IL-17 and IFN-gamma expression was assessed by flow cytometry and helios and neuropilin 1 mRNA levels were assessed by RT-qPCR. For the functional assays, the 'conditioned' subpopulation generated in the presence of MSCs was cultured with concanavalin A-activated CD4+ T cells labeled with carboxyfluorescein succinimidyl ester. Finally, we used the encephalomyelitis autoimmune diseases (EAE) mouse model, in which mice were injected with MSCs at day 18 and 30 after immunization. At day 50, the mice were euthanized and draining lymph nodes were extracted for Th1, Th17 and Treg detection by flow cytometry. Results: MSCs were able to suppress the proliferation, activation and differentiation of CD4(+) T cells induced to differentiate into Th1 and Th17 cells. This substantial suppressive effect was associated with an increase of the percentage of functional induced CD4(+)CD25(+)Foxp3(+) regulatory T cells and IL-10 secretion. However, using mature Th1 or Th17 cells our results demonstrated that while MSCs suppress the proliferation and phenotype of mature Th1 and Th17 cells they did not generate Treg cells. Finally, we showed that the beneficial effect observed following MSC injection in an EAE mouse model was associated with the suppression of Th17 cells and an increase in the percentage of CD4(+)CD25(+)Foxp3(+) T lymphocytes when administrated at early stages of the disease. Conclusions: This study demonstrated that MSCs contribute to the generation of an immunosuppressive environment via the inhibition of proinflammatory T cells and the induction of T cells with a regulatory phenotype. Together, these results might have important clinical implications for inflammatory and autoimmune diseases.</t>
  </si>
  <si>
    <t>Noel, Daniele/E-5719-2016; CARRION, FLAVIO/AAP-7907-2021; Contreras Lopez, Rafael Alexander/ITT-9470-2023; Figueroa, Fernando E./AAO-5228-2020</t>
  </si>
  <si>
    <t>Gautier, TEJEDOR/0000-0002-4597-5341; Carrion, Flavio/0000-0002-4086-6867; Luz Crawford, Patricia/0000-0003-0067-7743; Djouad, Farida/0000-0001-8248-6822; Contreras Lopez, Rafael Alexander/0000-0002-7221-5102; Kurte, Monica/0000-0001-5107-5676; Bravo-Alegria, Javiera/0000-0002-2365-8409; Noel, Daniele/0000-0002-3498-3776; Figueroa, Fernando E./0000-0002-9387-094X; jorgensen, christian/0000-0001-6947-8094; Nova-Lamperti, Estefania/0000-0002-7673-0013</t>
  </si>
  <si>
    <t>1757-6512</t>
  </si>
  <si>
    <t>10.1186/scrt216</t>
  </si>
  <si>
    <t>WOS:000320781800001</t>
  </si>
  <si>
    <t>Di Scala, K; Vega-Gálvez, A; Uribe, E; Oyanadel, R; Miranda, M; Vergara, J; Quispe, I; Lemus-Mondaca, R</t>
  </si>
  <si>
    <t>Di Scala, Karina; Vega-Galvez, Antonio; Uribe, Elsa; Oyanadel, Romina; Miranda, Margarita; Vergara, Judith; Quispe, Issis; Lemus-Mondaca, Roberto</t>
  </si>
  <si>
    <t>Changes of quality characteristics of pepino fruit (Solanum muricatum Ait) during convective drying</t>
  </si>
  <si>
    <t>P&gt;Quality assessment of pepino fruit preserved through convective dehydration was investigated in this work. The effect of process temperature (50, 60, 70, 80 and 90 degrees C) on physicochemical properties, colour, non-enzymatic browning, vitamin C, total phenolic content, antioxidant activity and firmness of the fruit were considered. When comparing the fresh with the corresponding dehydrated pepino samples, it was shown that the drying conditions resulted in important reductions of proteins and crude fibres. Discoloration of fruit was noticeable for all treatments due to effects of non-enzymatic browning and changes in chromatic coordinates leading to a modification of the original colour. Regarding vitamin C and total phenolic content, an increase of drying temperature resulted in a considerable reduction of both initial compounds contents. Antioxidant activity showed an important decrease especially at low temperatures (e.g. 50 degrees C). Softening of the dried product was observed for all the treatments indicating structural modifications of the fruit due to thermal process.</t>
  </si>
  <si>
    <t>Vega-Galvez, Antonio/F-1089-2015; Miranda, Margarita/B-3101-2008; Figueroa, Judith/AAG-6121-2020; Lemus-Mondaca, Roberto/E-8348-2017; Quispe-Fuentes, Issis/O-9517-2014</t>
  </si>
  <si>
    <t>Uribe, Elsa/0000-0002-7608-1180; Lemus-Mondaca, Roberto/0000-0002-1252-2573; Vega-Galvez, Antonio/0000-0001-9991-6139; Quispe-Fuentes, Issis/0000-0002-9194-8168</t>
  </si>
  <si>
    <t>10.1111/j.1365-2621.2011.02555.x</t>
  </si>
  <si>
    <t>WOS:000288555900011</t>
  </si>
  <si>
    <t>Herrera, C; Pacheco, J; Rosso, F; Cisterna, C; Aichele, D; Becker, S; Padilla, O; Riquelme, A</t>
  </si>
  <si>
    <t>Herrera, Cristian; Pacheco, Jorge; Rosso, Francisca; Cisterna, Cynthia; Aichele, Daniela; Becker, Susana; Padilla, Oslando; Riquelme, Arnoldo</t>
  </si>
  <si>
    <t>Evaluation of the undergraduate educational environment in six medical schools in Chile</t>
  </si>
  <si>
    <t>Background: The Dundee Ready Education Environment Measure (DREEM) is the most valid and reliable instrument to measure the educational environment (EE) in undergraduate medical education. Aim: To evaluate the EE perceived by undergraduate medical students in Chile, using a Spanish version of the DREEM questionnaire. Material and Methods: The DREEM was applied during 2008 in third, fourth and fifth undergraduate years of six medical schools. The individual results were calculated and means of both global and individual domain scores of the DREEM were compared, by year, gender and between different Schools. Results: One thousand ninety two students (77% of the total universe of students), answered the questionnaire. The mean score of the six Schools was 113.9. The domains of Perception of Learning and Social Self-Perception obtained the lower scores, with a global outcome indicating a more positive than negative EE. Two schools obtained mean scores of 128.32 and 126.87, that were significantly higher than the global scores obtained by other schools. No relevant differences by years or gender were observed. Conclusions: There is a significant variability between the six schools evaluated and two of these obtained significantly better scores than the rest. The identified positive and negative areas will orient the actions to improve the EE for undergraduate medical students. (Rev Med Chile 2010; 138: 677-684).</t>
  </si>
  <si>
    <t>Pacheco, Jorge/JZD-3955-2024</t>
  </si>
  <si>
    <t>Riquelme, Arnoldo/0000-0002-8259-8960; Herrera, Cristian/0000-0002-6219-7975</t>
  </si>
  <si>
    <t>WOS:000280179200003</t>
  </si>
  <si>
    <t>Garcia-Marcos, L; Garcia-Hernandez, G; Suarez-Varela, MM; Garrido, JB; Castro-Rodriguez, JA</t>
  </si>
  <si>
    <t>Garcia-Marcos, Luis; Garcia-Hernandez, Gloria; Suarez-Varela, Maria Morales; Batlles Garrido, Jose; Castro-Rodriguez, Jose A.</t>
  </si>
  <si>
    <t>Asthma attributable to atopy: does it depend on the allergen supply?</t>
  </si>
  <si>
    <t>The use of the population attributable fraction (PAF) of asthma owing to atopy has not been widely used in epidemiological studies on childhood asthma, especially to compare regions of the same country. The present study includes 1039 children from Cartagena, Spain (Mediterranean coast) and 663 from Madrid (centre of Spanish plateau) using the ISAAC phase II methodology (questionnaire and prick test to the most common allergens). While there were no differences in asthma symptoms between school children (aged 10-11 yr) from Madrid and Cartagena, atopy to any allergen was significantly higher in those from Madrid (40.9% vs. 29.3%, respectively, p &lt; 0.0001). However, children from Madrid were mainly positive to pollen allergy whereas those from Cartagena were positive for mite allergy. PAF of all the different asthma symptoms owing to atopy (any positive skin test) and PAF of current wheezing owing to a more severe atopy (three positive wheals) were higher in children from Cartagena than those from Madrid (45.5% vs. 28.6% and 14.2% vs. 6.2%, respectively). Per cent of previous year wheezing attributable to atopy to specific allergens varied among those cities and was higher for D. pteronissinus, D. farinae, cat, and olive tree in children from Cartagena, and-conversely-higher for mixed grasses, mixed trees and Alternaria in those from Madrid. All of these differences remained significant even after adjusting for risk factors. PAF for asthma owing to atopy could be very different within the same country, probably depending on the allergen supply which may depend on environmental factors such as the climate.</t>
  </si>
  <si>
    <t>Suarez-Varela, Maria/O-5341-2018; Castro-Rodriguez, Jose/ABA-2760-2021</t>
  </si>
  <si>
    <t>Garcia-Marcos, Luis/0000-0002-0925-3851; Castro-Rodriguez, Jose A./0000-0002-0708-4281</t>
  </si>
  <si>
    <t>10.1111/j.1399-3038.2006.00507.x</t>
  </si>
  <si>
    <t>WOS:000245642800001</t>
  </si>
  <si>
    <t>Rezende, MC; Dominguez, M; Wardell, JL; Skakle, JMS; Low, JN; Glidewell, C</t>
  </si>
  <si>
    <t>Supramolecular structures of five 5-(arylmethylene)-1,3-dimethylpyrimidine-2,4,6(1H,3H,5H)-triones:: isolated molecules, hydrogen-bonded chains and chains of fused hydrogen-bonded rings</t>
  </si>
  <si>
    <t>ACTA CRYSTALLOGRAPHICA SECTION C-STRUCTURAL CHEMISTRY</t>
  </si>
  <si>
    <t>In each of the five title compounds, namely 5-benzylidene-1,3-dimethylpyrimidine-2,4,6(1H,3H,5H)-trione, C13H12N2O3, (I), 5-(3-methoxybenzylidene)-1,3-dimethylpyrimidine-2,4,6(1H,-3H,-5H)-trione, C14H14N2O4, (II), 5-(4-methoxybenzylidene)-1,3-dimethylpyrimidine-2,4,6(1H,3H,5H)-trione, C14H14N2O4, (III), 5-[4-(dimethylamino)benzylidene]-1,3-dimethylpyrimidine-2,4,6(1H,3H,5H)-trione, C15H17N3O3, (IV), and 5-(3,5-di-tert-butyl-4-hydroxybenzylidene)-1,3-dimethylpyrimidine-2,4,6(1H,3H,5H)-trione, C21H28N2O4, (V), which crystallizes with Z' = 2 in PT, there is a very wide C-C-C angle at the methine C atom linking the two rings, ranging from 137.1 (2)degrees in (I) to 139.14 (14)degrees in (III). There is evidence for intramolecular charge separation in (IV) and, to a lesser degree, in (III). The molecules of (I)-(III) are linked by pairs of C-H center dot center dot center dot O hydrogen bonds into chains of edge-fused rings, with alternating R-2(2)(14) and R-2(2)(16) rings in (I), alternating R-2(2)(14) and R-4(4)(20) rings in (II), with two types of R-2(2)(16) rings alternating in (111). The molecules in (IV) are linked by a single C-H center dot center dot center dot O hydrogen bond into simple C(8) chains, but there are no direction-specific intermolecular interactions in M.</t>
  </si>
  <si>
    <t>Caroli, Marcos/H-3570-2019; Domínguez, Moisés/M-3457-2014; Skakle, Jan/B-2187-2010</t>
  </si>
  <si>
    <t>Wardell, James/0000-0003-2195-8827; Dominguez, Moises/0000-0002-8444-3065; Skakle, Jan/0000-0001-5249-5306; Rezende, Marcos/0000-0003-2040-9009</t>
  </si>
  <si>
    <t>2053-2296</t>
  </si>
  <si>
    <t>O306</t>
  </si>
  <si>
    <t>O311</t>
  </si>
  <si>
    <t>10.1107/S0108270105008498</t>
  </si>
  <si>
    <t>WOS:000228915400030</t>
  </si>
  <si>
    <t>Magnetoexciton transitions in GaAs-Ga1-xAlxAs quantum wells</t>
  </si>
  <si>
    <t>A theoretical study of the internal transitions of confined magnetoexcitons in GaAs-Ga1-xAlxAs quantum wells is presented, with the magnetic field applied along the growth direction of the semiconductor heterostructure. The various exciton-envelope wavefunctions are described as products of electron and hole solutions of the associated quantum-well potentials and symmetry-adapted Gaussian functions. The magnetoexciton states are simultaneously obtained by diagonalizing the appropriate Hamiltonian in the effective-mass approximation. Exciton internal transitions are theoretically investigated by studying the allowed magnetoexcitonic transitions using far-infrared (terahertz) radiation circularly polarized in the plane of the quantum well. Theoretical results are obtained for both the intramagnetoexciton transition energies and oscillator strengths associated with excitations from 1s-like to 2s-, 2p(+/-)-, and 3p+/--like magnetoexciton states, and from 2p_- to 2s-like exciton states. The present results are compared with previous theoretical work and available optically detected resonance measurements.</t>
  </si>
  <si>
    <t>FEB 11</t>
  </si>
  <si>
    <t>PII S0953-8984(02)28582-3</t>
  </si>
  <si>
    <t>10.1088/0953-8984/14/5/307</t>
  </si>
  <si>
    <t>WOS:000174218100010</t>
  </si>
  <si>
    <t>Fredes, SU; Firoozabadi, AD; Adasme, P; Zabala-Blanco, D; Játiva, PP; Azurdia-Meza, C</t>
  </si>
  <si>
    <t>Fredes, Sebastian Urbina; Firoozabadi, Ali Dehghan; Adasme, Pablo; Zabala-Blanco, David; Jativa, Pablo Palacios; Azurdia-Meza, Cesar</t>
  </si>
  <si>
    <t>Enhanced Epileptic Seizure Detection through Wavelet-Based Analysis of EEG Signal Processing</t>
  </si>
  <si>
    <t>APPLIED SCIENCES-BASEL</t>
  </si>
  <si>
    <t>Epilepsy affects millions worldwide, making timely seizure detection crucial for effective treatment and enhanced well-being. Electroencephalogram (EEG) analysis offers a non-intrusive solution, but its visual interpretation is prone to errors and requires a lot of time. Many existing works focus solely on achieving competitive levels of accuracy without considering processing speed or the computational complexity of their models. This study aimed to develop an automated technique for identifying epileptic seizures in EEG data through analysis methods. The efforts have been primarily focused on achieving high accuracy results by operating exclusively within a narrow frequency band of the signal, while also aiming to minimize computational complexity. In this article, a new automated approach is presented for seizure detection by combining signal processing and machine learning techniques. The proposed method comprises four stages: (1) Preprocessing: Savitzky-Golay filter to remove the background noise. (2) Decomposition: discrete wavelet transform (DWT) to extract spontaneous alpha and beta frequency bands. (3) Feature extraction: six features (mean, standard deviation, skewness, kurtosis, energy, and entropy) are computed for each frequency band. (4) Classification: a support vector machine (SVM) method classifies signals as normal or containing a seizure. The method was assessed using two publicly available EEG datasets. For the alpha band, the highest achieved accuracy was 92.82%, and for the beta band it was 90.55%, which demonstrates adequate capability in both bands for accurate seizure detection. Furthermore, the obtained low computational cost suggests a potentially valuable application in real-time assessment scenarios. The obtained results indicate its capacity as a valuable instrument for diagnosing epilepsy and monitoring patients. Further research is necessary for clinical validation and potential real-time deployment.</t>
  </si>
  <si>
    <t>Adasme, Pablo/U-1735-2019; Dehghan Firoozabadi, Ali/AAD-4858-2019; Palacios Játiva, Pablo/AAE-8235-2019</t>
  </si>
  <si>
    <t>Azurdia, Cesar/0000-0003-3461-4484; Palacios, Pablo/0000-0002-3958-503X; Dehghan Firoozabadi, Ali/0000-0002-6391-6863; Zabala-Blanco, David/0000-0002-5692-5673; Urbina Fredes, Sebastian/0009-0002-0936-6829; Adasme, Pablo/0000-0003-2500-3294</t>
  </si>
  <si>
    <t>2076-3417</t>
  </si>
  <si>
    <t>10.3390/app14135783</t>
  </si>
  <si>
    <t>WOS:001269406300001</t>
  </si>
  <si>
    <t>Barbosa, V; Suarez, M; Cerda, J; Thoene, U</t>
  </si>
  <si>
    <t>Barbosa, Vasco; Suarez, Monica; Cerda, Jorge; Thoene, Ulf</t>
  </si>
  <si>
    <t>Urban structure to determine equitable city growth for spatial justice: A case study of Chia-Bogota, Colombia</t>
  </si>
  <si>
    <t>JOURNAL OF URBAN MOBILITY</t>
  </si>
  <si>
    <t>The evolution of land use occupancy in various cities worldwide is swift. Land-use planning processes are still recent in most Latin American countries with significant socio-spatial inequalities. Due to rapid urban growth and real estate pressure, peri-urban areas of metropolises become susceptible to economic interests that can disrupt land use and municipal planning. Therefore, considering spatial justice, it is crucial to analyse possible future urban scenarios regarding socio-economic activities and their spatial distributions. This research seeks to define optimal locations and suitable urban growth areas, ensuring socio-spatial equity and justice. The study area is the municipality of Chia, on the outskirts of the metropolis of Bogota, Colombia, where the research proposes an analysis of urban morphology and the (social) intensity of activities and infrastructure. As a methodology, space syntax and the distribution of residential and non-residential activity data are applied through a predictive model. The study concludes that future mitigation of urban inequalities based on land use will be difficult to achieve owing to the location of urban sprawl areas.</t>
  </si>
  <si>
    <t>Thoene, Ulf/R-6015-2019; Barbosa Brandao, Vasco/B-9605-2009</t>
  </si>
  <si>
    <t>Barbosa Brandao, Vasco/0000-0002-0657-3171</t>
  </si>
  <si>
    <t>2667-0917</t>
  </si>
  <si>
    <t>10.1016/j.urbmob.2024.100080</t>
  </si>
  <si>
    <t>JUN 2024</t>
  </si>
  <si>
    <t>WOS:001256580900001</t>
  </si>
  <si>
    <t>Scarpetta-Pizo, L; Venegas, R; Muñoz-Becerra, K; Muñoz, L; Toro-Labbé, A; Darwish, N; Matute, R; Oñate, R; Zagal, JH; Ponce, I</t>
  </si>
  <si>
    <t>Scarpetta-Pizo, Laura; Venegas, Ricardo; Munoz-Becerra, Karina; Munoz, Lisa; Toro-Labbe, Alejandro; Darwish, Nadim; Matute, Ricardo; Onate, Ruben; Zagal, Jose H.; Ponce, Ingrid</t>
  </si>
  <si>
    <t>Using reactivity predictors for enhancing the electrocatalytic activity of MN4 molecular catalysts for the oxygen reduction reaction: The role of the N-pyridinium functional group in the porphyrazine-derivative ligands</t>
  </si>
  <si>
    <t>Using reactivity predictors to enhance or control the electrocatalytic activity of materials is a fascinating concept. This is especially true for the development of alternative platinum metal group-free materials as it facilitates the rational design of active catalytic materials for the oxygen reduction reaction (ORR). In previous work, we have found that the peripheral and non-peripheral electron-withdrawing effects and the electron-pull effect from axial extraplanar ligand in iron-phthalocyanine (FePc) are key factors in improving the binding energy between the active Fe site and O2 resulting in an increase of the electrocatalytic activity of FePcs for the ORR. In this work, we have utilized fundamental principles of electrocatalysis and DFT calculations to design and synthesize FeN4 molecular catalysts to increase their catalytic performance for the ORR through the pull effect. To achieve this, by chemical synthesis, we have incorporated pyridinium functional groups (N+py) in peripheral and non -peripheral positions into the porphyrazine cyclic ligands. In this fashion we obtain the porphyrazinium molec-ular catalysts, [Fe(II)2,3-(TMe)TPyPz]4+ and [Fe(II)3,4-(TMe)TPyPz]4+. Because these new compounds are not commercially available and, to the best of our knowledge, they have not been tested for ORR. In order to determine their effectiveness, we have compared porphyrazinium with neutral analog porphyrazine compounds (Fe(II)TPyPz) and perfluorinated and perchlorinated iron phthalocyanines, which are currently the best molecular catalysts for ORR. The electrocatalytic activity was determined for each molecular catalyst deposited on the edge plane of a graphite electrode (EPG) surface in an alkaline medium. Only for the purpose of comparison we include two Fe porphyrins studied previously, which show low activity for ORR. Although the DFT theoretical analysis of porphyrazinium complexes suggests a high activity for these catalysts, our experimental findings revealed the opposite trend. Therefore, this finding makes us reconsider the interfacial effects, such as the counter-ions effects on N+py that could influence the electron-pull effect, opening new insights for designing molecular catalysts considering interface engineering. Moreover we report for the first time, the reactivity linear relationship between the metal-centered redox potential gap (E degrees Fe(III)/(II) - E degrees Fe(II)/(I))) with the electrocatalytic activity for ORR for all catalysts studied, emerging this potential gap as a possible and promising new reactivity descriptor for ORR in MN4 catalyst.</t>
  </si>
  <si>
    <t>Muñoz-Becerra, Karina/GPP-1386-2022; Ponce, Ingrid/L-9679-2014; Toro-Labbé, Alejandro/ABD-9107-2020; Venegas, Ricardo/U-6376-2019; zagal, jose/L-9648-2014; Toro-Labbe, Alejandro/J-5026-2013; Matute, Ricardo/A-5466-2012</t>
  </si>
  <si>
    <t>Ponce Hormazabal, Ingrid/0000-0002-3896-9576; Scarpetta-Pizo, Laura/0000-0002-5437-9058; Zagal, Jose/0000-0002-5276-1042; Toro-Labbe, Alejandro/0000-0001-9906-2153; Venegas, Ricardo/0000-0001-7440-484X; Matute, Ricardo/0000-0002-0644-3799; Munoz-Becerra, Karina/0000-0001-9882-6342; Darwish, Nadim/0000-0002-6565-1723</t>
  </si>
  <si>
    <t>NOV 10</t>
  </si>
  <si>
    <t>10.1016/j.electacta.2023.143160</t>
  </si>
  <si>
    <t>WOS:001079801400001</t>
  </si>
  <si>
    <t>Gedda-Muñoz, R; Campos, AF; Sakuda, AV; Torres, IR; Fuentes, MC; Badicu, G; Herrera-Valenzuela, T; Valdés-Badilla, P</t>
  </si>
  <si>
    <t>Gedda-Munoz, Relmu; Campos, Alvaro Fuentez; Sakuda, Alfonso Valenzuela; Torres, Ivan Retamal; Fuentes, Matias Cruz; Badicu, Georgian; Herrera-Valenzuela, Tomas; Valdes-Badilla, Pablo</t>
  </si>
  <si>
    <t>Factors Associated with Anxiety, Depression, and Stress Levels in High School Students</t>
  </si>
  <si>
    <t>EUROPEAN JOURNAL OF INVESTIGATION IN HEALTH PSYCHOLOGY AND EDUCATION</t>
  </si>
  <si>
    <t>This study aims to investigate the relationship between anxiety, depression, and stress levels with physical activity level and academic performance in high school students; secondly, this study aims to relate and compare anxiety, depression, and stress levels with physical activity level and academic performance. This is a quantitative, descriptive, and comparative cross-sectional study, which evaluated 443 high school students (48% female; 15.13 +/- 1.59 years) belonging to the Maule region, Chile. The Depression, Anxiety, and Stress Questionnaire (DASS-21) and the International Physical Activity Questionnaire (IPAQ) were applied. Academic performance was consulted on language, mathematics, and overall grade point average. The results indicate that vigorous physical activity (OR = 0.504; p = 0.017) and high academic performance in mathematics (OR = 0.597; p = 0.027) are associated with a reduced risk of depression. In turn, there is a significant inverse correlation between physical activity with anxiety (r = -0.224; p = 0.000), depression (r = -0.224; p = 0.000) and stress (r = -0.108; p = 0.032), while the performance of mathematics is inversely correlated with depression (r = -0.176; p = 0.000). On the other hand, significant differences (p &lt; 0.05) between anxiety, depression, stress levels, and grade point average were found, with females exhibiting higher scores than males. In conclusion, greater vigorous physical activity and scoring above average in mathematics performance are protective factors against depression.</t>
  </si>
  <si>
    <t>Gedda-Muñoz, Relmu/GON-5467-2022; Herrera-Valenzuela, Tomas/L-1819-2019; Badicu, Georgian/P-1217-2015; Eken, Ozgur/ABE-8274-2020</t>
  </si>
  <si>
    <t>Gedda-Munoz, Relmu/0000-0002-9747-3220; Badicu, Georgian/0000-0003-4100-8765; Valdes-Badilla, Pablo/0000-0002-3948-8280; Eken, Ozgur/0000-0002-5488-3158; Herrera-Valenzuela, Tomas/0000-0002-5219-5896</t>
  </si>
  <si>
    <t>2254-9625</t>
  </si>
  <si>
    <t>10.3390/ejihpe13090129</t>
  </si>
  <si>
    <t>WOS:001073447900001</t>
  </si>
  <si>
    <t>Poblete, R; Rodríguez, CA; Carrasco, C; Herrera, J; Salazar-González, R</t>
  </si>
  <si>
    <t>Poblete, Rodrigo; Rodriguez, Carlos Anibal; Carrasco, Claudia; Herrera, Jose; Salazar-Gonzalez, Ricardo</t>
  </si>
  <si>
    <t>Use of copper sheet in a solar photo-Fenton-like process applied in the treatment of landfill leachate</t>
  </si>
  <si>
    <t>ENVIRONMENTAL SCIENCE AND POLLUTION RESEARCH</t>
  </si>
  <si>
    <t>It is known that copper can be used as catalyst in photo-Fenton-like process; however, there is a lack of information related with its use in the treatment of landfill leachate (LL) in solar photo-Fenton-like processes. Here, we studied the effect of the mass of a copper sheet, the pH of the solution, and the concentration of LL in the removal of the organic matter present in this water. Before the reaction with landfill leachate, the copper sheet used in the reaction was constituted by Cu+ and Cu2O, respectively. The results showed that in a volume of 0.5 L of a pretreated LL, the higher removal of organic matter resulted using a mass of 2.7 g of the copper sheet, a pH of solution of 5, and a concentration of LL of a 10%, obtaining a final value of C/C-0 of chemical oxygen demand (COD) of 0.34, 0.54, 0.66, and 0.84 for concentrations of 25%, 50%, 75%, and 100%, respectively, and 0.0041, 0.0042, 0.0043, and 0.016 for concentration of 25%, 50%, 75%, and 100%, respectively, of C/C-0 of humic acids. The photolysis on LL at its natural pH using solar UV removes very little humic acid and COD, going from 9.4 to 8.5 and 7.7 Abs(254) for photolysis and UV + H2O2, obtaining 8.6 and 17.6% of removal, respectively, and 2.01 and 13.04% removal of COD, respectively. Copper sheet applied under Fenton-like conditions results in 65.9% removal and an increase of 0.2% for humic acid and COD, respectively. Removal using only H2O2 for Abs(254) and COD was 11.95 and 4.3%, respectively. Raw LL produced a 29.1% inhibition of the biological activated sludge rate after the adjustment to pH 7 and the final process of inhibition was 0.23%.</t>
  </si>
  <si>
    <t>Poblete, Rodrigo/L-9729-2016; Salazar, Ricardo/L-7870-2013; Carrasco, Claudia/ABA-9909-2021</t>
  </si>
  <si>
    <t>Salazar-Gonzalez, Ricardo/0000-0003-2180-6022; Poblete, Rodrigo/0000-0002-8313-1203; Herrera-Munoz, Jose/0009-0006-3713-3861</t>
  </si>
  <si>
    <t>0944-1344</t>
  </si>
  <si>
    <t>1614-7499</t>
  </si>
  <si>
    <t>10.1007/s11356-023-27127-6</t>
  </si>
  <si>
    <t>WOS:000985150800006</t>
  </si>
  <si>
    <t>Simon, DJ; Jean-Baptiste, S; Nazaire, R; Joseph, G; Carmil, JA; Joseph, F; Tokpovi, VCK</t>
  </si>
  <si>
    <t>Jean Simon, David; Jean-Baptiste, Stanley; Nazaire, Roodjmie; Joseph, Ghislaine; Carmil, Joseph Arcelin; Joseph, Fanor; Kondo Tokpovi, Venunye Claude</t>
  </si>
  <si>
    <t>Individual and community-level factors associated with caesarean section in Haiti: secondary analysis of data from the 2016-2017 Haitian Demographic and Health Survey</t>
  </si>
  <si>
    <t>TROPICAL MEDICINE AND HEALTH</t>
  </si>
  <si>
    <t>IntroductionFor several decades, the rate of caesarean section (CS) has been increasing in the world. In some countries, the CS rate is below the WHO recommended range (10-15%), while in other countries, it is significantly higher. The aim of this paper was to identify individual and community-level factors associated with CS in Haiti.MethodsSecondary data analysis was conducted on nationally representative cross-sectional survey data from the 2016-2017 Haitian Demographic and Health Survey (HDHS). The analysis was restricted to 6303 children born in 5 years prior the survey (of the interviewed women). The study population' characteristics, and the prevalence of CS were analysed using descriptive analysis (univariate/bivariate). In addition, multilevel binary logistic regression analysis was performed to identify factors associated with CS. Both descriptive and multivariate analysis were conducted using STATA 16.0 software (Stata Corp, Tex, USA). Statistical significance was declared at p &lt; 0.05.ResultsThe overall prevalence of CS delivery was estimated at 5.4% (95% CI 4.8-6.0) in Haiti. Results also revealed that mothers aged 35 and above (aOR = 1.38; 95% CI 1.00-1.96); who attended secondary (aOR = 1.95; 95% CI 1.39-2.76) and higher education level (aOR = 3.25; 95% CI 1.92-5.49); who were covered by health insurance (aOR = 2.57; 95% CI 1.57-4.19); with less than 3 children (aOR = 4.13; 95% CI 2.18-7.85) or 3-4 children (aOR = 2.07; 95% CI 1.09-3.94); who received 9 or more antenatal visits (aOR = 2.21; 95% CI 1.40-3.50) were significantly more likely to deliver by CS. Children in communities with high preponderance of private health facilities had greater odds to be delivered through CS (aOR = 1.90; 95% CI 1.25-2.85). Furthermore, children with an average birth weight (aOR = 0.66; 95% CI 0.48-0.91) were less likely to be delivered through CS than their counterparts with high birth weight.ConclusionsWhile the CS prevalence was low in Haiti, it masks significant geographic, social and economic disparities. To better develop and implement maternal and child health programs that address CS deliveries, the government authorities and NGOs operating in the field of women's health in Haiti should take these disparities into account.</t>
  </si>
  <si>
    <t>1348-8945</t>
  </si>
  <si>
    <t>1349-4147</t>
  </si>
  <si>
    <t>APR 17</t>
  </si>
  <si>
    <t>10.1186/s41182-023-00513-z</t>
  </si>
  <si>
    <t>WOS:000970747700001</t>
  </si>
  <si>
    <t>Firoozabadi, AD; Irarrazaval, P; Adasme, P; Zabala-Blanco, D; Játiva, PP; Azurdia-Meza, C</t>
  </si>
  <si>
    <t>Dehghan Firoozabadi, Ali; Irarrazaval, Pablo; Adasme, Pablo; Zabala-Blanco, David; Jativa, Pablo Palacios; Azurdia-Meza, Cesar</t>
  </si>
  <si>
    <t>3D Multiple Sound Source Localization by Proposed T-Shaped Circular Distributed Microphone Arrays in Combination with GEVD and Adaptive GCC-PHAT/ML Algorithms</t>
  </si>
  <si>
    <t>Multiple simultaneous sound source localization (SSL) is one of the most important applications in the speech signal processing. The one-step algorithms with the advantage of low computational complexity (and low accuracy), and the two-step methods with high accuracy (and high computational complexity) are proposed for multiple SSL. In this article, a combination of one-step-based method based on the generalized eigenvalue decomposition (GEVD), and a two-step-based method based on the adaptive generalized cross-correlation (GCC) by using the phase transform/maximum likelihood (PHAT/ML) filters along with a novel T-shaped circular distributed microphone array (TCDMA) is proposed for 3D multiple simultaneous SSL. In addition, the low computational complexity advantage of the GCC algorithm is considered in combination with the high accuracy of the GEVD method by using the distributed microphone array to eliminate spatial aliasing and thus obtain more appropriate information. The proposed T-shaped circular distributed microphone array-based adaptive GEVD and GCC-PHAT/ML algorithms (TCDMA-AGGPM) is compared with hierarchical grid refinement (HiGRID), temporal extension of multiple response model of sparse Bayesian learning with spherical harmonic (SH) extension (SH-TMSBL), sound field morphological component analysis (SF-MCA), and time-frequency mixture weight Bayesian nonparametric acoustical holography beamforming (TF-MW-BNP-AHB) methods based on the mean absolute estimation error (MAEE) criteria in noisy and reverberant environments on simulated and real data. The superiority of the proposed method is presented by showing the high accuracy and low computational complexity for 3D multiple simultaneous SSL.</t>
  </si>
  <si>
    <t>Meza, Cesar/D-6948-2014; Irarrazaval, Pablo/F-8232-2013; Palacios Játiva, Pablo/AAE-8235-2019; Dehghan Firoozabadi, Ali/AAD-4858-2019; Adasme, Pablo/U-1735-2019</t>
  </si>
  <si>
    <t>Adasme, Pablo/0000-0003-2500-3294; Dehghan Firoozabadi, Ali/0000-0002-6391-6863; Irarrazaval, Pablo/0000-0002-5186-2642; Zabala-Blanco, David/0000-0002-5692-5673; Azurdia, Cesar/0000-0003-3461-4484; Palacios, Pablo/0000-0002-3958-503X</t>
  </si>
  <si>
    <t>10.3390/s22031011</t>
  </si>
  <si>
    <t>WOS:000754644200001</t>
  </si>
  <si>
    <t>Corral, C; Erices, C; Flores-Alfonso, D; Lara, K</t>
  </si>
  <si>
    <t>Corral, Cristobal; Erices, Cristian; Flores-Alfonso, Daniel; Lara, Kristiansen</t>
  </si>
  <si>
    <t>Phase transitions of black strings in dynamical Chern-Simons modified gravity</t>
  </si>
  <si>
    <t>We study conserved charges and thermodynamics of analytic rotating anti-de Sitter black holes with extended horizon topology-also known as black strings-in dynamical Chern-Simons modified gravity. The solution is supported by a scalar field with an axionic profile that depends linearly on the coordinate that spans the string. We compute conserved charges by making use of the renormalized boundary stress energy tensor. Then, by adopting the Noether-Wald formalism, we compute the black string entropy and obtain its area law. Indeed, the reduced Euclidean Hamiltonian approach shows that these methods yield a consistent first law of thermodynamics. Additionally, we derive a Smarr formula using a radial conservation law associated to the scale invariance of the reduced action and obtain a Cardy formula for the black string. A first-order phase transition takes place at a critical temperature between the ground state and the black string, above which the black string is the thermodynamically favored configuration.</t>
  </si>
  <si>
    <t>Erices, Cristian/ABE-1966-2020; Flores, Daniel/Q-1694-2019; Corral, Cristobal/KEH-1224-2024</t>
  </si>
  <si>
    <t>Erices, Cristian/0000-0001-5852-514X; Corral, Cristobal/0000-0002-4503-4154; Lara, Kristiansen/0000-0002-4480-1964; Flores, Daniel/0000-0001-7866-3531</t>
  </si>
  <si>
    <t>JAN 21</t>
  </si>
  <si>
    <t>10.1103/PhysRevD.105.024050</t>
  </si>
  <si>
    <t>WOS:000750662900006</t>
  </si>
  <si>
    <t>Tacchi, F; Orozco-Aguilar, J; Gutiérrez, D; Simon, F; Salazar, J; Vilos, C; Cabello-Verrugio, C</t>
  </si>
  <si>
    <t>Tacchi, Franco; Orozco-Aguilar, Josue; Gutierrez, Danae; Simon, Felipe; Salazar, Javier; Vilos, Cristian; Cabello-Verrugio, Claudio</t>
  </si>
  <si>
    <t>Scaffold biomaterials and nano-based therapeutic strategies for skeletal muscle regeneration</t>
  </si>
  <si>
    <t>NANOMEDICINE</t>
  </si>
  <si>
    <t>Skeletal muscle is integral to the functioning of the human body. Several pathological conditions, such as trauma (primary lesion) or genetic diseases such as Duchenne muscular dystrophy (DMD), can affect and impair its functions or exceed its regeneration capacity. Tissue engineering (TE) based on natural, synthetic and hybrid biomaterials provides a robust platform for developing scaffolds that promote skeletal muscle regeneration, strength recovery, vascularization and innervation. Recent 3D-cell printing technology and the use of nanocarriers for the release of drugs, peptides and antisense oligonucleotides support unique therapeutic alternatives. Here, the authors present recent advances in scaffold biomaterials and nano-based therapeutic strategies for skeletal muscle regeneration and perspectives for future endeavors.</t>
  </si>
  <si>
    <t>Salazar, Javier/JVP-1276-2024; Vilos, Cristian/KPA-9958-2024; Cabello-Verrugio, Claudio/AAD-1454-2020</t>
  </si>
  <si>
    <t>Orozco-Aguilar, Josue/0000-0002-0006-1298; Vilos, Cristian/0000-0001-5619-3348; Cabello-Verrugio, Claudio/0000-0001-7273-2102; Simon, Felipe/0000-0002-2653-9798; Gutierrez, Danae/0000-0002-9682-5781; Salazar-Munoz, Javier/0000-0001-6969-9321; Tacchi, Franco/0000-0002-3769-6086</t>
  </si>
  <si>
    <t>1743-5889</t>
  </si>
  <si>
    <t>1748-6963</t>
  </si>
  <si>
    <t>10.2217/nnm-2021-0224</t>
  </si>
  <si>
    <t>WOS:000715288000001</t>
  </si>
  <si>
    <t>Tello, A; Boulett, A; Sánchez, J; Pizarro, GD; Soto, C; Pérez, OEL; Sanhueza, R; Oyarzún, DP</t>
  </si>
  <si>
    <t>Tello, Alejandra; Boulett, Andres; Sanchez, Julio; Pizarro, Guadalupe del C.; Soto, Cesar; Perez, Omar E. Linarez; Sanhueza, Ronald; Oyarzun, Diego P.</t>
  </si>
  <si>
    <t>An unexplored strategy for synthesis of ZnO nanowire films by electrochemical anodization using an organic-based electrolyte. Morphological and optical properties characterization</t>
  </si>
  <si>
    <t>CHEMICAL PHYSICS LETTERS</t>
  </si>
  <si>
    <t>In this work we report the preparation of ZnO nanowires by an unexplored strategy of electrochemical anodization using an electrolyte medium based mainly on ethylene glycol and fluoride ions, studying the anodization as a function of parameters, such as: temperature and voltage. The results obtained by field emission scanning electron microscopy (FESEM) and transmission electron microscopy (TEM) show mainly a nanowire morphology with an average length of 296 nm. Microscopic evidence demonstrate that the size of nanostructures, morphology and homogeneity of resulting surfaces are completely related to the temperature and voltage conditions used during the zinc anodization. The results obtained by Raman spectroscopy and X-ray diffraction (XRD) corroborate the formation of only ZnO, with a crystallographic structure of hexagonal wurtzite. Finally, through diffuse reflectivity spectroscopy, bandgap values of [3.19-3.22] eV were estimated, classifying it as a material with potential characteristics for the fabrication of photoelectrodes for photoelectrochemical and photocatalytic applications.</t>
  </si>
  <si>
    <t>Pérez, Omar/J-3417-2019; PIZARRO, GUADALUPE/V-3353-2017; Sanchez, Julio/AEO-4360-2022; Oyarzun, Diego/MTF-4062-2025</t>
  </si>
  <si>
    <t>Linarez Perez, Omar Ezequiel/0000-0002-4034-6175; Tello Zamorano, Alejandra/0000-0003-3271-0405</t>
  </si>
  <si>
    <t>0009-2614</t>
  </si>
  <si>
    <t>1873-4448</t>
  </si>
  <si>
    <t>10.1016/j.cplett.2021.138825</t>
  </si>
  <si>
    <t>WOS:000674626800009</t>
  </si>
  <si>
    <t>Baron, T; Zarate, X; Hidalgo-Rosa, Y; Zambrano-Angulo, M; Mall-Haidaraly, K; Pino-Rios, R; Pellegrin, Y; Odobel, F; Cárdenas-Jirón, G</t>
  </si>
  <si>
    <t>Baron, Thibaut; Zarate, Ximena; Hidalgo-Rosa, Yoan; Zambrano-Angulo, Michael; Mall-Haidaraly, Kevin; Pino-Rios, Ricardo; Pellegrin, Yann; Odobel, Fabrice; Cardenas-Jiron, Gloria</t>
  </si>
  <si>
    <t>Zinc phthalocyanine absorbance in the near-infrared with application for transparent and colorless dye-sensitized solar cells</t>
  </si>
  <si>
    <t>COMPTES RENDUS CHIMIE</t>
  </si>
  <si>
    <t>Transparent and colorless solar cells are attractive new photovoltaic devices as they could bring new opportunities to harness sunlight energy and particularly for their integration in windows. In this work, a new zinc phthalocyanine was synthesized and investigated as sensitizer in dyesensitized solar cell (DSSC) for this purpose. The zinc phthalocyanine features a benzoic acid anchoring group and six thio(4-tertbutylphenyl) substituents in alpha position of the phtalocyanine. The dye was characterized by absorption and emission spectroscopy and by electrochemistry. The physicochemical properties show that the dye fulfills the criteria for such an application. A detailed computational study indicates that the electronic communication with TiO2 conduction is weak owing to the absence of overlapping of the wavefunctions of the dye with those of the TiO2 semiconductor. The photovoltaic performances of the zinc phthalocyanine were measured in TiO2-based DSSC that revealed inefficient electron injection, which certainly can be explained by the weak electronic coupling of the dye with TiO2 that limits electron injection efficiency. A strategy is proposed to make better-performing sensitizers.</t>
  </si>
  <si>
    <t>MallHaidaraly, Kevin/LCD-3992-2024; Cardenas-Jiron, Gloria/H-9508-2012; Hidalgo Rosa, Yoan/ABA-2376-2021</t>
  </si>
  <si>
    <t>Mall Haidaraly, Kevin/0009-0004-6308-9775; Cardenas-Jiron, Gloria/0000-0003-4305-8088; Hidalgo Rosa, Yoan/0000-0002-1391-435X</t>
  </si>
  <si>
    <t>1631-0748</t>
  </si>
  <si>
    <t>1878-1543</t>
  </si>
  <si>
    <t>10.5802/crchim.113</t>
  </si>
  <si>
    <t>WOS:000746399200014</t>
  </si>
  <si>
    <t>Rivera, E; García-Herrera, C; González-Candia, A; Celentano, DJ; Herrera, EA</t>
  </si>
  <si>
    <t>Rivera, Eugenio; Garcia-Herrera, Claudio; Gonzalez-Candia, Alejandro; Celentano, Diego J.; Herrera, Emilio A.</t>
  </si>
  <si>
    <t>Effects of melatonin on the passive mechanical response of arteries in chronic hypoxic newborn lambs</t>
  </si>
  <si>
    <t>JOURNAL OF THE MECHANICAL BEHAVIOR OF BIOMEDICAL MATERIALS</t>
  </si>
  <si>
    <t>Chronic hypoxia is a condition that increases the cardiovascular complications of newborns gestated and born at high altitude (HA), over 2500 m above sea level (masl). A particularly complex pathology is pulmonary arterial hypertension of the neonate (PHN), which is increased at HA due to hypobaric hypoxia. Basic and clinical research have recognized that new treatments are needed, because current ones are, in general, palliative and with low effectiveness. Therefore, recently we have proposed melatonin as a potential adjuvant treatment to improve cardiopulmonary function. However, melatonin effects on the mechanical response of the arteries and their microstructure are not known. This study assesses the effects of a neonatal treatment with daily low doses of melatonin on the passive biomechanical behavior of the aorta artery and main pulmonary artery of PHN lambs born in chronic hypobaric hypoxia (at 3600 masl). With this purpose, ex-vivo measurements were made on axial stretch, tensile and opening ring tests together with a histological analysis to explore the morphometry and microstructure of the arteries. Our results show that the passive mechanical properties of the aorta artery and main pulmonary artery of lambs do not seem to be affected by a treatment based on low melatonin doses. However, we found evidence that melatonin has microstructural effects, particularly, diminishing cell prolifer-ation, which is an indicator of antiremodeling capacity. Therefore, the use of melatonin as an adjuvant against pathologies like PHN would present antiproliferative effect at the microstructural level, keeping the macroscopic properties of the aorta artery and main pulmonary artery.</t>
  </si>
  <si>
    <t>Gonzalez-Candia, Alejandro/GOV-6045-2022; Celentano, Diego/JQW-5027-2023; García-Herrera, Claudio/ABE-8991-2020; Rivera, Eugenio/LEN-3594-2024; Herrera, Emilio A/H-5992-2018</t>
  </si>
  <si>
    <t>Herrera, Emilio A/0000-0002-6342-085X; Gonzalez-Candia, Alejandro/0000-0001-8429-367X; Rivera Mancilla, Eugenio/0000-0001-8103-2706</t>
  </si>
  <si>
    <t>1751-6161</t>
  </si>
  <si>
    <t>1878-0180</t>
  </si>
  <si>
    <t>10.1016/j.jmbbm.2020.104013</t>
  </si>
  <si>
    <t>WOS:000587639200001</t>
  </si>
  <si>
    <t>Reyes-Parada, M; Iturriaga-Vasquez, P; Cassels, BK</t>
  </si>
  <si>
    <t>Reyes-Parada, Miguel; Iturriaga-Vasquez, Patricio; Cassels, Bruce K.</t>
  </si>
  <si>
    <t>Amphetamine Derivatives as Monoamine Oxidase Inhibitors</t>
  </si>
  <si>
    <t>Amphetamine and its derivatives exhibit a wide range of pharmacological activities, including psychostimulant, hallucinogenic, entactogenic, anorectic, or antidepressant effects. The mechanisms of action underlying these effects are usually related to the ability of the different amphetamines to interact with diverse monoamine transporters or receptors. Moreover, many of these compounds are also potent and selective monoamine oxidase inhibitors. In the present work, we review how structural modifications on the aromatic ring, the amino group and/or the aliphatic side chain of the parent scaffold, modulate the enzyme inhibitory properties of hundreds of amphetamine derivatives. Furthermore, we discuss how monoamine oxidase inhibition might influence the pharmacology of these compounds.</t>
  </si>
  <si>
    <t>Cassels, Bruce/H-6937-2013</t>
  </si>
  <si>
    <t>10.3389/fphar.2019.01590</t>
  </si>
  <si>
    <t>WOS:000512095900001</t>
  </si>
  <si>
    <t>Pérez-Zúñiga, C; Negrete-Vergara, C; Guerchais, V; Le Bozec, H; Moya, SA; Aguirre, P</t>
  </si>
  <si>
    <t>Perez-Zuniga, C.; Negrete-Vergara, C.; Guerchais, V.; Le Bozec, H.; Moya, S. A.; Aguirre, P.</t>
  </si>
  <si>
    <t>Hydrogenation of N-benzylideneaniline by palladium (II) catalysts with phosphorus-nitrogen ligands using formic acid as a renewable hydrogen source</t>
  </si>
  <si>
    <t>MOLECULAR CATALYSIS</t>
  </si>
  <si>
    <t>This paper reports the hydrogenation of N-benzylideneaniline catalysed by Pd(II) compounds containing heterobidentated phosphorus-nitrogen (PN) ligands. The general formulas of the catalysts are cis-[PdCl2(L-1)] and [PdCl(PPh3)(L-1)]Cl (where L-1= Ph(2)PCH(2)py, Ph(2)PNCH(3)py, Ph(2)PNHpy, Ph(2)PNHpym and Ph(2)Pqn). The hydrogenation of N-benzylideneaniline was carried out using propan-2-ol or formic acid as the hydrogen source. The catalytic activity was studied under different conditions by varying the base (NaOH and tert-butoxide) and the base/catalyst ratio (B/C = 20/1 and 50/1. Additionally, triethylamine was also used with a base/catalyst ratio of B/C = 500/1. It was found that palladium catalysts containing hemilabile heterobidentated ligands showed high catalytic activity and selectivity for the hydrogenation of N-benzylideneaniline. The catalysts cis-[PdCl2(Ph2PNHPy)] (2) and [PdCl(Ph(2)Pqn)(PPh3)]Cl (6) maintained the activities when the reactor was recharged with a fresh substrate (1000/1 substrate/catalyst ratio). It was also found that catalytic hydrogenation works well with only formic acid, with its activities ranging close to 100% for the 2 and 6 complexes.</t>
  </si>
  <si>
    <t>Guerchais, Veronique/D-6471-2017; Negrete, Camila/GQZ-2620-2022</t>
  </si>
  <si>
    <t>2468-8231</t>
  </si>
  <si>
    <t>10.1016/j.mcat.2018.07.020</t>
  </si>
  <si>
    <t>WOS:000452932800015</t>
  </si>
  <si>
    <t>Gil-Durán, C; Ravanal, MC; Ubilla, P; Vaca, I; Chávez, R</t>
  </si>
  <si>
    <t>Gil-Duran, Carlos; Ravanal, Maria-Cristina; Ubilla, Pamela; Vaca, Inmaculada; Chavez, Renato</t>
  </si>
  <si>
    <t>Heterologous expression, purification and characterization of a highly thermolabile endoxylanase from the Antarctic fungus Cladosporium sp.</t>
  </si>
  <si>
    <t>FUNGAL BIOLOGY</t>
  </si>
  <si>
    <t>Numerous endoxylanases from mesophilic fungi have been purified and characterized. However, endoxylanases from cold-adapted fungi, especially those from Antarctica, have been less studied. In this work, a cDNA from the Antarctic fungus Cladosporium sp. with similarity to endoxylanases from glycosyl hydrolase family 10, was cloned and expressed in Pichia pastoris. The pure recombinant enzyme (named XynA) showed optimal activity on xylan at 50 degrees C and pH 6-7. The enzyme releases xylooligosaccharides but not xylose, indicating that XynA is a classical endoxylanase. The enzyme was most active on xylans with high content of arabinose (rye arabinoylan and wheat arabinoxylan) than on xylans with low content of arabinose (oat spelts xylan, birchwood xylan and beechwood xylan). Finally, XynA showed a very low thermostability. After 20-30 min of incubation at 40 degrees C, the enzyme was completely inactivated, suggesting that XynA would be the most thermolabile endoxylanase described so far in filamentous fungi. This is one of the few reports describing the heterologous expression and characterization of a xylanase from a fungus isolated from Antarctica. (C) 2018 British Mycological Society. Published by Elsevier Ltd. All rights reserved.</t>
  </si>
  <si>
    <t>Ravanal, Maria/G-8682-2018; Vaca, Inmaculada/I-2758-2013</t>
  </si>
  <si>
    <t>Gil-Duran, Carlos Andres/0000-0001-9638-6902; Vaca, Inmaculada/0000-0002-8952-9036; Ravanal, Maria Cristina/0000-0003-2462-6270; Chavez, Renato/0000-0003-1754-3610</t>
  </si>
  <si>
    <t>1878-6146</t>
  </si>
  <si>
    <t>1878-6162</t>
  </si>
  <si>
    <t>10.1016/j.funbio.2018.05.002</t>
  </si>
  <si>
    <t>WOS:000442973600005</t>
  </si>
  <si>
    <t>Alarcón, H; Géminard, JC; Melo, F</t>
  </si>
  <si>
    <t>Alarcon, Hector; Geminard, Jean-Christophe; Melo, Francisco</t>
  </si>
  <si>
    <t>Patterning of a cohesionless granular layer under pure shear</t>
  </si>
  <si>
    <t>The response of a thin layer of granular material to an external pure shear imposed at its base is investigated. The experiments show that, even for noncohesive materials, the resulting deformation of the material is inhomogeneous. Indeed, a novel smooth pattern, consisting of a periodic modulation of the shear deformation of the free surface, is revealed by an image-correlation technique. These observations are in contrast with the previous observation of the fracture pattern in cohesive granular materials subjected to stretching. For cohesive materials, the instability is due to the weakening of the material which results from the rupture of capillary bridges that bond the grains to one another. For noncohesive materials, the rupture of the capillary bridges cannot be invoked anymore. We show that the instability results from the decrease of friction on shearing. PACS: 89.75.Kd: Pattern formation in complex systems; 83.60.Uv: Rheology: fracture; 45.70.Qj: Pattern formation in granular matter</t>
  </si>
  <si>
    <t>Melo, Francisco/M-3923-2014</t>
  </si>
  <si>
    <t>GEMINARD, Jean-Christophe Nicolas Denis/0000-0002-9773-4806; Alarcon, Hector/0000-0003-4603-4946; Melo, Francisco Esteban/0000-0001-6818-5476</t>
  </si>
  <si>
    <t>2470-0045</t>
  </si>
  <si>
    <t>2470-0053</t>
  </si>
  <si>
    <t>10.1103/PhysRevE.97.012901</t>
  </si>
  <si>
    <t>WOS:000419323100005</t>
  </si>
  <si>
    <t>Cubillos, V; Chaparro, O; Segura, C; Montory, J; Cruces, E; Burritt, D</t>
  </si>
  <si>
    <t>Cubillos, Victor; Chaparro, Oscar; Segura, Cristian; Montory, Jaime; Cruces, Edgardo; Burritt, David</t>
  </si>
  <si>
    <t>Isolation-hypoxia and re-oxygenation of the pallial cavity of female Crepipatella dilatata during estuarine salinity changes requires increased glyoxylase activity and antioxidant metabolism to avoid oxidative damage to female tissues and developing embryos</t>
  </si>
  <si>
    <t>MARINE ENVIRONMENTAL RESEARCH</t>
  </si>
  <si>
    <t>The estuarine slipper limpet Crepipatella dilatata is a gastropod that can survive prolonged periods of low salinities (&lt; 24 PSU) caused by tidal changes and/or prolonged periods of rain. During low salinity events, C dilatata can isolate its body from the outside environment, by sealing its shell against the substrate on which it grows. Prolonged isolation periods from the surrounding environment can greatly lower available oxygen levels inside of the pallial cavity, impacting on the physiology of both females and their incubated encapsulated embryos. When salinity levels return to normal, isolation is terminated and the inflow of seawater results in re-oxygenation. In this study we show that when re-oxygenation of the pallial cavity takes place, oxidative damage, in the form of increased levels of lipid peroxides and protein carbonyls, occurs in both maternal tissues and in incubated embryos. To avoid terminal oxidative damage both females and their embryos increase their levels of the glyoxalase pathway enzymes (GLX-I and GLX-II) and general antioxidant metabolism (SOD, CAT, GR, GPDX and GST). As a result the levels of oxidative damage decline to basal levels within 24 h of reoxygenation. Thus the combination of isolation, a behavioural strategy, combined with encapsulation of embryos and a capacity to up regulate relatively rapidly the glyoxylase pathway and general antioxidant metabolism, play major roles in facilitating the survival of C dilatata in the small estuaries of Southern Chile. (C) 2016 Published by Elsevier Ltd.</t>
  </si>
  <si>
    <t>Montory, Jaime/AAL-5187-2020; Segura, Cristian/C-1306-2010; Chaparro, Oscar/A-5070-2009; montory, jaime/E-6077-2010</t>
  </si>
  <si>
    <t>Cruces, Edgardo/0000-0003-4537-552X; Chaparro, Oscar/0000-0003-2187-4674; montory, jaime/0000-0003-3383-7467</t>
  </si>
  <si>
    <t>0141-1136</t>
  </si>
  <si>
    <t>1879-0291</t>
  </si>
  <si>
    <t>10.1016/j.marenvres.2016.05.008</t>
  </si>
  <si>
    <t>WOS:000381168000007</t>
  </si>
  <si>
    <t>Garrido-Ramírez, EG; Marco, JF; Escalona, N; Ureta-Zañartu, MS</t>
  </si>
  <si>
    <t>Garrido-Ramirez, E. G.; Marco, J. F.; Escalona, N.; Ureta-Zanartu, M. S.</t>
  </si>
  <si>
    <t>Preparation and characterization of bimetallic Fe-Cu allophane nanoclays and their activity in the phenol oxidation by heterogeneous electro-Fenton reaction</t>
  </si>
  <si>
    <t>Bimetallic (Fe-Cu) allophane nanoclays were synthesized using a two-step wet impregnation method with different Fe/Cu ratios. The catalytic activities of bimetallic (Fe-Cu) allophane were studied for phenol oxidation by heterogeneous electro-Fenton reaction (HEF) at different initial pHs (3.0 and 5.5), and were compared with Fe-allophane and Cu-allophane catalysts. A glassy carbon electrode modified with the bimetallic allophane nanoclays was used as working electrode. FTIR, SEM, X-ray diffraction, XPS, Mossbauer spectroscopy and N-2 adsorption-desorption were used to characterize the catalysts, and indicated the formation of small copper oxide particles stabilized by iron oxide species. Phenol conversion by HEF process at initial pH 3.0 was near 100% for all bimetallic (Fe-Cu) allophane nanoclays in less than 2 h of reaction, following an exponential decay. The chemical oxygen demand (COD) removal was less than 47% for Cu-allophane and 65% for Fe-allophane, whereas for the bimetallic (Fe-Cu) allophane nanoclays the COD removal decreased with the amount of copper oxide in the catalyst, achieving an 80% COD removal with Fe5.4Cu0.6 catalyst. These results showed the synergetic effect between the Fe3+ and Cu2+ ions present in the bimetallic (Fe-Cu) allophane nanoclays. Similarly, when the reactions were performed at initial pH 5.5 the phenol conversion was near 100% after 4 h for Fe-allophane and bimetallic (Fe-Cu) allophane with lower copper content. In the bimetallic (Fe-Cu) allophane clays the leaching of iron and copper into the solution was less than 1.25 mg/L and 0.638 mg/L, respectively, indicative of the high stability of the bimetallic (Fe-Cu) allophane catalysts. (C) 2016 Elsevier Inc. All rights reserved.</t>
  </si>
  <si>
    <t>Ureta-Zañartu, Maria/G-5239-2019; Escalona, Nestor/F-3593-2016; Marco, JF/N-3176-2014</t>
  </si>
  <si>
    <t>Garrido-Ramirez, Elizabeth/0000-0002-1685-7979; Marco, JF/0000-0002-5147-1449; Escalona Burgos, Nestor/0000-0002-2628-4609</t>
  </si>
  <si>
    <t>10.1016/j.micromeso.2016.01.013</t>
  </si>
  <si>
    <t>WOS:000373421700035</t>
  </si>
  <si>
    <t>Muñoz-Castro, A; Gomez, T; Carey, DM; Miranda-Rojas, S; Mendizabal, F; Zagal, JH; Arratia-Perez, R</t>
  </si>
  <si>
    <t>Munoz-Castro, Alvaro; Gomez, Tatiana; MacLeod Carey, Desmond; Miranda-Rojas, Sebastian; Mendizabal, Fernando; Zagal, Jose H.; Arratia-Perez, Ramiro</t>
  </si>
  <si>
    <t>Surface on Surface. Survey of the Monolayer Gold-Graphene Interaction from Au12 and PAH via Relativistic DFT Calculations</t>
  </si>
  <si>
    <t>Gold-graphene interaction at the interface is evaluated through different polyaromatic hydrocarbons (PAH), accounted by C6H6, C24H12, C54H16, and C96H18, focusing into different energetic terms related to the overall interaction. Our results characterize the neutral gold-PAH interaction nature with 45% of dispersion character, 35% of electrostatic, and 20% of covalent character, suggesting that moderate van der Waals character is mostly involved in the interaction, which increases according to the size of the respective PAH. The resulting surface charge distribution in the graphene model is a relevant parameter to take into account, since the ability of the surface charge to be reorganized over the polycyclic structure in both contact and surrounding regions is important in order to evaluate interactions and different interacting conformations. Our results suggest that for a Au-12 contact surface of radius 4.13 angstrom, the covalent, electrostatic and dispersion character of the interaction are effectively accounted in a graphene surface of about 6.18 angstrom, as given by circumcoronene, depicting a critical size where the overall interaction character can be accounted.</t>
  </si>
  <si>
    <t>Arratia-Perez, Ramiro/AAG-2648-2019; Gómez, Tatiana/X-9734-2019; zagal, jose/L-9648-2014; Munoz-Castro, Alvaro/O-5207-2014; MacLeod-Carey, Desmond/B-4344-2011</t>
  </si>
  <si>
    <t>Gomez, Tatiana/0000-0001-6127-330X; Munoz-Castro, Alvaro/0000-0001-5949-9449; MacLeod-Carey, Desmond/0000-0003-4261-3684; Mendizabal, Fernando/0000-0002-6912-8630</t>
  </si>
  <si>
    <t>10.1021/acs.jpcc.5b12580</t>
  </si>
  <si>
    <t>WOS:000373862700049</t>
  </si>
  <si>
    <t>Palma, JL; Gallardo, C; Spinu, L; Vargas, JM; Dorneles, LS; Denardin, JC; Escrig, J</t>
  </si>
  <si>
    <t>Palma, J. L.; Gallardo, C.; Spinu, L.; Vargas, J. M.; Dorneles, L. S.; Denardin, J. C.; Escrig, J.</t>
  </si>
  <si>
    <t>Magnetic properties of Fe20 Ni80 antidots: Pore size and array disorder</t>
  </si>
  <si>
    <t>Magnetic properties of nanoscale Fe20Ni80 antidot arrays with different hole sizes prepared on top of nanoporous alumina membranes have been studied by means of magnetometry and micromagnetic simulations. The results show a significant increase of the coercivity as well as a reduction of the remanence of the antidot arrays, as compared with their parent continuous film, which depends on the hole size introduced in the Fe20Ni80 thin film. When the external field is applied parallel to the antidots, the reversal of magnetization is achieved by free-core vortex propagation, whereas when the external field is applied perpendicular to the antidots, the reversal occurs through a process other than the coherent rotation (a maze-like pattern). Besides, in-plane hysteresis loops varying the angle show that the degree of disorder in the sample breaks the expected hexagonal symmetry. (C) 2013 Elsevier B.V. All rights reserved.</t>
  </si>
  <si>
    <t>Dorneles, Lucio/A-2376-2008; Palma, Juan/IAP-4554-2023; Denardin, Juliano/S-6407-2019; Escrig, Juan/N-4304-2015; Strazzabosco Dorneles, Lucio/E-5674-2010</t>
  </si>
  <si>
    <t>Escrig, Juan/0000-0002-3958-8185; Denardin, Juliano/0000-0002-1373-6207; Palma, JuanLuis/0000-0003-2068-174X; Strazzabosco Dorneles, Lucio/0000-0001-5833-1775</t>
  </si>
  <si>
    <t>10.1016/j.jmmm.2013.05.021</t>
  </si>
  <si>
    <t>WOS:000323156400002</t>
  </si>
  <si>
    <t>Burgos, H; Castillo, A; Flores, O; Puentes, G; Morgan, C; Gatica, A; Cofré, C; Hernández, A; Laurido, C; Constandil, L</t>
  </si>
  <si>
    <t>Burgos, Hector; Castillo, Amparo; Flores, Osvaldo; Puentes, Gustavo; Morgan, Carlos; Gatica, Arnaldo; Cofre, Christian; Hernandez, Alejandro; Laurido, Claudio; Constandil, Luis</t>
  </si>
  <si>
    <t>Effect of modafinil on learning performance and neocortical long-term potentiation in rats</t>
  </si>
  <si>
    <t>BRAIN RESEARCH BULLETIN</t>
  </si>
  <si>
    <t>Modafinil is a novel wake-promoting agent whose effects on cognitive performance have begun to be addressed at both preclinical and clinical level The present study was designed to investigate in rats the effects of chronic modafinil administration on cognitive performance by evaluating (i) working and reference memories in an Olton 4 x 4 maze and (ii) learning of a complex operant conditioning task in a Skinner box In addition the effect of modafinil on the ability of the rat frontal cortex to develop long-term potentiation (LTP) was also studied Chronic modafinil did not significantly modify working memory errors but decreased long-term memory errors on the Olton 4 x 4 maze meaning that the drug may have a favourable profile on performance of visuo-spatial tasks (typically a hippocampus-dependent task) when chronically administered On the other hand chronic modafinil resulted in a marked decrease of successful responses in a complex operant conditioning learning which means that repeated administration of the drug influences negatively problem-solving abilities when confronting the rat to a sequencing task (typically a prefrontal cortex-dependent task) In addition in vivo electrophysiology showed that modafinil resulted in impaired capacity of the rat prefrontal cortex to develop LTP following tetanization It is concluded that modafinil can improve the performance of spatial tasks that depend almost exclusively on hippocampal functioning but not the performance in tasks including a temporal factor where the prefrontal cortex plays an important role The fact that modafinil together with preventing operant conditioning learning was also able to block LTP induction in the prefrontal cortex suggests that the drug could interfere some critical component required for LIP can be developed thereby altering neuroplastic capabilities of the prefrontal cortex (C) 2010 Elsevier Inc All rights reserved</t>
  </si>
  <si>
    <t>BURGOS, HECTOR/0000-0001-7705-4347; Constandil, Luis/0000-0002-2504-0119; Hernandez, Alejandro/0000-0001-9222-6522</t>
  </si>
  <si>
    <t>0361-9230</t>
  </si>
  <si>
    <t>OCT 30</t>
  </si>
  <si>
    <t>10.1016/j.brainresbull.2010.08.010</t>
  </si>
  <si>
    <t>WOS:000284514300009</t>
  </si>
  <si>
    <t>Henriquez-Román, J; Sancy, M; Páez, M; Padilla-Campos, L; Zagal, JH; Rangel, CM; Thompson, GE</t>
  </si>
  <si>
    <t>The influence of aniline and its derivatives on the corrosion behaviour of copper in acid solution</t>
  </si>
  <si>
    <t>The inhibiting action of aniline and its derivatives on the corrosion of copper in hydrochloric acid has been investigated, with emphasis on the role of substituents. With this purpose five different anilines were selected: aniline, p-chloro aniline, p-nitro aniline, p-methoxy and p-methyl aniline. The electrochemical and gravimetric results, obtained in the absence and presence of different concentrations of inhibitors, revealed that aniline reduces the corrosion of copper, with a critical concentration of 10(-2) M. Furthermore, the interaction energy calculated as Delta G(ads) gave a value of 4.2 kcal mol(-1) indicating physisorption of the organic compound at the copper surface. The results have also shown that substituents, either electron donors (-CH3, -OCH3) or, electron acceptors (-NO2, -Cl) in para position, decrease the inhibition action of aniline. A theoretical study using molecular mechanic and ab initio Hartree Fock methods, to model the adsorption of aniline on copper (100) showed results in good agreement with the experimental data. Aniline adsorbs parallel to the copper surface, showing no preference for a specific adsorption site. On the other hand, from ab initio Hartree Fock calculations, an adsorption energy between 2 kcal/mol and 5 kcal/mol is obtained, which is close to the experimental value, confirming that the adsorption of aniline on the metal substrate is rather weak. In view of these results, the orientation of the aniline molecule with respect to the copper surface is considered to be the dominant effect.</t>
  </si>
  <si>
    <t>zagal, jose/L-9648-2014; Sancy, Mamié/L-6270-2014; Pappas, Georgios/F-7194-2014; Paez, Maritza/M-2010-2014; Rangel, Carmen M./D-5477-2011</t>
  </si>
  <si>
    <t>paez, maritza/0000-0001-5881-884X; Rangel, Carmen M./0000-0001-7996-8142</t>
  </si>
  <si>
    <t>10.1007/s10008-004-0586-x</t>
  </si>
  <si>
    <t>WOS:000232017900004</t>
  </si>
  <si>
    <t>Palma, K; Jofré, D; Colicoy, SH; Inzunza, S; Guerrero, N; Cabello, V; Reyes, CM; González, JC</t>
  </si>
  <si>
    <t>Palma, Karla; Jofre, David; Colicoy, Susana Huenul; Inzunza, Simon; Guerrero, Nikole; Cabello, Valeria; Reyes, Carolina Martinez; Gonzalez, Javiera Castaneda</t>
  </si>
  <si>
    <t>Interdisciplinarity and local knowledge to foster community resilience in disaster risk management: A community-based educational approach on the Chilean coast</t>
  </si>
  <si>
    <t>INTERNATIONAL JOURNAL OF DISASTER RISK REDUCTION</t>
  </si>
  <si>
    <t>This article explores the transformative potential of community-based disaster risk management (DRM) schools by emphasizing the critical role of comprehensive, participatory, and inclusive approaches in resilience building. Using the Environmental Community School of the Coast (ECAC) in Cartagena, Chile, as a case study, it demonstrates how integrating local and scientific knowledge through interdisciplinary collaboration fosters socio-environmental governance and community resilience. This approach aligns with international frameworks advocating for multistakeholder participation, communication, education, and shared responsibilities across sectors. Developed through participatory action research and co-creation with local communities, the ECAC illustrates how interdisciplinary efforts can address socio-environmental challenges and shape disaster risk reduction (DRR) strategies. The article discusses the theoretical and practical contributions of the ECAC, highlighting its innovative educational model, the challenges of interdisciplinary work, and the importance of social learning and local engagement. Findings underscore the necessity of addressing social vulnerabilities through community-based education programs, which enhance resilience by preserving traditional knowledge, fostering community cohesion, and empowering local decision-making. This research contributes to the literature on DRM and community resilience by presenting a replicable framework for inclusive disaster governance and transformative learning. It reflects on academia's evolving role in fostering interdisciplinary and transdisciplinary collaboration, offering evidence-based insights into the success factors and challenges of creating community schools capable of enhancing territorial resilience and socio-environmental governance.</t>
  </si>
  <si>
    <t>Guerrero, Nikole/LZF-1278-2025; Palma, Karla/Q-7484-2019; Cabello, Valeria/AAA-1012-2019; Jofré, David/GPF-6054-2022</t>
  </si>
  <si>
    <t>Palma, Karla/0000-0002-3191-4038; Guerrero, Nikole/0000-0001-9892-2289</t>
  </si>
  <si>
    <t>2212-4209</t>
  </si>
  <si>
    <t>10.1016/j.ijdrr.2025.105281</t>
  </si>
  <si>
    <t>WOS:001428967600001</t>
  </si>
  <si>
    <t>Berger, O; Garikapati, N; Naveed, H; Hajjar-Sese, A; Matsou, A; Gatzioufas, Z; Hamada, S; Elalfy, M</t>
  </si>
  <si>
    <t>Berger, Osvaldo; Garikapati, Naveen; Naveed, Hasan; Hajjar-Sese, Aida; Matsou, Artemis; Gatzioufas, Zisis; Hamada, Samer; Elalfy, Mohamed</t>
  </si>
  <si>
    <t>Posterior Chamber Phakic Intraocular Lenses for Correcting Ametropia in Stable Keratoconus</t>
  </si>
  <si>
    <t>OPHTHALMIC RESEARCH</t>
  </si>
  <si>
    <t>Introduction: The use of posterior chamber phakic intraocular lenses (PCPIOLs) is a reasonable option in the armamentarium to treat refractive error in patients with keratoconus. We present our experience with the use of PCPIOL for the management of ametropia in patients with keratoconus. Methods: Patients included those with stable keratoconus treated in the Corneoplastic Unit, Queen Victoria Hospital, East Grinstead, UK, with PCPIOL (ICL Staar Surgical and IPCL Care Group) to improve their visual acuity. Data were obtained from preoperative visit and 1, 3, 6, and 12 months after surgery. Clinical characteristics, pre- and postoperative uncorrected (UDVA) and best corrected (CDVA) logMAR visual acuities, and perioperative complications were analysed. Results: A total of 23 eyes of 21 patients were included. UDVA changed from 0.75 preoperatively to 0.18 post-surgery (p = &lt;0.001) and CDVA from 0.07 to 0.12 (p = 0.12). Seventy percent of the cases increased 3 or more lines of UDVA while none of the eyes lost more than 2 lines of CDVA. No significant difference in final UDVA was found between patients with and without previous keratoplasty (0.27 and 0.18, p = 0.38), previous corneal collagen crosslinking (0.16 and 0.3, p = 0.24), intracorneal ring segments (0.2 and 0.2, p = 0.94), or type of lens implanted (0.2 implantable collamer lens and implantable phakic contact lens. p = 0.94). One intraoperative complication reported was an inverted PCPIOL insertion and postoperatively 4 axis rotations and 1 cataract were observed. Conclusions: The use of PCPIOL in patients with stable keratoconus is effective in improving their UDVA, even in cases with previous corneal procedures such as keratoplasty, crosslinking, and intracorneal rings. Rotation is the most common postoperative complication.</t>
  </si>
  <si>
    <t>Berger, Osvaldo/ABE-9432-2020</t>
  </si>
  <si>
    <t>0030-3747</t>
  </si>
  <si>
    <t>1423-0259</t>
  </si>
  <si>
    <t>JAN-DEC</t>
  </si>
  <si>
    <t>10.1159/000543936</t>
  </si>
  <si>
    <t>WOS:001469860100001</t>
  </si>
  <si>
    <t>Santander, S; Padilla-Manzano, N; Diaz, B; Bacchiega, R; Jara, E; Alvarez, LF; Pinto, C; Forero, JC; Santana, P; Hamm, E; Urzua, M; Tamayo, L</t>
  </si>
  <si>
    <t>Santander, Sebastian; Padilla-Manzano, Nicolas; Diaz, Bastian; Bacchiega, Renato; Jara, Elizabeth; alvarez, Luis Felipe; Pinto, Cristobal; Forero, Juan C.; Santana, Paula; Hamm, Eugenio; Urzua, Marcela; Tamayo, Laura</t>
  </si>
  <si>
    <t>Wettability of Amino Acid-Functionalized PSMA Electrospun Fibers for the Modulated Release of Active Agents and Its Effect on Their Bioactivity</t>
  </si>
  <si>
    <t>PHARMACEUTICS</t>
  </si>
  <si>
    <t>The ideal treatment for chronic wounds is based on the use of bioactive dressings capable of releasing active agents. However, the control of the rate at which these active agents are released is still a challenge. Bioactive polymeric fiber mats of poly(styrene-co-maleic anhydride) [PSMA] functionalized with amino acids of different hydropathic indices and L-glutamine, L-phenylalanine and L-tyrosine levels allowed obtaining derivatives of the copolymers named PSMA@Gln, PSMA@Phe and PSMA@Tyr, respectively, with the aim of modulating the wettability of the mats. The bioactive characteristics of mats were obtained by the incorporation of the active agents Calendula officinalis (Cal) and silver nanoparticles (AgNPs). A higher wettability for PSMA@Gln was observed, which is in accordance with the hydropathic index value of the amino acid. However, the release of AgNPs was higher for PSMA and more controlled for functionalized PSMA (PSMAf), while the release curves of Cal did not show behavior related to the wettability of the mats due to the apolar character of the active agent. Finally, the differences in the wettability of the mats also affected their bioactivity, which was evaluated in bacterial cultures of Staphylococcus aureus ATCC 25923 and methicillin-resistant Staphylococcus aureus ATCC 33592, an NIH/3T3 fibroblast cell line and red blood cells.</t>
  </si>
  <si>
    <t>Tamayo, Laura/I-8942-2018; Urzúa, Marcela/E-1429-2014; Forero Oliveros, Juan/ITT-1170-2023</t>
  </si>
  <si>
    <t>Forero Oliveros, Juan Carlos/0000-0002-2488-2891; Diaz Jimenez, Bastian/0009-0008-5400-779X; Bacchiega, Renato/0009-0004-6346-1784; Tamayo, Laura/0000-0003-1159-5305; Urzua Acevedo, Marcela Del Pilar/0000-0002-2371-620X; Santana Sepulveda, Paula/0000-0002-5742-4926</t>
  </si>
  <si>
    <t>1999-4923</t>
  </si>
  <si>
    <t>10.3390/pharmaceutics15061659</t>
  </si>
  <si>
    <t>WOS:001015827400001</t>
  </si>
  <si>
    <t>Cofré-Bolados, C; Rosemblat, M; Barriga-González, D; Farias-Valenzuela, C; Espoz-Lazo, S; Segales-Gill, D</t>
  </si>
  <si>
    <t>Cofre-Bolados, Cristian; Rosemblat, Marcelo; Barriga-Gonzalez, Diego; Farias-Valenzuela, Claudio; Espoz-Lazo, Sebastian; Segales-Gill, Dulce</t>
  </si>
  <si>
    <t>Relationship of direct and estimated oxygen consumption in the intermittent resistance Yo-Yo test in female professional soccer players</t>
  </si>
  <si>
    <t>In professional women's soccer there has been significant growth in recent decades, game analysis determines that distances between 8.5 and 10.3 km are covered, defining power and aerobic capacity as determining factors in the conditional physical profile of the players. The evaluation of aerobic power through maximum oxygen consumption (VO2max) is essential. The objective of this study was to compare the aerobic power determined by the Yo-Yo intermittent resistance test measured directly with a gas and metabolite analyzer v/s the calculation proposed by the Bansgbo estimation formula. The study methodology consisted in the evaluation of the Yo-Yo intermittent resistance test on the soccer field in 25 professional soccer players. The results of the study gave direct average relative values of 42.53 ml/kg-min and estimated VO2max of 41.96 ml/kg-min, without significant differences(p= 0.22). It is concluded that the Yo-Yo test and the Bansgbo formula are relevant for the estimation of aerobic power in professional Chilean soccer players.</t>
  </si>
  <si>
    <t>Espoz-Lazo, Sebastian/AAV-2358-2020</t>
  </si>
  <si>
    <t>WOS:001143891900004</t>
  </si>
  <si>
    <t>Alves, C; Bonizzi, B; Kaltenbrunner, A; Palma, JG</t>
  </si>
  <si>
    <t>Alves, Carolina; Bonizzi, Bruno; Kaltenbrunner, Annina; Palma, Jose Gabriel</t>
  </si>
  <si>
    <t>Conceptualising financialisation in developing and emerging economies: the diversity within a unity</t>
  </si>
  <si>
    <t>CAMBRIDGE JOURNAL OF ECONOMICS</t>
  </si>
  <si>
    <t>Alves, Carolina/ABZ-1160-2022</t>
  </si>
  <si>
    <t>0309-166X</t>
  </si>
  <si>
    <t>1464-3545</t>
  </si>
  <si>
    <t>10.1093/cje/beac047</t>
  </si>
  <si>
    <t>WOS:000878251500001</t>
  </si>
  <si>
    <t>Salinas, AE; Brito, C; Sánchez, GA; Villacura, LP; Sotomayor, EM; Cuevas, IC; Jurado, JG</t>
  </si>
  <si>
    <t>Espinoza Salinas, Alexis; Brito, Ciro; Arenas Sanchez, Giovanny; Peiret Villacura, Luis; Molina Sotomayor, Edgardo; Cigarroa Cuevas, Igor; Gonzalez Jurado, Jose</t>
  </si>
  <si>
    <t>Autonomic function and its relationship with central obesity and hemodynamic variables in obese and overweight adults</t>
  </si>
  <si>
    <t>Introduction: central obesity is associated with an autonomic dysfunction characterized by an increase in sympathetic activity and a reduction in vagal tone, leading to a decrease in heart rate variability. Objective: we aimed to analyze the relationship between the time and frequency domains of heart rate variability with central obesity, and its hemodynamic variables in normal-weight, overweight and obese adults. Methods: a total of 65 adults were evaluated (25.4 +/- 3.2 years old) and distributed in 3 groups: normal weight group (NW group), overweight group (OW group) and obese group (OB group). Heart rate variability parameters at rest and both anthropometric and hemodynamic variables were recorded. Results: the results showed a positive correlation between waist circunference and LF/HF ratio in the OW (p = 0.0008; r = 0.6607; r(2) = 0.4365) and OB (p = 0.0001; r = 0.8286; r(2) = 0.6866) groups. The waist-to-height ratio showed significant differences with HF in the NW, OW, and OB groups. The variables related to the parasympathetic system (SDNN, RMSSD, pNN50, HF) in the OB and OW groups showed a decrease in values when compared to the NW group. Likewise, the variable related to the sympathetic system (LF) in the OB and OW groups increased its values when compared with the NW group. The LF/HF ratio increased from the NW group to the OW and OB groups (1.6 +/- 0.7; 2.5 +/- 1.8 and 3.3 +/- 0.7). Conclusion: overweight and obese adults present a modulation of sympathetic activity predominance at rest. This increased activity is represented by the time and frequency domains of heart rate variability, having an important correlation with waist circumference and waist-to-height ratio.</t>
  </si>
  <si>
    <t>Brito, Ciro/AAC-9104-2019; cigarroa, igor/AAV-3527-2020; Gonzalez-Jurado, Jose Antonio/C-2843-2015</t>
  </si>
  <si>
    <t>Gonzalez-Jurado, Jose Antonio/0000-0003-2222-6089; brito, ciro/0000-0002-9678-1977</t>
  </si>
  <si>
    <t>10.20960/nh.03808</t>
  </si>
  <si>
    <t>WOS:000830544300011</t>
  </si>
  <si>
    <t>Cid-Chevecich, C; Muller-Sepúlveda, A; Jara, JA; López-Muñoz, R; Santander, R; Budini, M; Escobar, A; Quijada, R; Criollo, A; Díaz-Dosque, M; Molina-Berríos, A</t>
  </si>
  <si>
    <t>Cid-Chevecich, Camila; Muller-Sepulveda, Andrea; Jara, Jose Antonio; Lopez-Munoz, Rodrigo; Santander, Rocio; Budini, Mauricio; Escobar, Alejandro; Quijada, Raul; Criollo, Alfredo; Diaz-Dosque, Mario; Molina-Berrios, Alfredo</t>
  </si>
  <si>
    <t>Origanum vulgare L. essential oil inhibits virulence patterns of Candida spp. and potentiates the effects of fluconazole and nystatin in vitro</t>
  </si>
  <si>
    <t>BMC COMPLEMENTARY MEDICINE AND THERAPIES</t>
  </si>
  <si>
    <t>Background Recurrence and resistance of Candida spp. infections is associated with the ability of these microorganisms to present several virulence patterns such as morphogenesis, adhesion, and biofilm formation. In the search for agents with antivirulence activity, essential oils could represent a strategy to act against biofilms and to potentiate antifungal drugs. Objective To evaluate the antivirulence effect of Origanum vulgare L. essential oil (O-EO) against Candida spp. and to potentiate the effect of fluconazole and nystatin. Methods The effect of O-EO was evaluated on ATCC reference strains of C. albicans and non-albicans Candida species. Minimum inhibitory concentration (MIC) was determined through broth microdilution assay. Adhesion to microplates was determined by crystal violet (CV) assay. An adapted scratch assay in 24-well was used to determine the effect of essential oil on biofilms proliferation. Viability of biofilms was evaluated by MTT reduction assay and through a checkerboard assay we determined if O-EO could act synergistically with fluconazole and nystatin. Results MIC for C. albicans ATCC-90029 and ATCC-10231 was 0.01 mg/L and 0.97 mg/L, respectively. For non-albicans Candida strains MIC values were 2.6 mg/L for C. dubliniensis ATCC-CD36 and 5.3 mg/L for C. krusei ATCC-6258. By using these concentrations, O-EO inhibited morphogenesis, adhesion, and proliferation at least by 50% for the strains assayed. In formed biofilms O-EO decreased viability in ATCC 90029 and ATCC 10231 strains (IC50 7.4 and 2.8 mg/L respectively). Finally, we show that O-EO interacted synergistically with fluconazole and nystatin. Conclusions This study demonstrate that O-EO could be considered to improve the antifungal treatment against Candida spp.</t>
  </si>
  <si>
    <t>Jara, Jose/GQB-5331-2022; Diaz- Dosque, Mario/IUO-0636-2023; Lopez-Muñoz, Rodrigo/I-1097-2013; Criollo, Alfredo/HMP-2062-2023; Muller, Andrea/HKV-3232-2023; Molina-Berríos, alfredo/K-1817-2014; Santander, Rocio/K-7645-2013</t>
  </si>
  <si>
    <t>Budini, Mauricio Fernando/0000-0003-1821-291X; Criollo, Alfredo/0000-0002-2737-7751; Diaz-Dosque, Mario/0000-0001-5843-1274</t>
  </si>
  <si>
    <t>2662-7671</t>
  </si>
  <si>
    <t>FEB 9</t>
  </si>
  <si>
    <t>10.1186/s12906-022-03518-z</t>
  </si>
  <si>
    <t>WOS:000753396500001</t>
  </si>
  <si>
    <t>Apollaro, G; Rodríguez, YQ; Herrera-Valenzuela, T; Hernández-Mendo, A; Falcó, C</t>
  </si>
  <si>
    <t>Apollaro, Gennaro; Rodriguez, Yarisel Quinones; Herrera-Valenzuela, Tomas; Hernandez-Mendo, Antonio; Falco, Coral</t>
  </si>
  <si>
    <t>Relative and Chronological Age in Successful Athletes at the World Taekwondo Championships (1997-2019): A Focus on the Behaviour of Multiple Medallists</t>
  </si>
  <si>
    <t>The aims of this study were to investigate the relative and chronological age among taekwondo world medal winners (by gender, Olympic 4-year period, Olympic weight category; N = 740), and to study the behaviour of multiple medallists (N = 156) to monitor changes in weight categories and wins over time. The observed birth quartile distribution for the heavyweight category was significantly skewed (p = 0.01). Female athletes (22.2 +/- 3.5 years) achieve success at a significantly younger age (p = 0.01) than their male counterparts (23.6 +/- 3.3 years). In the weight categories, female flyweights were significantly younger than those welterweights (p = 0.03) and heavyweight (p = 0.01); female featherweights were significantly younger than those heavyweights (p = 0.03). Male flyweights and featherweights were significantly younger than those welterweights and heavyweights (p = 0.01). When a taekwondo athlete won a medal several times, he/she did so within the same Olympic weight category group and won two medals in his/her career (p = 0.01). Multiple medallists of the lighter and heavier groups did not differ in the number of medals won but in the time span in which they won medals (p = 0.02). The resources deployed by stakeholders to achieve success in these competitions highlight an extremely competitive environment. In this sense, the information provided by this study can be relevant and translated into key elements.</t>
  </si>
  <si>
    <t>Quiñones Rodríguez, Yarisel/AEO-8584-2022; Herrera-Valenzuela, Tomas/L-1819-2019; Apollaro, Gennaro/HJP-0583-2023; Hernandez-Mendo, Antonio/B-4351-2011</t>
  </si>
  <si>
    <t>Herrera-Valenzuela, Tomas/0000-0002-5219-5896; Quinones Rodriguez, Yarisel/0000-0001-7357-373X; Apollaro, Gennaro/0000-0002-0427-037X; Hernandez-Mendo, Antonio/0000-0002-0002-1325</t>
  </si>
  <si>
    <t>10.3390/ijerph19031425</t>
  </si>
  <si>
    <t>WOS:000756027400001</t>
  </si>
  <si>
    <t>Coronado-Hernández, OE; Derpich, I; Fuertes-Miquel, VS; Coronado-Hernández, JR; Gatica, G</t>
  </si>
  <si>
    <t>Coronado-Hernandez, Oscar E.; Derpich, Ivan; Fuertes-Miquel, Vicente S.; Coronado-Hernandez, Jairo R.; Gatica, Gustavo</t>
  </si>
  <si>
    <t>Assessment of Steady and Unsteady Friction Models in the Draining Processes of Hydraulic Installations</t>
  </si>
  <si>
    <t>The study of draining processes without admitting air has been conducted using only steady friction formulations in the implementation of governing equations. However, this hydraulic event involves transitions from laminar to turbulent flow, and vice versa, because of the changes in water velocity. In this sense, this research improves the current mathematical model considering unsteady friction models. An experimental facility composed by a 4.36 m long methacrylate pipe was configured, and measurements of air pocket pressure oscillations were recorded. The mathematical model was performed using steady and unsteady friction models. Comparisons between measured and computed air pocket pressure patterns indicated that unsteady friction models slightly improve the results compared to steady friction models.</t>
  </si>
  <si>
    <t>Coronado, Oscar/AAR-7839-2020; Coronado-Hernandez, Jairo/AAB-2288-2021; derpich, ivan/T-1160-2019; gatica, gustavo/KXR-7308-2024; Fuertes-Miquel, Vicente S./I-2576-2015</t>
  </si>
  <si>
    <t>Coronado-Hernandez, Oscar E./0000-0002-6574-0857; Gustavo, Gatica/0000-0002-1816-6856; Derpich, Ivan/0000-0001-9759-7285; Fuertes-Miquel, Vicente S./0000-0003-3524-2555; Coronado-Hernandez, Jairo R./0000-0003-4360-6128</t>
  </si>
  <si>
    <t>10.3390/w13141888</t>
  </si>
  <si>
    <t>WOS:000676999600001</t>
  </si>
  <si>
    <t>Suárez-Reyes, M; Serrano, MM; Van den Broucke, S</t>
  </si>
  <si>
    <t>Suarez-Reyes, Monica; Munoz Serrano, Monica; Van den Broucke, Stephan</t>
  </si>
  <si>
    <t>Factors influencing the implementation of the Health Promoting University initiative: experiences of Ibero-American universities</t>
  </si>
  <si>
    <t>HEALTH PROMOTION INTERNATIONAL</t>
  </si>
  <si>
    <t>The Health Promoting University (HPU) concept encourages universities to incorporate health into the university context. HPU initiatives exist worldwide, yet information on how universities translate the HPU concept into actions is scarce. This study aimed to identify the factors influencing the implementation of HPU initiatives in Ibero-American universities. Semi-structured interviews were held with seventeen representatives of universities in Ibero-America that had implemented an HPU initiative. All interviewees had been involved in the initiative and had occupied a position of responsibility for at least 1 year before the study. The interviews were carried out remotely, and the data were analyzed using an inductive approach. The main factors influencing the implementation of an HPU initiative were political support by the university authorities, coordination structure, funding, collaboration inside and outside university and participation of the university community. Among them, political support by the university authorities was considered the most important, although some initiatives succeeded without it and managed to obtain support during the implementation process. This study is one of the first to investigate the factors influencing the implementation of the HPU concept. A better understanding of these factors would enable universities to address them to develop the HPU initiative in the best possible conditions.</t>
  </si>
  <si>
    <t>Suárez- Reyes, Mónica/GYE-3153-2022</t>
  </si>
  <si>
    <t>0957-4824</t>
  </si>
  <si>
    <t>1460-2245</t>
  </si>
  <si>
    <t>10.1093/heapro/daaa154</t>
  </si>
  <si>
    <t>WOS:000711692700014</t>
  </si>
  <si>
    <t>Firoozabadi, AD; Irarrazaval, P; Adasme, P; Zabala-Blanco, D; Durney, H; Sanhueza, M; Palacios-Jativa, P; Azurdia-Meza, C</t>
  </si>
  <si>
    <t>Firoozabadi, Ali Dehghan; Irarrazaval, Pablo; Adasme, Pablo; Zabala-Blanco, David; Durney, Hugo; Sanhueza, Miguel; Palacios-Jativa, Pablo; Azurdia-Meza, Cesar</t>
  </si>
  <si>
    <t>Multiresolution Speech Enhancement Based on Proposed Circular Nested Microphone Array in Combination with Sub-Band Affine Projection Algorithm</t>
  </si>
  <si>
    <t>Speech enhancement is one of the most important fields in audio and speech signal processing. The speech enhancement methods are divided into the single and multi-channel algorithms. The multi-channel methods increase the speech enhancement performance by providing more information with the use of more microphones. In addition, spatial aliasing is one of the destructive factors in speech enhancement strategies. In this article, we first propose a uniform circular nested microphone array (CNMA) for data recording. The microphone array increases the accuracy of the speech processing methods by increasing the information. Moreover, the proposed nested structure eliminates the spatial aliasing between microphone signals. The circular shape in the proposed nested microphone array implements the speech enhancement algorithm with the same probability for the speakers in all directions. In addition, the speech signal information is different in frequency bands, where the sub-band processing is proposed by the use of the analysis filter bank. The frequency resolution is increased in low frequency components by implementing the proposed filter bank. Then, the affine projection algorithm (APA) is implemented as an adaptive filter on sub-bands that were obtained by the proposed nested microphone array and analysis filter bank. This algorithm adaptively enhances the noisy speech signal. Next, the synthesis filters are implemented for reconstructing the enhanced speech signal. The proposed circular nested microphone array in combination with the sub-band affine projection algorithm (CNMA-SBAPA) is compared with the least mean square (LMS), recursive least square (RLS), traditional APA, distributed multichannel Wiener filter (DB-MWF), and multichannel nonnegative matrix factorization-minimum variance distortionless response (MNMF-MVDR) in terms of the segmental signal-to-noise ratio (SegSNR), perceptual evaluation of speech quality (PESQ), mean opinion score (MOS), short-time objective intelligibility (STOI), and speed of convergence on real and simulated data for white and colored noises. In all scenarios, the proposed method has high accuracy at different levels and noise types by the lower distortion in comparison with other works and, furthermore, the speed of convergence is higher than the compared researches.</t>
  </si>
  <si>
    <t>Palacios Játiva, Pablo/AAE-8235-2019; Dehghan Firoozabadi, Ali/AAD-4858-2019; Irarrazaval, Pablo/F-8232-2013; Sanhueza Olave, Miguel/JFS-4364-2023; Meza, Cesar/D-6948-2014; Adasme, Pablo/U-1735-2019</t>
  </si>
  <si>
    <t>Palacios, Pablo/0000-0002-3958-503X; Azurdia, Cesar/0000-0003-3461-4484; Adasme, Pablo/0000-0003-2500-3294; Dehghan Firoozabadi, Ali/0000-0002-6391-6863; Zabala-Blanco, David/0000-0002-5692-5673; Irarrazaval, Pablo/0000-0002-5186-2642</t>
  </si>
  <si>
    <t>10.3390/app10113955</t>
  </si>
  <si>
    <t>WOS:000543385900292</t>
  </si>
  <si>
    <t>Jeftanovic, A; Barrientos, M</t>
  </si>
  <si>
    <t>Jeftanovic, Andrea; Barrientos, Monica</t>
  </si>
  <si>
    <t>Colonization and resistance in Diamela Eltit's special forces: the cybercafe</t>
  </si>
  <si>
    <t>HISPAMERICA-REVISTA DE LITERATURA</t>
  </si>
  <si>
    <t>0363-0471</t>
  </si>
  <si>
    <t>WOS:000539460200004</t>
  </si>
  <si>
    <t>Castro, MA; Espejo, AP; Vargas, NM; Altbir, D; Allende, S; Carvalho-Santos, VL</t>
  </si>
  <si>
    <t>Castro, Mario A.; Espejo, Alvaro P.; Vargas, Nicolas M.; Altbir, Dora; Allende, Sebastian; Carvalho-Santos, Vagson L.</t>
  </si>
  <si>
    <t>New magnetic states in nanorings created by anisotropy gradients</t>
  </si>
  <si>
    <t>The magnetic energy of nanorings with variable anisotropy along their radius have been studied using analytical calculations and micromagnetic simulations. Based on the geometric characteristics of nanorings, four magnetic states are considered, looking to the relatively lower energy magnetization configuration as a function of anisotropy and geometry. Analytical phase diagrams with these states are presented showing that changes in the anisotropy yield the appearance of new magnetic states, here called meron and knot-like states, appear. Nevertheless, micromagnetic simulations evidence that the knot-like state can be interpreted as a vortex configuration with a magnetization that rotates around the border of the ring. The possibility of obtaining new magnetic states is interesting as from fundamental as from applied viewpoint.</t>
  </si>
  <si>
    <t>Castro, Mario/ABD-7776-2021; Vargas, Nicolas/AAP-5975-2020; Altbir, Dora/R-6781-2018; Carvalho-Santos, Vagson/E-8806-2013</t>
  </si>
  <si>
    <t>Vargas, Nicolas/0000-0002-9922-6311; Altbir, Dora/0000-0002-2945-4909; Carvalho-Santos, Vagson/0000-0002-2759-2152</t>
  </si>
  <si>
    <t>10.1016/j.jmmm.2019.03.118</t>
  </si>
  <si>
    <t>WOS:000468443500008</t>
  </si>
  <si>
    <t>González, HA; Matulich, J; Pino, M; Troncoso, R</t>
  </si>
  <si>
    <t>Gonzalez, Hernan A.; Matulich, Javier; Pino, Miguel; Troncoso, Ricardo</t>
  </si>
  <si>
    <t>Revisiting the asymptotic dynamics of General Relativity on AdS3</t>
  </si>
  <si>
    <t>The dual dynamics of Einstein gravity on AdS(3) supplemented with boundary conditions of KdV-type is identified. It corresponds to a two-dimensional field theory at the boundary, described by a novel action principle whose field equations are given by two copies of the potential modified KdV equation. The asymptotic symmetries then transmute into the global Noether symmetries of the dual action, giving rise to an infinite set of commuting conserved charges, implying the integrability of the system. Noteworthy, the theory at the boundary is non-relativistic and possesses anisotropic scaling of Lifshitz type.</t>
  </si>
  <si>
    <t>Troncoso, Ricardo/H-5051-2013; Pino, Miguel/G-7510-2015; Matulich, Javier/JQV-3525-2023; González, Hernán Alfredo/S-5915-2019; Gonzalez Leiva, Hernan Alfredo/K-2767-2017</t>
  </si>
  <si>
    <t>Gonzalez Leiva, Hernan Alfredo/0000-0001-7025-3116; Matulich, Javier/0000-0002-3558-9025; Troncoso, Ricardo/0000-0003-3659-1140; Pino, Miguel/0000-0002-7612-4515</t>
  </si>
  <si>
    <t>DEC 19</t>
  </si>
  <si>
    <t>10.1007/JHEP12(2018)115</t>
  </si>
  <si>
    <t>WOS:000454146700001</t>
  </si>
  <si>
    <t>Siginer, DA; Akyildiz, FT; Boutaous, M</t>
  </si>
  <si>
    <t>Siginer, Dennis A.; Akyildiz, F. Talay; Boutaous, Mhamed</t>
  </si>
  <si>
    <t>Thermally Developing Heat Transfer With Nonlinear Viscoelastic and Newtonian Fluids With Pressure-Dependent Viscosity</t>
  </si>
  <si>
    <t>JOURNAL OF HEAT TRANSFER-TRANSACTIONS OF THE ASME</t>
  </si>
  <si>
    <t>A semi-analytical solution of the thermal entrance problem with constant wall temperature for channel flow of Maxwell type viscoelastic fluids and Newtonian fluids, both with pressure dependent viscosity, is derived. A Fourier-Gauss pseudo-spectral scheme is developed and used to solve the variable coefficient parabolic partial differential energy equation. The dependence of the Nusselt number and the bulk temperature on the pressure coefficient is investigated for the Newtonian case including viscous dissipation. These effects are found to be closely interactive. The effect of the Weissenberg number on the local Nusselt number is explored for the Maxwell fluid with pressure-dependent viscosity. Local Nusselt number decreases with increasing pressure coefficient for both fluids. The local Nusselt number Nu for Newtonian fluid with pressure-dependent viscosity is always greater than Nu related to the viscoelastic Maxwell fluid with pressure-dependent viscosity.</t>
  </si>
  <si>
    <t>Akyildiz, Fahir/JWG-1446-2024</t>
  </si>
  <si>
    <t>Boutaous, M'hamed/0000-0002-3633-0736</t>
  </si>
  <si>
    <t>0022-1481</t>
  </si>
  <si>
    <t>1528-8943</t>
  </si>
  <si>
    <t>10.1115/1.4040153</t>
  </si>
  <si>
    <t>WOS:000447278700003</t>
  </si>
  <si>
    <t>Albarrán-Arriagada, F; Barrios, GA; Sanz, M; Romero, G; Lamata, L; Retamal, JC; Solano, E</t>
  </si>
  <si>
    <t>Albarran-Arriagada, F.; Alvarado Barrios, G.; Sanz, M.; Romero, G.; Lamata, L.; Retamal, J. C.; Solano, E.</t>
  </si>
  <si>
    <t>One-way quantum computing in superconducting circuits</t>
  </si>
  <si>
    <t>We propose a method for the implementation of one-way quantum computing in superconducting circuits. Measurement-based quantum computing is a universal quantum computation paradigm in which an initial cluster state provides the quantum resource, while the iteration of sequential measurements and local rotations encodes the quantum algorithm. Up to now, technical constraints have limited a scalable approach to this quantum computing alternative. The initial cluster state can be generated with available controlled-phase gates, while the quantum algorithm makes use of high-fidelity readout and coherent feedforward. With current technology, we estimate that quantum algorithms with above 20 qubits may be implemented in the path toward quantum supremacy. Moreover, we propose an alternative initial state with properties of maximal persistence and maximal connectedness, reducing the required resources of one-way quantum computing protocols.</t>
  </si>
  <si>
    <t>Alvarado, Gabriel/GLS-6513-2022; Solano, Enrique/C-2895-2017; Sanz, Mikel/W-8637-2019; Lamata, Lucas/B-2439-2009; Retamal, Juan/G-6425-2010; Romero, Guillermo/C-8245-2009; Sanz, Mikel/A-8731-2019; Lamata, Lucas/CAG-6488-2022</t>
  </si>
  <si>
    <t>Retamal Abarzua, Juan Carlos/0000-0002-7174-7879; Romero, Guillermo/0000-0003-2917-7814; SOLANO VILLANUEVA, ENRIQUE LEONIDAS/0000-0002-8602-1181; Sanz, Mikel/0000-0003-1615-9035; /0000-0002-8684-4209; Albarran-Arriagada, Francisco/0000-0001-8899-3673; Lamata, Lucas/0000-0002-9504-8685</t>
  </si>
  <si>
    <t>10.1103/PhysRevA.97.032320</t>
  </si>
  <si>
    <t>WOS:000427632500009</t>
  </si>
  <si>
    <t>Zúñiga, C; Oyarzún, DP; Martin-Transaco, R; Yáñez, M; Tello, A; Fuentealba, M; Cantero-López, P; Arratia-Pérez, R</t>
  </si>
  <si>
    <t>Zuniga, Cesar; Oyarzun, Diego P.; Martin-Transaco, Rudy; Yanez, Mauricio; Tello, Alejandra; Fuentealba, Mauricio; Cantero-Lopez, Plinio; Arratia-Perez, Ramiro</t>
  </si>
  <si>
    <t>Synthesis, characterization and relativistic DFT studies of fac-Re(CO)3(isonicotinicacid)2Cl complex</t>
  </si>
  <si>
    <t>In this work, new fac-Re(CO)(3)(PyCOOH)(2)Cl from isonicotinic acid ligand has been prepared. The complex was characterized by structural (single-crystal X-ray diffraction), elemental analysis and spectroscopic (FTIR, NMR, UV-vis spectroscopy) methods. DFT and TDDFT calculations were performed to obtain the electronic transitions involved in their UV-Vis spectrum. The excitation energies agree with the experimental results. The TDDFT calculations suggest that experimental mixed absorption bands at 270 and 314 nm could be assigned to (MLCT-LLCT)/MLCT transitions. Natural Bond Orbitals (NBO) approach has enabled studying the effects of bonding interactions. E(2) energies confirm the occurrence of ICT (Intra-molecular Charge Transfer) within the molecule. (C) 2017 Elsevier B.V. All rights reserved.</t>
  </si>
  <si>
    <t>Arratia-Perez, Ramiro/AAG-2648-2019; Oyarzun, Diego/MTF-4062-2025; Martin-Trasancos, Rudy/L-2791-2017; Fuentealba, Mauricio/F-3406-2011</t>
  </si>
  <si>
    <t>Zuniga, Cesar/0009-0004-8736-6861; Cantero-Lopez, Plinio/0000-0003-4090-9879; Martin-Trasanco, Rudy/0000-0001-6631-4238; Tello Zamorano, Alejandra/0000-0003-3271-0405; Fuentealba, Mauricio/0000-0002-2152-2102</t>
  </si>
  <si>
    <t>NOV 16</t>
  </si>
  <si>
    <t>10.1016/j.cplett.2017.09.065</t>
  </si>
  <si>
    <t>WOS:000413039700012</t>
  </si>
  <si>
    <t>Cañas, D; Herrera, EA; García-Herrera, C; Celentano, D; Krause, BJ</t>
  </si>
  <si>
    <t>Canas, Daniel; Herrera, Emilio A.; Garcia-Herrera, Claudio; Celentano, Diego; Krause, Bernardo J.</t>
  </si>
  <si>
    <t>Fetal Growth Restriction Induces Heterogeneous Effects on Vascular Biomechanical and Functional Properties in Guinea Pigs (Cavia porcellus)</t>
  </si>
  <si>
    <t>FRONTIERS IN PHYSIOLOGY</t>
  </si>
  <si>
    <t>Aim: Fetal growth restriction (FGR) is associated with a variety of cardiometabolic diseases in adulthood which could involve remodeling processes of the vascular walls that could start in the fetal period. However, there is no consensus whether this remodeling affects in a similar way the whole vascular system. We aimed to determine the effects of FGR on the vasoactive and biomechanical properties of umbilical and systemic vessels in fetal guinea pigs. Methods: FGR was induced by implanting ameroid occluders atmid-gestation in uterine arteries of pregnant guinea pigs, whilst the control group was exposed to simulated surgery. At the term of gestation, systemic arteries (aorta, carotid and femoral) and umbilical vessels were isolated to determine ex vivo contractile and biomechanical responses (stretch-stress until rupture) on a wire myograph, as well as opening angle and residual stresses. Histological characteristics in tissue samples were measured by van Gieson staining. Results: Aorta and femoral arteries from FGR showed an increased in biomechanical markers of stiffness (p &lt; 0.01), contractile capacity (p &lt; 0.05) and relative media thickness (p &lt; 0.01), but a reduced internal diameter (p &lt; 0.001), compared with controls. There were no differences in the biomechanical properties of carotid and umbilical from control and FGR fetuses, but FGR umbilical arteries had a decreased contractile response to KCl (p &lt; 0.05) along with a reduced relative media thickness (p &lt; 0.05). Conclusion: Altogether, these changes in functional, mechanical and morphological properties suggest that FGR is associated with a heterogeneous pro-constrictive vascular remodeling affecting mainly the lower body fetal arteries. These effects would be set during a pathologic pregnancy in order to sustain the fetal blood redistribution in the FGR and may persist up to adulthood increasing the risk of a cardiovascular disease.</t>
  </si>
  <si>
    <t>Celentano, Diego/JQW-5027-2023; García-Herrera, Claudio/ABE-8991-2020; Herrera, Emilio A/H-5992-2018; Krause, Bernardo/F-4977-2013</t>
  </si>
  <si>
    <t>Garcia-Herrera, Claudio/0000-0002-1283-8551; Herrera, Emilio A/0000-0002-6342-085X; Krause, Bernardo/0000-0002-3563-6143</t>
  </si>
  <si>
    <t>1664-042X</t>
  </si>
  <si>
    <t>10.3389/fphys.2017.00144</t>
  </si>
  <si>
    <t>WOS:000395918100001</t>
  </si>
  <si>
    <t>Aranda, C; Wandalsen, G; Moraes; Dela Bianca, AC; Lamenha; Mallol, J; Sole, D</t>
  </si>
  <si>
    <t>Aranda, C.; Wandalsen, G.; Moraes, L.; Dela Bianca, A. C.; Lamenha, M.; Mallol, J.; Sole, D.</t>
  </si>
  <si>
    <t>ALLERGY</t>
  </si>
  <si>
    <t>Meeting of the European-Academy-of-Allergy-and-Clinical-Immunology</t>
  </si>
  <si>
    <t>JUN 11-15, 2016</t>
  </si>
  <si>
    <t>Vienna, AUSTRIA</t>
  </si>
  <si>
    <t>European Acad Allergy &amp; Clin Immunol</t>
  </si>
  <si>
    <t>Solé, Dirceu/JAO-0340-2023; Wandalsen, Gustavo/D-8412-2013</t>
  </si>
  <si>
    <t>0105-4538</t>
  </si>
  <si>
    <t>1398-9995</t>
  </si>
  <si>
    <t>WOS:000383679802162</t>
  </si>
  <si>
    <t>Moebius, MG; Herrera, F; Griesse-Nascimento, S; Reshef, O; Evans, CC; Guerreschi, GG; Aspuru-Guzik, A; Mazur, E</t>
  </si>
  <si>
    <t>Moebius, Michael G.; Herrera, Felipe; Griesse-Nascimento, Sarah; Reshef, Orad; Evans, Christopher C.; Guerreschi, Gian Giacomo; Aspuru-Guzik, Alan; Mazur, Eric</t>
  </si>
  <si>
    <t>Efficient photon triplet generation in integrated nanophotonic waveguides</t>
  </si>
  <si>
    <t>Generation of entangled photons in nonlinear media constitutes a basic building block of modern photonic quantum technology. Current optical materials are severely limited in their ability to produce three or more entangled photons in a single event due to weak nonlinearities and challenges achieving phase-matching. We use integrated nanophotonics to enhance nonlinear interactions and develop protocols to design multimode waveguides that enable sustained phase-matching for third-order spontaneous parametric down-conversion (TOSPDC). We predict a generation efficiency of 0.13 triplets/s/mW of pump power in TiO2-based integrated waveguides, an order of magnitude higher than previous theoretical and experimental demonstrations. We experimentally verify our device design methods in TiO2 waveguides using third-harmonic generation (THG), the reverse process of TOSPDC that is subject to the same phase-matching constraints. We finally discuss the effect of finite detector bandwidth and photon losses on the energy-time coherence properties of the expected TOSPDC source. (C) 2016 Optical Society of America</t>
  </si>
  <si>
    <t>Mazur, Eric/B-8918-2009; Aspuru-Guzik, Alan/A-4984-2008; Herrera, Felipe/KHD-8453-2024; Evans, Christopher/H-5900-2013; Moebius, Michael/L-8051-2016; Reshef, Orad/AAN-2663-2020</t>
  </si>
  <si>
    <t>Reshef, Orad/0000-0001-9818-8491; Mazur, Eric/0000-0003-3194-9836</t>
  </si>
  <si>
    <t>10.1364/OE.24.009932</t>
  </si>
  <si>
    <t>WOS:000375259600076</t>
  </si>
  <si>
    <t>Valencia, P; Manzur, J; García, AM; Paredes-García, V; Cardoso-Gil, R; Schnelle, W; Kniep, R; Fuentealba, P; Venegas-Yazigi, D; Spodine, E</t>
  </si>
  <si>
    <t>Valencia, P.; Manzur, J.; Garcia, A. M.; Paredes-Garcia, V.; Cardoso-Gil, R.; Schnelle, W.; Kniep, R.; Fuentealba, P.; Venegas-Yazigi, D.; Spodine, E.</t>
  </si>
  <si>
    <t>MAGNETIC BEHAVIOR OF LAMELLAR MnPS3 AND CdPS3 COMPOSITES WITH A PARAMAGNETIC MANGANESE(III) MACROCYCLIC GUEST</t>
  </si>
  <si>
    <t>Six new composites derived from the intercalation of the MPS3 phases (M = MnII, CdII) with the macrocyclic manganese(III) complex [MnL(H2O)(2)].NO3(H2O) (LH2 = Schiff base macrocyclic ligand derived from the condensation of 2-hydroxy-5-methyl-1,3-benzene-dicarbaldehyde and 1,2-diamine-benzene) were obtained by two different synthetic procedures: a conventional and a microwave assisted method. The composites [MnL](0.25)K0.15Mn0.80PS3(H2O)(-1.0) (1), and [MnL](0.25)K0.15Cd0.80PS3( H2O)(-0.5) (2) were obtained by the conventional method, after stirring a suspension of the corresponding potassium precursor and the macrocyclic complex for two weeks, while [MnL](0.35)K0.05Mn0.80PS3(H2O)(-1.0) (3) and [MnL] 0.25K0.15Cd0.80PS3(H2O)(-0.5) (4) after stirring for four weeks at room temperature. Using a microwave assisted reaction permitted to obtain in a shorter period of time as compared with the conventional method, composites [MnL](0.20)K0.20Mn0.80PS3(H2O)(-1.0) (5) and [MnL](0.15)K0.25Cd0.80PS3(H2(O))(-0.5) (6). All the MnIII/MnIII composites show a bulk antiferromagnetic behavior. However, the spontaneous magnetization present at low temperature in the potassium precursor K0.40Mn0.80PS3(H2O)(-1.0) is observable in composite [MnL](0.20)K0.20Mn0.80PS3(H2O)(-1.0) (5), while it is completely absent in composites [MnL](0.25)K0.15Mn0.80PS3(H2O)(-1.0) (1) and [MnL](0.35)K0.05Mn0.80PS3(H2O)(-1.0) (3).</t>
  </si>
  <si>
    <t>Paredes-Garcia, Veronica/C-4415-2011; MILIAR-GARCIA, ANGEL/MIO-5353-2025; Manzur, Jorge/H-3824-2013; Venegas-Yazigi, Diego/C-5022-2009</t>
  </si>
  <si>
    <t>Fuentealba, Pablo/0000-0003-0581-1243; Venegas-Yazigi, Diego/0000-0001-7816-2841; Schnelle, Walter/0009-0007-0136-7268; Valencia Galvez, Paulina/0000-0002-7283-064X; Kniep, Rudiger/0000-0003-0679-5468</t>
  </si>
  <si>
    <t>10.4067/S0717-97072013000400008</t>
  </si>
  <si>
    <t>WOS:000331238800004</t>
  </si>
  <si>
    <t>Piqueras, JA; Kuhne, W; Vera-Villarroel, P; van Straten, A; Cuijpers, P</t>
  </si>
  <si>
    <t>Piqueras, Jose A.; Kuhne, Walter; Vera-Villarroel, Pablo; van Straten, Annemieke; Cuijpers, Pim</t>
  </si>
  <si>
    <t>Happiness and health behaviours in Chilean college students: A cross-sectional survey</t>
  </si>
  <si>
    <t>BMC PUBLIC HEALTH</t>
  </si>
  <si>
    <t>Background: Happiness has been associated with a range of favourable health outcomes through two pathways: its relationship with favourable biological responses to stress and with healthy lifestyles and prudent health behaviours. There are a substantial number of cross-cultural studies about happiness, but none of them has studied the association of happiness with perceived stress and health behaviours in Latin American samples. Therefore, the aim of this study was to examine the association between general happiness and these variables in a Latin American sample. Methods: We conducted a survey to examine the status of 3461 students aged between 17 and 24 years old (mean age = 19.89; SD = 1.73) who attended University of Santiago de Chile during 2009. The healthy behaviours indexes assessed were the frequency of daily physical exercise, fruits/vegetables intake, breakfast and lunch intake, smoking, alcohol and other drugs consumption. We also included the assessment of perceived stress and Body Mass Index. All of them were evaluated using a self-report questionnaire. Results: The univariate and multivariate binary logistic regression analyses showed that being female and younger was related to a higher happiness, as well as that people self-reporting daily physical activity, having lunch and fruits and vegetables each day had a higher likelihood (OR between 1.33 and 1.40) of being classified as very happy. Those who informed felt stressed in normal circumstances and during tests situations showed a lower likelihood (0.73 and 0.82, respectively) of being considered very happy. Regarding drug consumption, taking tranquilizers under prescription was negative related to subjective happiness (OR = 0.62), whereas smoking was positive associated (OR = 1.20). Conclusions: The findings of this study mainly support the relationship between happiness and health outcomes through the two pathways previously mentioned. They also underscore the importance of that some healthy behaviours and person's cognitive appraisal of stress are integrated into their lifestyle for college students. Additionally, highlight the importance of taking into account these variables in the design of strategies to promote health education in university setting.</t>
  </si>
  <si>
    <t>van Straten, Annemieke/P-8495-2019; Cuijpers, Pim/G-1703-2013; Vera-Villarroel, Pablo/A-1134-2011; Piqueras, Jose A/C-6011-2011</t>
  </si>
  <si>
    <t>Vera-Villarroel, Pablo/0000-0001-9187-8414; van Straten, Annemieke/0000-0001-6875-2215; Piqueras, Jose A/0000-0002-3604-5441; Cuijpers, Pim/0000-0001-5497-2743</t>
  </si>
  <si>
    <t>1471-2458</t>
  </si>
  <si>
    <t>JUN 7</t>
  </si>
  <si>
    <t>10.1186/1471-2458-11-443</t>
  </si>
  <si>
    <t>WOS:000292165800001</t>
  </si>
  <si>
    <t>Valdevenito, F; García, R; Escalona, N; Gil-Llambias, FJ; Rasmussen, SB; López-Agudo, A</t>
  </si>
  <si>
    <t>Valdevenito, F.; Garcia, R.; Escalona, N.; Gil-Llambias, F. J.; Rasmussen, S. B.; Lopez-Agudo, A.</t>
  </si>
  <si>
    <t>Ni//Mo synergism via hydrogen spillover, in pyridine hydrodenitrogenation</t>
  </si>
  <si>
    <t>CATALYSIS COMMUNICATIONS</t>
  </si>
  <si>
    <t>The pyridine hydrodenitrogenation (HDN) over physically separated stacked Ni//Mo beds was investigated using a continuous-flow high pressure (3 MPa) stainless steel microreactor. Results prove the existence of synergism between physically separated beds of Ni-/gamma-Al2O3 and Mo/gamma-Al2O3 catalysts for the pyridine hydrodenitrogenation reaction. This synergism is explained by the formation of hydrogen spillover. Product analysis of the pyridine hydrodenitrogenation over Ni//Mo stacked beds suggested that the hydrogen spillover modified the active sites of the MoS2 by increasing the hydrogenation sites. (C) 2010 Elsevier B.V. All rights reserved.</t>
  </si>
  <si>
    <t>Escalona, Nestor/F-3593-2016; Rasmussen, Søren/G-9996-2011</t>
  </si>
  <si>
    <t>Escalona Burgos, Nestor/0000-0002-2628-4609; valdebenito escobar, fabiola alejandra/0000-0001-8351-2703; valdebenito, fabiola/0000-0001-7691-6064</t>
  </si>
  <si>
    <t>1566-7367</t>
  </si>
  <si>
    <t>1873-3905</t>
  </si>
  <si>
    <t>AUG 25</t>
  </si>
  <si>
    <t>10.1016/j.catcom.2010.06.002</t>
  </si>
  <si>
    <t>WOS:000281221500012</t>
  </si>
  <si>
    <t>Milán, Z; Montalvo, S; Ruiz-Tagle, N; Urrutia, H; Chamy, R; Sánchez, E; Borja, R</t>
  </si>
  <si>
    <t>Milan, Z.; Montalvo, S.; Ruiz-Tagle, N.; Urrutia, H.; Chamy, R.; Sanchez, E.; Borja, R.</t>
  </si>
  <si>
    <t>Influence of heavy metal supplementation on specific methanogenic activity and microbial communities detected in batch anaerobic digesters</t>
  </si>
  <si>
    <t>Natural and modified zeolites (0.5-1.0 mm) from the Tasajera deposit in Cuba were used to enhance the anaerobic digestion process of synthetic substrates. Natural zeolites were modified by ionic exchange and by adsorption with nickel, cobalt and magnesium. The experiments were carried out by using an inoculum from a full-scale anaerobic reactor treating winery wastewater. Modified natural zeolites not only enhanced the anaerobic digestion process, but also increased the specific methanogenic activity (SMA) of the sludges. The textural and chemical surface characteristics of the modified zeolites were related to the process performance, volatile fatty acid (VFA) production and microbial communities found in the digesters. For the selected dose of modified zeolites [0.05 g/g of volatile suspended solids (VSS)], the lowest concentration was found for cobalt followed by nickel and magnesium. Based on the analyses of anaerobic biofilms, the heavy metal incorporated into the zeolite was shown to have a great influence on the predominance of species. For example, the presence of nickel and cobalt favoured Methanosaeta, while at the same dose magnesic zeolite stimulated the presence of Methanosarcina and sulfate-reducing bacteria (SRB). In digesters with modified zeolites and metal supplementations the values of SMA were higher than those obtained in the control and natural zeolite digesters.</t>
  </si>
  <si>
    <t>Chamy, Rolando/M-3124-2014; RUIZ-TAGLE, NATHALY/K-7781-2017; Borja, Rafael/P-5314-2016</t>
  </si>
  <si>
    <t>Chamy, Rolando/0000-0001-8718-9173; Borja, Rafael/0000-0002-3699-7223; RUIZ-TAGLE, NATHALY/0000-0002-8595-5206</t>
  </si>
  <si>
    <t>PII 924739908</t>
  </si>
  <si>
    <t>10.1080/10934529.2010.500878</t>
  </si>
  <si>
    <t>WOS:000280283600002</t>
  </si>
  <si>
    <t>Lavín, R; Denardin, JC; Escrig, J; Altbir, D; Cortés, A; Gómez, H</t>
  </si>
  <si>
    <t>Lavin, R.; Denardin, J. C.; Escrig, J.; Altbir, D.; Cortes, A.; Gomez, H.</t>
  </si>
  <si>
    <t>Angular dependence of magnetic properties in Ni nanowire arrays</t>
  </si>
  <si>
    <t>The angular dependence of the remanence and coercivity of Ni nanowire arrays produced inside the pores of anodic alumina membranes has been studied. By comparing our analytical calculations with our measurements, we conclude that the magnetization reversal in this array is driven by means of the nucleation and propagation of a transverse wall. A simple model based on an adapted Stoner-Wohlfarth model is used to explain the angular dependence of the coercivity. (C) 2009 American Institute of Physics. [doi:10.1063/1.3257242]</t>
  </si>
  <si>
    <t>Denardin, Juliano/S-6407-2019; Escrig, Juan/N-4304-2015; Altbir, Dora/R-6781-2018</t>
  </si>
  <si>
    <t>Denardin, Juliano/0000-0002-1373-6207; Gomez Meier, Carlos Humberto/0000-0002-9659-4215; Escrig, Juan/0000-0002-3958-8185; Altbir, Dora/0000-0002-2945-4909</t>
  </si>
  <si>
    <t>NOV 15</t>
  </si>
  <si>
    <t>10.1063/1.3257242</t>
  </si>
  <si>
    <t>WOS:000272932300060</t>
  </si>
  <si>
    <t>Stepanova, M; Vucina-Parga, T; Antonova, E; Ovchinnikov, I; Yermolaev, Y</t>
  </si>
  <si>
    <t>Variation of the plasma turbulence in the central plasma sheet during substorm phases observed by the interball/tail satellite</t>
  </si>
  <si>
    <t>7th Latin-American Conference on Space Geophysics</t>
  </si>
  <si>
    <t>MAR 29-APR 02, 2004</t>
  </si>
  <si>
    <t>Atibaia, BRAZIL</t>
  </si>
  <si>
    <t>CAPES,CLAF,COSPAR,CNPq,FAPESP,FINEP,ICTP,SBGF</t>
  </si>
  <si>
    <t>Fluctuations of the plasma bulk velocity across the plasma sheet are studied using single-point measurements from the Corall instrument on board the Interball/Tail satellite. Several hour-long intervals of continuous data corresponding to quiet geomagnetic conditions and different phases of isolated substorms are analyzed. The plasma sheet flow appears to be strongly turbulent, i.e. dominated by fluctuations that are unpredictable. Corresponding eddy diffusion coefficients were obtained as a function of the autocorrelation time and rms velocity of the fluctuations. It was found that the amplitude of the turbulence and the values of eddy-diffusion coefficients increase significantly during substorm growth and expansion phases and they decrease to their initial level during the recovery phase. We also studied a relationship between the eddy-diffusion coefficients and the absolute value of the geomagnetic field, also measured by the Interball/Tail satellite. It was found that this relationship varies depending on the phase of substorm, indicating possible change in the turbulence regimen with substorm phase. (c) 2005 Elsevier Ltd. All rights reserved.</t>
  </si>
  <si>
    <t>Yermolaev, Yuri/K-5759-2012; Ovchinnikov, Ilya/B-1467-2014; Stepanova, Marina/D-6329-2011; Antonova, Elizaveta/A-2716-2012</t>
  </si>
  <si>
    <t>Ovchinnikov, Ilya/0000-0003-2509-8166; Stepanova, Marina/0000-0002-1053-3375; Antonova, Elizaveta/0000-0001-6980-3993</t>
  </si>
  <si>
    <t>17-18</t>
  </si>
  <si>
    <t>10.1016/j.jastp.2005.01.013</t>
  </si>
  <si>
    <t>WOS:000234449000025</t>
  </si>
  <si>
    <t>Fudym, O; Batsale, JC; Santander, R; Bubnovich, V</t>
  </si>
  <si>
    <t>Analytical solution of coupled diffusion equations in semi-infinite media</t>
  </si>
  <si>
    <t>Some analytical solutions of the one dimensional transient coupled heat and mass transfer linear equations in a semi-infinite medium are proposed, based on an extension of the thermal quadrupole formalism, in both a-vial and radial coordinate systems. A direct relationship is proposed between the local temperature and moisture content, both at wall and inner locations. For a previous characterized medium, these relationships seem to be relevant in order to deduce the moisture content from temperature measurements. Another application would be the transport parameters estimation.</t>
  </si>
  <si>
    <t>10.1115/1.1731317</t>
  </si>
  <si>
    <t>WOS:000222301500020</t>
  </si>
  <si>
    <t>FERRAUDI, G; FELIZ, M; WOLCAN, E; HSU, I; MOYA, SA; GUERRERO, J</t>
  </si>
  <si>
    <t>TEMPERATURE EFFECTS ON THE LUMINESCENCE OF RE(I) COMPLEXES - ON THE COMPETITIVE RELAXATIONS OF 2 ELECTRONIC STATES</t>
  </si>
  <si>
    <t>JOURNAL OF PHYSICAL CHEMISTRY</t>
  </si>
  <si>
    <t>Emission spectra and luminescence rates of Re(CO)(3)L(2)X (L(2) = pyridine: or bisquinoline derivatives, X = halide) have been measured in various media at temperatures between 298 and 77 K. The emission has been associated with parallel relaxations of two excited states: an intraligand state and a metal-to-ligand charge-transfer state. Rates of emission correlate with the excited state - ground state energy gap. Mechanisms mixing intraligand with charge-transfer states are proposed as means to explain the dependence of the emission rate on temperature.</t>
  </si>
  <si>
    <t>Wolcan, Ezequiel/0000-0003-3516-1632</t>
  </si>
  <si>
    <t>0022-3654</t>
  </si>
  <si>
    <t>APR 6</t>
  </si>
  <si>
    <t>10.1021/j100014a010</t>
  </si>
  <si>
    <t>WOS:A1995QR22800010</t>
  </si>
  <si>
    <t>Bachelet, VC; Jiménez-Paneque, R; Muñoz, S; Gomolán, P; Sánchez, A; Silva-Ayarza, I; Nitsche, ML</t>
  </si>
  <si>
    <t>Bachelet, Vivienne C.; Jimenez-Paneque, Rosa; Munoz, Sergio; Gomolan, Patricio; Sanchez, Amanda; Silva-Ayarza, Ignacio; Nitsche, Mercedes Lopez</t>
  </si>
  <si>
    <t>Translation and cultural adaptation of the Long Coronavirus Disease (COVID) Symptom and Impact Tools for the Chilean population</t>
  </si>
  <si>
    <t>INTRODUCTION The Long Coronavirus Disease (COVID) Symptom and Impact Tools (ST and IT) were published in English in 2022 to monitor the symptoms and impact of persistent COVID-19. ST includes 53 symptoms selected by the patient. IT includes six aspects of life that the patient must rate from 1 to 10 points. We aim to report the results of the cultural adaptation of both instruments for the Chilean population, together with the content validity of the adapted instrument. METHODS The cultural adaptation was carried out in five steps: 1) translation from English to Spanish, 2) synthesis, 3) back- translation, 4) review by the editorial board, and 5) testing the questionnaire with ten patients; they answered both questionnaires and seven questions assessing their understanding of the TI and their opinion on whether the instrument reflected the impact of prolonged COVID-19 on their lives. The content validity of the final version of the IT was assessed by 14 experts. RESULTS The main outcome is the two final questionnaires adapted for use in Chile. Most patients responded with the best concept or approval for all items. Content validity showed acceptable results, with an average content validity index of 0.9 and Aiken's V for the relevance of the questionnaire in general of 0.83 (95% CI 0.69 to 0.92). For one item, Aiken's V was less than 0.7 (95% CI 0.5 to 0.8). CONCLUSIONS This study provides Chilean health authorities and health providers with an instrument for assessing the impact of prolonged COVID-19 on core aspects of people's lives.</t>
  </si>
  <si>
    <t>Bachelet, Vivienne/JAN-7158-2023; Silva Ayarza, Ignacio/KYQ-4699-2024</t>
  </si>
  <si>
    <t>Silva Ayarza, Ignacio/0000-0002-6996-3695; Bachelet, Vivienne C./0000-0002-5715-9755; Gomolan, Patricio/0000-0003-0722-4624; Lopez, Mercedes/0000-0002-1744-2038</t>
  </si>
  <si>
    <t>e2992</t>
  </si>
  <si>
    <t>10.5867/medwave.2024.10.2992</t>
  </si>
  <si>
    <t>WOS:001380965500004</t>
  </si>
  <si>
    <t>Droguett, C; Salazar, R; Brillas, E; Sirés, I; Carlesi, C; Marco, JF; Thiam, A</t>
  </si>
  <si>
    <t>Droguett, Constanza; Salazar, Ricardo; Brillas, Enric; Sires, Ignasi; Carlesi, Carlos; Marco, Jose F.; Thiam, Abdoulaye</t>
  </si>
  <si>
    <t>Treatment of antibiotic cephalexin by heterogeneous electrochemical Fenton-based processes using chalcopyrite as sustainable catalyst</t>
  </si>
  <si>
    <t>The development of heterogeneous Fenton-based electrochemical advanced oxidation processes is important for the removal of organic pollutants at industrial level in the near future. This work reports the application of heterogeneous photoelectro-Fenton (HPEF) with UVA light as an enhanced alternative to the more widespread heterogeneous electro-Fenton (HEF) process. The treatment of the antibiotic cephalexin using chalcopyrite as a sustainable catalyst was studied using an undivided IrO2/air-diffusion cell. XPS analysis showed the presence of Fe(III), Cu(I) and Cu(II) species on the surface. The amount of Fe2+ ions dissolved upon chalcopyrite exposure to continuous stirring and air bubbling was proportional to chalcopyrite content. In all cases, the occurrence of pH self-regulation to an optimum value near 3 was observed. The HEF and HPEF treatments of 100 mL of 50 mg L-1 cephalexin solutions with 0.050 M Na2SO4 have been studied with 1.0 g L-1 chalcopyrite at 50 mA cm(-2). Comparative homogeneous EF and PEF with dissolved Fe2+ and Cu2+ catalysts were also performed. HPEF was the most effective process, which can be mainly explained by the larger production of homogeneous and heterogeneous center dot OH and the photodegradation of the complexes formed between iron and organics. The effect of applied current and catalyst concentration on HPEF performance was assessed. Recycling experiments showed a long-term stability of chalcopyrite. Seven initial aromatics and six cyclic by-products of cephalexin were identified, and a plausible degradation route that also includes five final carboxylic acids is proposed. (C) 2020 Elsevier B.V. All rights reserved.</t>
  </si>
  <si>
    <t>Salazar, Ricardo/L-7870-2013; Marco, JF/N-3176-2014; Thiam, Abdoulaye/X-4067-2018; Sires Sadornil, Ignacio/C-7054-2013</t>
  </si>
  <si>
    <t>Marco, JF/0000-0002-5147-1449; Salazar-Gonzalez, Ricardo/0000-0003-2180-6022; Thiam, Abdoulaye/0000-0001-5024-1855; Sires Sadornil, Ignacio/0000-0001-5508-1774</t>
  </si>
  <si>
    <t>OCT 20</t>
  </si>
  <si>
    <t>10.1016/j.scitotenv.2020.140154</t>
  </si>
  <si>
    <t>WOS:000573830800006</t>
  </si>
  <si>
    <t>Ponce, HR; Mayer, RE; Sitthiworachart, J; Lopez, MJ</t>
  </si>
  <si>
    <t>Ponce, Hector R.; Mayer, Richard E.; Sitthiworachart, Jirarat; Lopez, Mario J.</t>
  </si>
  <si>
    <t>Effects on response time and accuracy of technology-enhanced cloze tests: an eye-tracking study</t>
  </si>
  <si>
    <t>ETR&amp;D-EDUCATIONAL TECHNOLOGY RESEARCH AND DEVELOPMENT</t>
  </si>
  <si>
    <t>The transition from paper-based tests to corresponding computer-administered tests allows for the incorporation of improved interfaces that support response making. The main research question is whether innovative interfaces affect test response time and/or response accuracy. This study compared performance on banked cloze tests using a conventional interface (based on paper-based formats for responding by writing a number in a box) versus cloze tests with improved interfaces (based on computer-based affordances such as dragging and dropping responses to fill in a blank). In a banked cloze test, the left side of the page shows a text with words deleted and replaced with blanks that are numbered, and the right side shows the word list with a space to write in the corresponding number. In Experiment 1, 56 fourth graders in the conventional group responded more slowly but just as accurately, and spent more time looking at the word list on the right of the screen but spent equivalent time looking at the text as compared to a group that took the test with an improved interface. In Experiment 2, the same pattern of results was replicated with 148 sixth graders and for each of three versions of improved interfaces as compared to the conventional interface. Results support the idea that the improved interface affected the response execution phase but not the response development phase of performance on the cloze test.</t>
  </si>
  <si>
    <t>Ponce, Hector/H-9545-2019; Mayer, Richard/ACN-3384-2022; Sitthiworachart, Jirarat/ABE-0850-2022</t>
  </si>
  <si>
    <t>Lopez, Mario/0000-0003-0909-7702; Ponce, Hector R./0000-0002-7984-3945</t>
  </si>
  <si>
    <t>1042-1629</t>
  </si>
  <si>
    <t>1556-6501</t>
  </si>
  <si>
    <t>10.1007/s11423-020-09740-1</t>
  </si>
  <si>
    <t>WOS:000572467500003</t>
  </si>
  <si>
    <t>Cañas, D; García-Herrera, CM; Herrera, EA; Celentano, DJ; Krause, BJ</t>
  </si>
  <si>
    <t>Canas, Daniel; Garcia-Herrera, Claudio M.; Herrera, Emilio A.; Celentano, Diego J.; Krause, Bernardo J.</t>
  </si>
  <si>
    <t>Mechanical characterization of arteries affected by fetal growth restriction in guinea pigs (Cavia porcellus)</t>
  </si>
  <si>
    <t>Fetal growth restriction (FGR) is a perinatal condition associated with a low birth weight that results mainly from maternal and placental constrains. Newborns affected by this condition are more likely to develop in the long term cardiovascular diseases whose origins would be in an altered vascular structure and function defined during fetal development. Thus, this study presents the modeling and numerical simulation of systemic vessels from guinea pig fetuses affected by FGR. We aimed to characterize the biomechanical properties of the arterial wall of FGR-derived the aorta, carotid, and femoral arteries by performing ring tensile and ring opening tests and, based on these data, to simulate the biomechanical behavior of FGR vessels under physiological conditions. The material parameters were first obtained from the experimental data of the ring tensile test. Then, the residual stresses were determined from the ring opening test and taken as initial stresses in the simulation of the ring tensile test. These two coupled steps are iteratively considered in a nonlinear least-squares algorithm to obtain the final material parameters. Then, the stress distribution changes along the arterial wall under physiological pressure were quantified using the adjusted material parameters. Overall, the obtained results provide a realistic approximation of the residual stresses and the changes in the mechanical behavior under physiological conditions.</t>
  </si>
  <si>
    <t>10.1016/j.jmbbm.2018.08.010</t>
  </si>
  <si>
    <t>WOS:000448090700010</t>
  </si>
  <si>
    <t>Poblete-Aro, C; Russell-Guzmán, J; Parra, P; Soto-Muñoz, M; Villegas-Gonzalez, B; Cofré-Bolados, C; Herrera-Valenzuela, T</t>
  </si>
  <si>
    <t>Poblete-Aro, Carlos; Russell-Guzman, Javier; Parra, Pablo; Soto-Munoz, Marcelo; Villegas-Gonzalez, Bastian; Cofre-Bolados, Cristian; Herrera-Valenzuela, Tomas</t>
  </si>
  <si>
    <t>Exercise and oxidative stress in type 2 diabetes mellitus</t>
  </si>
  <si>
    <t>Sedentarism, overweight and malnutrition generate an increase in the production of reactive oxygen species leading to a state of chronic oxidative stress. In patients with type 2 diabetes mellitus, oxidative stress alters pancreatic insulin secretion and the actions of the hormone on target cells, contributing to the development of micro and macrovascular complications. During physical exertion a state of transient oxidative stress occurs. As a consequence, the organism generates multiple physiological adaptations to these repetitive stimuli. Physical exercise is beneficial for type 2 diabetes mellitus but there is a paucity of information about the effects of physical exercise on biomarkers of oxidative stress in patients with the disease. We herein try to elucidate if the effects of exercise on oxidative stress can help in the prevention and treatment of type 2 diabetes mellitus and which is the most effective modality of physical exercise to reduce oxidative stress markers.</t>
  </si>
  <si>
    <t>Poblete, Carlos/HOF-8260-2023; Herrera-Valenzuela, Tomas/L-1819-2019</t>
  </si>
  <si>
    <t>Russell-Guzman, Javier/0000-0003-4452-9312; Parra-Flores, Pablo/0009-0001-7242-0050; Poblete-Aro, Carlos/0000-0001-9554-3996</t>
  </si>
  <si>
    <t>10.4067/s0034-98872018000300362</t>
  </si>
  <si>
    <t>WOS:000436068000012</t>
  </si>
  <si>
    <t>Dorta, E; Aspée, A; Pino, E; González, L; Lissi, E; López-Alarcón, C</t>
  </si>
  <si>
    <t>Dorta, E.; Aspee, A.; Pino, E.; Gonzalez, L.; Lissi, E.; Lopez-Alarcon, C.</t>
  </si>
  <si>
    <t>Controversial alkoxyl and peroxyl radical scavenging activity of the tryptophan metabolite 3-hydroxy-anthranilic acid</t>
  </si>
  <si>
    <t>BIOMEDICINE &amp; PHARMACOTHERAPY</t>
  </si>
  <si>
    <t>3-Hydroxy-anthranilic acid (3-OHAA), a tryptophan metabolite produced in the kynurenine pathway, is an efficient antioxidant towards peroxyl radicals (ROO center dot) derived from the AAPH (2,20-azobis(2-amidinopropane) dihydrochloride) thermolysis. However, self-reactions of ROO center dot can give rise to alkoxyl radicals (RO center dot), which could strongly affect the fate of scavenging reactions. In the present work, we studied the influence of RO center dot in the scavenging activity of 3-OHAA in three different systems: i) Monitoring of the direct reaction between 3-OHAA and AAPH-derived free radicals (kinetic studies); ii) Evaluation of the protective effect of 3-OHAA on the AAPH-induced consumption of fluorescein; and, iii) Inhibition, given by 3-OHAA, of the AAPH-initiated lipid peroxidation of both, rat brain synaptosomes and homogenate preparations (assessed by chemiluminescence). For such purposes, the fraction of free radicals (f) trapped per 3-OHAA molecule was determined in each system. Kinetic results show that the oxidation of 3-OHAA follows a process dominated by ROO center dot with a zero order kinetic limit in 3-OHAA, and a fraction (f(ri)) equal to 0.88. From the induction times, elicited by 3-OHAA in the kinetic profiles of fluorescein consumption, a fraction (f(T)) of 0.28 was determined. 3-OHAA also generated induction times in the kinetic profiles of light emission during the AAPH-initiated lipid peroxidation of rat brain synaptosomes and homogenates. From such induction times, fractions of 0.61 and 0.63 were determined for rat brain synaptosomes (f(syn)) and homogenates (f(hom)), respectively. These results show that during the incubation of 3-OHAA and AAPH, a low fraction of ROO center dot self-reacts to generate RO center dot. Nevertheless, when 3-OHAA is employed to protect particular targets, such as fluorescein, rat brain synaptosomes and homogenates, reactions of ROO center dot and/or RO center dot should be considered. (C) 2017 Elsevier Masson SAS. All rights reserved.</t>
  </si>
  <si>
    <t>Lopez, Camilo/J-5770-2013; Pérez, Dorta/T-7820-2019</t>
  </si>
  <si>
    <t>Pino, Eduardo Francisco/0000-0002-7851-3952; Lopez, Camilo/0000-0002-0174-8972; Dorta, Eva/0000-0002-2292-0356</t>
  </si>
  <si>
    <t>0753-3322</t>
  </si>
  <si>
    <t>1950-6007</t>
  </si>
  <si>
    <t>10.1016/j.biopha.2017.03.082</t>
  </si>
  <si>
    <t>WOS:000402471000042</t>
  </si>
  <si>
    <t>Sequeida, A; Tapia, E; Ortega, M; Zamora, P; Castro, A; Montes, C; Zúñiga, GE; Prieto, H</t>
  </si>
  <si>
    <t>Sequeida, Alvaro; Tapia, Eduardo; Ortega, Marcelo; Zamora, Pablo; Castro, Alvaro; Montes, Christian; Zuniga, Gustavo E.; Prieto, Humberto</t>
  </si>
  <si>
    <t>Production of phenolic metabolites by Deschampsia antarctica shoots using UV-B treatments during cultivation in a photobioreactor</t>
  </si>
  <si>
    <t>Deschampsia antarctica (DA), the only species in the Gramineae family endemic to the Antarctic territory, is characterized by a combination of high levels of free endogenous phenylpropanoid compounds under normal in situ and in vitro growth conditions. In this article, we describe the design and use of a specific temporary immersion photobioreactor to produce both increased DA biomass and secondary metabolite accumulation by UV-B elicitation during cultivation. Three min-long immersions in an induction medium applied every 4 hrs at 14 degrees C +/- 1 and 20/4 hrs light/darkness photoperiod increased DA biomass production over previous in vitro reports. Biomass duplication was obtained at day 10.7 of culturing, and maximum total phenolics and antioxidant activity were observed after 14 day of culturing. The addition of UV-B radiation pulses for 0.5 hrs at 6 hrs intervals increased total phenolics and antioxidant activity more than 3- and 1.5- fold, respectively, compared to controls with no UV-B. Significant accumulation of scopoletin, chlorogenic acid, gallic acid and rutin was found in these plantlets. This is the first bioreactor designed to optimize biomass and phenylpropanoid production in DA.</t>
  </si>
  <si>
    <t>Prieto, H./B-4400-2008; Montes, Christian/M-2398-2014; Zamora, Pablo/D-1612-2012; Tapia, Eduardo/AAA-4295-2022; Zuñiga, Gustavo/P-8306-2015</t>
  </si>
  <si>
    <t>Prieto, Humberto/0000-0002-9013-1906; Montes, Christian/0000-0003-1249-2308; Tapia, Eduardo/0000-0001-5705-098X; Zuniga, Gustavo/0000-0002-8286-9468</t>
  </si>
  <si>
    <t>10.2225/vol15-issue4-fulltext-7</t>
  </si>
  <si>
    <t>WOS:000307004700007</t>
  </si>
  <si>
    <t>Montalvo, S; Guerrero, L; Borja, R; Cortés, I; Sánchez, E; Colmenarejo, MF</t>
  </si>
  <si>
    <t>Montalvo, S.; Guerrero, L.; Borja, R.; Cortes, I.; Sanchez, E.; Colmenarejo, M. F.</t>
  </si>
  <si>
    <t>Effect of the Influent COD Concentration on the Anaerobic Digestion of Winery Wastewaters from Grape-Red and Tropical Fruit (Guava) Wine Production in Fluidized Bed Reactors with Chilean Natural Zeolite for Biomass Immobilization</t>
  </si>
  <si>
    <t>CHEMICAL AND BIOCHEMICAL ENGINEERING QUARTERLY</t>
  </si>
  <si>
    <t>The effect of the influent COD concentration on the performance of anaerobic fluidized bed reactors treating winery wastewaters from grape-red wine (GRWW) and guava wine production (GWW) was studied at laboratory scale. Two reactors were used: one treating GRWW (AFB1) and the other processing GWW (AFB2). The behaviour of these reactors packed with Chilean zeolite as biomass immobilization support was compared at mesophilic temperature (35 degrees C). Influent COD varied from gamma = 1-24 g L-1 and the HRT was maintained constant at 1 day throughout the experiment. During the experiment, influent and effluent pH, TVFA, COD and methane gas production were determined. COD removal efficiency increased with the influent COD up to a maximum of around gamma = 19 g L-1 for GRWW and up to around 22 g L-1 for GWW due to the increase of the concentration of phenols. Process performance was slightly better with guava winery wastewater than with grape-red winery wastewater due its lower phenolic content. During the period of non-inhibition the methane yield was virtually constant.</t>
  </si>
  <si>
    <t>Borja, Rafael/P-5314-2016</t>
  </si>
  <si>
    <t>0352-9568</t>
  </si>
  <si>
    <t>1846-5153</t>
  </si>
  <si>
    <t>WOS:000282418200011</t>
  </si>
  <si>
    <t>Padilla-Manzano, N; Santander, S; Vera, T; Jara, E; Alvarez, LF; Díaz, B; Bacchiega, R; Oliveros, JCF; Santana, P; Hamm, E; Urzúa, MD; Tamayo, L</t>
  </si>
  <si>
    <t>Padilla-Manzano, Nicolas; Santander, Sebastian; Vera, Tiare; Jara, Elizabeth; Alvarez, Luis Felipe; Diaz, Bastian; Bacchiega, Renato; Oliveros, Juan Carlos Forero; Santana, Paula; Hamm, Eugenio; Urzua, Marcela D.; Tamayo, Laura</t>
  </si>
  <si>
    <t>Combined Effect of the Core-Shell Structure and Variable Wettability in Polymer Fiber Membranes for Dual and Delayed Release of Active Agents</t>
  </si>
  <si>
    <t>Developing polymeric membranes capable of modulating the release of compounds by controlling their surface properties and structure represents an important challenge for efficient drug and active agent delivery systems. Herein, we combine the two properties of polymeric fibers, on the one hand, the core-shell structure and, on the other hand, the control of wettability, to manufacture polymeric membranes with dual and delayed release capacity of active agents. Fibers consisted of a shell of derivates of poly(styrene-co-maleic anhydride) functionalized with amino acids of different hydropathic indexes and loaded with silver nanoparticles and a core of poly(vinyl alcohol) containing allantoin, both used as antibacterial and healing active agent, respectively. Silver ion release profiles were characterized by two regimes that were reminiscent of the core-shell structure of the fibers. An initial lag phase governed by diffusion was followed by a higher release rate driven by a diffusion front of allantoin from the center of the fiber until it reached the external environment. The allantoin release profiles were well-fit by a first-order model, where the saturation value was related to the wettability of the membranes. Our results show how the control of wettability and the core-shell configuration of the fibers may be a strategy for creating a versatile polymeric platform for a fine-tuned release of active agents for biomedical applications.</t>
  </si>
  <si>
    <t>Urzúa, Alfonso/A-1208-2012; Tamayo, Laura/I-8942-2018</t>
  </si>
  <si>
    <t>AUG 30</t>
  </si>
  <si>
    <t>10.1021/acsapm.4c01582</t>
  </si>
  <si>
    <t>WOS:001302823800001</t>
  </si>
  <si>
    <t>Lopez, E; Hidalgo, S; Roa, E; Gómez, J; Truan, CH; Sanders, E; Carrasco, C; Pacheco, R; Salazar-Onfray, F; Varas-Godoy, M; Borgna, V; Lladser, A</t>
  </si>
  <si>
    <t>Lopez, Ernesto; Hidalgo, Sofia; Roa, Eduardo; Gomez, Javiera; Hermansen Truan, Carlos; Sanders, Evy; Carrasco, Cristian; Pacheco, Rodrigo; Salazar-Onfray, Flavio; Varas-Godoy, Manuel; Borgna, Vincenzo; Lladser, Alvaro</t>
  </si>
  <si>
    <t>Preclinical evaluation of chimeric antigen receptor T cells targeting the carcinoembryonic antigen as a potential immunotherapy for gallbladder cancer</t>
  </si>
  <si>
    <t>ONCOIMMUNOLOGY</t>
  </si>
  <si>
    <t>Gallbladder cancer (GBC) is commonly diagnosed at late stages when conventional treatments achieve only modest clinical benefit. Therefore, effective treatments for advanced GBC are needed. In this context, the administration of T cells genetically engineered with chimeric antigen receptors (CAR) has shown remarkable results in hematological cancers and is being extensively studied for solid tumors. Interestingly, GBC tumors express canonical tumor-associated antigens, including the carcinoembryonic antigen (CEA). However, the potential of CEA as a relevant antigen in GBC to be targeted by CAR-T cell-based immunotherapy has not been addressed. Here we show that CEA was expressed in 88% of GBC tumors, with higher levels associated with advanced disease stages. CAR-T cells specifically recognized plate-bound CEA as evidenced by up-regulation of 4-1BB, CD69 and PD-1, and production of effector cytokines IFN-&amp; gamma; and TNF-&amp; alpha;. In addition, CD8(+) CAR-T cells up-regulated the cytotoxic molecules granzyme B and perforin. Interestingly, CAR-T cell activation occurred even in the presence of PD-L1. Consistent with these results, CAR-T cells efficiently recognized GBC cell lines expressing CEA and PD-L1, but not a CEA-negative cell line. Furthermore, CAR-T cells exhibited in vitro cytotoxicity and reduced in vivo tumor growth of GB-d1 cells. In summary, we demonstrate that CEA represents a relevant antigen for GBC that can be targeted by CAR-T cells at the preclinical level. This study warrants further development of the adoptive transfer of CEA-specific CAR-T cells as a potential immunotherapy for GBC.</t>
  </si>
  <si>
    <t>Borgna, Vincenzo/AAZ-8414-2020; Morales'Carrasco, Cristian/LZG-5509-2025; Lopez, Ernesto/Q-5903-2016</t>
  </si>
  <si>
    <t>Varas-Godoy, Manuel/0000-0001-5857-4793; Lladser, Alvaro/0000-0002-5576-1478</t>
  </si>
  <si>
    <t>2162-402X</t>
  </si>
  <si>
    <t>10.1080/2162402X.2023.2225291</t>
  </si>
  <si>
    <t>WOS:001012549600001</t>
  </si>
  <si>
    <t>Saji, C; Troncoso, RE; Carvalho-Santos, VL; Altbir, D; Nunez, AS</t>
  </si>
  <si>
    <t>Saji, Carlos; Troncoso, Roberto E.; Carvalho-Santos, Vagson L.; Altbir, Dora; Nunez, Alvaro S.</t>
  </si>
  <si>
    <t>Hopfion-Driven Magnonic Hall Effect and Magnonic Focusing</t>
  </si>
  <si>
    <t>Hopfions are localized and topologically nontrivial magnetic configurations that have received considerable attention in recent years. In this Letter, we use a micromagnetic approach to analyze the scattering of spin waves (SWs) by magnetic hopfions. Our results evidence that SWs experience an electromagnetic field generated by the hopfion and sharing its topological properties. In addition, SWs propagating along the hopfion symmetry axis are deflected by the magnetic texture, which acts as a convergent or divergent lens, depending on the SWs' propagation direction. Assuming that SWs propagate along the plane perpendicular to the symmetry axis, the scattering is closely related to the Aharonov-Bohm effect, allowing us to identify the magnetic hopfion as a scattering center.</t>
  </si>
  <si>
    <t>Troncoso, Roberto/AAV-1453-2021; Núñez, Alvaro/F-4572-2011; Carvalho-Santos, Vagson/E-8806-2013; Altbir, Dora/R-6781-2018</t>
  </si>
  <si>
    <t>Nunez, Alvaro S./0000-0002-6804-9703; Carvalho-Santos, Vagson/0000-0002-2759-2152; Altbir, Dora/0000-0002-2945-4909; Saji, Carlos/0000-0003-3725-8200</t>
  </si>
  <si>
    <t>OCT 18</t>
  </si>
  <si>
    <t>10.1103/PhysRevLett.131.166702</t>
  </si>
  <si>
    <t>WOS:001102983000014</t>
  </si>
  <si>
    <t>Osorio-Comparan, R; Vázquez, ED; López-Juárez, I; Peña, M; Tovar, R; Ahumada, C; Kaschel, H; Lefranc, G</t>
  </si>
  <si>
    <t>Osorio-Comparan, Roman; Vazquez, Edgar de J.; Lopez-Juarez, Ismael; Pena, Mario; Tovar, Roberto; Ahumada, Cristian; Kaschel, Hector; Lefranc, Gaston</t>
  </si>
  <si>
    <t>Vision System for a Kuka KR-5 Industrial Manipulator</t>
  </si>
  <si>
    <t>In this article, we present the design of a vision system to take objects without previous knowledge. It is considered that these objects do not have a certain position. The manipulation will be carried out by an industrial robot Kuka KR 5, which does not have a vision system, so a Microsoft Kinect camera is used, as well as the PCA (Principal Component Analysis) algorithm to estimate the position and orientation of the objects within the robot's workspace. Among the tasks to be developed is the communication between the camera and the manipulator, the integration of additional components such as; ROS (Robot Operating System), Open CV, Solidworks and MatLab-SimMechanics. In the first stage, the design of the system as whole is presented. In a following work, the manipulative task (pick and place) is carried out with the manipulator robot.</t>
  </si>
  <si>
    <t>Lopez-Juarez, Ismael/E-7088-2011; Osorio-Comparan, Roman/GLR-4090-2022</t>
  </si>
  <si>
    <t>Lopez-Juarez, Ismael/0000-0001-6405-5519; Ahumada, Cristian/0000-0002-2647-1383; Kaschel, Hector/0000-0002-0868-7834; Osorio-Comparan, Roman/0000-0002-1887-9813</t>
  </si>
  <si>
    <t>10.1109/chilecon47746.2019.8988027</t>
  </si>
  <si>
    <t>WOS:000542919100130</t>
  </si>
  <si>
    <t>Cerda, FMC; Goulas, C; Sabirov, I; Kestens, LAI; Petrov, RH</t>
  </si>
  <si>
    <t>Castro Cerda, F. M.; Goulas, C.; Sabirov, I.; Kestens, L. A. I.; Petrov, R. H.</t>
  </si>
  <si>
    <t>The effect of the pre-heating stage on the microstructure and texture of a cold rolled FeCMnAlSi steel under conventional and ultrafast heating</t>
  </si>
  <si>
    <t>MATERIALS CHARACTERIZATION</t>
  </si>
  <si>
    <t>This work focuses on the effect of a pre-heating stage on the microstructure evolution during continuous heating of 50% and 75% cold-rolled low carbon steel under conventional and ultrafast heating rates. Peak annealing experiments under two heating rates (10 degrees C/s and 400 degrees C/s) are applied to the samples after a pre-heating stage of 10 s. The selected pre-heating temperatures (300 degrees C and 400 degrees C) show an influence on the phase fraction of austenite formed after a short holding time in the intercritical (alpha + gamma) phase field, and an effect on the intensity of recrystallized ferrite texture components. A refinement of ferritic average grain diameter is observed after increasing the heating rate from 10 degrees C/s to 400 degrees C/s. It is concluded that a pre-heating stage has a negligible impact on the microstructure and texture of cold-rolled low carbon steel. Therefore, a suitable technological window for the application of ultrafast heating rates in steel processing is enabled.</t>
  </si>
  <si>
    <t>Petrov, Roumen/A-5066-2008; Sabirov, Ilchat/AAF-4526-2019; Goulas, Constantinos/N-5450-2019; Kestens, Leo/K-1716-2014; Castro Cerda, Felipe Manuel/Q-2714-2016</t>
  </si>
  <si>
    <t>Sabirov, Ilchat/0000-0001-5211-6054; Castro Cerda, Felipe Manuel/0000-0001-8126-5593; Petrov, Roumen/0000-0003-0551-9058; Goulas, Constantinos/0000-0003-4910-1761</t>
  </si>
  <si>
    <t>1044-5803</t>
  </si>
  <si>
    <t>1873-4189</t>
  </si>
  <si>
    <t>10.1016/j.matchar.2017.06.010</t>
  </si>
  <si>
    <t>WOS:000409284900022</t>
  </si>
  <si>
    <t>Escobar, A; Aguirre, A; Guzmán, MA; González, R; Catalán, D; Acuña-Castillo, C; Larrondo, M; López, M; Pesce, B; Rolland, J; O'Hehir, R; Aguillón, JC</t>
  </si>
  <si>
    <t>Escobar, Alejandro; Aguirre, Adam; Guzman, Maria Antonieta; Gonzalez, Rodrigo; Catalan, Diego; Acuna-Castillo, Claudio; Larrondo, Milton; Lopez, Mercedes; Pesce, Barbara; Rolland, Jennifer; O'Hehir, Robyn; Aguillon, Juan Carlos</t>
  </si>
  <si>
    <t>Tolerogenic Dendritic Cells Derived from Donors with Natural Rubber Latex Allergy Modulate Allergen-Specific T-Cell Responses and IgE Production</t>
  </si>
  <si>
    <t>Natural rubber latex (NRL; Hevea brasiliensis) allergy is an IgE-mediated reaction to latex proteins. When latex glove exposure is the main sensitizing agent, Hev b 5 is one of the major allergens. Dendritic cells (DC), the main antigen presenting cells, modulated with pharmacological agents can restore tolerance in several experimental models, including allergy. In the current study, we aimed to generate DC with tolerogenic properties from NRL-allergic patients and evaluate their ability to modulate allergen-specific T and B cell responses. Here we show that dexamethasone-treated DC (dxDC) differentiated into a subset of DC, characterized by low expression of MHC class II, CD40, CD80, CD86 and CD83 molecules. Compared with LPS-matured DC, dxDC secreted lower IL-12 and higher IL-10 after CD40L activation, and induced lower alloantigenic T cell proliferation. We also show that dxDC pulsed with the dominant Hev b 5 T-cell epitope peptide, Hev b 5(46-65), inhibited both proliferation of Hev b 5-specific T-cell lines and the production of Hev b 5-specific IgE. Additionally, dxDC induced a subpopulation of IL-10-producing regulatory T cells that suppressed proliferation of Hev b 5-primed T cells. In conclusion, dxDC generated from NRL-allergic patients can modulate allergen-specific T-cell responses and IgE production, supporting their potential use in allergen-specific immunotherapy.</t>
  </si>
  <si>
    <t>Escobar, Alejandro/I-2775-2013; Aguirre, Adam/GQQ-3265-2022; Lopez, Mercedes/CAF-4801-2022; Aguillon, Juan/H-9234-2013; Acuña-Castillo, Claudio/AAI-7090-2021; Catalan, Diego/H-7983-2013; O'Hehir, Robyn/H-3627-2011</t>
  </si>
  <si>
    <t>Catalan, Diego/0000-0002-4353-1229; Acuna-Castillo, Claudio/0000-0003-3607-6077; Lopez, Mercedes/0000-0002-1744-2038; O'Hehir, Robyn/0000-0002-3489-7595</t>
  </si>
  <si>
    <t>e85930</t>
  </si>
  <si>
    <t>10.1371/journal.pone.0085930</t>
  </si>
  <si>
    <t>WOS:000330283100089</t>
  </si>
  <si>
    <t>Stepanova, M; Antonova, E; Troshichev, O</t>
  </si>
  <si>
    <t>Prediction of Dst variations from Polar Cap indices using time-delay neural network</t>
  </si>
  <si>
    <t>The hourly averaged Polar Cap (PC) index was used as the input parameter for the ring current index D-st variation forecasting. The PC index is known to describe well the principal features of the interplanetary magnetic field as well as the total energy input to the magnetosphere. This allowed us to design a neural network that was able to forecast the D-st variations 1 h ahead. 1995 PC and D-st data sets were used for training and testing and 1997 data sets were used for validation. From 15 moderate and strong geornagnetic storms observed during 1997, 10 were successfully forecasted. In 3 cases the observed minimum D-st value was less than the predicted value, and only in 3 cases the neural network was not able to reproduce the features of the geornagnetic storm. (c) 2005 Elsevier Ltd. All rights reserved.</t>
  </si>
  <si>
    <t>10.1016/j.jastp.2005.02.027</t>
  </si>
  <si>
    <t>WOS:000234449000003</t>
  </si>
  <si>
    <t>Moya, SA; Pastene, R; Le Bozec, H; Baricelli, PJ; Pardey, AJ; Gimeno, J</t>
  </si>
  <si>
    <t>Metallic carbonyl complexes containing heterocycles nitrogen ligands Part VI. Re(I), Mn(I), Mo(0), and W(0) compounds with 4′-phenyl-2,2′:6′,2-terpyridine</t>
  </si>
  <si>
    <t>The synthesis and spectroscopic characterization of new transition metal complexes containing the heterocyclic nitrogen ligand 4'-phenyl-2,2':6',2''-terpyridine are reported. Complexes of the [XM(CO)(3)(L)] type (M = Re(I), Mn(I), Mo(0), or W(0); X = Br or CO; and L = 4'-phenyl-2,2':6',2''-terpyridine) were prepared by photosubstitution or by thermolytic reactions. Aspects of the IR, UV-Vis, proton NMR spectra and electrochemistry of the complexes are discussed. Special attention is given to the fact that the heterocyclic nitrogen ligand ph-tpy acts as a bidentate or terdentate chelate in complexes of this type and shows the fluxionality in the coordination. Correlations between redox potentials and spectroscopic measurements indicate the various interactions of the ligand and the metal center, and allow the evaluation of the metal-ligand back-donation. (C) 2001 Elsevier Science B.V. All rights reserved.</t>
  </si>
  <si>
    <t>Gimeno, Jose/F-6072-2014</t>
  </si>
  <si>
    <t>10.1016/S0020-1693(00)00292-9</t>
  </si>
  <si>
    <t>WOS:000167092700002</t>
  </si>
  <si>
    <t>Vásquez, E; Salgado, R; Mendoza, H; Penaranda, DA; Moreira-Arce, D; Rubio, AV</t>
  </si>
  <si>
    <t>Vasquez, Esteban; Salgado, Rodrigo; Mendoza, Hugo; Penaranda, Diego A.; Moreira-Arce, Dario; Rubio, Andre V.</t>
  </si>
  <si>
    <t>Knowledge, risk perceptions and practices regarding rodents and their associated pathogens: environmental consultants in Chile</t>
  </si>
  <si>
    <t>ONE HEALTH OUTLOOK</t>
  </si>
  <si>
    <t>BackgroundRodents play essential ecological roles but are also significant reservoirs of zoonotic pathogens, posing risks to humans. Individuals with frequent occupational contact with rodents face an elevated risk of exposure to rodent-borne diseases. This study examines the knowledge, risk perceptions, and practices of Chilean environmental consultants (ECs) concerning rodents and rodent-borne diseases.MethodsA 32-item questionnaire, which focused primarily on biologists, veterinarians, and environmental engineers, was administered. The questionnaire included closed, open-ended, and semi-open-ended questions. Data analyses, performed using R software, involved calculating frequencies and proportions for questions related to knowledge of rodents and rodent-borne diseases, rodent management and handling, biosafety procedures, and training. Additionally, generalized linear models (GLMs) were used to assess knowledge of rodent hosts and diseases, whereas correspondence analysis was used to examine associations between EC characteristics (undergraduate fields of study and years of experience) and responses regarding risk perception and the importance of zoonotic disease training.ResultsCompleted questionnaires were received from 206 ECs. Although the ECs demonstrated a strong awareness of hantavirus cardiopulmonary syndrome, identifying it as a significant rodent-borne threat, knowledge gaps were evident regarding the specific role of certain rodent reservoir species and other rodent-borne diseases in Chile. For example, leptospirosis was well recognized, particularly among veterinarians, whereas emerging zoonoses such as scrub typhus was rarely mentioned. The study also revealed the frequent use of live trapping and direct handling of rodents, resulting in injuries to 32% of the respondents. Despite the widespread use of personal protective equipment, key elements such as respiratory protection and disposable suits were underutilized, and inadequate cleaning practices for traps were reported. Nevertheless, ECs expressed a willingness to participate in zoonotic disease training, underscoring the need for further education.ConclusionsThis study highlights the critical need for ongoing education for ECs on rodent reservoirs, diseases, and biosafety measures to enhance their safety and reduce the risk of zoonotic infections. The findings offer valuable insights for developing strategies aimed at improving awareness and strengthening biosafety practices within this occupational group.</t>
  </si>
  <si>
    <t>Moreira-Arce, Dario/ABG-2898-2021; Mendoza, Hugo/MTF-9889-2025; Salgado, Rodrigo/AAC-3591-2020; Rubio, Andre/M-5307-2015</t>
  </si>
  <si>
    <t>Salgado Moya, Rodrigo Alejandro/0009-0008-1995-2411; Rubio, Andre/0000-0001-7297-9535</t>
  </si>
  <si>
    <t>2524-4655</t>
  </si>
  <si>
    <t>10.1186/s42522-024-00123-7</t>
  </si>
  <si>
    <t>WOS:001367064600003</t>
  </si>
  <si>
    <t>Loyo, C; Palza, H; Saavedra, M; Canales, D; García-Herrera, C; Olate-Moya, F; Melo, F; Cordova, L; Solano, L; Zapata, PA</t>
  </si>
  <si>
    <t>Loyo, Carlos; Palza, Humberto; Saavedra, Marcela; Canales, Daniel; Garcia-Herrera, Claudio; Olate-Moya, Felipe; Melo, Francisco; Cordova, Luis; Solano, Luis; Zapata, Paula A.</t>
  </si>
  <si>
    <t>Electrospun polycaprolactone/graphene oxide scaffolds with secondary surface porosity and gelatin-coating</t>
  </si>
  <si>
    <t>MATERIALS TODAY COMMUNICATIONS</t>
  </si>
  <si>
    <t>Polycaprolactone (PCL) is a versatile and biodegradable synthetic polymer widely used in tissue regeneration applications owing to its versatility and mechanical properties. In this study, we employed a three-level strategy to develop innovative PCL-based scaffold biomaterials using electrospinning. First, we incorporated graphene oxide (GO); second, we introduced secondary surface porosity (SSP) through non-solvent induced phase separation (NIPS) with a diameter of approximately 2 lim; and third, we applied a gelatin coating (Gt). The inclusion of GO resulted in both a reduction in fiber size and a decrease in the size of the secondary surface pores formed on the fibers. Additionally, the incorporation of GO led to a noteworthy 20-fold increase in gelatin adhesion compared to pure SSP-PCL scaffolds. However, the mechanical properties of the gelatin-coated scaffolds exhibited a decrease compared to the uncoated scaffolds. This reduction is primarily attributed to the decrease in crystallinity in coating gelatin scaffold. Furthermore, GO and gelatin played critical roles in enhancing biodegradation and bioactivity, promoting hydroxyapatite formation on the surface of SSP-PCL scaffolds. In vitro cell viability tests demonstrated the cytocompatibility of PCL, PCL/Gt, and PCL/Gt/GO electrospun SSP scaffolds, facilitating the adhesion of human mesenchymal stem cells. Our study introduces an innovative strategy for fabricating PCL scaffolds through electrospinning, incorporating SSP for improved gelatin adsorption, and holds great promise for tissue engineering applications.</t>
  </si>
  <si>
    <t>Canales Arévalo, Daniel/HSG-6748-2023; García-Herrera, Claudio/ABE-8991-2020; Córdova, Luis/I-5767-2016; Palza, Humberto/H-2782-2014; Melo, Francisco/M-3923-2014; Loyo, Carlos/AAZ-6777-2021; Olate-Moya, Felipe/AAW-2440-2020</t>
  </si>
  <si>
    <t>Zapata, Paula Andrea/0000-0003-3361-6226; Olate-Moya, Felipe/0000-0002-2000-0708; Cordova, Luis/0000-0002-9036-2835; Loyo Davila, Carlos David/0000-0003-4177-2958</t>
  </si>
  <si>
    <t>2352-4928</t>
  </si>
  <si>
    <t>10.1016/j.mtcomm.2024.109057</t>
  </si>
  <si>
    <t>WOS:001240703500001</t>
  </si>
  <si>
    <t>Hasbani, EC; Félix, PV; Sauan, PK; Maximino, P; Machado, RHV; Ferrari, G; Fisberg, M</t>
  </si>
  <si>
    <t>Hasbani, Evelin Czarny; Felix, Paula Victoria; Sauan, Patricia Kawai; Maximino, Priscila; Machado, Rachel Helena Vieira; Ferrari, Gerson; Fisberg, Mauro</t>
  </si>
  <si>
    <t>How parents' feeding styles, attitudes, and multifactorial aspects are associated with feeding difficulties in children</t>
  </si>
  <si>
    <t>BMC PEDIATRICS</t>
  </si>
  <si>
    <t>BackgroundParental complaints about feeding difficulties (FD) during childhood are frequent in pediatrics. Behavioral factors about children's feeding and parental aspects are fundamental in solving these problems, but research in this area lacks information considering the joint presence of fathers and mothers. Thus, this study aimed to investigate the features of children, parents and mealtime practices related to FD reported by fathers and mothers and to identify parenting styles, mealtime actions, practices and factors associated with FD in children.Methods323 parents (226 mothers and 97 fathers) of children aged 1 to 7 years were recruited in the emergency waiting room at Sabara Hospital Infantil, in Sao Paulo, Brazil, and self-completed electronic questionnaires on parenting style (Caregiver's Feeding Styles Questionnaire), parents' mealtime actions (Parent Mealtime Action Scale), socioeconomic information, personal and children's health data and routine meal practices.ResultsThe prevalence of FD in children was 26.6%. Indulgent parenting style was the most frequent (44.2%), followed by authoritarian (25.1%), authoritative (23.8%), and uninvolved (6.9%) styles. Most parents (75.8%) reported presence during meals, and 83.6% used distractions. Regression analyses after adjustments showed, as factors associated with FD, female children (OR: 2.06; 95%CI: 1.19-3.58), parents' FD history (OR: 3.16; 95%CI: 1.77-5.64), and greater frequency of parents' behavior of offering many food options (OR: 2.69; 95%CI: 1.18-6.14). Parents with indulgent styles had decreased chances of reporting FD in their children (OR: 0.13; 95%CI: 0.06-0.27). Furthermore, the practice of children sharing the family menu (OR: 0.43; 95%CI: 0.18-0.99) and higher frequency of parents' behavior of setting snack limits (OR: 0.44; 95%CI: 0.23-0.85) were inversely associated with FD.ConclusionsThis study reinforces the multifactorial aspects involved in the feeding difficulties context. It points out the importance of expanding knowledge of the individual role of fathers and mothers to compose a scenario that can guide future studies and interventions.Trial registrationCAAE #99221318.1.0000.5567 with registration number 2,961,598.</t>
  </si>
  <si>
    <t>Ferrari, Gerson/HHM-6173-2022; Félix, Paula/AAP-4964-2020; Ferrari, Gerson/P-1152-2014</t>
  </si>
  <si>
    <t>1471-2431</t>
  </si>
  <si>
    <t>10.1186/s12887-023-04369-4</t>
  </si>
  <si>
    <t>WOS:001092179300003</t>
  </si>
  <si>
    <t>El Mellah, I; Cerutti, B; Crinquand, B</t>
  </si>
  <si>
    <t>El Mellah, I.; Cerutti, B.; Crinquand, B.</t>
  </si>
  <si>
    <t>Reconnection-driven flares in 3D black hole magnetospheres</t>
  </si>
  <si>
    <t>Context. Low-luminosity supermassive and stellar-mass black holes (BHs) may be embedded in a collisionless and highly magnetized plasma. They show nonthermal flares indicative of particles being accelerated up to relativistic speeds by dissipative processes in the vicinity of the BH. During near-infrared flares from the supermassive BH Sagittarius A* (Sgr A*), the GRAVITY Collaboration detected circular motion and polarization evolution, which suggest the presence of transient synchrotron-emitting hot spots moving around the BH.Aims. We study 3D reconnecting current layers in the magnetosphere of spinning BHs to determine whether plasma-loaded flux ropes which are formed near the event horizon could reproduce the hot spot observations and help constrain the BH spin.Methods. We performed global 3D particle-in-cell simulations in Kerr spacetime of a pair plasma embedded in a strong and large-scale magnetic field originating in a perfectly conducting disk in prograde Keplerian rotation.Results. A cone-shaped current layer develops which surrounds the twisted open magnetic field lines threading the event horizon. Spinning magnetic field lines coupling the disk to the BH inflate and reconnect a few gravitational radii above the disk. This quasi-periodic cycle accelerates particles, which accumulate in a few macroscopic flux ropes rotating with the outermost coupling magnetic field line. Once flux ropes detach, they propagate in the current layer following what appears as a rapidly opening spiral when seen face-on. A single flux rope carries enough relativistic electrons and positrons to emit synchrotron radiation at levels suitable to reproduce the peak-luminosity of the flares of Sgr A* but it quickly fades away as it flows away.Conclusions. Our kinematic analysis of the flux ropes motion favors a BH spin of 0.65 to 0.8 for Sgr A*. The duration of the flares of Sgr A* can only be explained provided the underlying magnetic loop seeded in the disk mid-plane has a finite lifetime and azimuthal extension. In this scenario, the hot spot corresponds to a spinning arc along which multiple reconnection sites power the net emission as flux ropes episodically detach.</t>
  </si>
  <si>
    <t>Cerutti, Benoit/0000-0001-6295-596X; EL MELLAH, Ileyk/0000-0003-1075-0326; Crinquand, Benjamin/0000-0002-3241-9928</t>
  </si>
  <si>
    <t>A67</t>
  </si>
  <si>
    <t>10.1051/0004-6361/202346781</t>
  </si>
  <si>
    <t>WOS:001064374600001</t>
  </si>
  <si>
    <t>Mariño, MA; Paredes, MG; Martinez, N; Millan, D; Tapia, RA; Ruiz, D; Isaacs, M; Pavez, P</t>
  </si>
  <si>
    <t>Marino, Mayra A.; Paredes, Maria G.; Martinez, Natalia; Millan, Daniela; Tapia, Ricardo A.; Ruiz, Domingo; Isaacs, Mauricio; Pavez, Paulina</t>
  </si>
  <si>
    <t>A ternary eutectic solvent for cellulose nanocrystal production: exploring the recyclability and pre-pilot scale-up</t>
  </si>
  <si>
    <t>FRONTIERS IN CHEMISTRY</t>
  </si>
  <si>
    <t>Deep eutectic solvents (DES) formed using choline chloride (ChCl), p-toluenesulfonic acid (pTSA) of stoichiometry ChCl: pTSA (1:1) and (1:2), and its ternary eutectic mixtures with phosphoric acid (PA) 85% as an additive (ChCl: pTSA: PA) were evaluated for cellulose nanocrystal (CNC) isolation. Initially, the hydrolytic efficiency to produce CNC of each DES was compared before and after adding phosphoric acid by Hammett acidity parameters and the Gutmann acceptor number. Moreover, different DES molar ratios and reaction time were studied at 80 &amp; DEG;C for CNC optimization. The nanomaterial characteristics were analyzed by field emission scanning electron microscopy (FESEM), X-ray diffraction (XRD), Fourier-transform infrared spectroscopy (FTIR), and thermogravimetric analysis (TGA). The ternary eutectic mixture ChCl: pTSA: PA molar ratio (1:1:1.35) was chosen as a suitable recyclable ternary system at the laboratory scale. A CNC yield of about 80% was obtained from the hydrolysis of commercial cellulose in five cycles of recovery, but it dropped to 35% in pre-pilot scaling. However, no variation in the average size of the resulting CNC was observed (132 &amp; PLUSMN; 50 nm x 23 &amp; PLUSMN; 4 nm), which presented high thermal stability (Tmax 362 &amp; DEG;C) and high crystallinity of about 80% after 3 h of reaction time.</t>
  </si>
  <si>
    <t>León, Domingo/AAE-7630-2019; Millan, Daniela/ABD-4398-2021; Martínez, Natalia P/JAO-4345-2023; Isaacs, Mauricio/N-3027-2013; Pavez, Paulina/O-4122-2015</t>
  </si>
  <si>
    <t>Isaacs Casanova, Mauricio/0000-0003-0503-0949; Pavez, Paulina/0000-0002-8891-3802; Ruiz Leon, Domingo/0000-0002-0950-6919; Martinez, Natalia P./0000-0002-2119-2481</t>
  </si>
  <si>
    <t>2296-2646</t>
  </si>
  <si>
    <t>10.3389/fchem.2023.1233889</t>
  </si>
  <si>
    <t>WOS:001060255500001</t>
  </si>
  <si>
    <t>Antonopoulou, D; Haskell, B; Espinoza, CM</t>
  </si>
  <si>
    <t>Antonopoulou, Danai; Haskell, Brynmor; Espinoza, Cristobal M.</t>
  </si>
  <si>
    <t>Pulsar glitches: observations and physical interpretation</t>
  </si>
  <si>
    <t>REPORTS ON PROGRESS IN PHYSICS</t>
  </si>
  <si>
    <t>The interpretation of pulsar rotational glitches, the sudden increase in spin frequency of neutron stars, is a half-century-old challenge. The common view is that glitches are driven by the dynamics of the stellar interior, and connect in particular to the interactions between a large-scale neutron superfluid and the other stellar components. This thesis is corroborated by observational data of glitches and the post-glitch response seen in pulsars' rotation, which often involves very long timescales, from months to years. As such, glitch observables combined with consistent models incorporating the rich physics of neutron stars-from the lattice structure of their crust to the equation of state for matter beyond nuclear densities-can be very powerful at placing limits on, and reduce uncertainties of, the internal properties. This review summarises glitch observations, current data, and recent analyses, and connects them to the underlying mechanisms and microphysical parameters in the context of the most advanced theoretical glitch models to date.</t>
  </si>
  <si>
    <t>Haskell, Brynmor/AAX-1002-2021; Espinoza, Cristobal/U-4428-2017</t>
  </si>
  <si>
    <t>Haskell, Brynmor/0000-0002-8255-3519; Espinoza, Cristobal/0000-0003-2481-2348; Antonopoulou, Danai/0000-0003-0746-5364</t>
  </si>
  <si>
    <t>0034-4885</t>
  </si>
  <si>
    <t>1361-6633</t>
  </si>
  <si>
    <t>10.1088/1361-6633/ac9ced</t>
  </si>
  <si>
    <t>WOS:000894108600001</t>
  </si>
  <si>
    <t>Sánchez-Ramírez, C; Alarcón, E; Bravo, L; Paredes, P; Nova, P; Iturra-González, A; Valdés, I; Ortiz, A</t>
  </si>
  <si>
    <t>Sanchez-Ramirez, Celso; Alarcon, Eduardo; Bravo, Leonardo; Paredes, Paula; Nova, Pablo; Iturra-Gonzalez, Alejandro; Valdes, Ivan; Ortiz, Ana</t>
  </si>
  <si>
    <t>How Were Modified the Human Anatomy Study Habits During and After Confinement By the COVID-19 Pandemic?</t>
  </si>
  <si>
    <t>During 2020 and 2021 the anatomy subject was developed by online classes. In 2022, face-to-face teaching activities were resumed. The objective was to compare the autonomous study habits of two student generations that coursed the Human Anatomy subject in online and face-to-face mode. Two groups of students were asked to fill-out an online questionnaire. Online Generation (OL) (n=185) and Face-to-face Generation (FF) (n=154). The difference between both groups was the learning activities. OL received only online classes, and FF received theoretical classes and laboratory activities in face-to-face sessions. The most of OL subjects had greater clarity about the contents (71.9 %) and the depth (50.8 %) that they should study them, in contrast with FF (58.4 %, p = 0.0124 and 24.7 %, p &lt; 0.0001 respectively). In OL, 47 % spent more than 4 hours weekly studying human anatomy, whereas in FF 68.2 % (p&lt;0.0001). In both groups, the most important resource was the Video Recorded Classes (90.8 % in OL, and 83.1 % in FF). For OL, the three priority resources were exclusively electronic: 1) Video Recorded Classes, 2) Apps on smartphone or tablets, and 3) Apps on laptop or computer. FF generation prioritized: 1) Video Recorded Classes, 2) Anatomy Atlas, and 3) Class Slides. During the COVID-19 pandemic, the students that received only online classes were able to plain their study time in a better way than whose were in face-to-face classes. However, they spent less time to study the topics. In addition, it was possible to determine that students prefer digital resources (video classes recorded and apps in smartphone or computer) over traditional resources such as textbook and anatomy atlas. It proposes to consider these results in the Human Anatomy subjects design, in virtual or face-to-face mode.</t>
  </si>
  <si>
    <t>Paredes, Paula/F-9463-2010</t>
  </si>
  <si>
    <t>NOVA BAEZA, PABLO IGNACIO/0000-0003-0098-0224</t>
  </si>
  <si>
    <t>WOS:000918579700011</t>
  </si>
  <si>
    <t>Abarca-Ortega, A; Muñoz-Moya, E; Alarcón, MP; Garcia-Herrera, CM; Celentano, DJ; Lagos, NA; Lardies, MA</t>
  </si>
  <si>
    <t>Abarca-Ortega, Aldo; Munoz-Moya, Estefano; Pacheco Alarcon, Matias; Garcia-Herrera, Claudio M.; Celentano, Diego J.; Lagos, Nelson A.; Lardies, Marco A.</t>
  </si>
  <si>
    <t>Biomechanical Characterization of Scallop Shells Exposed to Ocean Acidification and Warming</t>
  </si>
  <si>
    <t>FRONTIERS IN BIOENGINEERING AND BIOTECHNOLOGY</t>
  </si>
  <si>
    <t>Increased carbon dioxide levels (CO2) in the atmosphere triggered a cascade of physical and chemical changes in the ocean surface. Marine organisms producing carbonate shells are regarded as vulnerable to these physical (warming), and chemical (acidification) changes occurring in the oceans. In the last decade, the aquaculture production of the bivalve scallop Argopecten purpuratus (AP) showed declined trends along the Chilean coast. These negative trends have been ascribed to ecophysiological and biomineralization constraints in shell carbonate production. This work experimentally characterizes the biomechanical response of AP scallop shells subjected to climate change scenarios (acidification and warming) via quasi-static tensile and bending tests. The experimental results indicate the adaptation of mechanical properties to hostile growth scenarios in terms of temperature and water acidification. In addition, the mechanical response of the AP subjected to control climate conditions was analyzed with finite element simulations including an anisotropic elastic constitutive model for a two-fold purpose: Firstly, to calibrate the material model parameters using the tensile test curves in two mutually perpendicular directions (representative of the mechanical behavior of the material). Secondly, to validate this characterization procedure in predicting the material's behavior in two mechanical tests.</t>
  </si>
  <si>
    <t>García-Herrera, Claudio/ABE-8991-2020; Muñoz-Moya, Estefano/JLM-7441-2023; Lardies, Marco/R-6203-2017; Celentano, Diego/JQW-5027-2023; Abarca Ortega, Aldo Fabian/ABE-4995-2020</t>
  </si>
  <si>
    <t>Pacheco-Alarcon, Matias/0000-0003-3366-1596; Munoz-Moya, Estefano/0000-0001-5222-4071; Abarca Ortega, Aldo Fabian/0000-0002-1600-8555</t>
  </si>
  <si>
    <t>2296-4185</t>
  </si>
  <si>
    <t>JAN 20</t>
  </si>
  <si>
    <t>10.3389/fbioe.2021.813537</t>
  </si>
  <si>
    <t>WOS:000750607900001</t>
  </si>
  <si>
    <t>Carter-Thuillier, B; Gallardo-Fuentes, F; Moreno-Doña, A; Toro-Areválo, S; Peña-Troncoso, S</t>
  </si>
  <si>
    <t>Carter-Thuillier, Bastian; Gallardo-Fuentes, Francisco; Moreno-Dona, Alberto; Toro-Arevalo, Sergio; Pena-Troncoso, Sebasti</t>
  </si>
  <si>
    <t>DENIED, DISCRIMINATED AND INVISIBILIZED BODIES: BEING AN IMMIGRANT INTO SCHOOL DURING THE PANDEMIC</t>
  </si>
  <si>
    <t>INTERCIENCIA</t>
  </si>
  <si>
    <t>The aim is to analyse the impact of the COVID-19 pandemic on the school-age immigrant population, based on a phenomenological and critical understanding of the multiple forms of discrimination, denial and invisibilisation that are built on the corporeality of foreigners in the Chilean context. To this end, different background information is presented, organised into four sections. The first two sections contain the central elements of the discussion, pointing out those aspects and dynamics of interaction that make possible the perception of the immigrant as an 'inferior other, based on the racism that has revealed and deepened the pandemic. In the third and fourth sections of the manuscript, the need to reflect from the scenario that the current pandemic situation offers and merits, about the need to move towards educational realities that are based on human dignity and the reciprocal valuation of differences.</t>
  </si>
  <si>
    <t>Carter-Thuillier, Bastian/AAS-5113-2021; Gallardo-Fuentes, Francisco/S-8157-2019</t>
  </si>
  <si>
    <t>0378-1844</t>
  </si>
  <si>
    <t>WOS:000744668100005</t>
  </si>
  <si>
    <t>Reyes-Castillo, PA; González-Vzáquez, R; Torres-Maravilla, E; Tello, M; Bermdúez-Huámran, LG; Mayorga-Reyes, L</t>
  </si>
  <si>
    <t>Reyes-Castillo, Pedro A.; Gonzalez-Vazquez, Raquel; Torres-Maravilla, Edgar; Tello, Mario; Bermudez-Humaran, Luis G.; Mayorga-Reyes, Lino</t>
  </si>
  <si>
    <t>Probiotics against Viral Infections: Current Clinical Trials and Future Perspectives</t>
  </si>
  <si>
    <t>IMMUNO</t>
  </si>
  <si>
    <t>Viral infections represent a major health problem worldwide. Due to the wide variety of etiological agents and their increasing resistance to anti-virals and antibiotics treatments, new strategies for effective therapies need to be developed. Scientific evidence suggests that probiotics may have prophylactic and therapeutic effects in viral diseases. Indeed, these microorganisms interact harmoniously with the intestinal microbiota and protect the integrity of the intestinal barrier as well as modulate the host immune system. Currently, clinical trials with probiotics have been documented in respiratory tract infections, infections caused by human immunodeficiency viruses, herpes, human papillomavirus and hepatic encephalopathy. However, the benefits documented so far are difficult to extrapolate, due to the strain-dependent effect. In addition, the dose of the microorganism used as well as host characteristics are other parameters that should be consider when advocating the use of probiotics to treat viral infections. This review addresses the scientific evidence of the efficacy of probiotics in clinical strains perspective in viral infectious diseases in the last 10 years.</t>
  </si>
  <si>
    <t>González, Raquel/KHU-4649-2024; BERMUDEZ, Luis/AAE-8917-2021; Villa, Edgar/KHC-3792-2024; Tello, Mario/N-4198-2019</t>
  </si>
  <si>
    <t>Tello, Mario/0000-0003-4573-6460; mayorga, lino/0000-0003-1257-7897; Reyes Castillo, Pedro Antonio/0000-0003-0586-3502; Torres-Maravilla, Edgar/0000-0002-3359-4517; Bermudez Humaran, Luis G./0000-0001-7525-3131; gonzalez, raquel/0000-0003-4400-7506</t>
  </si>
  <si>
    <t>2673-5601</t>
  </si>
  <si>
    <t>10.3390/immuno1040034</t>
  </si>
  <si>
    <t>WOS:001115235700001</t>
  </si>
  <si>
    <t>Garrido, CF; Labbé, TP; Paris, ME; Ríos, JA</t>
  </si>
  <si>
    <t>Garrido, Francisco C.; Labbe, Tomas P.; Paris, Enrique M.; Rios, Juvenal A.</t>
  </si>
  <si>
    <t>An analysis of scientific formation in medical schools</t>
  </si>
  <si>
    <t>For more than a century the training of medical professionals has been organized according to the Flexnerian model, which comprises three cycles: basic, clinical and clerkship. On the other hand, the accelerated development of biomedical sciences modified the competences of the first cycle. Additionally, new skills required for medical practice, such as teamwork and innovation as a tool to solve health problems, challenged in recent years the classic paradigm of medical education. Therefore, the medical schools have developed multiple strategies to deal with it, such as curricular integration using competency-based education models, incorporating basic and clinical sciences in parallel during the curriculum, ensuring a relevant and applicable scientific knowledge throughout the training process. Although in Chile the Flexner prototype is still followed, the basic sciences are taught as single or integrated courses or using a systems approach. In this article we report a diagnosis about the local integration of fundamental sciences in medical training. We also compare our schools with those of Canada, Europe and Latin America. Recommendations aimed at modernizing medical school curricula are made.</t>
  </si>
  <si>
    <t>Rios, Juvenal/KII-7543-2024; Garrido, Francisco/Y-9179-2019</t>
  </si>
  <si>
    <t>Garrido Cisterna, Francisco Javier/0000-0001-5530-8107; Labbe, Tomas/0000-0002-1566-5940</t>
  </si>
  <si>
    <t>WOS:000581084900015</t>
  </si>
  <si>
    <t>de Santana, RC; Fuentealba, PA; Maia, LJQ; Paredes-García, V; Aravena, D; Venegas-Yazigi, D; Manzur, J; Spodine, E</t>
  </si>
  <si>
    <t>de Santana, Ricardo C.; Fuentealba, Pablo A.; Maia, Lauro J. Q.; Paredes-Garcia, Veronica; Aravena, Daniel; Venegas-Yazigi, Diego; Manzur, Jorge; Spodine, Evgenia</t>
  </si>
  <si>
    <t>Solid state photoluminescence studies of [EuLnH2(NO3)3](H2O)x macrocyclic complexes with Schiff base ligands</t>
  </si>
  <si>
    <t>JOURNAL OF LUMINESCENCE</t>
  </si>
  <si>
    <t>Three Eu-III macrocyclic complexes [(EuLH2)-H-n(NO3)(3)](H2O)(x) based on the ligands derived from 2-hydroxy-5-methyl-1,3-benzenedicarbaldehyde and three different amines: o-phenylenediamine, Eu-OPDA; ethylenediamine, Eu-EDA; and 1,3-diaminopropane, Eu-DAP have been synthesized via a metal template reaction. Eu-EDA and Eu-DAP showed metal based emission; for the Eu-OPDA complex these luminescent properties were not observed. From the photoluminescence emission measurements from similar to 13 to 300 K, the R/O = I (D-5(0) -&gt; F-7(2))/I (D-5(0) -&gt; F-7(1)) ratio, together with two intensity parameters (Omega(2) and Omega(4)), radiative lifetimes (tau(R)) and branching ratios (beta(0 J')) were calculated based on the Judd-Ofelt theory, for Eu-EDA and Eu-DAP. While the behavior of these parameters for the Eu-DAP complex is temperature dependent, these remain constant for Eu-EDA. The temperature dependence observed for the Eu-DAP complex indicates that for temperatures below 120 K, the local symmetry of the Eu-III center is modified, as compared to the environment of the same metal center at room temperature.</t>
  </si>
  <si>
    <t>Paredes-Garcia, Veronica/C-4415-2011; Santana, Ricardo/AAG-5736-2019; Maia, Lauro/N-7796-2017; Santana, Ricardo/H-1579-2012; Aravena, Daniel/F-2174-2011; Venegas-Yazigi, Diego/C-5022-2009</t>
  </si>
  <si>
    <t>Santana, Ricardo/0000-0002-6484-7484; Aravena, Daniel/0000-0003-3140-4852; Fuentealba, Pablo/0000-0003-0581-1243; Venegas-Yazigi, Diego/0000-0001-7816-2841</t>
  </si>
  <si>
    <t>0022-2313</t>
  </si>
  <si>
    <t>1872-7883</t>
  </si>
  <si>
    <t>10.1016/j.jlumin.2018.06.022</t>
  </si>
  <si>
    <t>WOS:000440665500002</t>
  </si>
  <si>
    <t>Navarrete, C; García, R; Sepulveda, C; Gil-Llambias, FJ; Fierro, JLG; Escalona, N</t>
  </si>
  <si>
    <t>Navarrete, C.; Garcia, R.; Sepulveda, C.; Gil-Llambias, F. J.; Fierro, J. L. G.; Escalona, N.</t>
  </si>
  <si>
    <t>Deep Hydrodesulphurization via Hydrogen Spillover</t>
  </si>
  <si>
    <t>The synergistic effect between Co//Mo and Co//W stacked bed systems in the hydrodesulphurization (HDS) of 4,6-dimethyldibenzothiophene (4,6-DMDBT) was studied. The reaction was carried out in a high-pressure continuous-flow microreactor at 3 MPa and 300 degrees C. The observed synergism can only be explained by the action of hydrogen spillover (H-SO). The selectivity in hydrogenation over direct desulphurization pathways (HYD/DDS) of Mo/gamma-Al2O3 and W/gamma-Al2O3 catalysts increased when the reaction was carried out in Co//Mo and Co//W stacked bed systems, respectively. The changes in selectivity can be explained by the fact that hydrogen spillover does not only create more active sites, but it also modifies the sites, favouring the HYD pathway. Differences in synergistic effect between Co//Mo and Co//W stacked bed systems were related to the higher degree of sulphurization of the molybdenum compared to the tungsten phase, as detected by XPS.</t>
  </si>
  <si>
    <t>Sepúlveda, Catherine/E-6357-2014; Escalona, Nestor/F-3593-2016; Garcia Fierro, Jose Luis/C-4774-2014</t>
  </si>
  <si>
    <t>Escalona Burgos, Nestor/0000-0002-2628-4609; Garcia Fierro, Jose Luis/0000-0002-6880-3737; Sepulveda, Catherine/0000-0003-4531-9026</t>
  </si>
  <si>
    <t>10.1007/s10562-011-0717-9</t>
  </si>
  <si>
    <t>WOS:000299919300009</t>
  </si>
  <si>
    <t>Ribeiro, RT; de Mattos, IL; Sengmany, S; Barhdadi, R; Léonel, E; Cachet-Vivier, C; Navarro, M</t>
  </si>
  <si>
    <t>Ribeiro, Rogerio T.; de Mattos, Ivanildo L.; Sengmany, Stephane; Barhdadi, Rachid; Leonel, Eric; Cachet-Vivier, Christine; Navarro, Marcelo</t>
  </si>
  <si>
    <t>Iron role in the electrochemical cyclopropanation reaction of activated olefins and halogenated compounds</t>
  </si>
  <si>
    <t>The electrochemical procedure for cyclopropanation reaction between benzal chloride (BC) and dimethyl itaconate (DMI), using Cu(I) salt, iron rod as sacrificial anode, and low temperature (-10 degrees C &lt; T &lt; -5 degrees C), was investigated by cyclic voltammetry and electrolysis. The variation of the experimental parameters of electrolyses, such as the absence or the presence of CuBr during the pre-electrolysis step, or its substitution by an initial amount of iron salt (FeCl2, FeBr2 or FeI2). and pyridine addition to the reaction medium showed that the presence of dissociated Fe(II) is essential to the cyclopropanation process. The Cu(I) salt is deposited on the cathode surface during the pre-electrolysis, providing the accumulation of Fe(II) in solution, which does not act as catalyst in the electrochemical process. The best cyclopropanation yield (81%) was reached in DMF/pyridine (9:1) in the presence of FeI2 salt. A cyclopropanation mechanism involving two possible pathways was suggested, implying both an anionic and a radical BC intermediates. (C) 2011 Elsevier Ltd. All rights reserved.</t>
  </si>
  <si>
    <t>; Navarro, Marcelo/F-7419-2012</t>
  </si>
  <si>
    <t>Sengmany, Stephane/0000-0001-6160-5810; Navarro, Marcelo/0000-0002-8177-7828</t>
  </si>
  <si>
    <t>10.1016/j.electacta.2011.06.029</t>
  </si>
  <si>
    <t>WOS:000294982700016</t>
  </si>
  <si>
    <t>Feuerstein, E; Gil-Costa, V; Mizrahi, M; Marin, M</t>
  </si>
  <si>
    <t>Palma, JML; Dayde, M; Marques, O; Lopez, JC</t>
  </si>
  <si>
    <t>Feuerstein, Esteban; Gil-Costa, Veronica; Mizrahi, Michel; Marin, Mauricio</t>
  </si>
  <si>
    <t>Performance Evaluation of Improved Web Search Algorithms</t>
  </si>
  <si>
    <t>HIGH PERFORMANCE COMPUTING FOR COMPUTATIONAL SCIENCE - VECPAR 2010</t>
  </si>
  <si>
    <t>9th International Conference on High Performance Computing for Computational Science</t>
  </si>
  <si>
    <t>JUN 22-25, 2010</t>
  </si>
  <si>
    <t>Berkeley, CA</t>
  </si>
  <si>
    <t>In this paper we propose an evaluation method for parallel algorithms that can be used independently of the used parallel programming library and architecture. We propose to predict the execution costs using a simple but efficient framework that consists in modeling the strategies via a BSP architecture, and estimating the real costs using as input real query traces over real or stochastically generated data. In particular we apply this method on a 2D inverted file index used to resolve web search queries. We present results for OR queries, for which we compare different ranking and caching strategies, and show how our framework works. In addition, we present and evaluate intelligent ranking and caching algorithms for AND queries.</t>
  </si>
  <si>
    <t>Marin, Mauricio/GLR-7700-2022; Gil-Costa, Veronica/GPT-4785-2022</t>
  </si>
  <si>
    <t>Gil-Costa, Veronica/0000-0003-4637-9725; Marin, Mauricio/0000-0003-0662-7149</t>
  </si>
  <si>
    <t>978-3-642-19327-9</t>
  </si>
  <si>
    <t>WOS:000290652300023</t>
  </si>
  <si>
    <t>Fuentes, DE; Navarro, CA; Tantaleán, JC; Araya, MA; Saavedra, CP; Pérez, JM; Calderón, IL; Youderian, PA; Mora, GC; Vásquez, CC</t>
  </si>
  <si>
    <t>The product of the qacC gene of Staphylococcus epidermidis CH mediates resistance to β-lactam antibiotics in Gram-positive and Gram-negative bacteria</t>
  </si>
  <si>
    <t>We have characterized a natural isolate of Staphylococcus epidermidis resistant to heavy metals that carries a small 2391-bp plasmid, pSepCH, encoding the qacC gene. The S. epidermidis qacC gene confers resistance to a number of beta-lactam antibiotics and to ethidium bromide in its natural host and in Escherichia coli K12 and Salmonella enterica sv. Typhimurium. This is the first communication of a small multidrug resistance (SMR) pump involved in resistance to beta-lactam antibiotics. Experiments using tolC, ompW and ompD mutant strains of S. Typhimurium demonstrated that the beta-lactam antibiotic resistance conferred by this pump does not depend on these outer membrane proteins. (c) 2005 Elsevier SAS. All rights reserved.</t>
  </si>
  <si>
    <t>Fuentes, Derie/GLS-8773-2022; Calderón, Iván/HJP-5156-2023; Perez-Donoso, Jose/G-3668-2013</t>
  </si>
  <si>
    <t>Fuentes, Derie/0000-0002-8189-8515; Perez-Donoso, Jose/0000-0002-9506-1716; TANTALEAN, JUAN/0000-0002-9541-7102</t>
  </si>
  <si>
    <t>10.1016/j.resmic.2005.01.002</t>
  </si>
  <si>
    <t>WOS:000229354900003</t>
  </si>
  <si>
    <t>Vivanco, F; Melo, F; Coste, C; Lund, F</t>
  </si>
  <si>
    <t>Surface wave scattering by a vertical vortex and the symmetry of the Aharonov-Bohm wave function</t>
  </si>
  <si>
    <t>Surface waves interacting with a vertical vortex are studied both analytically and experimentally. There are similarities as well as differences with the Aharonov-Bohm effect: among the former, a dislocation in the wave fronts that is proportional to the vortex circulation, and among the latter, a significant change in the symmetry of the scattered wave.</t>
  </si>
  <si>
    <t>Lund, Fernando/H-1840-2016; Vivanco, Francisco/AAB-8928-2019; Melo, Francisco/M-3923-2014</t>
  </si>
  <si>
    <t>Melo, Francisco Esteban/0000-0001-6818-5476</t>
  </si>
  <si>
    <t>SEP 6</t>
  </si>
  <si>
    <t>10.1103/PhysRevLett.83.1966</t>
  </si>
  <si>
    <t>WOS:000082392800017</t>
  </si>
  <si>
    <t>Fuentes-Barros, G; Echeverría, J; Mattar, C; Liberona, L; Giordano, A; Suárez-Rozas, C; Salas-Norambuena, J; González-Cooper, A; Cassels, BK; Castro-Saavedra, S</t>
  </si>
  <si>
    <t>Fuentes-Barros, Gonzalo; Echeverria, Javier; Mattar, Cesar; Liberona, Leonel; Giordano, Ady; Suarez-Rozas, Cristian; Salas-Norambuena, Julio; Gonzalez-Cooper, Antonia; Cassels, Bruce K.; Castro-Saavedra, Sebastian</t>
  </si>
  <si>
    <t>Phytochemical variation of wild and farmed populations of boldo (Peumus boldus Molina)</t>
  </si>
  <si>
    <t>JOURNAL OF APPLIED RESEARCH ON MEDICINAL AND AROMATIC PLANTS</t>
  </si>
  <si>
    <t>The phytochemical profile of six wild and one cultivated Peumus boldus (boldo) populations from different regions of north-central, central and south-central Chile was studied. In leaves, wood, and bark, alkaloids and phenolics were analyzed by UHPLC-MS-MS and leaf essential oils by GC-MS. In each population, compounds were found to exhibit high variability, but important differences were recorded at the population level. The north-central wild populations showed higher concentrations of alkaloids and polyphenols in leaves and alkaloids in the bark compared to more southern populations. Saplings farmed under different shade conditions contained higher species-characteristic leaf polyphenolic concentrations with increasing light while most alkaloids increased with the shade. When analyzed the following year, higenamine, boldine, isocorydine and Nmethyllaurotetanine increased. The principal components of the leaf essential oils from the wild populations were p-cymene, ascaridole and 1,8-cineole, while in the farmed trees ascaridole was replaced by its precursor &amp; alpha;-terpinene as the second most abundant constituent. Although multiple factors may affect the concentration of secondary metabolites and geographic provenances with its attending differences in sunlight and rainfall has been suggested as one of these, the present work shows that latitude by itself cannot explain differences that have a clear impact on quality from the medicinal standpoint.</t>
  </si>
  <si>
    <t>Echeverría, Javier/E-9989-2011; Cassels, Bruce/H-6937-2013</t>
  </si>
  <si>
    <t>Castro-Saavedra, Sebastian/0000-0001-6638-4981; Suarez-Rozas, Cristian/0000-0002-3993-6071; Giordano, Ady/0000-0002-1867-6848; Echeverria, Javier/0000-0002-1688-968X</t>
  </si>
  <si>
    <t>2214-7861</t>
  </si>
  <si>
    <t>10.1016/j.jarmap.2023.100502</t>
  </si>
  <si>
    <t>WOS:001050059000001</t>
  </si>
  <si>
    <t>Amthauer, R; Cárdenas, F; Reyes, A; Valenzuela, A; Dantagnan, P; Vidal, R; Vargas-Chacoff, L</t>
  </si>
  <si>
    <t>Amthauer, Rodolfo; Cardenas, Francisca; Reyes, Alberto; Valenzuela, Ariel; Dantagnan, Patricio; Vidal, Rodrigo; Vargas-Chacoff, Luis</t>
  </si>
  <si>
    <t>Vitellogenesis in the Patagonian toothfish (Dissostichus eleginoides) conditioned to a recirculating aquaculture system</t>
  </si>
  <si>
    <t>GENERAL AND COMPARATIVE ENDOCRINOLOGY</t>
  </si>
  <si>
    <t>The Patagonian toothfish (Dissostichus eleginoides) is a new promising fish species for diversifying the aquaculture industry in Chile because of its high economic value and high international demand. However, when attempting to start aquaculture of a new species, one of the major challenges is successfully achieving conditions to reproduce them. This is particularly difficult when the information on the biology and physiology of the reproduction process of the species in question is scarce, as is the case with D. eleginoides. Additionally, female reproductive dysfunction is more prevalent under culture conditions and it is very important to have tools to evaluate the progress of oocyte maturation. Therefore, evaluation of the vitellogenesis process in addition to measuring gonadosomatic index (GSI) and oocyte diameter is an important parameter for allowing the monitoring of females from a broodstock that will spawn in the reproductive season. This study aimed to develop an enzyme-linked immunosorbent assay (ELISA) specific for the Patagonian toothfish (D. eleginoides) vitellogenine (Vtg) and quantify the plasma level in the fishes, maintained in a recirculation aquaculture system (RAS), throughout their reproductive cycle. A polyclonal antibody was prepared using the isolated major egg protein as antigen. This antibody was specific to the major plasma phosphoprotein identified as Vtg and was used to develop and standardize an indirect ELISA assay. The assay standard curve was linear from 0.1 to 1 mu g/ml purified egg yolk protein and the average r(2) was 0.995. We corroborated our ELISA assay by demonstrating a strong correlation between high levels of plasma Vtg obtained by the assay and the intensity of the corresponding bands in both SDS-PAGE coomassie stained gels and Western Blot. During the two reproductive seasons analyzed, the highest Vtg plasma level was obtained in the majority of the females in the last three months before spawning (December-January). This differs from the wild population in which the spawning occurs during the austral winter (June-September). Therefore, the RAS condition established to maintain in captivity the D. eleginoides allows females to develop mature oocytes normally, as was evidenced by picks of Vtg plasma levels.</t>
  </si>
  <si>
    <t>Valenzuela, Ariel/ABF-3971-2021; Dantagnan, Patricio/AAM-4076-2020; Vargas-Chacoff, Luis/A-5855-2012</t>
  </si>
  <si>
    <t>Valenzuela, Ariel/0000-0002-2104-7882; Dantagnan, Patricio/0000-0001-8455-1448</t>
  </si>
  <si>
    <t>0016-6480</t>
  </si>
  <si>
    <t>1095-6840</t>
  </si>
  <si>
    <t>10.1016/j.ygcen.2021.113768</t>
  </si>
  <si>
    <t>WOS:000641586300006</t>
  </si>
  <si>
    <t>Dolgui, A; Bernard, A; Lemoine, D; VonCieminski, G; Romero, D</t>
  </si>
  <si>
    <t>A Partial Nested Decomposition Approach for Remanufacturing Planning Under Uncertainty</t>
  </si>
  <si>
    <t>ADVANCES IN PRODUCTION MANAGEMENT SYSTEMS: ARTIFICIAL INTELLIGENCE FOR SUSTAINABLE AND RESILIENT PRODUCTION SYSTEMS, APMS 2021, PT II</t>
  </si>
  <si>
    <t>IFIP Advances in Information and Communication Technology</t>
  </si>
  <si>
    <t>IFIP WG 5.7 International Conference on Advances in Production Management Systems (APMS)</t>
  </si>
  <si>
    <t>SEP 05-09, 2021</t>
  </si>
  <si>
    <t>Nantes, FRANCE</t>
  </si>
  <si>
    <t>IFIP Working Grp 5 7 Advances Prod Management Syst,IMT Atlantique, Campus Nantes,Centrale Nantes,Univ Nantes,Rennes Business Sch,Audecia Business Sch</t>
  </si>
  <si>
    <t>We seek to optimize the production planning of a threee-chelon remanufacturing system under uncertain input data. We consider a multi-stage stochastic integer programming approach and use scenario trees to represent the uncertain information structure. We introduce a new dynamic programming formulation that relies on a partial nested decomposition of the scenario tree. We then propose a new extension of the recently published stochastic dual dynamic integer programming algorithm based on this partial decomposition. Our numerical results show that the proposed solution approach is able to provide near-optimal solutions for large-size instances with a reasonable computational effort.</t>
  </si>
  <si>
    <t>1868-4238</t>
  </si>
  <si>
    <t>1868-422X</t>
  </si>
  <si>
    <t>978-3-030-85902-2; 978-3-030-85901-5</t>
  </si>
  <si>
    <t>10.1007/978-3-030-85902-2_71</t>
  </si>
  <si>
    <t>WOS:000719354900071</t>
  </si>
  <si>
    <t>Rubio, A; Oyanedel, JC; Cancino, F; Benavente, L; Céspedes, C; Zisis, C; Páez, D</t>
  </si>
  <si>
    <t>Rubio, Andres; Oyanedel, Juan Carlos; Cancino, Fernanda; Benavente, Luna; Cespedes, Cristian; Zisis, Camila; Paez, Dario</t>
  </si>
  <si>
    <t>Social Support and Substance Use as Moderators of the Relationship Between Depressive Symptoms and Suicidal Ideation in Adolescents</t>
  </si>
  <si>
    <t>Literature reports that depressive symptoms may precede suicidal ideation. Several studies have identified social support and substance use as moderators of this relationship. However, no study has evaluated these variables together by testing how substance use can affect the moderating effect of social support in this relationship. The purpose of this article is to individually evaluate dimensions of social support (friends, family, significant others, and school) and substance use (alcohol, marijuana, and other illicit drugs), as moderators of the relationship between depressive symptoms and suicidal ideation, as well as analyze the moderating role of substance use in the moderation exerted by social support in this relationship. This study, quantitative and cross-sectional, considered 775 adolescents [Average age = 15.48 (SD= 0.96), 45.9% women], from 20 randomly selected schools in Santiago de Chile. Simple moderation models were used to analyze possible moderators separately, and double moderation models were used to analyze the moderating role of substance use in the moderating effect of social support. The results show that the four dimensions of social support moderate the relationship between depressive symptomatology and suicidal ideation, showing the strongest interaction in the case of family support, followed by support of a significant person, support at school, and support of friends, in that order. On the other hand, alcohol was the only drug that moderated the relationship in question. In addition, the results show that the use of alcohol limits the moderating effect of social support in the fields of family, significant person, and school support, but not in the case of support of friends. The use of marijuana and other illicit drugs did not affect the moderating effects of social support for any of the areas evaluated. The results are discussed according to the different roles that alcohol use can play in adolescence, and how these, together with perceived social support, are related to the emergence of suicidal ideation from depressive symptoms.</t>
  </si>
  <si>
    <t>Cespedes Carreno, Cristian/JCD-8625-2023; Oyanedel, Juan/V-2833-2019; Rubio, Andres/HTQ-9075-2023; Paez, Dario/D-5207-2009</t>
  </si>
  <si>
    <t>Rubio, Andres/0000-0001-8806-0697; Cespedes-Carreno, Cristian/0000-0002-6547-3445; Paez, Dario/0000-0002-8459-6037</t>
  </si>
  <si>
    <t>SEP 29</t>
  </si>
  <si>
    <t>10.3389/fpsyg.2020.539165</t>
  </si>
  <si>
    <t>WOS:000578734200001</t>
  </si>
  <si>
    <t>Cordero, RR; Asencio, V; Feron, S; Damiani, A; Llanillo, PJ; Sepulveda, E; Jorquera, J; Carrasco, J; Casassa, G</t>
  </si>
  <si>
    <t>Cordero, Raul R.; Asencio, Valentina; Feron, Sarah; Damiani, Alessandro; Llanillo, Pedro J.; Sepulveda, Edgardo; Jorquera, Jose; Carrasco, Jorge; Casassa, Gino</t>
  </si>
  <si>
    <t>Dry-Season Snow Cover Losses in the Andes (18°-40°S) driven by Changes in Large-Scale Climate Modes</t>
  </si>
  <si>
    <t>The Andean snowpack is the primary source of water for many communities in South America. We have used Landsat imagery over the period 1986-2018 in order to assess the changes in the snow cover extent across a north-south transect of approximately 2,500 km (18 degrees-40 degrees S). Despite the significant interannual variability, here we show that the dry-season snow cover extent declined across the entire study area at an average rate of about -12% per decade. We also show that this decreasing trend is mainly driven by changes in the El Nino Southern Oscillation (ENSO), especially at latitudes lower than 34 degrees S. At higher latitudes (34 degrees-40 degrees S), where the El Nino signal is weaker, snow cover losses appear to be also influenced by the poleward migration of the westerly winds associated with the positive trend in the Southern Annular Mode (SAM).</t>
  </si>
  <si>
    <t>Llanillo, Pedro/L-5877-2015; Casassa, Gino/AAX-6142-2020; Cordero, Raul/M-7979-2017; Damiani, Alessandro/X-4677-2019; Carrasco, Jorge/K-2949-2014</t>
  </si>
  <si>
    <t>Carrasco, Jorge/0000-0003-2154-5483; Cordero, Raul R./0000-0001-7607-7993; Damiani, Alessandro/0000-0003-3014-6193</t>
  </si>
  <si>
    <t>NOV 18</t>
  </si>
  <si>
    <t>10.1038/s41598-019-53486-7</t>
  </si>
  <si>
    <t>WOS:000496920900001</t>
  </si>
  <si>
    <t>Conei, D; del Sol, M; Cofré, RM; Cabello, ME; Saavedra, H; Herrera, EA; García-Herrera, CM</t>
  </si>
  <si>
    <t>Conei, Daniel; del Sol, Mariano; Munoz Cofre, Rodrigo; Escobar Cabello, Maximo; Saavedra P, Hector; Herrera, Emilio A.; Garcia-Herrera, Claudio M.</t>
  </si>
  <si>
    <t>Morphological and Mechanical Effects in Sprague Dawley Rats Subjected to Hypoxia Cycles</t>
  </si>
  <si>
    <t>Extensive periods of hypoxic cause adaptive changes that make it possible to respond to the demands imposed by the environment. However, there are cases where this exposure is intermittent, as is the case of workers in andean areas. The objective of this communication was to verify the morphological and mechanical effects on diaphragm and lungs of rats subjected to intermittent hypoxic. Four 6-month-old Sprague Dawley rats were used. Two rats were subjected to 10 cycles of intermittent hypobaric hypoxic (IHH) of 96 h (similar to 428 torr, PO2 90 mm Hg), followed by 96 h of normobaric normoxia, for 80 days. Uniaxial traction and staining tests were performed with Hematoxylin-Eosin and Picrosirius red de Junqueira. When comparing the curves of the diaphragms, those subjected to hypoxic slightly reduce their effort with respect to the condition of normoxia, in the lung tissue the hypoxic negatively affects its resistance, these show a lower slope with respect to the normoxics. In the histological analysis, the pulmonary parenchyma had a lower number of blood vessels and cellularity, such as a greater area fraction of alveolar spaces and amount of total collagen in IHH group. In the diaphragm, IHH group had a lower number of irregularly distributed myocytes and a lower amount of total collagen. In conclusion, the main findings indicate that the diaphragm and lung tissue subjected to IHH undergo structural changes, which result in a decrease in tensile strength.</t>
  </si>
  <si>
    <t>del sol, Mariano/I-4746-2018; escobar, maximo/AAO-5354-2020; García-Herrera, Claudio/ABE-8991-2020; Herrera, Emilio A/H-5992-2018</t>
  </si>
  <si>
    <t>Conei, Daniel/0000-0001-6583-0177; Herrera, Emilio A/0000-0002-6342-085X</t>
  </si>
  <si>
    <t>10.4067/S0717-95022019000300908</t>
  </si>
  <si>
    <t>WOS:000476478000021</t>
  </si>
  <si>
    <t>Verdejo, H; Torres, R; Pino, V; Kliemann, W; Becker, C; Delpiano, J</t>
  </si>
  <si>
    <t>Verdejo, Humberto; Torres, Rodrigo; Pino, Victor; Kliemann, Wolfgang; Becker, Cristhian; Delpiano, Jose</t>
  </si>
  <si>
    <t>Tuning of Controllers in Power Systems Using a Heuristic-Stochastic Approach</t>
  </si>
  <si>
    <t>A method is proposed to fit parameters of Power System Stabilizer controllers in electromechanical multimachine power systems. The use of the Non-dominated Sorting Genetic Algorithm II heuristic method and Tabu search is considered to be initial search criteria. These methods give an approximation of the values that define the controllers. Then, the stochastic approach was used to evaluate the behavior of the parameters found when considering the system's response to the presence of random and self-sustained in-time disturbances that affect the response of the system under steady state. The stochastic approach allows the evaluation of the system's response through the calculation of the cost of energy loss under steady state. The method is applied to two systems: a three-machine nine-busbar system, and the Interconnected System of the Greater North (Sistema Interconectado del Norte Grande) in Chile. For these systems, the proposed methodology effectively optimized the controllers and Tabu search was shown to have a better performance than the Non-dominated Sorting Genetic Algorithm II.</t>
  </si>
  <si>
    <t>Delpiano, José/S-4471-2019</t>
  </si>
  <si>
    <t>Delpiano, Jose/0000-0001-9794-5649; Torres, Rodrigo/0000-0003-0998-6411; , Cristhian Becker/0000-0001-6943-5086</t>
  </si>
  <si>
    <t>JUN 2</t>
  </si>
  <si>
    <t>10.3390/en12122325</t>
  </si>
  <si>
    <t>WOS:000473821400098</t>
  </si>
  <si>
    <t>Tejo, F; Riveros, A; Escrig, J; Guslienko, KY; Chubykalo-Fesenko, O</t>
  </si>
  <si>
    <t>Tejo, F.; Riveros, A.; Escrig, J.; Guslienko, K. Y.; Chubykalo-Fesenko, O.</t>
  </si>
  <si>
    <t>Distinct magnetic field dependence of Neel skyrmion sizes in ultrathin nanodots</t>
  </si>
  <si>
    <t>We investigate the dependence of the Neel skyrmion size and stability on perpendicular magnetic field in ultrathin circular magnetic dots with out-of-plane anisotropy and interfacial Dzyaloshinskii-Moriya exchange interaction. Our results show the existence of two distinct dependencies of the skyrmion radius on the applied field and dot size. In the case of skyrmions stable at zero field, their radius strongly increases with the field applied parallel to the skyrmion core until skyrmion reaches the metastability region and this dependence slows down. More common metastable skyrmions demonstrate a weaker increase of their size as a function of the field until some critical field value at which these skyrmions drastically increase in size showing a hysteretic behavior with coexistence of small and large radius skyrmions and small energy barriers between them. The first case is also characterized by a strong dependence of the skyrmion radius on the dot diameter, while in the second case this dependence is very weak.</t>
  </si>
  <si>
    <t>Tejo, Felipe/IUQ-0578-2023; Rodríguez, Alejandro/R-4062-2019; Escrig, Juan/N-4304-2015; Chubykalo-Fesenko, Oksana/V-5015-2017</t>
  </si>
  <si>
    <t>Riveros, Alejandro/0000-0002-4924-663X; Tejo Lazo, Felipe Tejo/0000-0001-7457-7281; Escrig, Juan/0000-0002-3958-8185; Chubykalo-Fesenko, Oksana/0000-0002-4081-1831</t>
  </si>
  <si>
    <t>APR 19</t>
  </si>
  <si>
    <t>10.1038/s41598-018-24582-x</t>
  </si>
  <si>
    <t>WOS:000430382700018</t>
  </si>
  <si>
    <t>García-Hermoso, A; Ceballos-Ceballos, RJM; Poblete-Aro, CE; Hackney, AC; Mota, J; Ramírez-Vélez, R</t>
  </si>
  <si>
    <t>Garcia-Hermoso, A.; Ceballos-Ceballos, R. J. M.; Poblete-Aro, C. E.; Hackney, A. C.; Mota, J.; Ramirez-Velez, R.</t>
  </si>
  <si>
    <t>Exercise, adipokines and pediatric obesity: a meta-analysis of randomized controlled trials</t>
  </si>
  <si>
    <t>INTERNATIONAL JOURNAL OF OBESITY</t>
  </si>
  <si>
    <t>BACKGROUND/OBJECTIVE: Adipokines are involved in the etiology of diabetes, insulin resistance, and the development of atherosclerosis and other latent-onset complications. The objective of this meta-analysis was to determine the effectiveness of exercise interventions on adipokines in pediatric obesity. SUBJECTS/METHODS: A computerized search was made using three databases. The analysis was restricted to studies that examined the effect of exercise interventions on adipokines (adiponectin, leptin, resistin and visfatin) in pediatric obesity (6-18 years old). Fourteen randomized controlled trials (347 youths) were included. Weighted mean difference (WMD) and 95% confidence intervals were calculated. RESULTS: Exercise was associated with a significant increase in adiponectin (WMD = 0.882 mu g ml(-1), 95% CI, 0.271-1.493) but did not alter leptin and resistin level. Likewise, exercise intensity and change in body fat; as well as total exercise program duration, duration of the sessions, and change in body fat all significantly influenced the effect of exercise on adiponectin and leptin, respectively. CONCLUSIONS: Exercise seems to increase adiponectin levels in childhood obesity. Our results also suggested that exercise on its own, without the concomitant presence of changes in body composition levels, does not affect leptin levels.</t>
  </si>
  <si>
    <t>García-Hermoso, Antonio/ADU-2591-2022; Poblete, Carlos/HOF-8260-2023; HACKNEY, ANTHONY/D-9521-2013; Garcia-Hermoso, Antonio/P-1857-2017; mota, jorge/B-2980-2013; Ramirez-Velez, Robinson/D-5311-2016</t>
  </si>
  <si>
    <t>Poblete-Aro, Carlos/0000-0001-9554-3996; Garcia-Hermoso, Antonio/0000-0002-1397-7182; mota, jorge/0000-0001-7571-9181; Ramirez-Velez, Robinson/0000-0003-3075-6960</t>
  </si>
  <si>
    <t>0307-0565</t>
  </si>
  <si>
    <t>1476-5497</t>
  </si>
  <si>
    <t>10.1038/ijo.2016.230</t>
  </si>
  <si>
    <t>WOS:000399342200001</t>
  </si>
  <si>
    <t>Hahn, I; Römer, U; Soto, GE; Baumeister, J; Vergara, PM</t>
  </si>
  <si>
    <t>Hahn, Ingo; Roemer, Uwe; Soto, Gerardo E.; Baumeister, Julia; Vergara, Pablo M.</t>
  </si>
  <si>
    <t>Diversity, biogeography, abundance, and conservation of the birds of Mocha Island National Reserve, Chile</t>
  </si>
  <si>
    <t>VERTEBRATE ZOOLOGY</t>
  </si>
  <si>
    <t>The avifauna of Mocha Island is analysed according to species richness, habitat use, and reproductive status, and the first quantitative population estimates of forest landbirds are presented basing on unbiased survey data as a basis for conservation. We recorded a total of 100 species, including non-breeders. Among all recorded taxa, landbirds (n = 48 spp. or 48 %) exhibit higher species numbers when compared to shore- and seabirds (38), and freshwater birds (14). Within the documented breeding avifauna (n = 54 spp.) landbirds take an even relative higher value, amounting to 88 % (or 42 spp.). Austral and Neotropical species are most numerous within the landbird assemblage, reflecting the closest biogeographical realm. When comparing different Chilean avifaunas, southern mainland ecosystems show the highest landbird richness (90), followed by Chiloe Island (61), Mocha Island (42), and remote Juan Fernandez Islands (11). From line transects surveyed, 884 bird individuals belonging to 18 resident forest landbird species were recorded (averaging 10.3 ind/ha). We calculated the total population size of forest landbirds in the reserve (2300 ha) being 23,681 individuals. Two of the three endemic taxa (Mocha Rayadito and Mocha Chucao) show relatively high population sizes of about 4,100 and 3,700 individuals, respectively. The Mocha Thrush shows a population of about 670 individuals in forests, but is equally abundant in anthropogenic pastures around. Future conservation management of Mocha Island should consider richness, composition, and abundance of landbirds reported in this study, with emphasis on breeding ecology of the three mentioned endemics. Priority should be put on controlling illegal timber extraction, bird hunting and chick collecting, as well as on sensitization of local people to avoid introducing alien species.</t>
  </si>
  <si>
    <t>Vergara, Pablo/F-2519-2010; Soto, Gerardo/JAX-4165-2023</t>
  </si>
  <si>
    <t>Vergara, Pablo/0000-0002-0024-1678</t>
  </si>
  <si>
    <t>1864-5755</t>
  </si>
  <si>
    <t>WOS:000389767200007</t>
  </si>
  <si>
    <t>García, J; Prida, VM; Vivas, LG; Hernando, B; Barriga-Castro, ED; Mendoza-Reséndez, R; Luna, C; Escrig, J; Vázquez, M</t>
  </si>
  <si>
    <t>Garcia, J.; Prida, V. M.; Vivas, L. G.; Hernando, B.; Barriga-Castro, E. D.; Mendoza-Resendez, R.; Luna, C.; Escrig, J.; Vazquez, M.</t>
  </si>
  <si>
    <t>Magnetization reversal dependence on effective magnetic anisotropy in electroplated Co-Cu nanowire arrays</t>
  </si>
  <si>
    <t>JOURNAL OF MATERIALS CHEMISTRY C</t>
  </si>
  <si>
    <t>Arrays of Co(100-x)Cu(x) (0 &lt;= x &lt;= 27) nanowires with 45 nm of diameter and 18 mu m in length have been potentiostatically electrodeposited into the hexagonally self-assembled nanopores of anodic alumina membranes. The structural characterization of Co-Cu nanowires confirms the coexistence of both hcp and fcc crystalline phases, with textures that are strongly affected by the fractional content of Cu. Parallel magnetic studies of the room temperature magnetization process by First Order Reversal Curve (FORC) analysis and the angular dependence of coercivity confirm the presence of two coexisting ferromagnetic phases on intermediate Cu content nanowires, ascribed to a softer magnetic phase for pure Co and a harder magnetic one for the Co-Cu composition alloy, respectively. The temperature dependence of coercivity and remanence reveal a reorientation of the effective magnetic anisotropy with the addition of Cu to the Co-Cu alloy nanowires, being enhanced by the coexistence of the two ferromagnetic phases.</t>
  </si>
  <si>
    <t>Vázquez, Manuel/A-6370-2011; Gonzalez Vivas, Laura/ABA-1422-2020; Hernando, B./M-1152-2014; Castro, Enrique/AAA-6583-2021; Gonzalez Vivas, Laura/H-7054-2013; Diaz Barriga Castro, Enrique/G-1810-2015; Escrig, Juan/N-4304-2015; Prida, Victor M./M-1869-2014; Luna, Carlos/D-5061-2012; Garcia Fernandez, Javier/S-4840-2016</t>
  </si>
  <si>
    <t>Gonzalez Vivas, Laura/0000-0002-0536-030X; Diaz Barriga Castro, Enrique/0000-0003-1971-4030; Escrig, Juan/0000-0002-3958-8185; Prida, Victor M./0000-0001-5541-8816; Luna, Carlos/0000-0002-0149-9814; Vazquez Villalabeitia, Manuel/0000-0001-5591-0157; Garcia Fernandez, Javier/0000-0001-7762-600X</t>
  </si>
  <si>
    <t>2050-7526</t>
  </si>
  <si>
    <t>2050-7534</t>
  </si>
  <si>
    <t>10.1039/c4tc02988g</t>
  </si>
  <si>
    <t>WOS:000353768100013</t>
  </si>
  <si>
    <t>Saldaña, M; Orchard, X; Rivera, S; Bustamante-Pavez, G</t>
  </si>
  <si>
    <t>Saldana, Magdalena; Orchard, Ximena; Rivera, Sebastian; Bustamante-Pavez, Guillermo</t>
  </si>
  <si>
    <t>Your house won't be yours anymore! Effects of Misinformation, News Use, and Media Trust on Chile's Constitutional Referendum</t>
  </si>
  <si>
    <t>INTERNATIONAL JOURNAL OF PRESS-POLITICS</t>
  </si>
  <si>
    <t>News consumption and voting behavior are interlinked and particularly important in elections where traditional political cleavages are not easily applicable. This relationship becomes more complex and uncertain in contexts of low trust in the news media and high levels of misinformation circulating in different news ecosystems. In this study, we test an indirect path between differentiated news media consumption and voting choices, mediated by belief in misinformation, and moderated by news media trust. Our data come from a two-wave panel survey of 1,332 respondents, conducted in Chile before and after the 2022 Constitutional Referendum, a political event that captured international attention after a constitutional proposal was rejected in a process initiated with high public support. Our analyses found that news media consumption significantly affected voting preferences in the referendum, not only indirectly through the acceptance of misinformation, but also directly, suggesting that news organizations might act, intentionally or not, as soundboards of misinformation. These findings suggest that countries with enough press freedom to rely on the news media to be informed but also a high concentration of ownership, topics, and angles covered, might become fertile soil for misinformation to spread in the form of professional news coverage, instead of fabricated, easy-to-spot fake pieces circulating in dubious websites or on social media.</t>
  </si>
  <si>
    <t>Orchard, Ximena/JWP-2934-2024; Saldaña, Magdalena/ABD-4714-2021</t>
  </si>
  <si>
    <t>Orchard, Ximena/0000-0002-8687-1098; Rivera, Sebastian/0000-0003-2642-2546; Bustamante-Pavez, Guillermo/0000-0001-6997-0353</t>
  </si>
  <si>
    <t>1940-1612</t>
  </si>
  <si>
    <t>1940-1620</t>
  </si>
  <si>
    <t>2024 DEC 4</t>
  </si>
  <si>
    <t>10.1177/19401612241298853</t>
  </si>
  <si>
    <t>WOS:001369649600001</t>
  </si>
  <si>
    <t>Figueroa, J; Valdes, H; Vilches, J; Schmidt, W; Valencia, F; Torres, V; Diaz-Robles, L; Muñoz, P; Letelier, V; Morales, V; Bustamante, M</t>
  </si>
  <si>
    <t>Figueroa, Juan; Valdes, Hugo; Vilches, Juan; Schmidt, Walter; Valencia, Felipe; Torres, Viviana; Diaz-Robles, Luis; Munoz, Pedro; Letelier, Viviana; Morales, Valentina; Bustamante, Marion</t>
  </si>
  <si>
    <t>Comparative Analysis of Gas Emissions from Ecokiln and Artisanal Brick Kiln during the Artisanal Firing of Bricks</t>
  </si>
  <si>
    <t>This article focuses on the research of gas emissions in two types of brick kilns located in the Maule Region, Chile. One of them is an artisanal brick kiln known as a chonchon (AKC), while the other is a semi-artisanal brick kiln with an improved design. The latter is referred to as the Ecokiln. This study focuses on the assessment of the emission profiles of key pollutants such as particulate matter (PM), CO, CO2, SO2, and NOx. The emission measurements of gasses, temperature, and flow were conducted during the operation of the kilns. These measurements were carried out following the protocol established by Chilean standards. The Ecokiln's design facilitates optimal fluid dynamics. In direct comparison to the AKC, it exhibits reduced fuel consumption, shorter operation periods, an increased brick processing capacity, decreased burnt brick losses, and notably lower emissions, with a concentration of SO2 that is 83% less than that of the AKC, NOx emissions, 58% lower than the AKC, and a remarkable 74.3% reduction in PM10 emissions. Moreover, the Ecokiln reduces pollutant emissions, improving the well-being of brickmakers and their communities. These results offer insights into the environmental impact of local brick production and support sustainable manufacturing practices.</t>
  </si>
  <si>
    <t>Valencia, Felipe/D-9223-2015; Letelier, Viviana/AAB-7374-2021; Valdés, Hugo/L-2657-2019; Figueroa, Juan/JEP-6164-2023; Schmidt, Walter/LQU-7883-2024; Munoz, Pedro/AAA-3238-2021; Diaz-Robles, Luis/D-3450-2013</t>
  </si>
  <si>
    <t>Diaz-Robles, Luis/0000-0002-6098-7746; Munoz, Pedro/0000-0001-7958-1271; FIGUEROA, JUAN/0000-0002-8075-910X; Letelier, Viviana/0000-0002-2456-8595</t>
  </si>
  <si>
    <t>10.3390/su16031302</t>
  </si>
  <si>
    <t>WOS:001160136000001</t>
  </si>
  <si>
    <t>Gatica, JL; Ortega, R; Aragón-Caqueo, D; Wortsman, X; Sazunic, I; Loubies, R</t>
  </si>
  <si>
    <t>Gatica, Jose Luis; Ortega, Rinna; Aragon-Caqueo, Diego; Wortsman, Ximena; Sazunic, Ivo; Loubies, Rodrigo</t>
  </si>
  <si>
    <t>Granulomatous Reaction Secondary to Fractional Radiofrequency Microneedling with Clinical, Ultrasonographic, and Histologic Correlation</t>
  </si>
  <si>
    <t>FACIAL PLASTIC SURGERY &amp; AESTHETIC MEDICINE</t>
  </si>
  <si>
    <t>Aragón, Diego/GPX-8482-2022; Wortsman, Ximena/F-4432-2010</t>
  </si>
  <si>
    <t>Aragon-Caqueo, Diego/0000-0001-7233-960X</t>
  </si>
  <si>
    <t>2689-3614</t>
  </si>
  <si>
    <t>2689-3622</t>
  </si>
  <si>
    <t>10.1089/fpsam.2023.0207</t>
  </si>
  <si>
    <t>WOS:001155698700002</t>
  </si>
  <si>
    <t>Cordero, RR; Feron, S; Damiani, A; Carrasco, J; Karas, C; Wang, CH; Kraamwinkel, CT; Beaulieu, A</t>
  </si>
  <si>
    <t>Cordero, Raul R.; Feron, Sarah; Damiani, Alessandro; Carrasco, Jorge; Karas, Cyrus; Wang, Chenghao; Kraamwinkel, Clarisse T.; Beaulieu, Anne</t>
  </si>
  <si>
    <t>Extreme fire weather in Chile driven by climate change and El Niño-Southern Oscillation (ENSO)</t>
  </si>
  <si>
    <t>A string of fierce fires broke out in Chile in the austral summer 2023, just six years after the record-breaking 2017 fire season. Favored by extreme weather conditions, fire activity has dramatically risen in recent years in this Andean country. A total of 1.7 million ha. burned during the last decade, tripling figures of the prior decade. Six of the seven most destructive fire seasons on record occurred since 2014. Here, we analyze the progression during the last two decades of the weather conditions associated with increased fire risk in Central Chile (30 degrees-39 degrees S). Fire weather conditions (including high temperatures, low humidity, dryness, and strong winds) increase the potential for wildfires, once ignited, to rapidly spread. We show that the concurrence of El Nino and climate-fueled droughts and heatwaves boost the local fire risk and have decisively contributed to the intense fire activity recently seen in Central Chile. Our results also suggest that the tropical eastern Pacific Ocean variability modulates the seasonal fire weather in the country, driving in turn the interannual fire activity. The signature of the warm anomalies in the Nino 1 + 2 region (0 degrees-10 degrees S, 90 degrees W-80 degrees W) is apparent on the burned area records seen in Central Chile in 2017 and 2023.</t>
  </si>
  <si>
    <t>Damiani, Alessandro/X-4677-2019; Cordero, Raul/M-7979-2017; Karas, Cyrus/V-5775-2017; Wang, Chenghao/O-7961-2017; Carrasco, Jorge/K-2949-2014</t>
  </si>
  <si>
    <t>Beaulieu, Anne/0000-0002-2431-8975; Wang, Chenghao/0000-0001-8846-4130; Carrasco, Jorge/0000-0003-2154-5483; Feron, Sarah/0000-0002-0572-5639; Damiani, Alessandro/0000-0003-3014-6193; Kraamwinkel, Clarisse/0000-0002-0479-1562; Karas, Cyrus/0000-0002-7436-5016</t>
  </si>
  <si>
    <t>10.1038/s41598-024-52481-x</t>
  </si>
  <si>
    <t>WOS:001155174100018</t>
  </si>
  <si>
    <t>Cáceres-Vásquez, J; Jara, DH; Costamagna, J; Martínez-Gómez, F; Silva, CP; Lemus, L; Freire, E; Baggio, R; Vera, C; Guerrero, J</t>
  </si>
  <si>
    <t>Caceres-Vasquez, Joaquin; Jara, Danilo H.; Costamagna, Juan; Martinez-Gomez, Fabian; Silva, Carlos P.; Lemus, Luis; Freire, Eleonora; Baggio, Ricardo; Vera, Cristian; Guerrero, Juan</t>
  </si>
  <si>
    <t>Effect of non-covalent self-dimerization on the spectroscopic and electrochemical properties of mixed Cu(i) complexes (vol 13, pg 825, 2023)</t>
  </si>
  <si>
    <t>Correction for 'Effect of non-covalent self-dimerization on the spectroscopic and electrochemical properties of mixed Cu(i) complexes' by Joaquin Caceres-Vasquez et al., RSC Adv., 2023, 13, 825-838, https://doi.org/10.1039/D2RA05341A.</t>
  </si>
  <si>
    <t>Silva, Carlos/IQS-5583-2023; Jara, Danilo/A-6090-2017</t>
  </si>
  <si>
    <t>APR 11</t>
  </si>
  <si>
    <t>10.1039/d3ra90033a</t>
  </si>
  <si>
    <t>WOS:000968811600001</t>
  </si>
  <si>
    <t>Céspedes, C; Rubio, A; Viñas, F; Cerrato, SM; Lara-Ordenes, E; Ríos, J</t>
  </si>
  <si>
    <t>Cespedes, Cristian; Rubio, Andres; Vinas, Ferran; Cerrato, Sara Malo; Lara-Ordenes, Eliseo; Rios, Javier</t>
  </si>
  <si>
    <t>Relationship Between Self-Concept, Self-Efficacy, and Subjective Well-Being of Native and Migrant Adolescents</t>
  </si>
  <si>
    <t>In the last decade, the migrant population in Chile has substantially increased, where the rates have not only increased in the adult population, but also among children and adolescents, creating a potential for social and cultural development in the educational system. The present work analyzes the relationship between self-concept, self-efficacy, and subjective well-being in native and migrant adolescents in Santiago de Chile. The sample consisted of 406 students, 56.65% women, with an age range that fluctuated between 12 and 16 years, with an average of 13.36 years (SD = 0.96). Student's t-tests were used to compare the average of the constructs evaluated between natives/migrants and boys/girls participants. Subsequently, two multivariate models of simple mediation were constructed, one for natives and another for migrants, which assumed subjective well-being as a dependent variable, academic self-concept as an independent variable and the general self-efficacy as a mediating variable. In both models, gender was considered as a control variable. Results show that migrant students present higher levels of academic self-concept and general self-efficacy than native students. There are no differences with regard to well-being. In the case of gender, differences are observed only for the case of general self-efficacy, where boys present higher levels. On the other hand, a partial mediation is observed for the model of native students and a total mediation for the model of migrant students. The study yielded interesting results regarding the differences in the evaluation of the constructs of self-concept, self-efficacy, and subjective well-being in both groups. Such data can be used as inputs for the development of public policies for adolescents.</t>
  </si>
  <si>
    <t>Cespedes Carreno, Cristian/JCD-8625-2023; Viñas, Ferran/H-3934-2011; Cerrato, Sara/AAQ-4097-2021; Rubio, Andres/HTQ-9075-2023; Malo Cerrato, Sara/D-8524-2011</t>
  </si>
  <si>
    <t>Cespedes-Carreno, Cristian/0000-0002-6547-3445; Rubio, Andres/0000-0001-8806-0697; Malo Cerrato, Sara/0000-0003-3561-0610; Lara-Ordenes, Eliseo/0000-0001-7987-324X</t>
  </si>
  <si>
    <t>10.3389/fpsyg.2020.620782</t>
  </si>
  <si>
    <t>WOS:000616528700001</t>
  </si>
  <si>
    <t>Reinforcement learning for semi-autonomous approximate quantum eigensolver</t>
  </si>
  <si>
    <t>MACHINE LEARNING-SCIENCE AND TECHNOLOGY</t>
  </si>
  <si>
    <t>The characterization of an operator by its eigenvectors and eigenvalues allows us to know its action over any quantum state. Here, we propose a protocol to obtain an approximation of the eigenvectors of an arbitrary Hermitian quantum operator. This protocol is based on measurement and feedback processes, which characterize a reinforcement learning protocol. Our proposal is composed of two systems, a black box named environment and a quantum state named agent. The role of the environment is to change any quantumstate by a unitary matrix (U) over cap (E) = e(-it (O) over capE) where (O) over cap (E) is a Hermitian operator, and tau is a real parameter. The agent is a quantum state which adapts to some eigenvector of (O) over cap (E) by repeated interactions with the environment, feedback process, and semi-random rotations. With this proposal, we can obtain an approximation of the eigenvectors of a random qubit operator with average fidelity over 90% in less than 10 iterations, and surpass 98% in less than 300 iterations. Moreover, for the two-qubit cases, the four eigenvectors are obtained with fidelities above 89% in 8000 iterations for a random operator, and fidelities of 99% for an operator with the Bell states as eigenvectors. This protocol can be useful to implement semi-autonomous quantum devices which should be capable of extracting information and deciding with minimal resources and without human intervention.</t>
  </si>
  <si>
    <t>Retamal, Juan/G-6425-2010; Solano, Enrique/C-2895-2017; Lamata, Lucas/CAG-6488-2022</t>
  </si>
  <si>
    <t>Albarran-Arriagada, Francisco/0000-0001-8899-3673; Lamata, Lucas/0000-0002-9504-8685; Retamal Abarzua, Juan Carlos/0000-0002-7174-7879</t>
  </si>
  <si>
    <t>2632-2153</t>
  </si>
  <si>
    <t>10.1088/2632-2153/ab43b4</t>
  </si>
  <si>
    <t>WOS:000660868000001</t>
  </si>
  <si>
    <t>Akyildiz, FT; Siginer, DA; Boutaous, M</t>
  </si>
  <si>
    <t>Akyildiz, F. Talay; Siginer, Dennis A.; Boutaous, M'hamed</t>
  </si>
  <si>
    <t>Unsteady Flow of Power Law Fluids With Wall Slip in Microducts</t>
  </si>
  <si>
    <t>JOURNAL OF FLUIDS ENGINEERING-TRANSACTIONS OF THE ASME</t>
  </si>
  <si>
    <t>Unsteady laminar nonlinear slip flow of power law fluids in a microchannel is investigated. The nonlinear partial differential equation resulting from the momentum balance is solved with linear as well as nonlinear boundary conditions at the channel wall. We prove the existence of the weak solution, develop a semi-analytical solution based on the pseudo-spectral-Galerkin and Tau methods, and discuss the influence and effect of the slip coefficient and power law index on the time-dependent velocity profiles. Larger slip at the wall generates increased velocity profiles, and this effect is further enhanced by increasing the power law index. Comparatively, the velocity of the Newtonian fluid is larger and smaller than that of the power law fluid for the same value of the slippage coefficient if the power index is smaller and larger, respectively, than one.</t>
  </si>
  <si>
    <t>0098-2202</t>
  </si>
  <si>
    <t>1528-901X</t>
  </si>
  <si>
    <t>10.1115/1.4042558</t>
  </si>
  <si>
    <t>WOS:000471286100007</t>
  </si>
  <si>
    <t>Ahumada, M; Lissi, E; Montagut, AM; Valenzuela-Henríquez, F; Pacioni, NL; Alarcon, EI</t>
  </si>
  <si>
    <t>Ahumada, Manuel; Lissi, Eduardo; Montagut, Ana Maria; Valenzuela-Henriquez, Francisco; L. Pacioni, Natalia; Alarcon, Emilio I.</t>
  </si>
  <si>
    <t>Association models for binding of molecules to nanostructures</t>
  </si>
  <si>
    <t>ANALYST</t>
  </si>
  <si>
    <t>The interaction between nanoparticles and molecules plays a key role in determining the activity and performance of a given nanostructure. These interactions are pivotal for a variety of applications including drug delivery, surface manipulation for targeted therapies, and catalysis. However, to this day, gathering precise association parameters for the interaction of the molecules with nanostructures remains elusive and mostly imprecise. In this review, we present a critical discussion of the most commonly used techniques and models intended for determining the association of molecules with nanoparticles. Particular emphasis has been put on discussing the limitations and pitfalls related to determining association constants in this tutorial review.</t>
  </si>
  <si>
    <t>Ahumada, Manuel/L-2401-2018</t>
  </si>
  <si>
    <t>Ahumada, Manuel/0000-0002-0589-3296; Alarcon, Emilio/0000-0001-5100-6179; Pacioni, Natalia/0000-0002-3353-205X; Montagut, Ana Maria/0000-0002-3169-1970</t>
  </si>
  <si>
    <t>0003-2654</t>
  </si>
  <si>
    <t>1364-5528</t>
  </si>
  <si>
    <t>JUN 21</t>
  </si>
  <si>
    <t>10.1039/c7an00288b</t>
  </si>
  <si>
    <t>WOS:000403318300001</t>
  </si>
  <si>
    <t>Robledo, JP; Hurtado, E; Prado, F; Román, D; Cornejo, C</t>
  </si>
  <si>
    <t>Robledo, Juan P.; Hurtado, Esteban; Prado, Felipe; Roman, Domingo; Cornejo, Carlos</t>
  </si>
  <si>
    <t>Music intervals in speech: Psychological disposition modulates ratio precision among interlocutors' nonlocal f0 production in real-time dyadic conversation</t>
  </si>
  <si>
    <t>PSYCHOLOGY OF MUSIC</t>
  </si>
  <si>
    <t>Drawing on the notion of musical intervals, recent studies have demonstrated the use of precise frequency ratios within human vocalisation. Methodologically, these studies have addressed human vocalisation at an individual level. In the present study, we asked whether patterns such as musical intervals can also be found among the voices of people engaging in a conversation as an emerging interpersonal phenomenon. Fifty-six participants were randomly paired and assigned to either a control or a low-trust condition. Frequency ratios were generated by juxtaposing nonlocal fundamental frequency (f0) productions from two people engaged in each given dyadic conversation. Differences were found among conditions, both in terms of interval distribution and precision. These results support the idea that psychological dispositions modulate the musical intervals generated between participants through mutual real-time vocal accommodation. They also underscore the inter-domain use of musical intervals.</t>
  </si>
  <si>
    <t>Cornejo, Carlos/Q-6871-2017</t>
  </si>
  <si>
    <t>Cornejo, Carlos/0000-0001-5426-0025; Prado, Felipe/0000-0003-3257-9646</t>
  </si>
  <si>
    <t>0305-7356</t>
  </si>
  <si>
    <t>1741-3087</t>
  </si>
  <si>
    <t>10.1177/0305735616634452</t>
  </si>
  <si>
    <t>WOS:000393210700013</t>
  </si>
  <si>
    <t>Carbone, S; Saarikoski, S; Frey, A; Reyes, F; Reyes, P; Castillo, M; Gramsch, E; Oyola, P; Jayne, J; Worsnop, DR; Hillamo, R</t>
  </si>
  <si>
    <t>Carbone, Samara; Saarikoski, Sanna; Frey, Anna; Reyes, Felipe; Reyes, Paula; Castillo, Marcela; Gramsch, Ernesto; Oyola, Pedro; Jayne, John; Worsnop, Douglas R.; Hillamo, Risto</t>
  </si>
  <si>
    <t>Chemical Characterization of Submicron Aerosol Particles in Santiago de Chile</t>
  </si>
  <si>
    <t>AEROSOL AND AIR QUALITY RESEARCH</t>
  </si>
  <si>
    <t>High time resolution chemical characterization of submicron particles was carried out in the South American city of Santiago de Chile using the Aerosol Chemical Speciation Monitor (ACSM). The instrumentation operated for 100 days from August 17th to November 23rd 2011 in an urban station located inside the University of Santiago de Chile (USACH) campus. In addition, a semi-continuous OC/EC analyzer was also run in parallel with the ACSM for some of this time. Meteorological conditions varied along the studied period due to the transition from winter to spring time. Atmospheric temperature inversions were responsible for hourly average sub-micron particulate matter levels of up to 80 mu g/m(3), especially during the night time. The average submicron particle mass concentration (+/- standard deviation) for the whole period was 29.8 +/- 25 mu g/m(3). Aerosol particles were composed mainly of organics 59%, followed by nitrate, ammonium, sulfate, black carbon and chloride with contributions of 14, 12, 8, 3 and 3%, respectively. Using positive matrix factorization, the organic fraction was divided into four distinct types of organic aerosol representing fresh automobile exhaust, biomass burning, and two oxygenated organic aerosol factors with different oxidation states. The transition from winter to spring was clearly seen in the composition of OA. The emissions from primary sources, such as vehicle and biomass burning, decreased in the period leading to spring, whereas the amount of oxygenated organic aerosol increased over the same time. This study shows that high time resolution measurements of aerosol chemical composition can lead to better characterizations of the evolution and sources of pollutants in an urban atmosphere.</t>
  </si>
  <si>
    <t>Saarikoski, Sanna/M-9529-2019; Worsnop, Douglas/D-2817-2009; Gramsch, Ernesto/M-5507-2017</t>
  </si>
  <si>
    <t>Carbone, Samara/0000-0002-3397-1183; Gramsch, Ernesto/0000-0002-6787-7355</t>
  </si>
  <si>
    <t>1680-8584</t>
  </si>
  <si>
    <t>2071-1409</t>
  </si>
  <si>
    <t>10.4209/aaqr.2012.10.0261</t>
  </si>
  <si>
    <t>WOS:000315327400004</t>
  </si>
  <si>
    <t>Orio, P; Parra, A; Madrid, R; González, O; Belmonte, C; Viana, F</t>
  </si>
  <si>
    <t>Orio, Patricio; Parra, Andres; Madrid, Rodolfo; Gonzalez, Omar; Belmonte, Carlos; Viana, Felix</t>
  </si>
  <si>
    <t>Role of Ih in the firing pattern of mammalian cold thermoreceptor endings</t>
  </si>
  <si>
    <t>JOURNAL OF NEUROPHYSIOLOGY</t>
  </si>
  <si>
    <t>Orio P, Parra A, Madrid R, Gonzalez O, Belmonte C, Viana F. Role of I-h in the firing pattern of mammalian cold thermoreceptor endings. J Neurophysiol 108: 3009-3023, 2012. First published September 5, 2012; doi: 10.1152/jn.01033.2011.-Mammalian peripheral cold thermoreceptors respond to cooling of their sensory endings with an increase in firing rate and modification of their discharge pattern. We recently showed that cultured trigeminal cold-sensitive (CS) neurons express a prominent hyperpolarization-activated current (I-h), mainly carried by HCN1 channels, supporting subthreshold resonance in the soma without participating in the response to acute cooling. However, peripheral pharmacological blockade of I-h, or characterization of HCN1(-/-) mice, reveals a deficit in acute cold detection. Here we investigated the role of I-h in CS nerve endings, where cold sensory transduction actually takes place. Corneal CS nerve endings in mice show a rhythmic spiking activity at neutral skin temperature that switches to bursting mode when the temperature is lowered. I-h blockers ZD7288 and ivabradine alter firing patterns of CS nerve endings, lengthening interspike intervals and inducing bursts at neutral skin temperature. We characterized the CS nerve endings from HCN1(-/-) mouse corneas and found that they behave similar to wild type, although with a lower slope in the firing frequency vs. temperature relationship, thus explaining the deficit in cold perception of HCN1(-/-) mice. The firing pattern of nerve endings from HCN1(-/-) mice was also affected by ZD7288, which we attribute to the presence of HCN2 channels in the place of HCN1. Mathematical modeling shows that the firing phenotype of CS nerve endings from HCN1(-/-) mice can be reproduced by replacing HCN1 channels with the slower HCN2 channels rather than by abolishing I-h. We propose that I-h carried by HCN1 channels helps tune the frequency of the oscillation and the length of bursts underlying regular spiking in cold thermoreceptors, having important implications for neural coding of cold sensation.</t>
  </si>
  <si>
    <t>Madrid, Rodolfo/MCJ-4974-2025; Viana, Felix/U-8533-2017; Orio, Patricio/F-6207-2010</t>
  </si>
  <si>
    <t>Viana, Felix/0000-0003-1439-949X; Madrid, Rodolfo/0000-0002-8623-5761; Orio, Patricio/0000-0003-0332-8098; parra martin, andres/0000-0003-3389-5288</t>
  </si>
  <si>
    <t>0022-3077</t>
  </si>
  <si>
    <t>1522-1598</t>
  </si>
  <si>
    <t>10.1152/jn.01033.2011</t>
  </si>
  <si>
    <t>WOS:000312127600013</t>
  </si>
  <si>
    <t>Arefin, AS; Inostroza-Ponta, M; Mathieson, L; Berretta, R; Moscato, P</t>
  </si>
  <si>
    <t>Xiang, Y; Cuzzocrea, A; Hobbs, M; Zhou, W</t>
  </si>
  <si>
    <t>Arefin, Ahmed Shamsul; Inostroza-Ponta, Mario; Mathieson, Luke; Berretta, Regina; Moscato, Pablo</t>
  </si>
  <si>
    <t>Clustering Nodes in Large-Scale Biological Networks Using External Memory Algorithms</t>
  </si>
  <si>
    <t>ALGORITHMS AND ARCHITECTURES FOR PARALLEL PROCESSING, PT II</t>
  </si>
  <si>
    <t>11th International Conference on Algorithms and Architectures for Parallel Processing (ICA3PP)</t>
  </si>
  <si>
    <t>OCT 24-26, 2011</t>
  </si>
  <si>
    <t>Melbourne, AUSTRALIA</t>
  </si>
  <si>
    <t>Novel analytical techniques have dramatically enhanced our understanding of many application domains including biological networks inferred from gene expression studies. However, there are clear computational challenges associated to the large datasets generated from these studies. The algorithmic solution of some NP-hard combinatorial optimization problems that naturally arise on the analysis of large networks is difficult without specialized computer facilities (i.e. supercomputers). In this work, we address the data clustering problem of large-scale biological networks with a polynomial-time algorithm that uses reasonable computing resources and is limited by the available memory. We have adapted and improved the MSTkNN graph partitioning algorithm and redesigned it to take advantage of external memory (EM) algorithms. We evaluate the scalability and performance of our proposed algorithm on a well-known breast cancer microarray study and its associated dataset.</t>
  </si>
  <si>
    <t>MOSCATO, PABLO/G-7668-2013; Dorn, Marcio/D-3696-2009; Arefin, Ahmed Shamsul/G-8130-2013</t>
  </si>
  <si>
    <t>Moscato, Pablo/0000-0003-2570-5966; Berretta, Regina/0000-0002-4420-3446; Dorn, Marcio/0000-0001-8534-3480; Arefin, Ahmed Shamsul/0000-0002-9290-3551; Mathieson, Luke/0000-0001-6470-2296; Inostroza-Ponta, Mario/0000-0003-1295-8972</t>
  </si>
  <si>
    <t>978-3-642-24668-5</t>
  </si>
  <si>
    <t>II</t>
  </si>
  <si>
    <t>WOS:000307023000036</t>
  </si>
  <si>
    <t>Chen, DM; Arancibia-Miranda, N; Escudey, M; Fu, J; Lu, Q; Amon, CH; Galatro, D; Guzam, AM</t>
  </si>
  <si>
    <t>Chen, Daming; Arancibia-Miranda, Nicolas; Escudey, Mauricio; Fu, Jiao; Lu, Qin; Amon, Cristina H.; Galatro, Daniela; Guzam, Amador M.</t>
  </si>
  <si>
    <t>Nonlinear dependence (on ionic strength, pH) of surface charge density and zeta potential in microchannel electrokinetic flow</t>
  </si>
  <si>
    <t>In this work, a numerical method is proposed to predict the electrokinetic phenomena and combined with an experimental study of the surface charge density (rho s) and zeta potential (zeta) behavior is investigated for borosilicate immersed in KCl and NaCl electrolytes, and for imogolite immersed in KCl, CaCl2, and MgCl2 electrolytes. Simulations and experiments of the electrokinetic flows with electrolyte solutions were performed to accurately determine the electric double layer (EDL), zeta, and rho s at various electrolyte concentrations and pH. The zeta potential was experimentally determined and numerically predicted by solving the coupled governing equations of mass, species, momentum, and electrical field iteratively. Our numerical prediction shows that zeta for borosilicate develops strong nonlinear behavior with the ion concentration following a power-law. Likewise, the rho s obeys a nonlinear behavior, decreasing as the concentration increases. Moreover, for imogolite, both zeta and the rho s behave nonlinearly with the pH. The EDL for borosilicate and imogolite becomes thinner as the electrolyte concentration and pH increase; this behavior is caused by increased rho s, resulting in the higher attraction of the free charges. The reported nonlinear behavior describes more accurately the interaction of the nanoparticle surface charge with the electrolytes and its effect on the electrolyte transport properties.</t>
  </si>
  <si>
    <t>chen, daming/KIC-9013-2024; Arancibia-Miranda, Nicolás/I-6743-2013</t>
  </si>
  <si>
    <t>Galatro, Daniela/0000-0003-0934-7492; chen, daming/0000-0001-9008-5412</t>
  </si>
  <si>
    <t>e20888</t>
  </si>
  <si>
    <t>10.1016/j.heliyon.2023.e20888</t>
  </si>
  <si>
    <t>WOS:001149309600001</t>
  </si>
  <si>
    <t>Zúñiga, AH; Rau, JR; Fierro, A; Vergara, PM; Encina-Montoya, F; Fuentes-Ramírez, A; Jaksic, FM</t>
  </si>
  <si>
    <t>Zuniga, Alfredo H.; Rau, Jaime R.; Fierro, Andres; Vergara, Pablo M.; Encina-Montoya, Francisco; Fuentes-Ramirez, Andres; Jaksic, Fabian M.</t>
  </si>
  <si>
    <t>Fire Severity Causes Temporal Changes in Ground-Dwelling Arthropod Assemblages of Patagonian Araucaria-Nothofagus Forests</t>
  </si>
  <si>
    <t>FIRE-SWITZERLAND</t>
  </si>
  <si>
    <t>Fire is one of the main drivers of anthropogenic disturbances in temperate forest ecosystems worldwide, with multiple effects spread across ecological networks. Nevertheless, the biodiversity effects of fire are poorly known for species-diverse groups such as arthropods. In this research, we used a burn gradient generated two and three years after a large fire event to assess how different levels of fire severity affect arthropod diversity in the forest with the main forest forming long-living tree species Araucaria araucana, in southern Chile. The species richness and abundance of arthropods among trophic guilds was estimated annually in four fire-severity levels. We found that arthropods responded differently to fire severity levels, depending on their trophic guilds and years after fire (two and three years after fire). During the second year after fire, zoophages, phytophages, and parasitoids were more diverse in areas with high fire severity within the second year after fire, as compared to those in areas with low severity or unburned stands. In the third year after fire, a change in this trend was observed, where the abundance of all groups dropped significantly, with positive changes in the diversity in zoophages, phytophages, polyphages and saprophages, which is more noticeable in sites with high severity. These results indicate that annual variation in environmental conditions triggers bottom-up cascading effects for arthropods. Forests stands severely impacted by fires support highly fluctuating and possibly unstable arthropod assemblages. Hence, restoration efforts should be focused on recovering microhabitat conditions in these stands to allow the persistence of arthropods.</t>
  </si>
  <si>
    <t>Vergara, Pablo/F-2519-2010; Encina, Francisco/KHY-0248-2024; Fuentes, Andres/AAZ-5031-2020; Jaksic, Fabian M./G-1705-2014; Rau, Jaime/A-4922-2012</t>
  </si>
  <si>
    <t>Jaksic, Fabian M./0000-0003-0098-0291; Vergara, Pablo/0000-0002-0024-1678; Encina Montoya, Francisco Ramon/0000-0002-8756-8736; Rau, Jaime/0000-0003-0444-578X</t>
  </si>
  <si>
    <t>2571-6255</t>
  </si>
  <si>
    <t>10.3390/fire5050168</t>
  </si>
  <si>
    <t>WOS:000874349000001</t>
  </si>
  <si>
    <t>Barraza, N; Pan, CY; Lamata, L; Solano, E; Albarrán-Arriagada, F</t>
  </si>
  <si>
    <t>Barraza, N.; Pan, C-Y; Lamata, L.; Solano, E.; Albarran-Arriagada, F.</t>
  </si>
  <si>
    <t>Adaptive random quantum eigensolver</t>
  </si>
  <si>
    <t>We propose an adaptive random quantum algorithm to obtain an optimized eigensolver. Specifically, we introduce a general method to parametrize and optimize the probability density function of a random number generator, which is the core of stochastic algorithms. We follow a bioinspired evolutionary mutation method to introduce changes in the involved matrices. Our optimization is based on two figures of merit: learning speed and learning accuracy. This method provides high fidelities for the searched eigenvectors and faster convergence on the way to quantum advantage with current noisy intermediate-scaled quantum computers.</t>
  </si>
  <si>
    <t>Solano, Enrique/C-2895-2017; Lamata, Lucas/CAG-6488-2022</t>
  </si>
  <si>
    <t>Barraza, Nancy/0009-0006-5923-3505; Lamata, Lucas/0000-0002-9504-8685; Albarran-Arriagada, Francisco/0000-0001-8899-3673</t>
  </si>
  <si>
    <t>MAY 4</t>
  </si>
  <si>
    <t>10.1103/PhysRevA.105.052406</t>
  </si>
  <si>
    <t>WOS:000798841200003</t>
  </si>
  <si>
    <t>Unsteady gaseous Poiseuille slip flow in rectangular microchannels</t>
  </si>
  <si>
    <t>JOURNAL OF THE BRAZILIAN SOCIETY OF MECHANICAL SCIENCES AND ENGINEERING</t>
  </si>
  <si>
    <t>Unsteady slip flow of an incompressible gaseous fluid in a rectangular microchannel subject to a sudden time-dependent pressure drop is investigated via the generalized integral transform method. Three novel analytical solutions of the governing partial differential equations corresponding to first- and second-order slip models are derived. These can be used in the experimental determination of the constant slip length for any fluid-solid combination. All unsteady flow patterns asymptotically reach the fully developed state for each problem considered in the present investigation.</t>
  </si>
  <si>
    <t>1678-5878</t>
  </si>
  <si>
    <t>1806-3691</t>
  </si>
  <si>
    <t>10.1007/s40430-019-1723-x</t>
  </si>
  <si>
    <t>WOS:000471642000002</t>
  </si>
  <si>
    <t>Maldonado, C; Unwin, J</t>
  </si>
  <si>
    <t>Maldonado, Carlos; Unwin, James</t>
  </si>
  <si>
    <t>Establishing the dark matter relic density in an era of particle decays</t>
  </si>
  <si>
    <t>JOURNAL OF COSMOLOGY AND ASTROPARTICLE PHYSICS</t>
  </si>
  <si>
    <t>If the early universe is dominated by an energy density which evolves other than radiation-like the normal Hubble-temperature relation H proportional to T-2 is broken and dark matter relic density calculations in this era can be significantly different. We first highlight that with a population of states phi sourcing an initial expansion rate of the form H proportional to T2+n/2, for n &gt;= -4, during the period of appreciable phi decays the evolution transitions to H proportional to T-4. The decays of phi imply source of entropy production in the thermal bath which alters the Boltzmann equations and impacts the dark matter relic abundance. We show that the form of the initial expansion rate leaves a lasting imprint on relic densities established while H proportional to T-4 since the value of the exponent n changes the temperature evolution of the thermal bath. In particular, a dark matter relic density set via freeze-in or non-thermal production is highly sensitive to the temperature dependance of the initial expansion rate. This work generalises earlier studies which assumed initial expansion rates due to matter or kination domination.</t>
  </si>
  <si>
    <t>Maldonado, Carlos/0000-0001-7929-1733</t>
  </si>
  <si>
    <t>1475-7516</t>
  </si>
  <si>
    <t>10.1088/1475-7516/2019/06/037</t>
  </si>
  <si>
    <t>WOS:000471997300005</t>
  </si>
  <si>
    <t>Navarrete, A; González, A; Gómez, M; Contreras, RA; Díaz, P; Lobos, G; Brown, MT; Sáez, CA; Moenne, A</t>
  </si>
  <si>
    <t>Navarrete, Axel; Gonzalez, Alberto; Gomez, Melissa; Contreras, Rodrigo A.; Diaz, Patricia; Lobos, Gabriela; Brown, Murray T.; Saez, Claudio A.; Moenne, Alejandra</t>
  </si>
  <si>
    <t>Copper excess detoxification is mediated by a coordinated and complementary induction of glutathione, phytochelatins and metallothioneins in the green seaweed Ulva compressa</t>
  </si>
  <si>
    <t>PLANT PHYSIOLOGY AND BIOCHEMISTRY</t>
  </si>
  <si>
    <t>In order to analyze the involvement of intracellular thiol-chelators in the accumulation and detoxification of copper, the marine alga Ulva compressa was cultivated with increasing concentrations of copper such as 2.5, 5, 7.5 and 10 mu M for up to 12 d, and the amount of intracellular copper, glutathione (GSH), phytochelatins (PCs) and transcripts encoding three metallothioneins (MTs) were determined. Over this exposure period and concentration range there was a linear correlation between intracellular copper and the copper concentration in the culture medium. Increases in GSH concentrations occurred mainly between days 1 and 3 and at lower concentrations of copper (2.5 and 5 mu M). The level of PCs, and particularly PC2, increased from day 1 of exposure mainly at higher concentrations of copper (7.5 and 10 mu M). The levels of transcripts encoding MT7 increased at day 3, whereas those of MT3 and MT6 increased between days 9-12, mainly at higher concentrations of copper. Thus in U. compressa, the initial responses to increasing intracellular copper concentrations are increases in GSH and PCs that are followed by higher levels of MTs expression, suggesting that thiol-containing peptides and proteins may participate in copper accumulation and detoxification responding in a coordinated and complementary manner. In addition, the alga was cultivated with 10 mu M copper for 5 d and transferred to synthetic seawater with no copper and cultivated for 3 d. The release of copper from cells to culture medium was observed and accompanied by a similar nanomolar amount of GSH; no PCs or small proteins were detected. These results could suggest that a component of the detoxification mechanism also involves the release of copper and GSH to the extracellular medium.</t>
  </si>
  <si>
    <t>Sáez, Claudio/AAP-6923-2021; González, Alberto/IYJ-8593-2023; Contreras, Rodrigo/I-1871-2013</t>
  </si>
  <si>
    <t>Contreras, Rodrigo/0000-0001-9970-3125; Navarrete, Axel/0000-0001-8292-3367; Saez, Claudio/0000-0002-5037-3484; Gonzalez Figueroa, Alberto/0000-0002-5777-9022; Moenne, Alejandra/0000-0002-7309-9713</t>
  </si>
  <si>
    <t>0981-9428</t>
  </si>
  <si>
    <t>1873-2690</t>
  </si>
  <si>
    <t>10.1016/j.plaphy.2018.11.019</t>
  </si>
  <si>
    <t>WOS:000457659900046</t>
  </si>
  <si>
    <t>Muñoz, R; Aguilar-Sandoval, F; Bellon, L; Melo, F</t>
  </si>
  <si>
    <t>Munoz, Romina; Aguilar-Sandoval, Felipe; Bellon, Ludovic; Melo, Francisco</t>
  </si>
  <si>
    <t>Detecting protein folding by thermal fluctuations of microcantilevers</t>
  </si>
  <si>
    <t>The accurate characterization of proteins in both their native and denatured states is essential to effectively understand protein function, folding and stability. As a proof of concept, a micro rheological method is applied, based on the characterization of thermal fluctuations of a micro cantilever immersed in a bovine serum albumin solution, to assess changes in the viscosity associated with modifications in the protein's structure under the denaturant effect of urea. Through modeling the power spectrum density of the cantilever's fluctuations over a broad frequency band, it is possible to implement a fitting procedure to accurately determine the viscosity of the fluid, even at low volumes. Increases in viscosity during the denaturant process are identified using the assumption that the protein is a hard sphere, with a hydrodynamic radius that increases during unfolding. This is modeled accordingly through the Einstein-Batchelor formula. The Einstein-Batchelor formula estimates are verified through dynamic light scattering, which measures the hydrodynamic radius of proteins. Thus, this methodology is proven to be suitable for the study of protein folding in samples of small size at vanishing shear stresses.</t>
  </si>
  <si>
    <t>Melo, Francisco/M-3923-2014; Sandoval, Felipe/G-7545-2015; Bellon, Ludovic/B-5213-2008</t>
  </si>
  <si>
    <t>Melo, Francisco Esteban/0000-0001-6818-5476; Bellon, Ludovic/0000-0002-2499-8106</t>
  </si>
  <si>
    <t>e0189979</t>
  </si>
  <si>
    <t>10.1371/journal.pone.0189979</t>
  </si>
  <si>
    <t>WOS:000418587400073</t>
  </si>
  <si>
    <t>Zapata, PA; Palza, H; Cruz, LS; Lieberwirth, I; Catalina, F; Corrales, T; Rabagliati, FM</t>
  </si>
  <si>
    <t>Zapata, Paula A.; Palza, Humberto; Cruz, Luis S.; Lieberwirth, Ingo; Catalina, Fernando; Corrales, Teresa; Rabagliati, Franco M.</t>
  </si>
  <si>
    <t>Polyethylene and poly(ethylene-co-1-octadecene) composites with TiO2 based nanoparticles by metallocenic in situ polymerization</t>
  </si>
  <si>
    <t>POLYMER</t>
  </si>
  <si>
    <t>Ethylene homopolymer and ethylene-co-1-octadecene copolymers with 0.063 mol/L (LLDPE-1) and 0.38 mol/L (LLDPE-2) were synthesized by a metallocenic catalyst in the presence of titanium dioxide (TiO2) nanoparticles (similar to 10 nm), producing in situ composites. The TiO2 nanoparticles synthesized by the sal gel method were used either as-synthesized or modified organically on the surface with hexadecyltrimethoxysilane (Mod-TiO2), with a final concentration in the polymers of 3 and 5 wt%. For polymerizations without nanoparticles, the catalytic activity increased with the incorporation of the octadecene as compared with ethylene homopolymerization. Moreover, the surface functionality of nanoparticles and the presence of a comonomer had some influence on the catalytic behavior, resulting in greater activity when Mod-TiO2 was used than that obtained with TiO2 or the pure system when ethylene is homopolymerized. In copolymerization, an effect on the catalytic behavior was not observed. The dispersion of the nanoparticles was studied by transmission electron microscopy (TEM). There was better dispersion when Mod-TiO(2)Nps were incorporated into PE, although for LLDPE-2/TiO2 nanocomposites the nanoparticles were not well distributed and certain agglomeration zones were mainly observed. Regarding the thermal properties of the composites, the incorporation of the nanoparticles enhanced the thermal stability of the polymers, increasing by ca. 25 C the maximum decomposition temperature of the matrix as compared with virgin polymers. The final effect of the nanoparticles on the mechanical properties will depend on the matrix used. The addition of TiO2 nanoparticles did not modify the mechanical properties of the PE/TiO2 and LLDPE-1/TiO2 (low octadecene incorporation) matrix, although in polymers with high comonomer incorporation (LLDPE-2/TiO2) an increase of Young's modulus and yield stress by ca. 50% was achieved compares to neat copolymer (LLDPE-2). Our results give relevant information about the effect of polymer microstructure and of the surface functionality of nanoparticles on the catalytic system and on the final properties for in situ composites. The morphology of the nanocomposites was also studied, and it was found that the presence of particles in the PE increased the number of spherulites, therefore the nanoparticles act as nucleating agents. The dynamic mechanical properties confirm the effect on the mechanical behavior of nanocomposites, that nanoparticles only affect the storage modulus (E') of the LLDPE-2 matrix. (C) 2013 Elsevier Ltd. All rights reserved.</t>
  </si>
  <si>
    <t>Lieberwirth, Ingo/Q-5862-2017; Catalina, Fernando/AAF-2569-2019; corrales, teresa/AAN-5978-2020; Palza, Humberto/H-2782-2014</t>
  </si>
  <si>
    <t>Corrales, Teresa/0000-0002-0171-2283; Catalina, Fernando/0000-0002-4620-8582; Zapata, Paula Andrea/0000-0003-3361-6226; Palza, Humberto/0000-0001-5246-6791</t>
  </si>
  <si>
    <t>0032-3861</t>
  </si>
  <si>
    <t>MAY 9</t>
  </si>
  <si>
    <t>10.1016/j.polymer.2013.03.048</t>
  </si>
  <si>
    <t>WOS:000318748300012</t>
  </si>
  <si>
    <t>Allende, S; Vargas, NM; Altbir, D; Vega, V; Görlitz, D; Nielsch, K</t>
  </si>
  <si>
    <t>Allende, S.; Vargas, N. M.; Altbir, D.; Vega, V.; Goerlitz, D.; Nielsch, K.</t>
  </si>
  <si>
    <t>Magnetization reversal in multisegmented nanowires: Parallel and serial reversal modes</t>
  </si>
  <si>
    <t>APPLIED PHYSICS LETTERS</t>
  </si>
  <si>
    <t>We investigate the effect of the dipolar magnetic interaction between magnetic layers mediated by non-magnetic ones in multisegmented nanowires. Multiple symmetric and non-symmetric segments are considered. We observe that due to the dipolar interaction, the magnetization reversal can follow two possible routes, a serial, or a parallel reversal process. We show that by using asymmetrical multi-segmented wires it is possible to stop the magnetization reversal of the system at any particular point. (C) 2012 American Institute of Physics. [http://dx.doi.org/10.1063/1.4754117]</t>
  </si>
  <si>
    <t>Nielsch, Kornelius/S-3196-2016; Vargas, Nicolas/AAP-5975-2020; Görlitz, Detlef/D-8530-2012; Altbir, Dora/R-6781-2018; Vega, Victor/M-3855-2014</t>
  </si>
  <si>
    <t>Altbir, Dora/0000-0002-2945-4909; Vega, Victor/0000-0002-1719-955X; Vargas, Nicolas/0000-0002-9922-6311; Nielsch, Kornelius/0000-0003-2271-7726</t>
  </si>
  <si>
    <t>0003-6951</t>
  </si>
  <si>
    <t>10.1063/1.4754117</t>
  </si>
  <si>
    <t>WOS:000309425700060</t>
  </si>
  <si>
    <t>Venegas-Yazigi, D; Aravena, D; Spodine, E; Ruiz, E; Alvarez, S</t>
  </si>
  <si>
    <t>Venegas-Yazigi, Diego; Aravena, Daniel; Spodine, Evgenia; Ruiz, Eliseo; Alvarez, Santiago</t>
  </si>
  <si>
    <t>Structural and electronic effects on the exchange interactions in dinuclear bis(phenoxo)-bridged copper(II) complexes</t>
  </si>
  <si>
    <t>COORDINATION CHEMISTRY REVIEWS</t>
  </si>
  <si>
    <t>Computational methods based on density functional theory have been employed to analyze the magnetic properties of dinuclear bis(phenoxo)-bridged Cu-II complexes. While the largest part of complexes in that family show antiferromagnetic coupling, we focus our study on those cases with distorted geometries that present ferromagnetic behaviour. The calculations reproduce such a magnetic behaviour, and a structural analysis reveals the main role played by several structural parameters, such as the Cu-O-Cu bridging angle. The out-of-plane shift of the phenoxo ring and the hinge distortion of the Cu2O2 central framework that are also important for similar hydroxo and alkoxo complexes. In this case the conformation of the phenoxo groups and the rotation of the phenyl rings can also play an important role. The last part of this work is dedicated to analyze the influence of the substituents of the phenoxo ring on the magnetic properties, which is especially important for structures with large out-of-plane shifted phenoxo rings. The presence of pi electron releasing groups favours a ferromagnetic coupling. (c) 2010 Elsevier B.V. All rights reserved.</t>
  </si>
  <si>
    <t>Ruiz, Eliseo/A-6268-2011; Aravena, Daniel/F-2174-2011; Alvarez, Santiago/A-1090-2009; Venegas-Yazigi, Diego/C-5022-2009</t>
  </si>
  <si>
    <t>Ruiz, Eliseo/0000-0001-9097-8499; Aravena, Daniel/0000-0003-3140-4852; Alvarez, Santiago/0000-0002-4618-4189; Venegas-Yazigi, Diego/0000-0001-7816-2841</t>
  </si>
  <si>
    <t>0010-8545</t>
  </si>
  <si>
    <t>1873-3840</t>
  </si>
  <si>
    <t>10.1016/j.ccr.2010.04.003</t>
  </si>
  <si>
    <t>WOS:000280379500009</t>
  </si>
  <si>
    <t>Burridge, L; Weis, JS; Cabello, F; Pizarro, J; Bostick, K</t>
  </si>
  <si>
    <t>Burridge, Les; Weis, Judith S.; Cabello, Felipe; Pizarro, Jaime; Bostick, Katherine</t>
  </si>
  <si>
    <t>Chemical use in salmon aquaculture: A review of current practices and possible environmental effects</t>
  </si>
  <si>
    <t>The World Wildlife Fund is facilitating a dialogue on impacts of salmon aquaculture. The goal of the dialogue is to establish the state of knowledge in seven subject areas associated with the industry: benthic impacts, nutrient loading, escapees, chemical inputs, diseases, feeds and social issues and to establish international standards for salmon aquaculture practices. Chemical inputs from salmon aquaculture include antifoulants, antibiotics, parasiticides, anaesthetics and disinfectants. The use and potential effects of these compounds are herein summarized for the four major salmon producing nations: Norway, Chile, UK and Canada. Regulations governing chemical use in each country are presented as are the quantities and types of compounds used. The problems associated with fish culture are similar in all jurisdictions, the magnitude of problems is not and the number of compounds available to the fish farmer varies from country to country. Unfortunately, the requirement to publically report chemical use is inconsistent among countries. Chemical use data are available from Norway, Scotland and parts of Canada. The government of Chile and some Canadian provinces, while requiring that farmers report disease occurrence, compounds prescribed and quantities used, do not make this information readily available to the public. The fact that these data are available from regulatory agencies in Scotland and Norway adds pressure for other jurisdictions to follow suit. Data such as these are essential to planning and conducting research in field situations. Crown Copyright (C) 2010 Published by Elsevier B.V. All rights reserved.</t>
  </si>
  <si>
    <t>1-4</t>
  </si>
  <si>
    <t>10.1016/j.aquaculture.2010.05.020</t>
  </si>
  <si>
    <t>WOS:000280735200002</t>
  </si>
  <si>
    <t>Castro-Rojas, J; Jofré-Dupre, P; Escalona, N; Blanco, E; Ureta-Zañartu, MS; Mora, ML; Garrido-Ramírez, E</t>
  </si>
  <si>
    <t>Castro-Rojas, Jorge; Jofre-Dupre, Pablo; Escalona, Nestor; Blanco, Elodie; Ureta-Zanartu, Maria Soledad; Mora, Maria Luz; Garrido-Ramirez, Elizabeth</t>
  </si>
  <si>
    <t>Atrazine degradation through a heterogeneous dual-effect process using Fe-TiO2-allophane catalysts under sunlight</t>
  </si>
  <si>
    <t>This study investigated the novel application of Fe-TiO2-allophane catalysts with 6.0 % w/w of iron oxide and two TiO2 proportions (10 % and 30 % w/w) for degrading atrazine (ATZ) using the heterogeneous dual-effect (HDE) process under sunlight. Comparative analyses with Fe-allophane and TiO2-allophane catalysts were conducted in both photocatalysis (PC) and HDE processes. FTIR spectra reveal the unique hydrous feldspathoids structure of allophane, showing evidence of new bond formation between Si-O groups of allophane clays and iron hydroxyl species, as well as Si-O-Ti bonds that intensified with higher TiO2 content. The catalysts exhibited an anatase structure. In Fe-TiO2-allophane catalysts, iron oxide was incorporated through the substitution of Ti4+ by Fe3+ in the anatase crystal lattice and precipitation on the surface of allophane clays, forming small iron oxide particles. Allophane clays reduced the agglomeration and particle size of TiO2, resulting in an enhanced specific surface area and pore volume for all catalysts. Iron oxide incorporation decreased the band gap, broadening the photoresponse to visible light. In the PC process, TiO2-allophane achieves 90 % ATZ degradation, attributed to radical species from the UV component of sunlight. In the HDE process, Fe-TiO2-allophane catalysts exhibit synergistic effects, particularly with 30 % w/w TiO2, achieving 100 % ATZ degradation and 85 % COD removal, with shorter reaction time as TiO 2 percentage increased. The HDE process was per- formed under less acidic conditions, achieving complete ATZ degradation after 6 h without iron leaching. Consequently, Fe-TiO 2 -allophane catalysts are proposed as a promising alternative for degrading emerging pollutants under environmentally friendly conditions.</t>
  </si>
  <si>
    <t>Escalona, Nestor/F-3593-2016; Ureta-Zañartu, Maria/G-5239-2019; Blanco, Elodie/AAI-9600-2020</t>
  </si>
  <si>
    <t>Escalona Burgos, Nestor/0000-0002-2628-4609; Castro-Rojas, Jorge/0000-0002-5191-4991; Blanco, Elodie/0000-0001-9955-8394; Garrido-Ramirez, Elizabeth/0000-0002-1685-7979</t>
  </si>
  <si>
    <t>e32894</t>
  </si>
  <si>
    <t>10.1016/j.heliyon.2024.e32894</t>
  </si>
  <si>
    <t>WOS:001258739100001</t>
  </si>
  <si>
    <t>Cruz, C; Cañón-Mancisidor, W; Albores, P; Venegas-Yazigi, D; Paredes-García, V</t>
  </si>
  <si>
    <t>Cruz, Carlos; Canon-Mancisidor, Walter; Albores, Pablo; Venegas-Yazigi, Diego; Paredes-Garcia, Veronica</t>
  </si>
  <si>
    <t>3d Magnetic Chains with an Asymmetrical Pyridyl-Triazole Ligand. Influence of Coordination and Local Distortion in the Ligand Field and Magnetometry</t>
  </si>
  <si>
    <t>CRYSTAL GROWTH &amp; DESIGN</t>
  </si>
  <si>
    <t>Herein, we report the use of a simple N-donor asymmetrical Schiff base 1-(pyridin-2-yl)-N-(4H-1,2,4-triazol-4-yl)methanimine (L) as the main building block for the design of two new 1D 3d-coordination polymers (CPs), {[M(L)(2)(NCS)(2)]2H(2)O}(n) (M = Fe-II for 1 and Co-II for 2). Using Fe-II and Co-II, the 1D structure is acquired using the N,N '-chelating iminopyridine coordination pocket of L and forming extended coordination bonds through the triazole fragments. 1 and 2, which are isostructural, presenting a zigzag chain topology with a strongly distorted MN6 environment around the metal cations. The 3D supramolecular structure of 1 and 2 is formed by SH-O and NH-O H-bonds of 1D zigzag chains and H2O guest molecules. Moreover, 1 and 2 are the first 3d-1D CPs based on the reported cation and ligand and one of the few compounds presenting the MN4(NCS)(2) moiety in a 1D extended structure. Furthermore, a complete description of the electronic structure was done from an experimental and theoretical point of view. Weak antiferromagnetic interactions operating within the chains and local magnetic anisotropy were found and described in both compounds. In the case of 1, local anisotropy was modeled by a spin-only approach, leading to a positive D parameter expected for an octahedral-distorted Fe-II ion. Meanwhile, Co-II ions in 2 present a strong axial distortion and a sizable rhombic contribution that induces a fast-magnetic relaxation at low temperatures.</t>
  </si>
  <si>
    <t>Paredes-Garcia, Veronica/C-4415-2011; Cruz, Carlos/KIG-8993-2024; Albores, Pablo/AAL-4109-2021; Canon-Mancisidor, Walter/K-8764-2014; Venegas-Yazigi, Diego/C-5022-2009</t>
  </si>
  <si>
    <t>Canon-Mancisidor, Walter/0000-0003-1703-8729; Cruz Herrera, Carlos/0000-0002-2644-4297; Venegas-Yazigi, Diego/0000-0001-7816-2841</t>
  </si>
  <si>
    <t>1528-7483</t>
  </si>
  <si>
    <t>1528-7505</t>
  </si>
  <si>
    <t>JAN 12</t>
  </si>
  <si>
    <t>10.1021/acs.cgd.3c01353</t>
  </si>
  <si>
    <t>WOS:001162227100001</t>
  </si>
  <si>
    <t>Arévalo, ST; de Maturana, DL; Oyarzo, MC; Sandoval-Obando, E; Peña-Troncoso, S; Gurovich-Pinto, T</t>
  </si>
  <si>
    <t>Toro Arevalo, Sergio; Lopez de Maturana, Desiree; Contreras Oyarzo, Mariela; Sandoval-Obando, Eduardo; Pena-Troncoso, Sebastian; Gurovich-Pinto, Tatiana</t>
  </si>
  <si>
    <t>Play, Motricity and Didactics, from Children's Culture in Boys and Girls from 4 to 6 years old, theoretical bases from an enactive-relational epistemology in the Chilean context</t>
  </si>
  <si>
    <t>On the comprehensive basis of human motricity as a condition and capacity that allows the full development of human being in general and childhood in particular, we present a proposal for intentional and transcendent pedagogical action, whose emphasis is precisely to consider the various manifestations of motricity and play in early childhood, expanding learning contexts beyond the limits of formal educational institutions. From this perspective, the space of the family is revealed, especially because of the potential articulating value of the family game, as the basis for the constitution of personal and epistemic identity of boys and girls at this stage of life. Both positioning this perspective of the game as a primordial epistemic process of the human from an enactive approach, as well as proposing principles of action that reinforce a safe and educational upbringing, is the objective of this study. Finally, we highlight the importance of the study of the conditions offered, in the chilean context, by both the family (as the first educational community) and the kindergarten, for the deployment and manifestation of playing focused on relationship processes, and the constitution of knowledge from the emotional and affective characteristics that these playful processes entail in early childhood, enabling the recognition and integration of childhood epistemologies as guiding criteria to rethink education, so that it flows coherently and in a self-organized way with the potentialities early exhibited by children in the display of imagination, joy, creativity, and freedom.</t>
  </si>
  <si>
    <t>Sandoval-Obando, Eduardo/N-9195-2019; Sandoval, Eduardo/E-3513-2015</t>
  </si>
  <si>
    <t>Sandoval, Eduardo/0000-0001-7471-6536</t>
  </si>
  <si>
    <t>WOS:000790706000001</t>
  </si>
  <si>
    <t>Mendez-López, M; Ramos-Hernández, A; Moreno-Serna, V; Bonardd, S; Ramírez, O; Silva, H; Inostroza-Rivera, R; Diaz, DD; Leiva, A; Saldías, C</t>
  </si>
  <si>
    <t>Mendez-Lopez, M.; Ramos-Hernandez, A.; Moreno-Serna, V.; Bonardd, S.; Ramirez, O.; Silva, Hernan; Inostroza-Rivera, Ricardo; Diaz, D. Diaz; Leiva, A.; Saldias, C.</t>
  </si>
  <si>
    <t>A facile approach for tuning optical and surface properties of novel biobased Alginate/POTE handleable films via solvent vapor exposure</t>
  </si>
  <si>
    <t>INTERNATIONAL JOURNAL OF BIOLOGICAL MACROMOLECULES</t>
  </si>
  <si>
    <t>Novel biobased films consisting of alginate blends with poly (octanoic acid 2-thiophen-3-yl-ethyl ester) (POTE), a conducting polymer, were prepared by solution casting, and their optical, morphological, thermal, and surface properties were studied. Using UV-visible spectroscopy, atomic force microscopy (AFM), and scanning electron microscopy (SEM), the effects of tetrahydrofuran solvent vapors on the optical properties and surface morphology of biobased films with different POTE contents were studied. Results indicate that morphological rearrangements of POTE take place during the process of solvent exposure. Specifically, the solvent vapor induced the formation of POTE small crystalline domains, which allows envisioning the potential of tuning UV-visible absorbance and wettability behavior of biobased films. Finally, theoretical electronic calculations (specifically frontier molecular orbitals analysis) provided consistent evidence on POTE's preferential orientation and selectivity toward the THF-vapor medium.</t>
  </si>
  <si>
    <t>Ramirez, Oscar/KXQ-6766-2024; Moreno Serna, Viviana/LZI-3166-2025</t>
  </si>
  <si>
    <t>Moreno Serna, Viviana/0000-0001-9042-1738; RAMIREZ, OSCAR/0000-0002-4525-1490; Leiva-Campusano, Angel Rodrigo/0000-0003-3744-1945; Mendez-Lopez, Maximiliano/0000-0002-8919-2066; Ramos Hernandez, Andrea/0000-0002-0003-3713; Bonardd, Sebastian/0000-0002-3764-9968; Saldias, Cesar/0000-0001-6124-6205</t>
  </si>
  <si>
    <t>0141-8130</t>
  </si>
  <si>
    <t>1879-0003</t>
  </si>
  <si>
    <t>A</t>
  </si>
  <si>
    <t>10.1016/j.ijbiomac.2021.10.018</t>
  </si>
  <si>
    <t>WOS:000729555700003</t>
  </si>
  <si>
    <t>Inostroza, D; García, V; Yañez, O; Torres-Vega, JJ; Vásquez-Espinal, A; Pino-Rios, R; Báez-Grez, R; Tiznado, W</t>
  </si>
  <si>
    <t>Inostroza, Diego; Garcia, Victor; Yanez, Osvaldo; Torres-Vega, Juan J.; Vasquez-Espinal, Alejandro; Pino-Rios, Ricardo; Baez-Grez, Rodrigo; Tiznado, William</t>
  </si>
  <si>
    <t>On the NICS limitations to predict local and global current pathways in polycyclic systems</t>
  </si>
  <si>
    <t>Here, we analyze the possibility of predicting local and global current densities in a series of bicyclic hydrocarbons with 4n and 4n + 2 pi-electrons from the nucleus-independent chemical shifts (NICS) computations. Our results show that although it is possible to establish the net current flows through C-C bonds, it is impossible to predict all the local and global weak current density flows. Thus, for polycyclic systems, it is essential to analyze magnetically induced current densities in conjunction with NICS measurements, or with induced magnetic fields, to have an adequate representation of the molecules' magnetic behavior and their relationship with the aromaticity phenomenon.</t>
  </si>
  <si>
    <t>Báez-Grez, Rodrigo/AAM-4876-2021; Inostroza, Diego/AAI-5261-2020; Villegas, Víctor/AAM-4877-2021; Torres-Vega, Juan/AAH-1888-2020; Vasquez-Espinal, Alejandro/X-7300-2019; Tiznado, William/G-7479-2014</t>
  </si>
  <si>
    <t>Inostroza Mendoza, Diego Estevan/0000-0002-0160-0337; Yanez Osses, Osvaldo Andres/0000-0001-8993-9353; Baez-Grez, Rodrigo/0000-0001-9303-1559; Vasquez-Espinal, Alejandro/0000-0003-3501-7905; Garcia Villegas, Victor Raul/0000-0003-3938-8316; Pino Rios, Ricardo/0000-0003-4756-1115; Torres Vega, Juan Jose/0000-0003-4196-4511; Tiznado, William/0000-0002-6061-8879</t>
  </si>
  <si>
    <t>MAY 14</t>
  </si>
  <si>
    <t>10.1039/d1nj01510a</t>
  </si>
  <si>
    <t>WOS:000642583800001</t>
  </si>
  <si>
    <t>Brescia-Norambuena, L; González, M; Avudaiappan, S; Flores, EIS; Grasley, Z</t>
  </si>
  <si>
    <t>Brescia-Norambuena, Leonardo; Gonzalez, Marcelo; Avudaiappan, Siva; Saavedra Flores, Erick, I; Grasley, Zachary</t>
  </si>
  <si>
    <t>Improving concrete underground mining pavements performance through the synergic effect of silica fume, nanosilica, and polypropylene fibers</t>
  </si>
  <si>
    <t>CONSTRUCTION AND BUILDING MATERIALS</t>
  </si>
  <si>
    <t>Concrete pavements for underground mining are in service under very aggressive exposure conditions (heavy loads and chemical attacks), which reduce their service life and affect mining productivity. Aiming to improve the concrete's performance, the combined use of silica fume, nanosilica, and polypropylene fibers was investigated. While each of these materials contributes independently to improving concrete performance, the similar chemistry of nanosilica and silica fume and the considerable workability loss by using each of these materials could negatively impact the concrete properties when used together. Therefore, it is necessary to demonstrate the synergy of using these three materials together, and quantify their relevance in the concrete response. In comparison to the control mix, the concrete mixes with the combined additions showed an average improvement of i) 17% of compressive strength, ii) 23% of splitting strength, and iii) 22% of flexural strength, iv) 200% of the surface resistivity, v) 212% of the abrasion resistance, and vi) 158% of less sulfate expansion. As the numerical modelling of the results indicated a statistically significant interaction between the independent variables, it is proposed that the silica fume, nanosilica, and fibers act synergically, enhancing the underground mining pavements. (C) 2021 Elsevier Ltd. All rights reserved.</t>
  </si>
  <si>
    <t>González, Marcelo/A-9808-2016; Grasley, Zachary/A-7186-2011; Avudaiappan, Siva/AAV-7579-2021; Flores, Erick/I-7646-2012</t>
  </si>
  <si>
    <t>AVUDAIAPPAN, SIVA/0000-0002-4289-4298; Gonzalez, Marcelo/0000-0002-7519-7456; Brescia Norambuena, Leonardo/0000-0001-9663-9148; Grasley, Zachary/0000-0002-4246-196X</t>
  </si>
  <si>
    <t>0950-0618</t>
  </si>
  <si>
    <t>1879-0526</t>
  </si>
  <si>
    <t>MAY 24</t>
  </si>
  <si>
    <t>10.1016/j.conbuildmat.2021.122895</t>
  </si>
  <si>
    <t>WOS:000647562800004</t>
  </si>
  <si>
    <t>Molina-Quiroz, RC; Loyola, DE; Daíz-Vásquez, WA; Arenas, FA; Urzúa, U; Pérez-Donoso, JM; Vásquez, CC</t>
  </si>
  <si>
    <t>Molina-Quiroz, Roberto C.; Loyola, David E.; Daiz-Vasquez, Waldo A.; Arenas, Felipe A.; Urzua, Ulises; Perez-Donoso, Jose M.; Vasquez, Claudio C.</t>
  </si>
  <si>
    <t>Global transcriptomic analysis uncovers a switch to anaerobic metabolism in tellurite-exposed Escherichia coli</t>
  </si>
  <si>
    <t>Tellurite (TeO(3)(2-)3) is harmful for most microorganisms, especially Gram-negative bacteria. Even though tellurite toxicity involves a number of individual aspects, including oxidative stress, malfunctioning of metabolic enzymes and a drop in the reduced thiol pool, among others, the general mechanism of toxicity is rather complex and not completely understood to date. This work focused on DNA microarray analysis to evaluate the Escherichia coli global transcriptomic response when exposed to the toxicant. Confirming previous results, the induction of the oxidative stress response regulator soxS was observed. Upregulation of a number of genes involved in the global stress response, protein folding, redox processes and cell wall organization was also detected. In addition, downregulation of aerobic respiration-related genes suggested a metabolic switch to anaerobic respiration. The expression results were validated through oxygen consumption experiments, which corroborated that tellurite-exposed cells effectively consume oxygen at lower rates than untreated controls. (C) 2014 Institut Pasteur. Published by Elsevier Masson SAS. All rights reserved.</t>
  </si>
  <si>
    <t>Molina-Quiroz, Roberto/H-4696-2019; Urzua, Ulises/AAK-8708-2021; Perez-Donoso, Jose/G-3668-2013</t>
  </si>
  <si>
    <t>Urzua, Ulises/0000-0003-0522-5754; Loyola, David/0000-0003-4532-6373; Perez-Donoso, Jose/0000-0002-9506-1716</t>
  </si>
  <si>
    <t>10.1016/j.resmic.2014.07.003</t>
  </si>
  <si>
    <t>WOS:000347674900011</t>
  </si>
  <si>
    <t>Celedón, G; González, G; Gulppi, F; Pazos, F; Lanio, ME; Alvarez, C; Calderón, C; Montecinos, R; Lissi, E</t>
  </si>
  <si>
    <t>Celedon, Gloria; Gonzalez, Gustavo; Gulppi, Felipe; Pazos, Fabiola; Lanio, Maria E.; Alvarez, Carlos; Calderon, Cristian; Montecinos, Rodrigo; Lissi, Eduardo</t>
  </si>
  <si>
    <t>Effect of Human Serum Albumin Upon the Permeabilizing Activity of Sticholysin II, a Pore Forming Toxin from Stichodactyla heliantus</t>
  </si>
  <si>
    <t>PROTEIN JOURNAL</t>
  </si>
  <si>
    <t>Sticholysin II (St II) is a haemolytic toxin isolated from the sea anemone Stichodactyla helianthus. The high haemolytic activity of this toxin is strongly dependent on the red cell status and the macromolecule conformation. In the present communication we evaluate the effect of human serum albumin on St II haemolytic activity and its capacity to form pores in the bilayer of synthetic liposomes. St II retains its pore forming capacity in the presence of large concentrations (up to 500 mu M) of human serum albumin. This effect is observed both in its capacity to produce red blood cells haemolysis and to generate functional pores in liposomes. In particular, the capacity of the toxin to lyse red blood cells increases in the presence of human serum albumin (HSA). Regarding the rate of the pore forming process, it is moderately decreased in liposomes and in red blood cells, in spite of an almost total coverage of the interface by albumin. All the data obtained in red cells and model membranes show that St II remains lytically active even in the presence of high HSA concentrations. This stubbornness can explain why the toxin is able to exert its haemolytic activity on membranes immersed in complex plasma matrixes such as those present in living organisms.</t>
  </si>
  <si>
    <t>Calderon, cristian/GQA-7422-2022</t>
  </si>
  <si>
    <t>Montecinos, Rodrigo/0000-0003-0080-1839; Fabiola, Isabel/0000-0002-9502-2186</t>
  </si>
  <si>
    <t>1572-3887</t>
  </si>
  <si>
    <t>1573-4943</t>
  </si>
  <si>
    <t>10.1007/s10930-013-9521-2</t>
  </si>
  <si>
    <t>WOS:000328080300001</t>
  </si>
  <si>
    <t>Ispolatov, I; Ackermann, M; Doebeli, M</t>
  </si>
  <si>
    <t>Ispolatov, Iaroslav; Ackermann, Martin; Doebeli, Michael</t>
  </si>
  <si>
    <t>Division of labour and the evolution of multicellularity</t>
  </si>
  <si>
    <t>PROCEEDINGS OF THE ROYAL SOCIETY B-BIOLOGICAL SCIENCES</t>
  </si>
  <si>
    <t>Understanding the emergence and evolution of multicellularity and cellular differentiation is a core problem in biology. We develop a quantitative model that shows that a multicellular form emerges from genetically identical unicellular ancestors when the compartmentalization of poorly compatible physiological processes into component cells of an aggregate produces a fitness advantage. This division of labour between the cells in the aggregate occurs spontaneously at the regulatory level owing to mechanisms present in unicellular ancestors and does not require any genetic predisposition for a particular role in the aggregate or any orchestrated cooperative behaviour of aggregate cells. Mathematically, aggregation implies an increase in the dimensionality of phenotype space that generates a fitness landscape with new fitness maxima, in which the unicellular states of optimized metabolism become fitness saddle points. Evolution of multicellularity is modelled as evolution of a hereditary parameter: the propensity of cells to stick together, which determines the fraction of time a cell spends in the aggregate form. Stickiness can increase evolutionarily owing to the fitness advantage generated by the division of labour between cells in an aggregate.</t>
  </si>
  <si>
    <t>Doebeli, Michael/D-5391-2012; Ackermann, Martin/V-4554-2017; Ispolatov, Iaroslav/E-8544-2010</t>
  </si>
  <si>
    <t>Ackermann, Martin/0000-0003-0087-4819; Ispolatov, Iaroslav/0000-0002-0201-3396</t>
  </si>
  <si>
    <t>0962-8452</t>
  </si>
  <si>
    <t>1471-2954</t>
  </si>
  <si>
    <t>MAY 7</t>
  </si>
  <si>
    <t>10.1098/rspb.2011.1999</t>
  </si>
  <si>
    <t>WOS:000301981300014</t>
  </si>
  <si>
    <t>Montes-Atenas, G; Garcia-Garcia, FJ; Mermillod-Blondin, R; Montes, S</t>
  </si>
  <si>
    <t>Montes-Atenas, G.; Garcia-Garcia, F. J.; Mermillod-Blondin, R.; Montes, S.</t>
  </si>
  <si>
    <t>Effect of suspension chemistry onto voltage drop: Application to electro-flotation</t>
  </si>
  <si>
    <t>POWDER TECHNOLOGY</t>
  </si>
  <si>
    <t>Electrochemical processes involving particle suspensions are still ill understood. Electro-flotation is process through which particles or ions can be selectively separated. Although the technique has been widely studied, not much is known about the effect of the chemistry of suspended particles on the process performance which constitutes the aim of the present research work. A column-type cell was designed to carry out electro-flotation experiments and standard air flotation experiments. Two minerals, Merensky reef and UG2, were tested. The classic air-flotation operation gave higher recoveries and grade of collected material compared to electro-flotation only when using Merensky reef ore. However, in the case of UG2 ore, the electro-flotation reached similar performance to that of the classic operation. It was found that the electrodes readily interact with the mineral pulp reducing the efficiency to generate bubbles. That efficiency depends significantly on the ore composition. Further electrochemical studies concerning how the voltage is used throughout the process was performed. The conductivity of the pulp formed using UG2 ore increased around 5 times compared to that observed when using Merensky reef ore. Under identical experimental conditions, the froth formed with Merensky reef ore was shallow and precarious compared to the thick and stable froth formed in the case of UG2 ore. (C) 2010 Elsevier B.V. All rights reserved.</t>
  </si>
  <si>
    <t>Garcia-Garcia, Francisco J./P-4199-2014; Montes Atenas, Gonzalo/H-4162-2018</t>
  </si>
  <si>
    <t>Garcia-Garcia, Francisco J./0000-0001-5384-8249; Montes Atenas, Gonzalo/0000-0001-9393-2015</t>
  </si>
  <si>
    <t>0032-5910</t>
  </si>
  <si>
    <t>1873-328X</t>
  </si>
  <si>
    <t>DEC 10</t>
  </si>
  <si>
    <t>10.1016/j.powtec.2010.06.024</t>
  </si>
  <si>
    <t>WOS:000282997900001</t>
  </si>
  <si>
    <t>Gutiérrez, M; Escudey, M; Escrig, J; Denardin, JC; Altbir, D; Fabris, JD; Cavalcante, LCD; García-González, MT</t>
  </si>
  <si>
    <t>Gutierrez, Marlen; Escudey, Mauricio; Escrig, Juan; Denardin, Juliano C.; Altbir, Dora; Fabris, Jose D.; Cavalcante, Luis C. D.; Teresa Garcia-Gonzalez, Maria</t>
  </si>
  <si>
    <t>PREPARATION AND CHARACTERIZATION OF MAGNETIC COMPOSITES BASED ON A NATURAL ZEOLITE</t>
  </si>
  <si>
    <t>CLAYS AND CLAY MINERALS</t>
  </si>
  <si>
    <t>A magnetic composite was prepared by wet-impregnating a powder of a natural zeolite with a magnetic Fe oxide-containing synthetic material. Both starting materials were first characterized with X-ray diffraction, scanning electron microscopy, Mossbauer spectroscopy, and by isoelectric-point using vibrating-sample magnetometry. The synthetic Fe oxide-containing material was characterized as a mixture of magnetite (Fe3O4) and goethite (alpha-FeOOH). From the Fe-57 Mossbauer analysis, the relative subspectral area for magnetite corresponds to 93(2)%; the remaining spectrum is assignable to goethite. After the impregnation process, magnetite was still identified in the composite material as a magnetic layer surrounding the zeolite particles; no magnetically ordered goethite could be detected. The Mossbauer pattern for this sample indicates a much more complex structure than for the precursor material, based on Fe oxides, with some more altered magnetite and an intense central doublet of(super)paramagnetic Fe3+., probably due to small Fe (hydr)oxides and/or to a residual contribution of Fe-bearing species from the starting zeolite material. The composite preparation procedure also promoted the change of the characteristic A-type zeolite to mordenite. The resulting magnetic composite presented a magnetic coercivity of as much as 0.140 A m(-1), at 77 K. The final composite is now being evaluated as an adsorbent: results to date confirm that this novel magnetic material may have applications in the remediation of contaminated water bodies.</t>
  </si>
  <si>
    <t>Denardin, Juliano/S-6407-2019; Fabris, José/H-4121-2012; Altbir, Dora/R-6781-2018; Duarte Cavalcante, Luis Carlos/C-1928-2013; Escrig, Juan/N-4304-2015</t>
  </si>
  <si>
    <t>Altbir, Dora/0000-0002-2945-4909; Denardin, Juliano/0000-0002-1373-6207; Duarte Cavalcante, Luis Carlos/0000-0003-0477-9771; Escrig, Juan/0000-0002-3958-8185</t>
  </si>
  <si>
    <t>0009-8604</t>
  </si>
  <si>
    <t>1552-8367</t>
  </si>
  <si>
    <t>10.1346/CCMN.2010.0580501</t>
  </si>
  <si>
    <t>WOS:000289446600001</t>
  </si>
  <si>
    <t>Bachmann, J; Escrig, J; Pitzschel, K; Moreno, JMM; Jing, J; Görlitz, D; Altbir, D; Nielsch, K</t>
  </si>
  <si>
    <t>Bachmann, Julien; Escrig, Juan; Pitzschel, Kristina; Montero Moreno, Josep M.; Jing, Jing; Goerlitz, Detlef; Altbir, Dora; Nielsch, Kornelius</t>
  </si>
  <si>
    <t>Size effects in ordered arrays of magnetic nanotubes: Pick your reversal mode</t>
  </si>
  <si>
    <t>53rd Annual Conference on Magnetism and Magnetic Materials</t>
  </si>
  <si>
    <t>NOV 11-14, 2008</t>
  </si>
  <si>
    <t>Austin, TX</t>
  </si>
  <si>
    <t>Phys Conf Inc,IEEE, Magnet Soc</t>
  </si>
  <si>
    <t>Ordered arrays of magnetic nanotubes are prepared by combining a porous template (anodic alumina) with a self-limiting gas-solid chemical reaction (atomic layer deposition). The geometric parameters can thus be tuned accurately (tube length of 1-50 mu m, diameter of 20-150 nm, and wall thickness of 1-40 nm), which enables one to systematically study how confinement and anisotropy effects affect the magnetic properties. In particular, the wall thickness of such ordered Fe(3)O(4) nanotubes has a nonmonotonic influence on their coercive field. Theoretical models reproduce the size effects that are experimentally observed and interpret them as originating from a crossover between two distinct modes of magnetization reversal. (c) 2009 American Institute of Physics. [DOI: 10.1063/1.3074109]</t>
  </si>
  <si>
    <t>Görlitz, Detlef/D-8530-2012; Nielsch, Kornelius/S-3196-2016; Moreno, Josep/E-4920-2010; Bachmann, Julien/G-4381-2011; Escrig, Juan/N-4304-2015; Altbir, Dora/R-6781-2018</t>
  </si>
  <si>
    <t>Bachmann, Julien/0000-0001-6480-6212; Escrig, Juan/0000-0002-3958-8185; Nielsch, Kornelius/0000-0003-2271-7726; Altbir, Dora/0000-0002-2945-4909</t>
  </si>
  <si>
    <t>07B521</t>
  </si>
  <si>
    <t>10.1063/1.3074109</t>
  </si>
  <si>
    <t>WOS:000266633500326</t>
  </si>
  <si>
    <t>Fernández, N; Montalvo, S; Borja, R; Guerrero, L; Sánchez, E; Cortés, I; Colmenarejo, MF; Travieso, L; Raposo, F</t>
  </si>
  <si>
    <t>Fernandez, N.; Montalvo, S.; Borja, R.; Guerrero, L.; Sanchez, E.; Cortes, I.; Colmenarejo, M. F.; Travieso, L.; Raposo, F.</t>
  </si>
  <si>
    <t>Performance evaluation of an anaerobic fluidized bed reactor with natural zeolite as support material when treating high-strength distillery wastewater</t>
  </si>
  <si>
    <t>The performance of two laboratory-scale fluidized bed reactors with natural zeolite as support material when treating high-strength distillery wastewater was assessed. Two sets of experiments were carried out. In the first experimental set, the influences of the organic loading rate (OLR), the fluidization level (FL) and the particle diameter of the natural zeolite (Dp) were evaluated. This experimental set was carried out at an OLR from 2 to 5g COD (chemical oxygen demand)/Id, at FL 20% and 40% and with Dp in the range of 0.2-0.5 mm (reactor 1) and of 0.5-0.8 mm (reactor 2). It was demonstrated that OLR and FL had a slight influence on COD removal, whereas they had a strong influence on the methane production rate. The COD removal was slightly higher for the highest particle diameter used. The second experimental set was carried out at an OLR from 3 to 20 g COD/I d with 25 % of fluidization and Dp in the above-mentioned ranges for reactors I and 2. The performance of the two reactors was similar; no significant differences were found. The COD removal efficiency correlated with the OLR based on a straight line. COD removal efficiencies higher than. 80% were achieved in both reactors without significant differences. In addition, a straight line equation with a slope of 1.74 d- 1 and an intercept on the y-axis equal to zero described satisfactorily the effect of the influent COD on the COD removal rate. It was also observed that both COD removal rate and methane production (Qm) increased linearly with the OLR, independently of the Dp used. (c) 2008 Elsevier Ltd. All rights reserved.</t>
  </si>
  <si>
    <t>Borja, Rafael/0000-0002-3699-7223; Raposo Bejines, Francisco/0000-0002-1458-8832</t>
  </si>
  <si>
    <t>10.1016/j.renene.2008.02.002</t>
  </si>
  <si>
    <t>WOS:000258204600013</t>
  </si>
  <si>
    <t>Torres, MA; Rezende, MC; Cassels, BK</t>
  </si>
  <si>
    <t>α1-adrenergic and 5-HT2-serotonergic effects of some β-alkoxy-β-phenylethylamines on isolated rat thoracic aorta</t>
  </si>
  <si>
    <t>GENERAL PHARMACOLOGY</t>
  </si>
  <si>
    <t>1. Ten racemic beta-alkoxy-beta-phenylethylamines were found to elicit concentration dependent contraction of the isolated rat thoracic aorta with apparent pD(2) values in the 4.56-6.76 range. With one exception, which produces the same maximal contraction (E-max) as serotonin (5-HT), the E-max values attained with these compounds are lower than those produced by either 5-HT or norepinephrine (NE). 2. Pretreatment with either prazosin or ketanserin (10(-8) M) leads in most cases to decreased E-max values and slopes in the dose-response curves. Apparent serotonergic (pD(2)(S)) and adrenergic (pD(2)(A)) pD(2) values going from 4.22 to 6.08 (pD(2)(S)) and from 3.87 to 5.27 (pD(2)(A)) were calculated from results obtained in the presence of prazosin or ketanserin, respectively. 3. In the 10(-7)-10(-5) M range, and in contrast with the results obtained with the previous compounds, BON [(+/-)-2-(2,5-dimethoxy-4-nitrophenyl)-2-methoxy-ethylamine] behaves as an antagonist to both 5-HT and NE (apparent pA(2)=7.08 and 7.45, respectively) in this preparation. (C) 1998 Elsevier Science Inc.</t>
  </si>
  <si>
    <t>Rezende, Marcos/0000-0003-2040-9009</t>
  </si>
  <si>
    <t>0306-3623</t>
  </si>
  <si>
    <t>10.1016/S0306-3623(97)00421-7</t>
  </si>
  <si>
    <t>WOS:000073508200009</t>
  </si>
  <si>
    <t>Batista, AP; Ayub, MS; Adasme, P; Begazo, DC; Shad, MR; Saadi, M; Rosa, RL; Rodríguez, DZ</t>
  </si>
  <si>
    <t>Batista, Andreza P.; Ayub, Muhammad S.; Adasme, Pablo; Begazo, Dante C.; Shad, Muhammad R.; Saadi, Muhammad; Rosa, Renata L.; Rodriguez, Demostenes Z.</t>
  </si>
  <si>
    <t>A methodology for estimating radiofrequency signal attenuation from rainfall and atmospheric gases in 5G-and-beyond networks</t>
  </si>
  <si>
    <t>IET NETWORKS</t>
  </si>
  <si>
    <t>Industrial applications demand ultra-reliable and low latency communications, especially in Industrial Internet of Things (IIoT) environments. To meet these expectations, telecommunication network technologies have evolved, culminating in the deployment of fifth-generation (5G) networks by telecom operators worldwide. However, 5G and beyond networks, operating in millimetre-wave frequency bands, can suffer signal degradation caused by atmospheric phenomena, such as rainfall and atmospheric gases. This article presents a significant contribution to scientific research by proposing a methodology that leverages ITU-R recommendations (P.530, P.837, P.838, P.618-13, P.839-4, P.1511-2) for rain-induced attenuation and incorporates local meteorological data using the Gumbel Distribution. Also, the methodology considers ITU-R Recommendations (P.676, P.836, P.835) for atmospheric gas-induced attenuation. A comprehensive flowchart demonstrates the practical application of these recommendations, enabling accurate assessment of signal attenuation for various cities around the world with distinct geographical coordinates. The dataset is obtained from local Meteorological Stations or using digital maps from ITU recommendations. The results obtained with the approximate values of precipitation rates using the proposed method were compared with values from the ITU's study group and verified the effectiveness of the proposed approach, with relative errors not exceeding 1.07%. These analyses indicated the potential impact of atmospheric conditions on 5G network performance, offering valuable insights for optimising network design and improving communication reliability that is relevant to IIoT applications.</t>
  </si>
  <si>
    <t>Begazo, Dante/A-6597-2019; Lopes Rosa, Renata/AAU-8544-2020; Zegarra Rodriguez, Demostenes/L-8322-2013; Adasme, Pablo/U-1735-2019; Saadi, Muhammad/ABF-5428-2021; Ayub, Muhammad Shoaib/JEZ-2644-2023</t>
  </si>
  <si>
    <t>2047-4954</t>
  </si>
  <si>
    <t>2047-4962</t>
  </si>
  <si>
    <t>e70000</t>
  </si>
  <si>
    <t>10.1049/ntw2.70000</t>
  </si>
  <si>
    <t>WOS:001422032900001</t>
  </si>
  <si>
    <t>Mebrahtom, M; Fissha, Y; Ali, M; Gebretsadik, A; Kide, Y; Nguse, Z; Gebrehiwot, Z; Flores, ES; Avudaiappan, S; Ikeda, H</t>
  </si>
  <si>
    <t>Mebrahtom, Misgina; Fissha, Yewuhalashet; Ali, Mujahid; Gebretsadik, Angesom; Kide, Yemane; Nguse, Zaid; Gebrehiwot, Zemicael; Flores, Erick Saavedra; Avudaiappan, Siva; Ikeda, Hajime</t>
  </si>
  <si>
    <t>Comparative study of eco-friendly wire mesh configurations to enhance sustainability in reinforced concrete structures</t>
  </si>
  <si>
    <t>Recent and past studies mainly focus on reducing the dead weight of structure; therefore, they considered lightweight aggregate concrete (LWAC) which reduces the dead weight but also affects the strength parameters. Therefore, the current study aims to use varied steel wire meshes to investigate the effects of LWAC on mechanical properties. Three types of steel wire mesh are used such as hexagonal (chicken), welded square, and expanded metal mesh, in various layers and orientations in LWAC. Numerous mechanical characteristics were examined, including energy absorption (EA), compressive strength (CS), and flexural strength (FS). A total of ninety prisms and thirty-three cubes were made. For the FS test, forty-five 100 x 100 x 500 mm prism samples were poured, thirty-three 150 x 150 x 150 mm cube samples were made, and forty-five 400 x 300 x 75 mm EA specimens were costed for fourteen days of curing. The experimental findings demonstrate that the FS was enhanced by adding additional forces that spread the forces over the section. One layer of chicken, welded, and expanded metal mesh enhances the FS by 52.96%, 23.76%, and 22.2%, respectively. In comparison to the remaining layers, the FS in a single-layer hexagonal wire mesh has the maximum strength, 29.49 MPa. The hexagonal wire mesh with a single layer had the greatest CS, measuring 36.56 MPa. When all three types of meshes are combined, the CS does not vary in this way and is estimated to be 29.79 MPa. In the combination of three layers, the chicken and expanded wire mesh had the most energy recorded prior to final failure, which was 1425.6 and 1108.7 J, whereas it was found the highest 752.3 J for welded square wire mesh. The energy absorption for the first layer with hexagonal wire mesh increased by 82.81% prior to the crack and by 88.34% prior to the ultimate failure. Overall, it was determined and suggested that hexagonal wire mesh works better than expanded and welded wire meshes.</t>
  </si>
  <si>
    <t>Avudaiappan, Siva/AAV-7579-2021; GEBREHIWOT, ZEMICAEL/KUK-6685-2024; Fissha, Yewuhalashet/GLU-0994-2022; Kide, Yemane/LZE-2103-2025; Ali, Mujahid/AEP-6014-2022; Ikeda, Hajime/JZC-4680-2024</t>
  </si>
  <si>
    <t>, Yewuhalashet Fissha/0000-0002-8066-1065; , Yemane Kide Hailemariam/0009-0008-9461-7330; Ikeda, Hajime/0000-0002-0863-5583; Abrha, Zemicael Gebrehiwot/0009-0004-1810-4921; Gebretsadik, Angesom/0000-0002-7422-2031</t>
  </si>
  <si>
    <t>10.1038/s41598-024-59050-2</t>
  </si>
  <si>
    <t>WOS:001205077500002</t>
  </si>
  <si>
    <t>Leyton-Soto, F; Schultz, ZD; Ormazábal-Toledo, R; Ruiz-León, D; Giordano, A; Isaacs, M</t>
  </si>
  <si>
    <t>Leyton-Soto, Felipe; Schultz, Zachary D.; Ormazabal-Toledo, Rodrigo; Ruiz-Leon, Domingo; Giordano, Ady; Isaacs, Mauricio</t>
  </si>
  <si>
    <t>Suitability study of Ag nanosheet SERS substrates as a screening method for imidacloprid after QuEChERS extraction</t>
  </si>
  <si>
    <t>With the current food demand, pesticides have become some of the most important compounds to maintain food quality; however, this requires the development of methodologies that allow fast, sensitive, and low-cost screening for these contaminants. Surface-enhanced Raman spectroscopy is an emerging solution since the interaction between the analyte and metallic nanostructures increases the Raman signals, enabling trace detection and a chemical-specific measurement. In this way, the fast detection of contaminants is possible, and further advances may enable portable assays. In this work, SERS substrates with silver nanosheets (AgNSs) on a copper surface were synthesized, producing a strong SERS effect and a reproducible signal intensity from methylene blue probe molecules at an optimal reaction time of 1 min. A quantitative analysis of the pesticide imidacloprid was then performed by applying a PLSR chemometric model, revealing a high linear correlation between the reference values and the predicted values of the pesticide (Rcv2 = 0.9732 and RMSECV = 0.1239). AgNS substrates were used to determine the feasibility of using this methodology for screening imidacloprid in real bee honey samples obtained through QuEChERS extraction, and an average recovery of 75.5% +/- 0.08 was obtained. In addition, density functional theory simulations were carried out to elucidate the possible molecular interaction with the SERS surface and to assign the observed vibrational modes of imidacloprid. SERS is thus demonstrated to be an alternative to conventional pesticide detection techniques. SERS substrates with silver nanosheets (AgNS) on a copper surface were synthesized. A quantitative analysis of the pesticide imidacloprid was then performed by applying a PLSR chemometric model.</t>
  </si>
  <si>
    <t>Ruiz, Domingo/H-3818-2011; Ormazabal-Toledo, Rodrigo/HSH-6230-2023; Isaacs, Mauricio/N-3027-2013; Schultz, Zachary/L-5724-2013; Ormazabal-Toledo, Rodrigo/I-2490-2013</t>
  </si>
  <si>
    <t>Schultz, Zachary/0000-0003-1741-8801; Ormazabal-Toledo, Rodrigo/0000-0003-1777-0426; Ruiz Leon, Domingo/0000-0002-0950-6919; Isaacs Casanova, Mauricio/0000-0003-0503-0949; Giordano, Ady/0000-0002-1867-6848</t>
  </si>
  <si>
    <t>10.1039/d3nj05956a</t>
  </si>
  <si>
    <t>WOS:001157810000001</t>
  </si>
  <si>
    <t>Bevilacqua, M; Emery, X; Faouzi, T</t>
  </si>
  <si>
    <t>Bevilacqua, Moreno; Emery, Xavier; Faouzi, Tarik</t>
  </si>
  <si>
    <t>Extending the generalized Wendland covariance model</t>
  </si>
  <si>
    <t>ELECTRONIC JOURNAL OF STATISTICS</t>
  </si>
  <si>
    <t>The generalized Wendland covariance model is a flexible compactly supported covariance model that allows for a continuous parameterization of smoothness of the underlying Gaussian random field, and includes the celebrated Mat &amp; eacute;rn as a special limit case. However, the generalized Wendland model does not cover the full range of validity of the smoothness parameter of the Mat &amp; eacute;rn model. In this paper, we provide new necessary and sufficient conditions of validity of the generalized Wendland model that allows to fill this gap. The effectiveness of our proposal is illustrated through a simulation study and a re-analysis of a large geo-referenced dataset of yearly total precipitation anomalies.</t>
  </si>
  <si>
    <t>Faouzi, Tarik/ACG-9151-2022; Emery, Xavier/H-4202-2013</t>
  </si>
  <si>
    <t>1935-7524</t>
  </si>
  <si>
    <t>10.1214/24-EJS2270</t>
  </si>
  <si>
    <t>WOS:001321777600003</t>
  </si>
  <si>
    <t>Cruz, C; Gonzalez, C; Rubio, F; Erices, J; Wrighton-Araneda, K; Cortés-Arriagada, D; Venegas-Yazigi, D; Audebrand, N; Paredes-García, V</t>
  </si>
  <si>
    <t>Cruz, Carlos; Gonzalez, Carla; Rubio, Francisco; Erices, Juan; Wrighton-Araneda, Kerry; Cortes-Arriagada, Diego; Venegas-Yazigi, Diego; Audebrand, Nathalie; Paredes-Garcia, Veronica</t>
  </si>
  <si>
    <t>Chiral 1D Metal-Organic Materials Based on Cu(II) and Amino Acid Schiff Bases</t>
  </si>
  <si>
    <t>Four new chiral coordination polymers (CPs), {[Cu(HLn)MeOH]center dot NO3}(infinity) (n = 1-4), were obtained using a chiral building block synthesized from the condensation reaction of L- or D-valine with an imidazole aldehyde. These CPs crystallize in a noncentrosymmetric space group P2(1)2(1)2(1), evidencing that the chirality of the a-amino acid valine is transferred to the structure of the coordination polymer. Moreover, the CPs present a 1D structure with a Cu(II) cation in a square base pyramid geometry formed by two units of chiral ligand and a methanol molecule. The magnetic measurement and theoretical calculations show that the Cu(II) spin carriers are magnetically communicated through the carboxylate bridge, presenting a ID ferromagnetic chain behavior. Furthermore, four new stable molecular compounds [Cu(HLn)DMSO](+) (n = 1 4), sharing the same chiral building block of CPs, were characterized by circular dichroism (CD). The theoretical electronic excited states of the molecular compounds reproduce the CD experimental spectra showing that the intrinsic chiral activity of the a-amino acid Schiff base is transferred to the Cu(II) centers. Remarkably, using crystal engineering tools, a family of chiral coordination compounds was obtained and analyzed combining several experimental and theoretical approaches, leading to a robust understanding of its chemical and physical properties.</t>
  </si>
  <si>
    <t>Cortés-Arriagada, Diego/J-5940-2019; Paredes-Garcia, Veronica/C-4415-2011; Cruz, Carlos/KIG-8993-2024; Venegas-Yazigi, Diego/C-5022-2009; Wrighton-Araneda, Kerry Jeffry/X-2381-2019</t>
  </si>
  <si>
    <t>Cruz Herrera, Carlos/0000-0002-2644-4297; Venegas-Yazigi, Diego/0000-0001-7816-2841; Cortes-Arriagada, Diego/0000-0002-6709-1723; Wrighton-Araneda, Kerry Jeffry/0000-0003-4872-8976; Rubio Sepulveda, Francisco/0000-0002-6093-3465</t>
  </si>
  <si>
    <t>10.1021/acs.cgd.1c00877</t>
  </si>
  <si>
    <t>WOS:000731116500001</t>
  </si>
  <si>
    <t>Grafton, AB; Dunkelberger, AD; Simpkins, BS; Triana, JF; Hernández, FJ; Herrera, F; Owrutsky, JC</t>
  </si>
  <si>
    <t>Grafton, Andrea B.; Dunkelberger, Adam D.; Simpkins, Blake S.; Triana, Johan F.; Hernandez, Federico J.; Herrera, Felipe; Owrutsky, Jeffrey C.</t>
  </si>
  <si>
    <t>Excited-state vibration-polariton transitions and dynamics in nitroprusside</t>
  </si>
  <si>
    <t>NATURE COMMUNICATIONS</t>
  </si>
  <si>
    <t>Strong cavity coupling to molecular vibrations creates vibration-polaritons capable of modifying chemical reaction kinetics, product branching ratios, and charge transfer equilibria. However, the mechanisms impacting these molecular processes remain elusive. Furthermore, even basic elements determining the spectral properties of polaritons, such as selection rules, transition moments, and lifetimes are poorly understood. Here, we use two-dimensional infrared and filtered pump-probe spectroscopy to report clear spectroscopic signatures and relaxation dynamics of excited vibration-polaritons formed from the cavity-coupled NO band of nitroprusside. We apply an extended multi-level quantum Rabi model that predicts transition frequencies and strengths that agree well with our experiment. Notably, the polariton features decay similar to 3-4 times slower than the polariton dephasing time, indicating that they support incoherent population, a consequence of their partial matter character.</t>
  </si>
  <si>
    <t>Owrutsky, Jeffrey/K-7649-2012; Herrera, Felipe/KHD-8453-2024; Hernandez, Federico Javier/P-8865-2018; Triana, Johan F./AAU-9985-2021</t>
  </si>
  <si>
    <t>Hernandez, Federico Javier/0000-0001-7497-9424; Triana, Johan F./0000-0001-9551-3121; Owrutsky, Jeff/0000-0003-3216-7270; Simpkins, Blake/0000-0001-7866-6708</t>
  </si>
  <si>
    <t>2041-1723</t>
  </si>
  <si>
    <t>10.1038/s41467-020-20535-z</t>
  </si>
  <si>
    <t>WOS:000670282800005</t>
  </si>
  <si>
    <t>Pavón-Pérez, J; Henriquez-Aedo, K; Salazar, R; Herrero, M; Aranda, M</t>
  </si>
  <si>
    <t>Pavon-Perez, Jessy; Henriquez-Aedo, Karem; Salazar, Ricardo; Herrero, Miguel; Aranda, Mario</t>
  </si>
  <si>
    <t>Chemometric optimization of trypsin digestion method applying infrared, microwave and ultrasound energies for determination of caseins and ovalbumin in wines</t>
  </si>
  <si>
    <t>JOURNAL OF FOOD SCIENCE AND TECHNOLOGY-MYSORE</t>
  </si>
  <si>
    <t>Caseins and ovalbumin are frequently used as wine fining agents to remove undesirable compounds like polymeric phenols. Their presence in wines is a subject of concern because may cause adverse effects on susceptible consumers, especially when their presence is not labeled. A key step for its determination is trypsin digestion, which is considered the bottleneck ofbottom-upapproach workflow because usually requires several hours. To reduce this time, the objective of this work was to carry out a chemometric optimization of trypsin digestion method applying infrared, microwave and ultrasound energies to determine caseins and ovalbumin in wines. The conditions of each accelerated digestion method were optimized using a Response Surface Methodology based on central composite design. The parameters optimized were digestion time and trypsin: protein ratio. The response variable evaluated was digestion yield, which was determined through the peak area of each protein transition determined by liquid chromatography-mass spectrometry. The most effective technique was microwave followed by ultrasound and infrared. Since optimal values of microwave and ultrasound-assisted digestion were the same, the later was chosen considering sample preparation and cost. Applying the proposed approach, a reduction ofca.140 and 240-fold on digestion time was achieved compared with optimized and non-optimized conventional methods, respectively. With this workflow, both proteins were digested in a single 3 min process allowing its detection by liquid chromatography-mass spectrometry at mu g L(-1)level, which isca.60 times lower than the current limit of 0.25 mg L-1.</t>
  </si>
  <si>
    <t>Herrero, Miguel/C-5510-2011; Salazar, Ricardo/L-7870-2013; Aranda, Mario/A-6599-2013; Henriquez-Aedo, Karem/J-7953-2016</t>
  </si>
  <si>
    <t>Aranda, Mario/0000-0001-7846-9149; /0000-0002-3785-9332; Salazar-Gonzalez, Ricardo/0000-0003-2180-6022; Henriquez-Aedo, Karem/0000-0002-0731-2037</t>
  </si>
  <si>
    <t>0022-1155</t>
  </si>
  <si>
    <t>0975-8402</t>
  </si>
  <si>
    <t>10.1007/s13197-020-04793-9</t>
  </si>
  <si>
    <t>SEP 2020</t>
  </si>
  <si>
    <t>WOS:000571264300002</t>
  </si>
  <si>
    <t>Duch, R; Laroze, D; Robinson, T; Beramendi, P</t>
  </si>
  <si>
    <t>Duch, Raymond; Laroze, Denise; Robinson, Thomas; Beramendi, Pablo</t>
  </si>
  <si>
    <t>Multi-modes for Detecting Experimental Measurement Error</t>
  </si>
  <si>
    <t>POLITICAL ANALYSIS</t>
  </si>
  <si>
    <t>Experiments should be designed to facilitate the detection of experimental measurement error. To this end, we advocate the implementation of identical experimental protocols employing diverse experimental modes. We suggest iterative nonparametric estimation techniques for assessing the magnitude of heterogeneous treatment effects across these modes. And we propose two diagnostic strategies-measurement metrics embedded in experiments, and measurement experiments-that help assess whether any observed heterogeneity reflects experimental measurement error. To illustrate our argument, first we conduct and analyze results from four identical interactive experiments: in the lab; online with subjects from the CESS lab subject pool; online with an online subject pool; and online with MTurk workers. Second, we implement a measurement experiment in India with CESS Online subjects and MTurk workers.</t>
  </si>
  <si>
    <t>Robinson, Thomas/AAI-8344-2021</t>
  </si>
  <si>
    <t>Robinson, Thomas S./0000-0001-7097-1599; Beramendi Alvarez, Pablo/0000-0001-9990-0057; Duch, Raymond/0000-0002-1166-7674</t>
  </si>
  <si>
    <t>1047-1987</t>
  </si>
  <si>
    <t>1476-4989</t>
  </si>
  <si>
    <t>PII S1047198719000342</t>
  </si>
  <si>
    <t>10.1017/pan.2019.34</t>
  </si>
  <si>
    <t>WOS:000517608900007</t>
  </si>
  <si>
    <t>Cordero, RR; Damiani, A; Jorquera, J; Sepúlveda, E; Caballero, M; Fernandez, S; Feron, S; Llanillo, PJ; Carrasco, J; Laroze, D; Labbe, F</t>
  </si>
  <si>
    <t>Cordero, R. R.; Damiani, A.; Jorquera, J.; Sepulveda, E.; Caballero, M.; Fernandez, S.; Feron, S.; Llanillo, P. J.; Carrasco, J.; Laroze, D.; Labbe, F.</t>
  </si>
  <si>
    <t>Ultraviolet radiation in the Atacama Desert</t>
  </si>
  <si>
    <t>ANTONIE VAN LEEUWENHOEK INTERNATIONAL JOURNAL OF GENERAL AND MOLECULAR MICROBIOLOGY</t>
  </si>
  <si>
    <t>The world's highest levels of surface ultraviolet (UV) irradiance have been measured in the Atacama Desert. This area is characterized by its high altitude, prevalent cloudless conditions, and a relatively low total ozone column. In this paper, we provide estimates of the surface UV (monthly UV index at noon and annual doses of UV-B and UV-A) for all sky conditions in the Atacama Desert. We found that the UV index at noon during the austral summer is expected to be greater than 11 in the whole desert. The annual UV-B (UV-A) doses were found to range from about 3.5 kWh/m(2) (130 kWh/m(2)) in coastal areas to 5 kWh/m(2) (160 kWh/m(2)) on the Andean plateau. Our results confirm significant interhemispherical differences. Typical annual UV-B doses in the Atacama Desert are about 40% greater than typical annual UV-B doses in northern Africa. Mostly due to seasonal changes in the ozone, the differences between the Atacama Desert and northern Africa are expected to be about 60% in the case of peak UV-B levels (i.e. the UV-B irradiances at noon close to the summer solstice in each hemisphere). Interhemispherical differences in the UV-A are significantly lower since the effect of the ozone in this part of the spectrum is minor.</t>
  </si>
  <si>
    <t>Fernandez, Sandra/A-8031-2010; Damiani, Alessandro/X-4677-2019; Laroze, David/Z-2852-2019; Cordero, Raul/M-7979-2017; Llanillo, Pedro/L-5877-2015; Carrasco, Jorge/K-2949-2014; Laroze, David/E-9134-2011</t>
  </si>
  <si>
    <t>Llanillo, Pedro/0000-0002-9308-501X; Carrasco, Jorge/0000-0003-2154-5483; Laroze, David/0000-0002-6487-8096; Cordero, Raul R./0000-0001-7607-7993; Damiani, Alessandro/0000-0003-3014-6193; Feron, Sarah/0000-0002-0572-5639</t>
  </si>
  <si>
    <t>0003-6072</t>
  </si>
  <si>
    <t>1572-9699</t>
  </si>
  <si>
    <t>10.1007/s10482-018-1075-z</t>
  </si>
  <si>
    <t>WOS:000439732000005</t>
  </si>
  <si>
    <t>Sanchez-Martinez, J; Santos-Lozano, A; Garcia-Hermoso, A; Sadarangani, KP; Cristi-Montero, C</t>
  </si>
  <si>
    <t>Sanchez-Martinez, Javier; Santos-Lozano, Alejandro; Garcia-Hermoso, Antonio; Sadarangani, Kabir P.; Cristi-Montero, Carlos</t>
  </si>
  <si>
    <t>Effects of beta-hydroxy-beta-methylbutyrate supplementation on strength and body composition in trained and competitive athletes: A meta-analysis of randomized controlled trials</t>
  </si>
  <si>
    <t>JOURNAL OF SCIENCE AND MEDICINE IN SPORT</t>
  </si>
  <si>
    <t>Objectives: The aim of this meta-analysis was to examine the evidence for the effectiveness of betahydroxy-beta-methylbutyrate supplementation interventions on modification in strength and body composition in trained and competitive athletes. Design: Systematic review and meta-analysis. Methods: A systematic search was performed using three databases: MEDLINE, EBSCO and Web of Science. The analysis was restricted to randomized controlled trials that examined the effect of HMB supplementation interventions on modification in bench and leg press strength, body mass, fat-free mass and fat mass. Effect sizes (ES) and 95% confidence intervals (CIs) were calculated using a fixed effect meta-analysis due to low value of the heterogeneity. The Egger test was used to determine the presence of publication bias, and the Q and 12 statistics were used to assess heterogeneity among studies. Significance was set at p &lt; 0.05. Results: Six studies were selected for meta-analysis, as they fulfilled the inclusion criteria (n=193 participants). HMB supplementation interventions present a trivial non-significant ES in all variables studied (bench press ES = 0.00, leg press ES = 0.09, body mass ES = 0.01, fat-free mass ES = 0.16, and fat mass ES = 0.20; all cases p &gt; 0.05, and null heterogeneity 12=0.0% p &gt; 0.05). These results remained constant even analyzing by subgroups (HMB doses, duration of intervention, training level and diet co-intervention). Conclusions: This meta-analysis found no effect of HMB supplementation on strength and body composition in trained and competitive athletes. (C) 2017 Sports Medicine Australia. Published by Elsevier Ltd. All rights reserved.</t>
  </si>
  <si>
    <t>García-Hermoso, Antonio/ADU-2591-2022; Sanchez-Martinez, Javier/AAN-3385-2021; Cristi-Montero, Carlos/AAE-4945-2020; Santos-Lozano, Alejandro/L-3948-2017; Garcia-Hermoso, Antonio/P-1857-2017</t>
  </si>
  <si>
    <t>Santos-Lozano, Alejandro/0000-0002-2309-3583; Cristi-Montero, Carlos/0000-0002-9940-507X; Garcia-Hermoso, Antonio/0000-0002-1397-7182</t>
  </si>
  <si>
    <t>1440-2440</t>
  </si>
  <si>
    <t>1878-1861</t>
  </si>
  <si>
    <t>10.1016/j.jsams.2017.11.003</t>
  </si>
  <si>
    <t>WOS:000436384000016</t>
  </si>
  <si>
    <t>Flores, EIS; Saavedra, K; Hinojosa, J; Chandra, Y; Das, R</t>
  </si>
  <si>
    <t>Saavedra Flores, E. I.; Saavedra, K.; Hinojosa, J.; Chandra, Y.; Das, R.</t>
  </si>
  <si>
    <t>Multi-scale modelling of rolling shear failure in cross-laminated timber structures by homogenisation and cohesive zone models</t>
  </si>
  <si>
    <t>INTERNATIONAL JOURNAL OF SOLIDS AND STRUCTURES</t>
  </si>
  <si>
    <t>In this paper we investigate the rolling shear failure in cross-laminated timber structures by homogenisation and cohesive zone models. In order to predict the structural response, four spatial scales are interlinked within a purely kinematic multi-scale modelling framework. The constitutive description has incorporated information coming from the wood cell-wall in the order of a few nanometres, wood fibres with dimensions of tens of micrometres and growth rings described by a few millimetres. The computational homogenisation scheme is solved sequentially from the lowest to the highest level in order to determine the effective mechanical properties for the fourth (structural) scale represented by a cross laminated timber plate with dimensions of the order of one meter. In order to simulate the cracking in the material, a cohesive zone model is adopted at the homogenised macroscopic scale. The finite element problem is then solved using a mixed domain decomposition strategy due to its huge number of unknowns. This approach allows us to capture interlaminar and inter-fibre cracking and to solve the macroscopic equilibrium problem using parallel computations. Our numerical predictions are compared with experimental results and are validated successfully. In particular, we study the influence of wood density, edge-gluing and span-to-depth ratio on the rolling shear failure in cross-laminated timber. (C) 2015 Elsevier Ltd. All rights reserved.</t>
  </si>
  <si>
    <t>Flores, Erick/I-7646-2012; Saavedra, Karin/AAH-9453-2021</t>
  </si>
  <si>
    <t>Das, Raj/0000-0001-9977-6201; Saavedra, Karin/0000-0002-6795-0540; Chandra, Yatish/0000-0002-3126-1276</t>
  </si>
  <si>
    <t>0020-7683</t>
  </si>
  <si>
    <t>1879-2146</t>
  </si>
  <si>
    <t>10.1016/j.ijsolstr.2015.11.027</t>
  </si>
  <si>
    <t>WOS:000370089200018</t>
  </si>
  <si>
    <t>Campos, MSZ; Moya, MG</t>
  </si>
  <si>
    <t>Zarate Campos, Maria Soledad; Gonzalez Moya, Maricela</t>
  </si>
  <si>
    <t>Family Planning in the Chilean Cold War: Health Policy and International Cooperation, 1960-1973</t>
  </si>
  <si>
    <t>HISTORIA CRITICA</t>
  </si>
  <si>
    <t>This article seeks to document the links between the Chilean Family Planning Program and organizations such as the Population Council, the Rockefeller Foundation, the International Planned Parenthood Federation and the UN between 1960 and 1973. Within the framework of the population policies imposed by the Cold War, it analyzes the trajectory of the Chilean medical community, which, by sharing in the ideological guidelines of the international agencies, understood said relationship more as an efficient instrument for limiting high abortion rates than as means to significantly reduce population growth.</t>
  </si>
  <si>
    <t>ZARATE CAMPOS, MARIA SOLEDAD/0000-0002-9537-822X</t>
  </si>
  <si>
    <t>0121-1617</t>
  </si>
  <si>
    <t>JAN-MAR</t>
  </si>
  <si>
    <t>10.7440/histuit55.2015.09</t>
  </si>
  <si>
    <t>WOS:000350513200010</t>
  </si>
  <si>
    <t>Iturralde, D; Azurdia-Meza, C; Krommenacker, N; Soto, I; Ghassemlooy, Z; Becerra, N</t>
  </si>
  <si>
    <t>Iturralde, Daniel; Azurdia-Meza, Cesar; Krommenacker, Nicolas; Soto, Ismael; Ghassemlooy, Zabih; Becerra, Nestor</t>
  </si>
  <si>
    <t>A New Location System for an Underground Mining Environment Using Visible Light Communications</t>
  </si>
  <si>
    <t>2014 9TH INTERNATIONAL SYMPOSIUM ON COMMUNICATION SYSTEMS, NETWORKS &amp; DIGITAL SIGNAL PROCESSING (CSNDSP)</t>
  </si>
  <si>
    <t>9th International Symposium on Communication Systems, Networks &amp; Digital Signal Processing (CSNDSP)</t>
  </si>
  <si>
    <t>JUL 23-25, 2014</t>
  </si>
  <si>
    <t>Manchester, ENGLAND</t>
  </si>
  <si>
    <t>In this paper we introduce a novel localization algorithm based on visible light communications (VLC) and the trilateration technique. The new algorithm can be used for tracking people or machinery in an underground mining environment. The proposed method utilizes the concept of reference points in order to reduce the location estimation error. The proposed algorithm outperforms the LANDMARC (location identification based on dynamic active radio frequency identification (RFID) calibration) algorithm, which uses RFID tags to determine the location of an object, in terms of the location estimation error.</t>
  </si>
  <si>
    <t>Meza, Cesar/D-6948-2014; Krommenacker, Nicolas/IAR-4851-2023; Ghassemlooy, Zabih/G-9521-2014</t>
  </si>
  <si>
    <t>Ghassemlooy, Zabih/0000-0002-5780-9703</t>
  </si>
  <si>
    <t>978-1-4799-2581-0</t>
  </si>
  <si>
    <t>WOS:000354963600220</t>
  </si>
  <si>
    <t>Gómez-Pantoja, C; Rexachs, D; Marin, M; Luque, E</t>
  </si>
  <si>
    <t>Gomez-Pantoja, Carlos; Rexachs, Dolores; Marin, Mauricio; Luque, Emilio</t>
  </si>
  <si>
    <t>A Fault-Tolerant Cache Service for Web Search Engines: RADIC Evaluation</t>
  </si>
  <si>
    <t>Large Web search engines are constructed as a collection of services that are deployed on dedicated clusters of distributed-memory processors. In particular, efficient query throughput heavily relies on using result cache services devoted to maintaining the answers to most frequent queries. Load balancing and fault tolerance are critical to this service. A previous paper [7] described the design of a result cache service based on consistent hashing and a strategy for enabling fault tolerance. This paper goes further into implementation details and experiments related to the basic scheme to support fault-tolerance which is critical for overall performance. To this end, we evaluate the performance of the RADIC scheme [14] for fault-tolerance under demanding scenarios imposed in the caching service.</t>
  </si>
  <si>
    <t>Marin, Mauricio/GLR-7700-2022; Luque, Emilio/B-6638-2014; REXACHS, DOLORES/A-4753-2009</t>
  </si>
  <si>
    <t>Luque, Emilio/0000-0002-2884-3232; Gomez-Pantoja, Carlos/0000-0002-4097-6134; Marin, Mauricio/0000-0003-0662-7149; REXACHS, DOLORES/0000-0001-5500-850X</t>
  </si>
  <si>
    <t>WOS:000341235300030</t>
  </si>
  <si>
    <t>Ríos-Escudero, A; Villagrán, M; Caruso, F; Muena, JP; Spodine, E; Venegas-Yazigi, D; Massa, L; Todaro, LJ; Zagal, JH; Cárdenas-Jirón, GI; Páez, M; Costamagna, J</t>
  </si>
  <si>
    <t>Rios-Escudero, A.; Villagran, M.; Caruso, F.; Muena, J. P.; Spodine, E.; Venegas-Yazigi, D.; Massa, L.; Todaro, L. J.; Zagal, J. H.; Cardenas-Jiron, G. I.; Paez, M.; Costamagna, J.</t>
  </si>
  <si>
    <t>Electrocatalytic reduction of carbon dioxide induced by bis(N-R-2-hydroxy-1-naphthaldiminato)-copper(II) (R = n-octyl, n-dodecyl):: Magnetic and theoretical studies and the X-ray structure of bis(N-n-octyl-2-hydroxy-1-naphthaldiminato)-copper(II)</t>
  </si>
  <si>
    <t>Copper(II) complexes of n-alkyl-2-hydroxy-1-naphthaldimine Schiff bases (with n-alkyl: n-octyl, and n-dodecyl) have been synthesized, to study steric and electronic effects of long alkyl chain substituents on their structure and properties. These complexes have been characterized with FT-IR, UV-Vis, magnetic susceptibility and cyclic voltammetry both in nitrogen and carbon dioxide atmosphere. Metal-ligand coordination is inferred from the shifting of the v(C=N) stretching vibration mode in the 1610 1620 cm(-1) region when compared to that of the free ligand. The UV-Vis spectra show one band around 640 nm typical for square planar Cu(11) complexes. Results obtained from cyclic voltammetry indicate electrocatalytic reduction of carbon dioxide around -0.90 V (versus Ag/AgCl). Bis(N-n-octyl-2-hydroxy-1-naphthaldiminato)-copper(II) has been studied with X-ray diffraction. The molecular structure shows the copper atom in a planar environment and the n-octyl chains having thermal disorder. The crystal packing shows stacked units intermolecularly separated by 3.33 angstrom, probably due to pi-pi interactions between naphthyl groups, and Cu-O and O-O separations of 3.95 and 3.42 angstrom, respectively. The magnetic susceptibility data between 10 and 300 K are indicative of diluted paramagnetic behavior. Density functional theory calculations of spin density for the n-octyl complex shows the unpaired electron localized along the planar CuO2N2 moiety. The calculated electrostatic potential show electron rich regions on the oxygen atoms. (c) 2006 Elsevier B.V.. All rights reserved.</t>
  </si>
  <si>
    <t>zagal, jose/L-9648-2014; Paez, Maritza/M-2010-2014; Cardenas-Jiron, Gloria/H-9508-2012; Venegas-Yazigi, Diego/C-5022-2009</t>
  </si>
  <si>
    <t>paez, maritza/0000-0001-5881-884X; Cardenas-Jiron, Gloria/0000-0003-4305-8088; Venegas-Yazigi, Diego/0000-0001-7816-2841</t>
  </si>
  <si>
    <t>10.1016/j.ica.2006.04.027</t>
  </si>
  <si>
    <t>WOS:000240489200020</t>
  </si>
  <si>
    <t>Stepanova, MV; Antonova, EE; Bosqued, JM; Kovrazhkin, R</t>
  </si>
  <si>
    <t>VonSteiger, R; Lui, ATY; Newell, PT; Troshhichev, OA</t>
  </si>
  <si>
    <t>Azimuthal plasma pressure reconstructed by using the Aureol-3 satellite data during quiet geomagnetic conditions</t>
  </si>
  <si>
    <t>STREAMERS, SLOW SOLAR WIND, AND THE DYNAMICS OF THE MAGNETOSPHERE</t>
  </si>
  <si>
    <t>ADVANCES IN SPACE RESEARCH-SERIES</t>
  </si>
  <si>
    <t>2nd World Space Congress/34th COSPAR Scientific Assembly</t>
  </si>
  <si>
    <t>OCT 10-19, 2002</t>
  </si>
  <si>
    <t>HOUSTON, TX</t>
  </si>
  <si>
    <t>Comm Space Res</t>
  </si>
  <si>
    <t>The azimuthal distribution of magnetospheric plasma pressure was studied using the precipitating particle fluxes observed by the low-altitude polar-orbiting Aureol-3 satellite. The data from the 18 March 1982 event was used to calculate the pressure along the satellite trajectory during quiet geomagnetic conditions. The magnetic flux tube volumes for the field-lines, corresponding to the points of measurement at the satellite trajectory, were calculated by using Tsyganenko 96 magnetic-field model. The gradients of the plasma pressure along the isosurfaces of the volume of the magnetic flux tube per unit flux were estimated, and the field-aligned currents were calculated assuming that the condition of the magnetostatic equilibrium is valid. (C) 2003 COSPAR. Published by Elsevier Ltd. All rights reserved.</t>
  </si>
  <si>
    <t>10.1016/S0273-1177(03)00641-0</t>
  </si>
  <si>
    <t>WOS:000221642000011</t>
  </si>
  <si>
    <t>Riquelme-Arredondo, A; Torres-Contreras, H; Quiroz, V; Gutierrez-Martinetti, S</t>
  </si>
  <si>
    <t>Riquelme-Arredondo, Angelica; Torres-Contreras, Hugo; Quiroz, Valeria; Gutierrez-Martinetti, Stefania</t>
  </si>
  <si>
    <t>Let's Take Care of the Water: Social Representations in Preschoolers</t>
  </si>
  <si>
    <t>INTERNATIONAL JOURNAL OF EARLY CHILDHOOD</t>
  </si>
  <si>
    <t>Teaching in times of crisis is a challenge for the current educational system, and the impact of the environmental crisis on the global framework is affecting the quality of life of children. Diminishing rainfall in South America and Chilean water private rights are threats that impact them strongly. Children are aware of the increasingly severe water shortage in Chile, and from their standpoint, they understand the environmental problem and propose solutions. The purpose of this study is to reveal and describe the social representations of preschoolers regarding water care. These social representations were investigated using a qualitative study with visual methods, with a sample of N = 33 children aged from 5 to 6 years old attending kindergarten in Santiago, Chile. The social representations were detected through a structural analysis to later establish findings from the narratives about drawings made in various school activities. The results indicate that children positively value water as a critical element for ecological balance, are aware of the environmental crisis, and express concerns derived from the water shortage in the country. Today, preschoolers will soon grasp the concept that water is a vital national resource. However, our endeavor should be toward fostering a society that acknowledges and asserts water as a fundamental human right. Enseigner en temps de crise constitue un d &amp; eacute;fi pour le syst &amp; egrave;me &amp; eacute;ducatif actuel, et l'impact de la crise environnementale sur le cadre mondial affecte la qualit &amp; eacute; de vie des enfants. La diminution des pr &amp; eacute;cipitations en Am &amp; eacute;rique du Sud et les droits priv &amp; eacute;s sur l'eau au Chili sont des menaces qui les touchent fortement. Les enfants sont conscients de la p &amp; eacute;nurie d'eau de plus en plus s &amp; eacute;v &amp; egrave;re au Chili et, de leur point de vue, ils comprennent le probl &amp; egrave;me environnemental et proposent des solutions. Le but de cette &amp; eacute;tude est de r &amp; eacute;v &amp; eacute;ler et de d &amp; eacute;crire les repr &amp; eacute;sentations sociales des enfants d'&amp; acirc;ge pr &amp; eacute;scolaire concernant la pr &amp; eacute;servation de l'eau. Ces repr &amp; eacute;sentations sociales ont &amp; eacute;t &amp; eacute; &amp; eacute;tudi &amp; eacute;es &amp; agrave; l'aide d'une &amp; eacute;tude qualitative utilisant des m &amp; eacute;thodes visuelles, avec un &amp; eacute;chantillon de N = 33 enfants &amp; acirc;g &amp; eacute;s de 5 &amp; agrave; 6 ans fr &amp; eacute;quentant un jardin d'enfants &amp; agrave; Santiago, au Chili. Les repr &amp; eacute;sentations sociales ont &amp; eacute;t &amp; eacute; d &amp; eacute;tect &amp; eacute;es par une analyse structurelle pour ensuite &amp; eacute;tablir des conclusions &amp; agrave; partir des r &amp; eacute;cits sur les dessins r &amp; eacute;alis &amp; eacute;s lors de diverses activit &amp; eacute;s scolaires. Les r &amp; eacute;sultats indiquent que les enfants valorisent positivement l'eau comme un &amp; eacute;l &amp; eacute;ment crucial pour l'&amp; eacute;quilibre &amp; eacute;cologique, sont conscients de la crise environnementale et expriment des pr &amp; eacute;occupations d &amp; eacute;riv &amp; eacute;es de la p &amp; eacute;nurie d'eau dans le pays. Aujourd'hui, les enfants d'&amp; acirc;ge pr &amp; eacute;scolaire saisiront bient &amp; ocirc;t le concept selon lequel l'eau est une ressource nationale vitale. Cependant, notre effort devrait viser &amp; agrave; promouvoir une soci &amp; eacute;t &amp; eacute; qui reconna &amp; icirc;t et affirme l'eau comme un droit humain fondamental. Ense &amp; ntilde;ar en tiempos de crisis es un desaf &amp; iacute;o para el sistema educativo actual, y el impacto de la crisis ambiental en el marco global est &amp; aacute; afectando la calidad de vida de los ni &amp; ntilde;os. La disminuci &amp; oacute;n de las precipitaciones en Am &amp; eacute;rica del Sur y los derechos privados sobre el agua en Chile son amenazas que los impactan fuertemente. Los ni &amp; ntilde;os son conscientes de la creciente escasez de agua en Chile y, desde su punto de vista, entienden el problema ambiental y proponen soluciones. El prop &amp; oacute;sito de este estudio es revelar y describir las representaciones sociales de los ni &amp; ntilde;os en edad preescolar respecto al cuidado del agua. Estas representaciones sociales fueron investigadas mediante un estudio cualitativo con m &amp; eacute;todos visuales, con una muestra de N = 33 ni &amp; ntilde;os de entre 5 y 6 a &amp; ntilde;os de edad que asisten al jard &amp; iacute;n de infancia en Santiago, Chile. Las representaciones sociales fueron detectadas a trav &amp; eacute;s de un an &amp; aacute;lisis estructural para luego establecer hallazgos a partir de las narrativas sobre los dibujos realizados en diversas actividades escolares. Los resultados indican que los ni &amp; ntilde;os valoran positivamente el agua como un elemento cr &amp; iacute;tico para el equilibrio ecol &amp; oacute;gico, son conscientes de la crisis ambiental y expresan preocupaciones derivadas de la escasez de agua en el pa &amp; iacute;s. Hoy en d &amp; iacute;a, los ni &amp; ntilde;os en edad preescolar pronto comprender &amp; aacute;n el concepto de que el agua es un recurso nacional vital. Sin embargo, nuestro esfuerzo debe estar dirigido a fomentar una sociedad que reconozca y afirme el agua como un derecho humano fundamental.</t>
  </si>
  <si>
    <t>Gutierrez Martinetti, Stefania/0009-0006-4806-9965; Torres-Contreras, Hugo/0000-0002-9867-2782</t>
  </si>
  <si>
    <t>0020-7187</t>
  </si>
  <si>
    <t>1878-4658</t>
  </si>
  <si>
    <t>10.1007/s13158-024-00397-y</t>
  </si>
  <si>
    <t>JUL 2024</t>
  </si>
  <si>
    <t>WOS:001270796600001</t>
  </si>
  <si>
    <t>del Campo, A; Salamanca, C; Fajardo, A; Diaz-Castro, F; Bustos, C; Calfio, C; Troncoso, R; Pastene-Navarrete, ER; Acuna-Castillo, C; Milla, LA; Villarroel, CA; Cubillos, FA; Aranda, M; Rojo, LE</t>
  </si>
  <si>
    <t>del Campo, Andrea; Salamanca, Catalina; Fajardo, Angelo; Diaz-Castro, Francisco; Bustos, Catalina; Calfio, Camila; Troncoso, Rodrigo; Pastene-Navarrete, Edgar R.; Acuna-Castillo, Claudio; Milla, Luis A.; Villarroel, Carlos A.; Cubillos, Francisco A.; Aranda, Mario; Rojo, Leonel E.</t>
  </si>
  <si>
    <t>Anthocyanins from Aristotelia chilensis Prevent Olanzapine-Induced Hepatic-Lipid Accumulation but Not Insulin Resistance in Skeletal Muscle Cells</t>
  </si>
  <si>
    <t>Type 2 diabetes and obesity are major problems worldwide and dietary polyphenols have shown efficacy to ameliorate signs of these diseases. Anthocyanins from berries display potent antioxidants and protect against weight gain and insulin resistance in different models of diet-induced metabolic syndrome. Olanzapine is known to induce an accelerated form of metabolic syndrome. Due to the aforementioned, we evaluated whether delphinidin-3,5-O-diglucoside (DG) and delphinidin-3-O-sambubioside-5-O-glucoside (DS), two potent antidiabetic anthocyanins isolated from Aristotelia chilensis fruit, could prevent olanzapine-induced steatosis and insulin resistance in liver and skeletal muscle cells, respectively. HepG2 liver cells and L6 skeletal muscle cells were co-incubated with DG 50 mu g/mL or DS 50 mu g/mL plus olanzapine 50 mu g/mL. Lipid accumulation was determined in HepG2 cells while the expression of p-Akt as a key regulator of the insulin-activated signaling pathways, mitochondrial function, and glucose uptake was assessed in L6 cells. DS and DG prevented olanzapine-induced lipid accumulation in liver cells. However, insulin signaling impairment induced by olanzapine in L6 cells was not rescued by DS and DG. Thus, anthocyanins modulate lipid metabolism, which is a relevant factor in hepatic tissue, but do not significantly influence skeletal muscle, where a potent antioxidant effect of olanzapine was found.</t>
  </si>
  <si>
    <t>Acuña-Castillo, Claudio/AAI-7090-2021; Milla, Luis/AAU-5222-2020; Cubillos, Francisco/MIT-2389-2025; del Campo, Andrea/AAG-1906-2019; Cubillos, Francisco/G-5195-2019; Troncoso, Rodrigo/I-1915-2013; Aranda, Mario/A-6599-2013</t>
  </si>
  <si>
    <t>Cubillos, Francisco/0000-0003-3022-469X; Milla, Luis/0000-0001-9738-6234; Acuna-Castillo, Claudio/0000-0003-3607-6077; Villarroel, Carlos/0000-0002-6089-3088; Troncoso, Rodrigo/0000-0003-0796-5908; Aranda, Mario/0000-0001-7846-9149; Diaz-Castro, Francisco/0000-0003-1644-8742; Rojo, Leonel/0000-0002-0188-2266; del Campo, Andrea/0000-0003-3830-7334; Calfio, Camila/0000-0002-8220-9849</t>
  </si>
  <si>
    <t>10.3390/molecules26206149</t>
  </si>
  <si>
    <t>WOS:000713978400001</t>
  </si>
  <si>
    <t>Vergara, PM; Maron-Perez, F; Caro, D; Soto, GE; Simonetti, JA</t>
  </si>
  <si>
    <t>Vergara, Pablo M.; Maron-Perez, Francisca; Caro, Diego; Soto, Gerardo E.; Simonetti, Javier A.</t>
  </si>
  <si>
    <t>Area-restricted search in Magellanic Woodpeckers: importance of tree senescence, forest composition and open habitats (Mar, 10.1007/s10336-021-01878-w, 2021)</t>
  </si>
  <si>
    <t>JOURNAL OF ORNITHOLOGY</t>
  </si>
  <si>
    <t>Vergara, Pablo/F-2519-2010; Soto, Gerardo/JAX-4165-2023; Simonetti, Javier/A-4658-2008</t>
  </si>
  <si>
    <t>2193-7192</t>
  </si>
  <si>
    <t>2193-7206</t>
  </si>
  <si>
    <t>10.1007/s10336-021-01888-8</t>
  </si>
  <si>
    <t>WOS:000640838300002</t>
  </si>
  <si>
    <t>Ríos, JA; Barake, MF; Arce, MJ; López-Köstner, F; Labbe, TP; Villena, J; Becerra, S</t>
  </si>
  <si>
    <t>Rios, Juvenal A.; Francisca Barake, M.; Jose Arce, Maria; Lopez-Kostner, Francisco; Labbe, Tomas P.; Villena, Jessica; Becerra, Sergio</t>
  </si>
  <si>
    <t>The present situation of colorectal cancer in Chile</t>
  </si>
  <si>
    <t>Colorectal (CRC) is one of the most common types of cancer worldwide. Most tumors develop from an adenoma in a period of 10 to 15 years, but some may appear without previous adenomatous lesions. Seventy-five percent of colorectal cancers are sporadic, 20% have a family component (first or second-degree relatives with CRC) and 5% have a hereditary predisposition with a Mendelian pattern. The epidemiological evolution in the recent years in Chile has a worrisome evolution and the treatment costs of advanced stages are a burden for the healthcare system. We herein highlight the main Chilean medical and scientific contributions on the pathogenesis, early diagnosis, and treatment of CRC, which lead to its better understanding, and therefore better management, based on local evidence.</t>
  </si>
  <si>
    <t>Labbe, Tomas/0000-0002-1566-5940</t>
  </si>
  <si>
    <t>WOS:000576482400021</t>
  </si>
  <si>
    <t>Pérez, OD; Soto, FA</t>
  </si>
  <si>
    <t>Perez, Omar D.; Soto, Fabian A.</t>
  </si>
  <si>
    <t>Evidence for a dissociation between causal beliefs and instrumental actions</t>
  </si>
  <si>
    <t>QUARTERLY JOURNAL OF EXPERIMENTAL PSYCHOLOGY</t>
  </si>
  <si>
    <t>Human experiments have demonstrated that instrumental performance of an action and the causal beliefs of the effectiveness of an action in producing a reward are correlated and controlled by the probability of an action leading to a reward. The animal literature, however, shows that instrumental performance under free-operant training differs even when the reward probabilities are matched while subjects undergo training under ratio or interval schedules of reward. In two experiments, we investigated whether causal beliefs would correlate with instrumental performance under ratio and interval schedules for matched reward probabilities. In both experiments, we found that performance was higher under ratio than under interval training. However, causal beliefs were similar between these two conditions despite these differences in instrumental performance. When reward probabilities were increased by experimental manipulations in Experiment 2, the causal beliefs increased but performance decreased with respect to Experiment 1. This is evidence that instrumental performance and causal action-reward attribution may not follow from the same psychological process under free-operant training.</t>
  </si>
  <si>
    <t>Perez, Omar/IAO-4501-2023</t>
  </si>
  <si>
    <t>Soto, Fabian/0000-0002-1001-679X; Perez, Omar David/0000-0002-4168-5435</t>
  </si>
  <si>
    <t>1747-0218</t>
  </si>
  <si>
    <t>1747-0226</t>
  </si>
  <si>
    <t>10.1177/1747021819899808</t>
  </si>
  <si>
    <t>WOS:000524508100002</t>
  </si>
  <si>
    <t>Yaramasu, V; Milev, K; Dekka, A; Rivera, M; Rodriguez, J; Rojas, F</t>
  </si>
  <si>
    <t>Yaramasu, Venkata; Milev, Kristiyan; Dekka, Apparao; Rivera, Marco; Rodriguez, Jose; Rojas, Felix</t>
  </si>
  <si>
    <t>Modulated Model Predictive Current Control of a Four-Leg Inverter</t>
  </si>
  <si>
    <t>2020 11TH POWER ELECTRONICS, DRIVE SYSTEMS, AND TECHNOLOGIES CONFERENCE (PEDSTC)</t>
  </si>
  <si>
    <t>Power Electronics Drive Systems and Technologies Conference</t>
  </si>
  <si>
    <t>11th Power Electronics, Drive Systems, and Technologies Conference (PEDSTC)</t>
  </si>
  <si>
    <t>FEB 04-06, 2020</t>
  </si>
  <si>
    <t>Tehran, IRAN</t>
  </si>
  <si>
    <t>A novel modulated model predictive current control for a two-level four-leg voltage source inverter is proposed in this paper. The proposed scheme is designed by combining the operating principles of traditional predictive control with the three-dimensional space vector modulation to enhance the output power quality, while producing fixed switching frequency operation and fast dynamic response for the four-leg inverter. In contrast to the classical predictive control which applies the switching state corresponding to optimal cost function, the proposed controller uses three active vectors and a zero vector to optimize the cost function. Finally, the switching states for four-leg inverter are produced by a modulation stage containing nine- segment switching pattern similar to the classical three-dimensional space vector modulation. The proposed control scheme is validated through simulations considering three-phase unbalanced reference currents and loads.</t>
  </si>
  <si>
    <t>Rodriguez-Perez, Jose/A-2534-2013; Dekka, Apparao/D-7257-2017; Yaramasu, Venkata/L-9869-2013; Rivera, Marco/E-9124-2012; Rojas, Felix/U-3305-2019</t>
  </si>
  <si>
    <t>2377-6773</t>
  </si>
  <si>
    <t>978-1-7281-5849-5</t>
  </si>
  <si>
    <t>10.1109/pedstc49159.2020.9088499</t>
  </si>
  <si>
    <t>WOS:000578044000151</t>
  </si>
  <si>
    <t>Cruz, C; Spodine, E; Audebrand, N; Venegas-Yazigi, D; Paredes-García, V</t>
  </si>
  <si>
    <t>Cruz, Carlos; Spodine, Evgenia; Audebrand, Nathalie; Venegas-Yazigi, Diego; Paredes-Garcia, Veronica</t>
  </si>
  <si>
    <t>Structural Versatility of 3d-CeIII Heterometallic Coordination Polymers Using CoII or CuII</t>
  </si>
  <si>
    <t>In the present work, we report the synthesis and characterization of two new heterometallic coordination polymers based on Ce-III and containing Co-II or Cu-II cations, assembled by the bifunctional ligand 1H-imidazole-4,5-dicarboxylic acid, [Ce(H2O)(2)(HIDC)Co(IDC)]center dot H2O CoCe and [Ce(H2O)(2)(H2IDC)Cu(H2O)(IDC)Cu-0.2(H1.6IDC)] CuCe. Compound CoCe was obtained under one pot hydrothermal synthesis, while CuCe was synthesized by a step-by-step synthesis using the metalloligand [Cu(H2IDC)(2)-(H2O)(2)] Cu1, as precursor. From a structural point of view, CoCe presents an intrincated 3D structure, in which alternating Lambda-Delta chiral Co-II chains can be observed, which are assembled by discrete Ce-III fragments, giving rise to the 3D structure. Meanwhile, CuCe presents a structure formed by [Cu2Ce2] heterometallic chains, partially assembled by Cu-II cations in a 2D structure. Magnetic properties reveal that both CoCe and CuCe present a global antiferromagnetic behavior, dominated by the interaction between Co-II-Co-II or Cu-II-Cu-II entities connected by mu(2)-kappa N,O-kappa O',N' bridges, belonging to H3IDC anionic derivatives. Moreover, a weak ferromagnetic phenomenon was found in compound CoCe, corroborated by hysteresis loops and ac magnetization.</t>
  </si>
  <si>
    <t>Cruz, Carlos/KIG-8993-2024; Paredes-Garcia, Veronica/C-4415-2011; Venegas-Yazigi, Diego/C-5022-2009</t>
  </si>
  <si>
    <t>Cruz Herrera, Carlos/0000-0002-2644-4297; Venegas-Yazigi, Diego/0000-0001-7816-2841</t>
  </si>
  <si>
    <t>10.1021/acs.cgd.8b00590</t>
  </si>
  <si>
    <t>WOS:000444218400045</t>
  </si>
  <si>
    <t>Bravo, M; Leslie, D; Mertikopoulos, P</t>
  </si>
  <si>
    <t>Bengio, S; Wallach, H; Larochelle, H; Grauman, K; CesaBianchi, N; Garnett, R</t>
  </si>
  <si>
    <t>Bravo, Mario; Leslie, David; Mertikopoulos, Panayotis</t>
  </si>
  <si>
    <t>Bandit Learning in Concave N-Person Games</t>
  </si>
  <si>
    <t>ADVANCES IN NEURAL INFORMATION PROCESSING SYSTEMS 31 (NIPS 2018)</t>
  </si>
  <si>
    <t>Advances in Neural Information Processing Systems</t>
  </si>
  <si>
    <t>32nd Conference on Neural Information Processing Systems (NIPS)</t>
  </si>
  <si>
    <t>DEC 02-08, 2018</t>
  </si>
  <si>
    <t>This paper examines the long-run behavior of learning with bandit feedback in non-cooperative concave games. The bandit framework accounts for extremely low-information environments where the agents may not even know they are playing a game; as such, the agents' most sensible choice in this setting would be to employ a no-regret learning algorithm. In general, this does not mean that the players' behavior stabilizes in the long run: no-regret learning may lead to cycles, even with perfect gradient information. However, if a standard monotonicity condition is satisfied, our analysis shows that no-regret learning based on mirror descent with bandit feedback converges to Nash equilibrium with probability 1. We also derive an upper bound for the convergence rate of the process that nearly matches the best attainable rate for single-agent bandit stochastic optimization.</t>
  </si>
  <si>
    <t>Mertikopoulos, Panayotis/KCK-3786-2024; Leslie, David/JXY-5368-2024</t>
  </si>
  <si>
    <t>Bravo, Mario/0000-0002-4312-9600; Mertikopoulos, Panayotis/0000-0003-2026-9616; Leslie, David Stuart/0000-0001-5253-7676</t>
  </si>
  <si>
    <t>1049-5258</t>
  </si>
  <si>
    <t>WOS:000461852000019</t>
  </si>
  <si>
    <t>Wansapura, PT; Díaz-Vásquez, WA; Vásquez, CC; Pérez-Donoso, JM; Chasteen, TG</t>
  </si>
  <si>
    <t>Wansapura, Poorna T.; Diaz-Vasquez, Waldo A.; Vasquez, Claudio C.; Perez-Donoso, Jose M.; Chasteen, Thomas G.</t>
  </si>
  <si>
    <t>Thermal and photo stability of glutathione-capped cadmium telluride quantum dots</t>
  </si>
  <si>
    <t>JOURNAL OF APPLIED BIOMATERIALS &amp; FUNCTIONAL MATERIALS</t>
  </si>
  <si>
    <t>Background: Nanoparticles (NPs) are increasingly being used in a number of applications that include biomedicine, biological labeling and cancer marker targeting, and their successful storage is important to preserve their viability. A systematic investigation of the thermal and photo stability of chemically stabilized cadmium telluride (CdTe) quantum dots (QDs) under various storage conditions either in solution or as dried nanoparticles has not been published. Here we report experiments involving chemically synthesized glutathione-capped CdTe QDs whose photoluminescence spectra were examined initially and then periodically during storage times up to 76 days. Methods: Samples of dried QDs or QDs in solution (water or buffered) were examined under different light conditions including complete darkness, constant 12,000 lux incident light, and under diurnal sunlight; at temperatures ranging from -80 degrees C to room temperature. Results: Though QDs stored in solution in the dark at -80 degrees C lost only 50% of peak fluorescence (FL510) within 2 weeks, solution-stored QDs exposed to sunlight at room temperature showed FL510 drops of 85% in the first 24 hours. In contrast, QDs precipitated from aqueous solution, dried and stored in time course experiments in the presence of atmospheric oxygen - when resuspended in water - lost an average of only 12% FL510 over 76 days under all conditions tested, even in direct sunlight. Conclusions: Glutathione-capped CdTe particles can be stored as dried nanoparticles for extended periods of time, enhancing their viability in biomedicine, biological labeling and cancer marker targeting.</t>
  </si>
  <si>
    <t>Chasteen, Thomas/B-6601-2009; Perez-Donoso, Jose/G-3668-2013</t>
  </si>
  <si>
    <t>Perez-Donoso, Jose/0000-0002-9506-1716</t>
  </si>
  <si>
    <t>2280-8000</t>
  </si>
  <si>
    <t>E248</t>
  </si>
  <si>
    <t>E252</t>
  </si>
  <si>
    <t>10.5301/jabfm.5000221</t>
  </si>
  <si>
    <t>WOS:000367158000008</t>
  </si>
  <si>
    <t>Inostrosa-Psijas, A; Wainer, G; Gil-Costa, V; Marin, M</t>
  </si>
  <si>
    <t>Tolk, A; Yilmaz, L; Diallo, SY; Ryzhov, IO</t>
  </si>
  <si>
    <t>Inostrosa-Psijas, Alonso; Wainer, Gabriel; Gil-Costa, Veronica; Marin, Mauricio</t>
  </si>
  <si>
    <t>DEVS MODELING OF LARGE SCALE WEB SEARCH ENGINES</t>
  </si>
  <si>
    <t>PROCEEDINGS OF THE 2014 WINTER SIMULATION CONFERENCE (WSC)</t>
  </si>
  <si>
    <t>Winter Simulation Conference Proceedings</t>
  </si>
  <si>
    <t>Winter Simulation Conference</t>
  </si>
  <si>
    <t>DEC 07-10, 2014</t>
  </si>
  <si>
    <t>Savannah, GA</t>
  </si>
  <si>
    <t>Modeling large scale Web Search Engines (WSEs) is a complex task. It involves many issues such as representing user's behavior, query traffic, several strategies and heuristics to improve query response time, etc. Typically, WSEs are composed of several services deployed in data centers, which must interact to get the best document results to user queries. Additionally, hardware specification like multithreading and network communications have to be taken into account. In this paper, we propose to model a service-based WSE using the Discrete Event System Specification (DEVS) formalism, which is one of the most powerful methodologies for discrete event systems. We validate our proposed model against an actual MPI implementation of the WSE and a process oriented simulation. We evaluate the accuracy of the proposed model by evaluating metrics such as query throughput and we show that there is no relevant differences, just small fluctuations of less than 4%.</t>
  </si>
  <si>
    <t>Gil-Costa, Veronica/GPT-4785-2022; Inostrosa-Psijas, Alonso/AAC-7718-2019; Marin, Mauricio/GLR-7700-2022; Wainer, Gabriel/A-2797-2008; Inostrosa-Psijas, Alonso/A-5827-2018</t>
  </si>
  <si>
    <t>Wainer, Gabriel/0000-0003-3366-9184; Inostrosa-Psijas, Alonso/0000-0002-2922-0870</t>
  </si>
  <si>
    <t>0891-7736</t>
  </si>
  <si>
    <t>978-1-4799-7486-3</t>
  </si>
  <si>
    <t>WOS:000389248203070</t>
  </si>
  <si>
    <t>Giraldez, T; Rojas, P; Jou, J; Flores, C; de la Rosa, DA</t>
  </si>
  <si>
    <t>Giraldez, Teresa; Rojas, Patricio; Jou, Jonathan; Flores, Carlos; Alvarez de la Rosa, Diego</t>
  </si>
  <si>
    <t>The epithelial sodium channel δ-subunit: new notes for an old song</t>
  </si>
  <si>
    <t>AMERICAN JOURNAL OF PHYSIOLOGY-RENAL PHYSIOLOGY</t>
  </si>
  <si>
    <t>Giraldez T, Rojas P, Jou J, Flores C, Alvarez de la Rosa D. The epithelial sodium channel delta-subunit: new notes for an old song. Am J Physiol Renal Physiol 303: F328-F338, 2012. First published May 9, 2012; doi:10.1152/ajprenal.00116.2012.-Amiloride-sensitive epithelial Na+ channels (ENaCs) can be formed by different combinations of four homologous subunits, named alpha, beta, gamma, and delta. In addition to providing an apical entry pathway for transepithelial Na+ reabsorption in tight epithelia such as the kidney distal tubule and collecting duct, ENaCs are also expressed in nonepithelial cells, where they may play different functional roles. The delta-subunit of ENaC was originally identified in humans and is able to form amiloride-sensitive Na+ channels alone or in combination with beta and gamma, generally resembling the canonical kidney ENaC formed by alpha, beta, and gamma. However, delta differs from alpha in its tissue distribution and channel properties. Despite the low sequence conservation between beta and gamma (37% identity), their similar functional characteristics provide an excellent model for exploring structural correlates of specific ENaC biophysical and pharmacological properties. Moreover, the study of cellular mechanisms modulating the activity of different ENaC subunit combinations provides an opportunity to gain insight into the regulation of the channel. In this review, we examine the evolution of ENaC genes, channel subunit composition, the distinct functional and pharmacological features that delta confers to ENaC, and how this can be exploited to better understand this ion channel. Finally, we briefly consider possible functional roles of the ENaC delta-subunit.</t>
  </si>
  <si>
    <t>Flores, Carlos/R-1159-2019; Rojas, Patricio/ISS-1091-2023; Giraldez, Teresa/G-8970-2015; Alvarez de la Rosa, Diego/H-8500-2015</t>
  </si>
  <si>
    <t>Giraldez, Teresa/0000-0002-4096-810X; Alvarez de la Rosa, Diego/0000-0002-4324-2793; Flores, Carlos/0000-0001-5352-069X</t>
  </si>
  <si>
    <t>1931-857X</t>
  </si>
  <si>
    <t>1522-1466</t>
  </si>
  <si>
    <t>F328</t>
  </si>
  <si>
    <t>F338</t>
  </si>
  <si>
    <t>10.1152/ajprenal.00116.2012</t>
  </si>
  <si>
    <t>WOS:000307231300002</t>
  </si>
  <si>
    <t>Luster, B; Stone, D; Singh, DP; to Baben, M; Schneider, JM; Polychronopoulou, K; Rebholz, C; Kohli, P; Aouadi, SM</t>
  </si>
  <si>
    <t>Luster, B.; Stone, D.; Singh, D. P.; to Baben, M.; Schneider, J. M.; Polychronopoulou, K.; Rebholz, C.; Kohli, P.; Aouadi, S. M.</t>
  </si>
  <si>
    <t>Textured VN coatings with Ag3VO4 solid lubricant reservoirs</t>
  </si>
  <si>
    <t>SURFACE &amp; COATINGS TECHNOLOGY</t>
  </si>
  <si>
    <t>Silver oxovanadate powders were produced using a low temperature hydrothermal synthesis method. X-ray diffraction (XRD) and Raman microscopy revealed the formation of the alpha-Ag3VO4 phase, and differential scanning calorimetry (DSC) indicated that the powders underwent phase changes with the increase of temperature (formation of Ag-deficient phases). Ag3VO4 precipitates were subsequently investigated as potential high temperature solid lubricant (SL) powders that may be burnished onto textured surfaces. Textured coatings were produced by the sputter deposition of vanadium nitride (VN) thin films, followed by the fabrication of a periodic array of micro-scale dimples with reactive ion etching (RIE). The etched patterns acted as reservoirs to replenish the sliding contact with solid lubricants. The effectiveness of this new design of high temperature tribological coating was tested using a pin-on-desk tribotester. A significant decrease in the wear rate and coefficient of friction (CoF) was achieved at high temperatures (750 degrees C) and was maintained as a result of the storage of the Ag3VO4 phase in the dimples. After wear testing, Raman spectroscopy and XRD were used to identify the phase composition developed as a result of tribotesting. It was found that the burnished powders were more effective in enhancing the tribological properties of textured films compared to burnished/un-burnished monolithic VN coatings. (C) 2011 Elsevier B.V. All rights reserved.</t>
  </si>
  <si>
    <t>Rebholz, Claus/AAF-4970-2020; S., S/AAC-8093-2020; SINGH, DINESH/A-2509-2011; Schneider, Jochen/A-4701-2012</t>
  </si>
  <si>
    <t>SINGH, DINESH/0000-0002-2893-7749; Schneider, Jochen/0000-0003-1239-1961; Polychronopoulou, Kyriaki/0000-0002-0723-9941; Rebholz, Claus/0000-0001-5124-2948; to Baben, Moritz/0000-0001-5655-4422</t>
  </si>
  <si>
    <t>0257-8972</t>
  </si>
  <si>
    <t>DEC 25</t>
  </si>
  <si>
    <t>10.1016/j.surfcoat.2011.08.014</t>
  </si>
  <si>
    <t>WOS:000298711500063</t>
  </si>
  <si>
    <t>Tsechpenakis, G; Eugenin, J; Nicholls, JG; Muller, KJ</t>
  </si>
  <si>
    <t>Tsechpenakis, G.; Eugenin, J.; Nicholls, J. G.; Muller, K. J.</t>
  </si>
  <si>
    <t>ANALYSIS OF NERVE ACTIVITY AND OPTICAL SIGNALS FROM MOUSE BRAIN STEM TO IDENTIFY CELLS GENERATING RESPIRATORY RHYTHMS</t>
  </si>
  <si>
    <t>2009 IEEE INTERNATIONAL SYMPOSIUM ON BIOMEDICAL IMAGING: FROM NANO TO MACRO, VOLS 1 AND 2</t>
  </si>
  <si>
    <t>IEEE International Symposium on Biomedical Imaging</t>
  </si>
  <si>
    <t>IEEE International Symposium on Biomedical Imaging - From Nano to Macro</t>
  </si>
  <si>
    <t>JUN 28-JUL 01, 2009</t>
  </si>
  <si>
    <t>Optical recording of the activity of hundreds of individual neurons simultaneously within the functioning brain is now possible with calcium sensitive dyes. This offers a major advance over the limitations of single-unit recording with arrays of microelectrodes, or with functional MRI. However, the analysis of optical activity to understand neuronal interactions and circuitry underlying physiological functions requires new computational approaches. Recently it has been possible to record optically from the distributed population of neurons in the brain stem generating the respiratory rhythm, breath by breath, using the compact brain stem and spinal cord preparation of the fetal mouse stained in vitro with calcium-sensitive dye. The simultaneous electrical activity of phrenic motoneurons that innervate the diaphragm measures the timing of inspiratory breaths. In the present work, fluorescence micrographs taken at 4 - 100Hz over 20 - 40sec have been analyzed with the simultaneously recorded electrical signal from the phrenic nerve, in a Conditional Random Field framework. This computational analysis will be a useful tool for understanding the cellular circuitry in the living brain controlling fundamental physiological processes.</t>
  </si>
  <si>
    <t>1945-7928</t>
  </si>
  <si>
    <t>978-1-4244-3931-7</t>
  </si>
  <si>
    <t>10.1109/ISBI.2009.5193289</t>
  </si>
  <si>
    <t>WOS:000270678400320</t>
  </si>
  <si>
    <t>CUADRADO, C; AYET, G; BURBANO, C; MUZQUIZ, M; CAMACHO, L; CAVIERES, E; LOVON, M; OSAGIE, A; PRICE, KR</t>
  </si>
  <si>
    <t>OCCURRENCE OF SAPONINS AND SAPOGENOLS IN ANDEAN CROPS</t>
  </si>
  <si>
    <t>JOURNAL OF THE SCIENCE OF FOOD AND AGRICULTURE</t>
  </si>
  <si>
    <t>Samples of bitter seeds of local ecotypes and cultivars of lupin (Lupin mutabilis), white and yellow ecotypes of quinoa (Chenopodium quinoa Wild) and a local ecotype of amaranth (Amaranthus caudatus) grown in the Peruvian highlands were analysed for total saponin content and sapogenol composition. Sweet cultivars of L albus and L luteus cultivated in mild-rainy lowlands of Chile were also analysed for comparison. Fast atom bombardment-mass spectrometry (FAB-MS) of the saponin extracts and gas chromatography (GC) analysis of the sapogenols after acid hydrolysis of the crude extract were used for the identification and quantification of saponins. It was found that L albus and amaranth had undetectable levels of saponins making them attractive for human consumption. The cultivars and ecotypes of L mutabilis contained saponin levels in the range of 229.8-390.5 mg kg(-1). FAB-MS showed the presence of soya saponins I and II, whereas GC allowed the identification of soya sapogenols A and B. The same saponin composition was determined in L luteus whose total content was 55.3 mg kg(-1). Saponin composition in quinoa seeds comprised oleanolic acid and three other sapogenols identified as hederagenin, phytolaccagenic acid and deoxyphytolaccagenic acid. Oleanolic acid saponins were found to be the main class of saponin in quinoa seeds sampled for this study. The yellow ecotype of quinoa presented a significantly higher content of saponins and of oleanolic acid as compared to white ecotypes. Since only one ecotype of amarinth was analysed, the nutritional significance of no detectable saponin needs further study. It was concluded that the environmental conditions in the Peruvian highlands are determinants of the amount and composition of saponins present in bitter lupin and quinoa.</t>
  </si>
  <si>
    <t>CUADRADO, CARMEN/C-5504-2013</t>
  </si>
  <si>
    <t>CUADRADO, CARMEN/0000-0003-2609-1900</t>
  </si>
  <si>
    <t>0022-5142</t>
  </si>
  <si>
    <t>1097-0010</t>
  </si>
  <si>
    <t>10.1002/jsfa.2740670205</t>
  </si>
  <si>
    <t>WOS:A1995QF62600004</t>
  </si>
  <si>
    <t>Guan, HJ; Zhou, F; Albarrán-Arriagada, F; Chen, X; Solano, E; Hegade, NN; Huang, HL</t>
  </si>
  <si>
    <t>Guan, Huijie; Zhou, Fei; Albarran-Arriagada, Francisco; Chen, Xi; Solano, Enrique; Hegade, Narendra N.; Huang, He-Liang</t>
  </si>
  <si>
    <t>Single-layer digitized-counterdiabatic quantum optimization for p-spin models</t>
  </si>
  <si>
    <t>Quantum computing holds the potential for quantum advantage in optimization problems, which requires advances in quantum algorithms and hardware specifications. Adiabatic quantum optimization is conceptually a valid solution that suffers from limited hardware coherence times. In this sense, counterdiabatic quantum protocols provide a shortcut to this process, steering the system along its ground state with fast-changing Hamiltonian. In this work, we take full advantage of a digitized-counterdiabatic quantum optimization algorithm to find an optimal solution of the p-spin model up to four-local interactions. We choose a suitable scheduling function and initial Hamiltonian such that a single-layer quantum circuit suffices to produce a good ground-state overlap. By further optimizing parameters using variational methods, we solve with unit accuracy two-spin, three-spin, and four-spin problems for 100%, 93%, and 83% of instances, respectively. As a particular case of the latter, we also solve factorization problems involving 5, 9, and 12 qubits. Due to the low computational overhead, our compact approach may become a valuable tool towards quantum advantage in the NISQ era.</t>
  </si>
  <si>
    <t>Chen, Xi/ABE-6575-2020; Solano, Enrique/C-2895-2017; Hegade, Narendra N./O-9229-2018</t>
  </si>
  <si>
    <t>Albarran-Arriagada, Francisco/0000-0001-8899-3673; SOLANO VILLANUEVA, ENRIQUE LEONIDAS/0000-0002-8602-1181; Hegade, Narendra N./0000-0002-9673-2833; Huang, He-Liang/0000-0002-5121-3028; Chen, Xi/0000-0003-4221-4288</t>
  </si>
  <si>
    <t>10.1088/2058-9565/ad7880</t>
  </si>
  <si>
    <t>WOS:001337249600001</t>
  </si>
  <si>
    <t>Abarzua, T; Camus, I; Ortiz, F; Nunque, A; Cubillos, FA; Sabat, P; Nespolo, RF</t>
  </si>
  <si>
    <t>Abarzua, Tamara; Camus, Isidora; Ortiz, Felipe; Nunque, Abel; Cubillos, Francisco A.; Sabat, Pablo; Nespolo, Roberto F.</t>
  </si>
  <si>
    <t>Modeling heterothermic fitness landscapes in a marsupial hibernator using changes in body composition</t>
  </si>
  <si>
    <t>OECOLOGIA</t>
  </si>
  <si>
    <t>Hibernation is an adaptive strategy that allows animals to enter a hypometabolic state, conserving energy and enhancing their fitness by surviving harsh environmental conditions. However, addressing the adaptive value of hibernation, at the individual level and in natural populations, has been challenging. Here, we applied a non-invasive technique, body composition analysis by quantitative magnetic resonance (qMR), to calculate energy savings by hibernation in a population of hibernating marsupials (Dromiciops gliroides). Using outdoor enclosures installed in a temperate rainforest, and measuring qMR periodically, we determined the amount of fat and lean mass consumed during a whole hibernation cycle. With this information, we estimated the daily energy expenditure of hibernation (DEEH) at the individual level and related to previous fat accumulation. Using model selection approaches and phenotypic selection analysis, we calculated linear (directional, beta), quadratic (stabilizing or disruptive, gamma) and correlational (p) coefficients for DEEH and fat accumulation. We found significant, negative directional selection for DEEH (beta(DEEH) = - 0.58 +/- 0.09), a positive value for fat accumulation (beta(FAT) = 0.34 +/- 0.07), and positive correlational selection between both traits (p(DEEH x FAT) = 0.24 +/- 0.07). Then, individuals maximizing previous fat accumulation and minimizing DEEH were promoted by selection, which is visualized by a bi-variate selection surface estimated by generalized additive models. At the comparative level, results fall within the isometric allometry known for hibernation metabolic rate in mammals. Thus, by a combination of a non-invasive technique for body composition analysis and semi-natural enclosures, we were characterized the heterothermic fitness landscape in a semi-natural population of hibernators.</t>
  </si>
  <si>
    <t>Cubillos, Francisco/MIT-2389-2025; Camus, Isidora/MVT-7561-2025; Nespolo, Roberto/D-5601-2015; Cubillos, Francisco/G-5195-2019</t>
  </si>
  <si>
    <t>Nespolo, Roberto/0000-0003-0825-9618; Cubillos, Francisco/0000-0003-3022-469X</t>
  </si>
  <si>
    <t>0029-8549</t>
  </si>
  <si>
    <t>1432-1939</t>
  </si>
  <si>
    <t>10.1007/s00442-023-05452-4</t>
  </si>
  <si>
    <t>WOS:001078756000001</t>
  </si>
  <si>
    <t>Hernandez-Duran, EI; Bliznuk, V; Ros-Yanez, T; Iquilio-Abarzua, R; Castro-Cerda, FM; Petrov, RH</t>
  </si>
  <si>
    <t>Hernandez-Duran, E. I.; Bliznuk, V.; Ros-Yanez, T.; Iquilio-Abarzua, R.; Castro-Cerda, F. M.; Petrov, R. H.</t>
  </si>
  <si>
    <t>Improvement of the strength-ductility balance in ultrafast heated steels by combining high-temperature annealing and quenching and partitioning process</t>
  </si>
  <si>
    <t>The microstructure and mechanical properties of an Fe-0.24C-1.4Mn-1.4Si steel were investigated after combining ultrafast heating (UFH) at a heating rate of 500 degrees C/s followed by fast cooling to room temperature (DQ) or quenching and partitioning processes (Q&amp;P). Two peak temperatures were studied, annealing into the intercritical range and above the AC3 temperature. After ultrafast heating and quenching, the resulting microstructures revealed that intercritical annealing led to the formation of a banded ferritic-martensitic microstructure. On the other hand, heating above the intercritical range led to an even distribution of allotriomorphic ferrite grains upon fast cooling and a complex phase microstructure, consisting mainly of martensite, was produced. Q&amp;P steel grades exhibit an enhanced mechanical behavior compared to their DQ counterparts, where yield strength, uniform elongation, and total elongation increased after partitioning at 400 degrees C. The ultimate tensile strength of the Q&amp;P steels decreased compared to the DQ steels annealed at the same peak temperature. However, the final strength-ductility balance of the studied Q&amp;P steels was superior to the DQ steel grades. Moreover, considerable strength and improved ductility were obtained through the combination of peak annealing above the AC3 temperature followed by Q&amp;P. These results are attributed to an interplay between a sustainable TRIP effect and effective strain-stress partitioning among the microconstituents resulted after the Q&amp;P process.</t>
  </si>
  <si>
    <t>Castro Cerda, Felipe Manuel/0000-0001-8126-5593</t>
  </si>
  <si>
    <t>OCT 19</t>
  </si>
  <si>
    <t>10.1016/j.msea.2021.142045</t>
  </si>
  <si>
    <t>WOS:000713680600001</t>
  </si>
  <si>
    <t>Dos Santos, M; Ferrari, GL; Lee, DH; Aune, D; Wang, YF; Giovannucci, E; Matsudo, VKR; Rezende, LFM</t>
  </si>
  <si>
    <t>Dos Santos, Mauricio; Ferrari, Gerson Luis; Lee, Dong Hoon; Aune, Dagfinn; Wang, Yafeng; Giovannucci, Edward; Rodrigues Matsudo, Victor Keihan; Machado Rezende, Leandro Forneas</t>
  </si>
  <si>
    <t>Patterns Of Recommended Levels Of Physical Activity And Mortality: A Prospective Cohort Study</t>
  </si>
  <si>
    <t>Ferrari, Gerson/ABG-6635-2021; Giovannucci, Edward/ADE-8028-2022; Aune, Dagfinn/AFP-4300-2022; Ferrari, Gerson/P-1152-2014; Rezende, Leandro/C-1724-2012</t>
  </si>
  <si>
    <t>Ferrari, Gerson/0000-0003-3177-6576; Aune, Dagfinn/0000-0002-4533-1722; Rezende, Leandro/0000-0002-7469-1399</t>
  </si>
  <si>
    <t>WOS:000693128400574</t>
  </si>
  <si>
    <t>Portugal, IBM; de Carvalho, LEW; Schoueri, JH; Rezende, LFM; Fonseca, FLA; Ferrari, G; de Abreu, LC; Adami, F</t>
  </si>
  <si>
    <t>Martins Portugal, Isabella Batista; Werneck de Carvalho, Luis Eduardo; Schoueri, Jean Henri; Machado Rezende, Leandro Fornias; Affonso Fonseca, Fernando Luiz; Ferrari, Gerson; de Abreu, Luiz Carlos; Adami, Fernando</t>
  </si>
  <si>
    <t>Impact of COVID-19 pandemic in hospitalizations due to brain tumors from the epicenter of Latin America.</t>
  </si>
  <si>
    <t>JOURNAL OF CLINICAL ONCOLOGY</t>
  </si>
  <si>
    <t>Virtual Annual Meeting of the American-Society-of-Clinical-Oncology (ASCO)</t>
  </si>
  <si>
    <t>JUN 04-08, 2021</t>
  </si>
  <si>
    <t>Amer Soc Clin Oncol</t>
  </si>
  <si>
    <t>Ferrari, Gerson/ABG-6635-2021; Schoueri, Jean/X-7806-2018; de Abreu, Luiz/B-7873-2012; Rezende, Leandro/C-1724-2012; Ferrari, Gerson/P-1152-2014</t>
  </si>
  <si>
    <t>Batista Martins Portugal, Isabella/0000-0002-6448-2550; Rezende, Leandro/0000-0002-7469-1399; Ferrari, Gerson/0000-0003-3177-6576</t>
  </si>
  <si>
    <t>0732-183X</t>
  </si>
  <si>
    <t>1527-7755</t>
  </si>
  <si>
    <t>e18785</t>
  </si>
  <si>
    <t>10.1200/JCO.2021.39.15_suppl.e18785</t>
  </si>
  <si>
    <t>WOS:000708120304022</t>
  </si>
  <si>
    <t>Feron, S; Cordero, RR; Damiani, A; Jackson, RB</t>
  </si>
  <si>
    <t>Feron, Sarah; Cordero, Raul R.; Damiani, Alessandro; Jackson, Robert B.</t>
  </si>
  <si>
    <t>Climate change extremes and photovoltaic power output</t>
  </si>
  <si>
    <t>NATURE SUSTAINABILITY</t>
  </si>
  <si>
    <t>Sustainable development requires climate change mitigation and thereby a fast energy transition to renewables. However, climate change may affect renewable power outputs by enhancing the weather variability and making extreme conditions more frequent. High temperature or clouds, for example, can lead to poorer photovoltaic (PV) power outputs. Here, we assess global changes in the frequency of warm and cloudy conditions that lead to very low PV power outputs. Using simulations from global climate models (RCP4.5 and RCP8.5), we show that summer days with very low PV power outputs are expected to double in the Arabian Peninsula by mid-century but could be reduced by half in southern Europe over the same period, even under a moderate-emission scenario. Changes for winter, either enhancing or mitigating the PV power intermittency, are projected to be less striking, at least in low- and mid-latitude regions. Our results present valuable information for energy planners to compensate for the effects of future weather variability. Continued carbon-intensive development is unsustainable. This study assesses how cloudiness and weather variability, enhanced by climate change, will affect photovoltaic output, finding that conditions are likely to worsen by mid-century over the Arabian Peninsula while improving over southern Europe.</t>
  </si>
  <si>
    <t>Cordero, Raul/M-7979-2017; Damiani, Alessandro/X-4677-2019</t>
  </si>
  <si>
    <t>Jackson, Robert/0000-0001-8846-7147; Feron, Sarah/0000-0002-0572-5639; Damiani, Alessandro/0000-0003-3014-6193; Cordero, Raul R./0000-0001-7607-7993</t>
  </si>
  <si>
    <t>2398-9629</t>
  </si>
  <si>
    <t>10.1038/s41893-020-00643-w</t>
  </si>
  <si>
    <t>NOV 2020</t>
  </si>
  <si>
    <t>WOS:000590316900002</t>
  </si>
  <si>
    <t>Johnson, MC; Paranjape, MB; Savard, A; Tapia-Arellano, N</t>
  </si>
  <si>
    <t>Johnson, Matthew C.; Paranjape, M. B.; Savard, Antoine; Tapia-Arellano, Natalia</t>
  </si>
  <si>
    <t>Stable, thin wall, negative mass bubbles in de Sitter space-time</t>
  </si>
  <si>
    <t>GENERAL RELATIVITY AND GRAVITATION</t>
  </si>
  <si>
    <t>Negative mass makes perfect physical sense as long as the dominant energy condition is satisfied by the corresponding energy-momentum tensor. Heretofore, onlyconfigurationsof negative mass had been found (Belletete and Paranjape in Int J Mod Phys D 22:1341017, 2013; Mbarek and Paranjape in Phys Rev D 90:101502, 2014), the analysis did not address stability or dynamics. In this paper, we analyze both of these criteria. We demonstrate the existence ofstable, static, negative mass bubbles in an asymptotically de Sitter space-time. The bubbles are solutions of the Einstein equations and correspond to an interior region of space-time containing a specific mass distribution, separated by a thin wall from the exact, negative mass Schwarzschild-de Sitter space-time in the exterior. We apply the Israel junction conditions at the wall. For the case of an interior corresponding simply to de Sitter space-time with a different cosmological constant from the outside space-time, separated by a thin wall with energy density that is independent of the radius, we find static but unstable solutions which satisfy the dominant energy condition everywhere. The bubbles can collapse through spherically symmetric configurations to the exact, singular, negative mass Schwarzschild-de Sitter solution. Interestingly, this provides a counter-example of the cosmic censorship hypothesis. Alternatively, the junction conditions can be used to give rise to an interior mass distribution that depends on the potential for the radius of the wall. We show that for no choice of the potential, for positive energy density on the wall that is independent of the radius, can we get a solution that is non-singular at the origin. However, if we allow the energy density on the wall to depend on the radius of the bubble, we can findstable, static, non-singular solutions of negative mass which everywhere satisfy the dominant energy condition.</t>
  </si>
  <si>
    <t>Paranjape, Manu/AAI-2388-2020</t>
  </si>
  <si>
    <t>Paranjape, Manu/0000-0002-2806-6568; Savard, Antoine/0000-0002-5223-375X</t>
  </si>
  <si>
    <t>0001-7701</t>
  </si>
  <si>
    <t>1572-9532</t>
  </si>
  <si>
    <t>10.1007/s10714-020-02732-9</t>
  </si>
  <si>
    <t>WOS:000563751400001</t>
  </si>
  <si>
    <t>Fisberg, M; Kovalskys, I; Previdelli, AN; Pereira, JL; Zimberg, IZ; Fisberg, R; Ferrari, G; Guajardo, V</t>
  </si>
  <si>
    <t>Fisberg, Mauro; Kovalskys, Irina; Previdelli, Agatha Nogueira; Pereira, Jaqueline Lopes; Zimberg, Iona Zalcman; Fisberg, Regina; Ferrari, Gerson; Guajardo, Viviana</t>
  </si>
  <si>
    <t>ELANS Study Grp</t>
  </si>
  <si>
    <t>Breakfast Consumption Habit and Its Nutritional Contribution in Latin America: Results from the ELANS Study</t>
  </si>
  <si>
    <t>The aim of this study was to provide updated data on breakfast consumption, associated factors and its contribution to daily intakes among Latin American populations. A total of 9218 subjects, 15 to 65 years old, were evaluated in the ELANS study, a multicenter cross-sectional study conducted in eight Latin American countries (Argentina, Brazil, Chile, Colombia, Costa Rica, Ecuador, Peru and Venezuela). Dietary data were obtained by two 24 h dietary recalls. Overall, 78.6% of the population were regular breakfast consumer, 15.9% occasional and 5.5% skippers. Adolescents were found to be the most frequent occasional consumers (19.2%) and skippers (6.8%). Among breakfast consumers (n= 8714), breakfast contributed to 444 +/- 257 kcal, i.e., 23% of the total daily EI (16-27%). Breakfast consumers were more likely to be older adults than adolescents (OR = 1.49, 95% CI:1.06-2.10) and physically active than insufficiently active (OR = 1.29, 95% CI:1.07-1.55), and were less likely to be underweight than normal weight (OR = 0.63, 95% CI:0.41-0.98). In most countries, breakfast was rich in carbohydrates, added sugars, saturated fat and calcium relative to the entire day, and the energy contribution of protein and fats was lower at breakfast than for the entire day. These findings will contribute to the development of data-driven nutrient recommendations for breakfast in Latin America.</t>
  </si>
  <si>
    <t>Pereira, Jaqueline/P-7261-2019; Fisberg, Mauro/E-7149-2010; Zimberg, Iona/E-8452-2012; Fisberg, Regina/Q-6494-2019; Ferrari, Gerson/ABG-6635-2021; Ferrari, Gerson/P-1152-2014; Pareja, Rossina/D-9892-2018</t>
  </si>
  <si>
    <t>Zimberg, Iona Zalcman/0000-0002-3207-0076; Previdelli, Agatha/0000-0003-0032-4323; Kovalskys, Irina/0000-0001-8481-5415; Ferrari, Gerson/0000-0003-3177-6576; Moreno Aznar, Luis A./0000-0003-0454-653X; Pareja, Rossina/0000-0001-7523-3181; Cortes, Lilia Yadira/0000-0003-2789-3219</t>
  </si>
  <si>
    <t>10.3390/nu12082397</t>
  </si>
  <si>
    <t>WOS:000577911600001</t>
  </si>
  <si>
    <t>Hamm, E; Sivak, I; Roman, B</t>
  </si>
  <si>
    <t>Hamm, Eugenio; Sivak, Iryna; Roman, Benoit</t>
  </si>
  <si>
    <t>Nature of Crack Path Instabilities in Thin Sheets Cut by Blunt Objects</t>
  </si>
  <si>
    <t>Cutting a brittle thin sheet with a blunt object leaves an oscillating crack that seemingly violates the principle of local symmetry for fracture. We experimentally find that at a critical value of a well chosen control parameter the straight propagation is unstable and leads to an oscillatory pattern whose amplitude and wavelength grow by increasing the control parameter. We propose a simple model that unifies this instability with a related problem, namely that of a perforated sheet, where through a similar bifurcation a series of radial cracks spontaneously spiral around each other. We argue that both patterns originate from the same instability.</t>
  </si>
  <si>
    <t>Hamm, Eugenio/A-7927-2013; Roman, Benoit/C-6273-2014</t>
  </si>
  <si>
    <t>Roman, Benoit/0000-0002-1473-2734</t>
  </si>
  <si>
    <t>APR 29</t>
  </si>
  <si>
    <t>10.1103/PhysRevLett.124.174101</t>
  </si>
  <si>
    <t>WOS:000529312400012</t>
  </si>
  <si>
    <t>Abarzúa, J; Viloff, W; Bahamondes, J; Olivera, Y; Poblete-Aro, C; Herrera-Valenzuela, T; Oliva, C; García-Díaz, DF</t>
  </si>
  <si>
    <t>Abarzua, Javiera, V; Viloff C, Williams; Bahamondes, Javiera, V; Olivera P, Yeritza; Poblete-Aro, Carlos; Herrera-Valenzuela, Tomas; Oliva, Carolina; Garcia-Diaz, Diego F.</t>
  </si>
  <si>
    <t>High intensity interval training in teenagers</t>
  </si>
  <si>
    <t>This review analyzes the effects of high intensity interval training (HILT) on muscle and cardiovascular fitness and body composition in teenagers. A search was carried out in international databases, finding 145 papers and selecting five for analysis. In all the reviewed manuscripts, peak oxygen uptake improved after HILT. In the three manuscripts that measured muscle strength, it also increased. We conclude that HIIT improves muscle strength and cardiovascular fitness in school age children. A 12 weeks protocol with three 12-minute sessions per week would be ideal.</t>
  </si>
  <si>
    <t>HERRERA, TOMAS/AAH-3739-2019; Garcia, Diego/AGH-4056-2022; Poblete, Carlos/HOF-8260-2023</t>
  </si>
  <si>
    <t>Garcia-Diaz, Diego/0000-0002-7551-0553</t>
  </si>
  <si>
    <t>WOS:000466413600011</t>
  </si>
  <si>
    <t>Wlodarczyk, A; Basabe, N; Páez, D; Rimé, B; Villagrán, L; Reyes, C; García, FE; Zumeta, L; Bobowik, M; Amutio, A</t>
  </si>
  <si>
    <t>Wlodarczyk, Anna; Basabe, Nekane; Paez, Dario; Rime, Bernard; Villagran, Loreto; Reyes, Carlos; Garcia, Felipe E.; Zumeta, Larraitz; Bobowik, Magdalena; Amutio, Alberto</t>
  </si>
  <si>
    <t>Together we have it all! Examining benefits of communal coping and participation in collective emotional gatherings</t>
  </si>
  <si>
    <t>INTERNATIONAL JOURNAL OF PSYCHOLOGY</t>
  </si>
  <si>
    <t>Rimé, Bernard/N-7721-2019; Garcia, F/D-7099-2017; basabe, nekane/D-3918-2011; Wlodarczyk, Anna/HHC-3887-2022; Bobowik, Magdalena/K-3857-2014; Amutio, Alberto/AAP-7380-2020; GARAY, CARLOS/A-1816-2014; Amutio, Alberto/O-3068-2016; Paez, Dario/D-5207-2009; Wlodarczyk, Anna/K-4968-2014</t>
  </si>
  <si>
    <t>Amutio, Alberto/0000-0003-3989-9992; Paez, Dario/0000-0002-8459-6037; Wlodarczyk, Anna/0000-0003-2106-5324</t>
  </si>
  <si>
    <t>0020-7594</t>
  </si>
  <si>
    <t>1464-066X</t>
  </si>
  <si>
    <t>WOS:000413720404664</t>
  </si>
  <si>
    <t>Massa, NE; Denardin, JC; Socolovsky, LM; Knobel, M; Zhang, XX</t>
  </si>
  <si>
    <t>Massa, Nestor E.; Denardin, Juliano C.; Socolovsky, Leandro M.; Knobel, Marcelo; Zhang (Xixiang Zhang), X. X.</t>
  </si>
  <si>
    <t>Electron dynamics in films made of transition metal nanograins embedded in SiO2: Infrared reflectivity and nanoplasma infrared resonance</t>
  </si>
  <si>
    <t>We report on near normal infrared reflectivity spectra of similar to 550 nm thick films made of cosputtered transition metal nanograins and SiO2 in a wide range of metal fractions. Co0.85(SiO2)(0.15), with conductivity well above the percolation threshold has a frequency and temperature behavior according to what it is find in conducting metal oxides. The electron scattering rate displays a unique relaxation time characteristic of single type of carriers experiencing strong electron-phonon interactions. Using small polaron fits we identify those phonons as glass vibrational modes. Ni-0.61(SiO2)(0.39), with a metal fraction closer to the percolation threshold, undergoes a metal-nonmetal transition at similar to 77 K. Here, as it is suggested by the scattering rate nearly quadratic dependence, we broadly identify two relaxation times (two carrier contributions) associated to a Drude mode and a midinfrared overdamped band, respectively. Disorder induced, the midinfrared contribution drives the phase transition by thermal electron localization. Co-0.51(SiO2)(0.49) has the reflectivity of an insulator with a distinctive band at similar to 1450 cm(-1) originating in electron promotion, localization, and defect induced polaron formation. Angle dependent oblique reflectivity of globally insulating Co-0.38(SiO2)(0.62), Fe0.34(SiO2)(0.66), and Ni-0.28(SiO2)(0.72), reveals a remarkable resonance at that band threshold. We understand this as due to the excitation by normal to the film electric fields of defect localized electrons in the metallic nanoparticles. At higher oblique angles, this localized nanoplasma couples to SiO2 longitudinal optical Berreman phonons resulting in band peak softening reminiscent to the phonon behavior undergoing strong electron-phonon interactions. Singular to a globally insulating phase, we believe that this resonance might be a useful tool for tracking metal-insulator phase transitions in inhomogeneous materials. (C) 2009 American Institute of Physics. [DOI: 10.1063/1.3126485]</t>
  </si>
  <si>
    <t>Zhang, xixiang/D-7046-2011; Socolovsky, Leandro/B-5318-2012; Denardin, Juliano/S-6407-2019; Knobel, Marcelo/A-2843-2009</t>
  </si>
  <si>
    <t>Denardin, Juliano/0000-0002-1373-6207; Knobel, Marcelo/0000-0002-6540-9267; Socolovsky, Leandro/0000-0001-9256-7183</t>
  </si>
  <si>
    <t>10.1063/1.3126485</t>
  </si>
  <si>
    <t>WOS:000267053200126</t>
  </si>
  <si>
    <t>Iturriaga, R; Alcayaga, J; Gonzalez, C</t>
  </si>
  <si>
    <t>Gonzalez, C; Nurse, CA; Peers, C</t>
  </si>
  <si>
    <t>Iturriaga, R.; Alcayaga, J.; Gonzalez, C.</t>
  </si>
  <si>
    <t>Neurotransmitters in Carotid Body Function: The Case of Dopamine - Invited Article</t>
  </si>
  <si>
    <t>ARTERIAL CHEMORECEPTORS</t>
  </si>
  <si>
    <t>Advances in Experimental Medicine and Biology</t>
  </si>
  <si>
    <t>17th Meeting of the International-Society-for-Arterial-Chemoreception (ISAC)</t>
  </si>
  <si>
    <t>JUL 01-05, 2008</t>
  </si>
  <si>
    <t>Valladolid, SPAIN</t>
  </si>
  <si>
    <t>Int Soc Arterial Chemorecept</t>
  </si>
  <si>
    <t>The carotid body (CB) is the main peripheral chemoreceptor. The present model of CB chemoreception states that glomus (type 1) cells are the primary receptors, which are synaptically connected to the nerve terminals of the petrosal ganglion neurons. In response to hypoxia, hypercapnia and acidosis, glomus cells release one (or more) transmitter(s) which, acting on the nerve terminals of chemosensory neurons, increases the afferent discharge. Among several molecules present in glomus cells, dopamine, acetylcholine and 5'-adenosine-triphosphate have been proposed to be the excitatory transmitters in the CB. Beside these putative excitatory transmitters, other molecules modulate the chemosensory process through direct actions on glomus cells and/or by producing tonic effects on CB blood vessels. In this review, we focus on the role played by dopamine in the CB chemoreception, with emphasis on the open question if the reported differences on its actions on the generation of afferent chemosensory activity reflect true species differences. The available data suggest that dopamine may play a modulatory role within the cat CB, while in the rabbit CB, dopamine is an excitatory transmitter. Therefore, the reported differences on the actions of exogenously applied dopamine and its participation on the generation of afferent chemosensory activity appear to reflect true species differences.</t>
  </si>
  <si>
    <t>Iturriaga, Rodrigo/AAG-1020-2020; Alcayaga, Julio/A-5261-2008</t>
  </si>
  <si>
    <t>Alcayaga, Julio/0000-0001-8119-8917; Iturriaga, Rodrigo/0000-0001-5387-9897</t>
  </si>
  <si>
    <t>0065-2598</t>
  </si>
  <si>
    <t>2214-8019</t>
  </si>
  <si>
    <t>978-90-481-2258-5</t>
  </si>
  <si>
    <t>10.1007/978-90-481-2259-2_16</t>
  </si>
  <si>
    <t>WOS:000267288300016</t>
  </si>
  <si>
    <t>Campos, AM; Carcamo, C; Silva, E; Garcia, S; Lemp, E; Alarcon, E; Edwards, AM; Gunther, G; Lissi, E</t>
  </si>
  <si>
    <t>Campos, Ana M.; Carcamo, Carlos; Silva, Eduardo; Garcia, Sandra; Lemp, Else; Alarcon, Emilio; Edwards, Ana Maria; Gunther, German; Lissi, Eduardo</t>
  </si>
  <si>
    <t>Distribution of urocanic acid isomers between aqueous solutions and n-octanol, liposomes or bovine serum albumin</t>
  </si>
  <si>
    <t>JOURNAL OF PHOTOCHEMISTRY AND PHOTOBIOLOGY B-BIOLOGY</t>
  </si>
  <si>
    <t>The distribution of urocanic acid (UCA) isomers between aqueous solutions and n-octanol, egg yolk phosphatidylcholine (eggPC) liposomes or bovine serum albumin (BSA) has been evaluated. Regarding its partitioning between water and n-octanol, the behaviour of both isomers is very similar, and the amount incorporated to the organic solvent is mostly determined by the fraction of the compound that, in the aqueous phase, is present as uncharged species. This implies that the highest hydrophobicity occurs near the isoelectric point. cis- and trans-UCA are readily incorporated into eggPC unilamellar liposomes. A simple pseudophase treatment of ultrafiltration data renders a binding constant of 0.20 +/- 0.04 mL/mg for the trans isomer at pH 7.4. The binding constant decreases, by a factor two, at pH 5.0, suggesting that the negatively charged species is more favourably bound to the liposomes than the neutral species, which is mostly present as zwitterions. The cis-isomer, at both pHs, is less incorporated to the bilayers. trans-UCA and cis-UCA readily bind to BSA at pH 7.4, with binding constants of 3400 M(-1) and 6900 M(-1), respectively. This result suggests that, as in the octanol/water partitioning, hydrophobic interactions predominate and the degree of binding is determined by the fraction present as uncharged species. A smaller binding constant at pH 5.0 indicates that the charge of the protein is also plying a relevant role. (c) 2007 Elsevier B.V. All rights reserved.</t>
  </si>
  <si>
    <t>García, Sandra/GSM-9904-2022; Silva, Eduardo/KUC-8055-2024; Alarcon, Emilio/A-7285-2011; Gunther, German/I-1028-2013</t>
  </si>
  <si>
    <t>Edwards-Mujica, Ana M./0000-0002-4637-1013; Gunther, German/0000-0002-4733-8426</t>
  </si>
  <si>
    <t>1011-1344</t>
  </si>
  <si>
    <t>10.1016/j.jphotobiol.2007.10.004</t>
  </si>
  <si>
    <t>WOS:000253220000006</t>
  </si>
  <si>
    <t>Fudym, O; Battaglia, JL; Batsale, JC</t>
  </si>
  <si>
    <t>Measurement of thermophysical properties in semi-infinite media by random heating and fractional model identification</t>
  </si>
  <si>
    <t>REVIEW OF SCIENTIFIC INSTRUMENTS</t>
  </si>
  <si>
    <t>Transient hot probe methods are widely used for the measurement of thermal properties in semi-infinite media. In this article, the three-dimensional temperature impulse response of a rectangular probe is analyzed using an analytical solution based on the Green's functions, such that two characteristic times relative to the asymptotic behaviors of the probe can be calculated. A strategy for the estimation of two uncorrelated properties is deduced from this approach. The identification technique, based on a fractional model approach, is optimized by applying a random input heat flux to the probe. This kind of random heating is shown to provide a frequency content in the range where both the thermal conductivity and thermal effusivity are uncorrelated. Some experimental results obtained with samples with well-known thermal properties are used to validate the proposed method. (C) American Institute of Physics.</t>
  </si>
  <si>
    <t>0034-6748</t>
  </si>
  <si>
    <t>10.1063/1.1877012</t>
  </si>
  <si>
    <t>WOS:000228362200036</t>
  </si>
  <si>
    <t>Li, HJ; Wang, R; Wu, J; Zhang, W; Soto, I</t>
  </si>
  <si>
    <t>Li, Heju; Wang, Rui; Wu, Jun; Zhang, Wei; Soto, Ismael</t>
  </si>
  <si>
    <t>Reconfigurable Intelligent Surface Empowered Federated Edge Learning With Statistical CSI</t>
  </si>
  <si>
    <t>IEEE TRANSACTIONS ON WIRELESS COMMUNICATIONS</t>
  </si>
  <si>
    <t>As an emerging distributed learning framework, federated edge learning (FEEL) can efficaciously resolve the delay requirements and privacy concerns by enabling collaborative modeling among the edge devices under the premise of data localization. However, the communication bottlenecks, e.g., model damage and signal deviation, will critically diminish the convergence performance due to the restricted resources and the undesirable wireless fading. To overcome this challenge, one feasible way is to integrate the reconfigurable intelligent surface (RIS) into the FEEL system, to reinforce the communication quality by adaptively reconfiguring the signal propagation environment. However, the significant premise to effectively exploit the RIS in most of the prior works is the estimation of exact instantaneous channel state information (CSI), which is extremely thorny and potentially incurs additional communication overhead. To tackle this issue, we investigate in this paper the RIS-aided FEEL system under the realistic supposition where only the statistical CSI is available among devices. Specifically, considering the wireless outage caused by the uncertainty of non-line-of-sight components, we rigorously derive an explicit convergence upper bound of the RIS enabled FEEL framework with outage. Accordingly, a resource configuration problem with the goal of minimizing the sum of outage-probability is further formulated by jointly configuring the RIS configuration matrix and the bandwidth allocation. To seek the solutions, we carefully design a general Bernstein-Type inequality in this paper, and thus the probabilistic outage objective function can be effectively handled in an equivalent manner. Simulation experiments verify that our design can accomplish a significant promotion compared against state-of-the-art baselines.</t>
  </si>
  <si>
    <t>; Zhang, Wei/C-3736-2011</t>
  </si>
  <si>
    <t>Heju, Li/0000-0002-4889-8978; Zhang, Wei/0000-0002-1059-3642</t>
  </si>
  <si>
    <t>1536-1276</t>
  </si>
  <si>
    <t>1558-2248</t>
  </si>
  <si>
    <t>10.1109/TWC.2023.3334250</t>
  </si>
  <si>
    <t>WOS:001247163400069</t>
  </si>
  <si>
    <t>Negrete-Vergara, C; Vega, A; Cantero-López, P; Yáñez, O; Moya, SA; Valdebenito, G; Parra-Melipan, S; Aguirre, P</t>
  </si>
  <si>
    <t>Negrete-Vergara, Camila; Vega, Andres; Cantero-Lopez, Plinio; Yanez, Osvaldo; Moya, Sergio A.; Valdebenito, Gonzalo; Parra-Melipan, Sebastian; Aguirre, Pedro</t>
  </si>
  <si>
    <t>Hydrogen transfer reaction to imines with 2-propanol catalyzed by ruthenium (II) complexes containing nitrogen-phosphorus (NPN) ligands. Experimental and computational studies</t>
  </si>
  <si>
    <t>This work reports the synthesis and characterization of ruthenium(II) complexes containing nitrogen -phosphorus -nitrogen (NPN) ligands, with L1 =N -(phenyl (pyridin-2-ylamino)phosphino)pyridin-2-amine and L2 = 4-methyl-N-((4-methylpyridin-2-ylamino)(phenyl)phosphino)pyridin-2-amine. The ruthenium complexes RuCl 2 PPh 3 (L1) ( 1 ) and RuCl 2 PPh 3 (L2) ( 2 ) show high activities in catalytic transfer hydrogenation of different substituted benzylideneanilines, with turnover frequencies up to 5882 h -1 and 5294 h -1 , respectively. The RuCl(CO)PPh 3 (L1) ( 3 ) and RuCl(CO)PPh 3 (L2) ( 4 ) complexes were non -active in the reaction studied. Theoretical calculations conducted for complex 4 showed that the carbonyl group promotes sigma-orbital interactions and backdonation phenomena from the metal centre to the pi* orbitals in the CO ligand, presenting a strong orbital contribution. This supports the hypothesis that complexes 3 and 4 are less reactive species and therefore present poor or null catalytic performance in the reaction studied.</t>
  </si>
  <si>
    <t>Negrete, Camila/GQZ-2620-2022</t>
  </si>
  <si>
    <t>10.1016/j.ica.2024.122064</t>
  </si>
  <si>
    <t>WOS:001232681300001</t>
  </si>
  <si>
    <t>Antonietto, DA; Gamboa, IR; Ribeiro, N; Brito, CJ; Oliveira, CLR; Nóbrega, OD; Vieira-Souza, LM; Miarka, B; Aedo-Muñoz, E</t>
  </si>
  <si>
    <t>Antonietto, Destter Alacks; Gamboa, Ignacio Roa; Ribeiro, Naiara; Brito, Ciro Jose; Oliveira, Cinthya Luiza Rezende; Nobrega, Otavio de Toledo; Vieira-Souza, Lucio Marques; Miarka, Bianca; Aedo-Munoz, Esteban</t>
  </si>
  <si>
    <t>Can the Countermovement Jump or Squat Jump predict the kinematic performance of the rear Bandal Chagi kick?</t>
  </si>
  <si>
    <t>This study aimed to measure the associative and predictive strength of biomechanical variables of the countermovement jump (CMJ) and squat jump (SJ), and performance of the bandal-chagi kick performed with the dominant (D) rear lower limb in elite Taekwondo Athletes. For this, a total of 27 international level athletes (15 males and 12 females) performed the CMJ and SJ on two force platforms. The bandal-chagi was monitored using a motion capture system (VICON). The main results indicated that non-dominant (ND) Stiffness for the CMJ showed predictive power alone (p=0.048) or in combination with eccentric breaking rating of force development (RFD) (p=0.031) for total hip angular speed. Takeoff peak force/BM for the SJ predicted total time (p=0.002). Concentric RFD/BM predicted total linear foot acceleration, either alone (p=0.001) or with vertical speed at takeoff (p=0.042). The total hip angular acceleration predictor was takeoff peak force D alone (p=0.019) or in combination with peak power/BM (p=0.041). In conclusion, CMJ and SJ tests showed specific associations with TKD kick performance. These analyses in this study indicated that they are good predictors for TKD athletes, producing results consistent with the participants ' levels.</t>
  </si>
  <si>
    <t>Brito, Ciro/AAC-9104-2019; Miarka, Bianca/V-7395-2017; Aedo-Muñoz, Esteban/R-5623-2019; Nobrega, Otavio/J-7738-2012</t>
  </si>
  <si>
    <t>WOS:001235939600001</t>
  </si>
  <si>
    <t>Acevedo, F; Aravlna, JM; Ceballos, F; Guzman, MP; Maldonado, MJ; Torrlalia, C; Duarte, A; Henrique, N; Torrealba, K; Necunir, F; Arias, J; Frei, A; Perez, I</t>
  </si>
  <si>
    <t>Acevedo, Fabrizio; Aravlna, Jose M.; Ceballos, Felipe; Guzman, Maria Paz; Maldonado, Maria Jose; Torrlalia, Cristabel; Duarte, Andrea; Henrique, Nicolas; Torrealba, Karen; Necunir, Francisca; Arias, Javiera; Frei, Adolfo; Perez, Isidora</t>
  </si>
  <si>
    <t>Biopsychosocial Factors Influencing Mortality and Functional Recovery in COVID-19 Patients Undergoing Prone Positioning: A Prospective Observational Study</t>
  </si>
  <si>
    <t>Patients placed in a prone position due to COVID-19 present a more severe disease, longer stay in ICU and have more significant complications associated with positioning than other patients. Aim: To identify social, health, and hospital factors associated with mortality and functional recovery in activities of daily living (ADL) in patients admitted to the ICU due to COVID-19 who were in the prone position. Methods: We conducted a prospective observational study between June 2021 and March 2022 at the San Jose Clinical Hospital. The study included people 18 years of age or older admitted to the ICU due to COVID-19 who were in the prone position. Using logistic regression, we searched for factors associated with the risk of in-hospital mortality. Using linear regression, we also analyzed factors associated with functional recovery in ADL at discharge and post-discharge. Results: In 85 patients included, being men, older age, history of mental health, cardiorespiratory disease, and living in a commune of high social priority were associated with a higher risk of in-hospital mortality. A greater number of days of hospitalization was associated with less functional recovery at discharge and post-discharge. In contrast, more cycles in prone position during hospitalization and higher education level were associated with greater post-discharge functional recovery. Conclusions: The survival and functional prognosis of patients with severe COVID-19 can be predicted early through a biopsychosocial evaluation of their characteristics. Intrahospital actions could improve functional recovery in ADL in the short term in critically ill patients surviving COVID- 19.</t>
  </si>
  <si>
    <t>Arias Valdivia, Javiera T./KIL-0748-2024; Acevedo, Fabrizio/AAH-8388-2021</t>
  </si>
  <si>
    <t>WOS:001259479300001</t>
  </si>
  <si>
    <t>Villaman, D; Vega, A; de la Parra, LS; León, IE; Levín, P; Toro, PM</t>
  </si>
  <si>
    <t>Villaman, David; Vega, Andres; de la Parra, Lucia Santa Maria; Leon, Ignacio E.; Levin, Pedro; Toro, Patricia M.</t>
  </si>
  <si>
    <t>Anticancer activity of Ni(II) and Zn(II) complexes based on new unsymmetrical salophen-type ligands: synthesis, characterization and single-crystal X-ray diffraction</t>
  </si>
  <si>
    <t>The discovery of new coordination compounds with anticancer properties is an active field of research due to the severe side effects of platinum-based compounds currently used in chemotherapy. In the search for new agents for the treatment of cancer, unsymmetrical N2O2-tetradentate ligand (H2L1 and H2L2) and their Ni(II) and Zn(II) asymmetric complexes (Ni-II-L1-2 and Zn-II-L1-2) have been synthesized and fully characterized. H-1 NMR studies revealed that the ligands and complexes were stable in mixtures of DMSO : D2O (9 : 1). Complementary UV-Vis studies confirmed that Zn-II derivatives also exhibit high stability in mixtures DMSO : buffer (6 : 4) after 24 h. Single-crystal X-ray diffraction studies confirmed the molecular structures of H2L1, H2L2, Ni-II-L-1, and (NiII-L2). At the molecular level, complexes were completely planar without significant distortions of the square-planar geometry according to tau(4) parameter. Furthermore, the crystalline structures revealed non-classical intermolecular interactions of the C-H center dot center dot center dot O and the Ni center dot center dot center dot Ni type. The ligands and complexes were screened against the human osteosarcoma (MG-63), human colon cancer (HCT-116), breast cancer (MDA-MB-231) cell lines, and non-cancerous cells (L929). H2L1 and H2L2 ligands not caused cytotoxic effects at a concentration of 100 mu M, while Ni-II-L-2, Zn-II-L-1, and Zn-II-L-2 complexes induce cytotoxic effects in all cell lines. Ni-II-L-2 was a more active complex against MG-63 (3.9 +/- 1.5) and HCT-116 (3.4 +/- 1.7) cell lines with IC50 values in the low micromolar range. In addition, this compound was 10-, 5-, and 11-fold more potent than cisplatin in MG-63 (39 +/- 1.8), HCT-116 (17.2), and MDA-MB-231 (131 +/- 18), respectively. Three complexes exhibited great selectivity for tumoral cells with SI values ranging from 1.6 to 7.4.</t>
  </si>
  <si>
    <t>Levín, Pedro/ABG-4500-2020; Toro, Patricia/IWU-5936-2023; Vega, Andres/B-2122-2010; leon, i/GZL-2093-2022</t>
  </si>
  <si>
    <t>leon, ignacio/0000-0003-1010-3997; Levin, Pedro/0000-0001-5932-9001; Vega, Andres/0000-0001-6501-4161; Toro, Patricia Macarena/0000-0002-2286-5238; Santa Maria de la Parra, Lucia/0000-0002-4577-139X</t>
  </si>
  <si>
    <t>AUG 8</t>
  </si>
  <si>
    <t>10.1039/d3dt00800b</t>
  </si>
  <si>
    <t>WOS:001035252900001</t>
  </si>
  <si>
    <t>Barrera-Avalos, C; Luraschi, R; Acuña-Castillo, C; Vidal, M; Mella-Torres, A; Inostroza-Molina, A; Vera, R; Vargas, S; Hernández, I; Perez, C; Vallejos-Vidal, E; Valdés, D; Imarai, M; Reyes-López, FE; Sandino, AM</t>
  </si>
  <si>
    <t>Barrera-Avalos, Carlos; Luraschi, Roberto; Acuna-Castillo, Claudio; Vidal, Mabel; Mella-Torres, Andrea; Inostroza-Molina, Ailen; Vera, Rodrigo; Vargas, Sergio; Hernandez, Ivan; Perez, Christian; Vallejos-Vidal, Eva; Valdes, Daniel; Imarai, Monica; Reyes-Lopez, Felipe E.; Sandino, Ana Maria</t>
  </si>
  <si>
    <t>Description of Symptoms Caused by the Infection of the SARS-CoV-2 B.1.621 (Mu) Variant in Patients With Complete CoronaVac Vaccination Scheme: First Case Report From Santiago of Chile</t>
  </si>
  <si>
    <t>Vaccine administration is one of the most efficient ways to control the current coronavirus disease 2019 (COVID-19) pandemic. However, the appearance of severe acute respiratory syndrome coronavirus 2 (SARS-CoV-2) variants can avoid the immunity generated by vaccines. Thus, in patients with a complete vaccine schedule, the infection by SARS-CoV-2 may cause severe, mild, and asymptomatic manifestations of the disease. In this case report, we describe for the first time the clinical symptoms of four patients (three symptomatic; one asymptomatic) from Santiago of Chile, with a complete vaccination schedule with two doses of CoronaVac (Sinovac Life Science) infected with the variant of interest (VOI) B.1.621 (Mu). They were compared with four unvaccinated patients, who had a higher prevalence of symptoms after infection compared to vaccinated patients. In the CoronaVac-vaccinated group, an 80-year-old patient who registered various comorbidities required Invasive mechanical ventilation for 28 days with current home medical recovery discharge. By contrast, in the unvaccinated group, a 71-year-old presented more symptoms with more than 45 days of Invasive mechanical ventilation, which continues to date, presenting greater lung damage than the vaccinated hospitalized patient. This first report evidence differences in the clinical symptomatology of patients vaccinated and non-vaccinated infected with the VOI B.1.621 (Mu) and suggest the protective effects of CoronaVac against this variant.</t>
  </si>
  <si>
    <t>Reyes-López, Felipe/S-1760-2018; Acuña-Castillo, Claudio/AAI-7090-2021; Vera, Rodrigo/KIJ-9518-2024; Luraschi, Roberto/AAI-7965-2021; Vidal, Mabel/F-9968-2016; Vallejos-Vidal, Eva/R-9606-2019</t>
  </si>
  <si>
    <t>Luraschi, Roberto/0000-0001-5611-4320; Reyes-Lopez, Felipe E./0000-0002-5001-457X; Acuna-Castillo, Claudio/0000-0003-3607-6077; Perez, Christian/0000-0002-4540-6122; Vidal, Mabel/0000-0002-0800-1353; Vallejos-Vidal, Eva/0000-0002-3091-2700; Vera Garcia, Rodrigo E./0000-0001-9032-7194</t>
  </si>
  <si>
    <t>MAR 21</t>
  </si>
  <si>
    <t>10.3389/fpubh.2022.797569</t>
  </si>
  <si>
    <t>WOS:000779123600001</t>
  </si>
  <si>
    <t>Levín, P; Balsa, LM; Silva, CP; Herzog, AE; Vega, A; Pavez, J; León, IE; Lemus, L</t>
  </si>
  <si>
    <t>Levin, Pedro; Balsa, Lucia M.; Silva, Carlos P.; Herzog, Austin E.; Vega, Andres; Pavez, Jorge; Leon, Ignacio E.; Lemus, Luis</t>
  </si>
  <si>
    <t>Artificial Chemical Nuclease and Cytotoxic Activity of a Mononuclear Copper(I) Complex and a Related Binuclear Double-Stranded Helicate</t>
  </si>
  <si>
    <t>Copper complexes are promising candidates for anticancer drugs, because of their redox properties and the ability to generate ROS (reactive oxygen species) in the cellular media. Most of the reported complexes with anticancer properties are based on Cu(II), which must be reduced to Cu(I) to exert the therapeutic action. Here, we report on the synthesis and characterization of two novel copper(I) complexes, a mononuclear complex [Cu(L-1)(2)](ClO4) (1) and a binuclear helicate [Cu-2(L-2)(2)](ClO4)(2) (2) (L-1=2-ethoxy-1,10-phenanthroline, L-2=1,2-bis((1,10-phenanthrolin-2-yl)oxy)ethane), which were designed to be structurally comparable, in order to evaluate the effect of nuclearity on the artificial nuclease activity. The activity of helicate (2) was higher than that of the monometallic (1), and the DNA cleavage mechanism is through the generation of hydroxyl radical in a Fenton-like reaction, which occurs after oxidation of Cu(I) by O-2. Also, helicate (2) showed a higher cytotoxic effect against different cancer cells lines, while both complexes are more active than cisplatin.</t>
  </si>
  <si>
    <t>Silva, Carlos/IQS-5583-2023; leon, i/GZL-2093-2022; Vega, Andres/B-2122-2010; Levín, Pedro/ABG-4500-2020; PAVEZ, JORGE/K-6904-2014</t>
  </si>
  <si>
    <t>Silva, Carlos P./0000-0001-5344-042X; Levin, Pedro/0000-0001-5932-9001; LEMUS, LUIS/0000-0002-5499-8115; Herzog, Austin/0000-0002-4584-7163; PAVEZ, JORGE/0000-0002-5100-6707</t>
  </si>
  <si>
    <t>10.1002/ejic.202100673</t>
  </si>
  <si>
    <t>WOS:000701791400001</t>
  </si>
  <si>
    <t>Ramírez-Vélez, R; Carrillo, HA; Correa-Bautista, JE; Schmidt-RioValle, J; González-Jiménez, E; Correa-Rodríguez, M; González-Ruíz, K; García-Hermoso, A</t>
  </si>
  <si>
    <t>Ramirez-Velez, Robinson; Alejandro Carrillo, Hugo; Enrique Correa-Bautista, Jorge; Schmidt-RioValle, Jacqueline; Gonzalez-Jimenez, Emilio; Correa-Rodriguez, Maria; Gonzalez-Ruiz, Katherine; Garcia-Hermoso, Antonio</t>
  </si>
  <si>
    <t>Fat-to-Muscle Ratio: A New Anthropometric Indicator as a Screening Tool for Metabolic Syndrome in Young Colombian People</t>
  </si>
  <si>
    <t>Fat-to-muscle ratio has been proposed as an alternative approach for assessing body fat. The objective of this study was to explore fat-to-muscle ratio thresholds in metabolic syndrome (MetS) diagnosis; it was hypothesised that the fat-to-muscle ratio is a good predictive indicator of MetS in a large population of young Colombian adults. For this purpose, a cross-sectional study was conducted on 1416 subjects (66.6% female), aged from 18.1 to 25.1. As part of the study, measurements of the subjects' anthropometric indicators, serum lipid indices, blood pressure, and fasting plasma glucose were taken. Body composition was measured through bioelectrical impedance analysis (BIA). A new variable (ratio of fat mass to muscle mass, in kg) was calculated. Following the International Diabetes Federation (IDF) definition, MetS includes three or more metabolic abnormalities. Receiver operating characteristic (ROC) curves and logistic regression determined the discriminatory ability of the fat-to-muscle ratio to predict MetS. According to the IDF, the best fat-to-muscle ratio cut-off point for detecting MetS in men was 0.225 kg, with an area under the curve (AUC) of 0.83, sensitivity of 80%, and specificity of 70%. For women, the fat-to-muscle ratio cut-off point was 0.495 kg, the AUC was 0.88, and the sensitivity and specificity were 82% and 80%, respectively. In conclusion, our results showed that the fat-to-muscle ratio cut-off points from ROC analyses demonstrate good discriminatory power for detecting MetS in young Colombian adults.</t>
  </si>
  <si>
    <t>García-Hermoso, Antonio/ADU-2591-2022; González-Ruíz, Katherine/CAA-4624-2022; Correa-Bautista, Jorge Enrique/JDD-3131-2023; Correa-Rodriguez, Maria/G-1793-2018; Garcia-Hermoso, Antonio/P-1857-2017; Gonzalez-Jimenez, Emilio/I-6039-2017; Carrillo Arango, Hugo Alejandro/KUF-2175-2024; Correa-Bautista, Jorge Enrique/N-2741-2015; Schmidt-Riovalle, Jacqueline/I-6333-2017; Ramirez-Velez, Robinson/D-5311-2016</t>
  </si>
  <si>
    <t>Correa-Rodriguez, Maria/0000-0001-9165-4349; Garcia-Hermoso, Antonio/0000-0002-1397-7182; Gonzalez-Ruiz, Katherine/0000-0001-7518-0761; Gonzalez-Jimenez, Emilio/0000-0001-5103-6028; Carrillo Arango, Hugo Alejandro/0000-0001-6832-5379; Correa-Bautista, Jorge Enrique/0000-0002-0646-2316; Schmidt-Riovalle, Jacqueline/0000-0003-2775-0058; Ramirez-Velez, Robinson/0000-0003-3075-6960</t>
  </si>
  <si>
    <t>10.3390/nu10081027</t>
  </si>
  <si>
    <t>WOS:000445680200075</t>
  </si>
  <si>
    <t>García-Hermoso, A; Ramírez-Vélez, R; Ramírez-Campillo, R; Izquierdo, M</t>
  </si>
  <si>
    <t>Garcia-Hermoso, Antonio; Ramirez-Velez, Robinson; Ramirez-Campillo, Rodrigo; Izquierdo, Mikel</t>
  </si>
  <si>
    <t>Prevalence of Ideal Cardiovascular Health and Its Association with Cognitive Function in Older Adults: The Chilean National Health Survey (2009-2010)</t>
  </si>
  <si>
    <t>REJUVENATION RESEARCH</t>
  </si>
  <si>
    <t>Health behaviors and risk factors are independently related with cognitive function in older adults. This study aimed at examining the prevalence and relationship between cognitive function and a number of ideal cardiovascular health (CVH) metrics in older adults from the 2009 to 2010 Chilean National Health Survey. Data from 460 older adults (mean age 73.5 years old, 59.3% women) from the 2009 to 2010 Chilean Health Survey were analyzed. Ideal CVH was defined as meeting the ideal levels of the following components: four behaviors (smoking, body mass index, physical activity, and diet adherence) and three factors (total cholesterol, blood pressure, and fasting glucose). Older adults were grouped into three categories according to their number of ideal CVH metrics: ideal (5-7 metrics), intermediate (3-4 metrics), and poor (0-2 metrics). Cognitive function was assessed by using the modified Mini-Mental Status Examination (mMMSE). Of the 460 participants, 2% had 0 ideal metrics, 11.3% had 1, 23.9% had 2, 32.2% had 3, 20.7% had 4, 9.6% had 5, 0.4% had 6, and 0% had 7. Cognitive function was greater in older adults who met the ideal smoking, physical activity, and fasting blood glucose criteria. Logistic regression analysis suggested that ideal physical activity (Odds Ratio [OR]=0.411 95% confidence interval [95% CI], 0.209-0.807) and smoking (OR=0.429 95% CI, 0.095-0.941) behaviors reduced the likelihood of cognitive impairment. Moreover, compared with a poor profile (0-2 metrics), an intermediate (3-4 metrics) (OR=0.221 95% CI, 0.024-0.911) and ideal CVH profile (5-7 metrics) (OR=0.106 95% CI, 0.013-0.864) reduced the likelihood of cognitive impairment. We found that intermediate and ideal profiles were associated with a similarly low prevalence of cognitive impairment in Chilean older adults.</t>
  </si>
  <si>
    <t>Ramirez-Campillo, Rodrigo/M-1258-2016; García-Hermoso, Antonio/ADU-2591-2022; Garcia-Hermoso, Antonio/P-1857-2017; Izquierdo, Mikel/A-4894-2010; Ramirez-Velez, Robinson/D-5311-2016</t>
  </si>
  <si>
    <t>Garcia-Hermoso, Antonio/0000-0002-1397-7182; Izquierdo, Mikel/0000-0002-1506-4272; Ramirez-Velez, Robinson/0000-0003-3075-6960; Ramirez-Campillo, Rodrigo/0000-0003-2035-3279</t>
  </si>
  <si>
    <t>1549-1684</t>
  </si>
  <si>
    <t>1557-8577</t>
  </si>
  <si>
    <t>10.1089/rej.2017.1984</t>
  </si>
  <si>
    <t>OCT 2017</t>
  </si>
  <si>
    <t>WOS:000414374900001</t>
  </si>
  <si>
    <t>Bansal, N; Dürr, C; Thang, NK; Vásquez, OC</t>
  </si>
  <si>
    <t>Bansal, Nikhil; Durr, Christoph; Nguyen Kim Thang; Vasquez, Oscar C.</t>
  </si>
  <si>
    <t>The local-global conjecture for scheduling with non-linear cost</t>
  </si>
  <si>
    <t>JOURNAL OF SCHEDULING</t>
  </si>
  <si>
    <t>We consider the classical scheduling problem on a single machine, on which we need to schedule sequentially n given jobs. Every job j has a processing time and a priority weight , and for a given schedule a completion time . In this paper, we consider the problem of minimizing the objective value for some fixed constant . This non-linearity is motivated for example by the learning effect of a machine improving its efficiency over time, or by the speed scaling model. For , the well-known Smith's rule that orders job in the non-increasing order of gives the optimum schedule. However, for , the complexity status of this problem is open. Among other things, a key issue here is that the ordering between a pair of jobs is not well defined, and might depend on where the jobs lie in the schedule and also on the jobs between them. We investigate this question systematically and substantially generalize the previously known results in this direction. These results lead to interesting new dominance properties among schedules which lead to huge speed up in exact algorithms for the problem. An experimental study evaluates the impact of these properties on the exact algorithm A*.</t>
  </si>
  <si>
    <t>Bansal, Nikhil/AAD-7923-2020</t>
  </si>
  <si>
    <t>Vasquez, Oscar C./0000-0002-1393-4692</t>
  </si>
  <si>
    <t>1094-6136</t>
  </si>
  <si>
    <t>1099-1425</t>
  </si>
  <si>
    <t>10.1007/s10951-015-0466-5</t>
  </si>
  <si>
    <t>WOS:000400364500002</t>
  </si>
  <si>
    <t>Vojkovic, S; Nunez, AS; Altbir, D; Carvalho-Santos, VL</t>
  </si>
  <si>
    <t>Vojkovic, Smiljan; Nunez, Alvaro S.; Altbir, Dora; Carvalho-Santos, Vagson L.</t>
  </si>
  <si>
    <t>Magnetization ground state and reversal modes of magnetic nanotori</t>
  </si>
  <si>
    <t>In this work, and by means of micromagnetic simulations, we study the magnetic properties of toroidal nanomagnets. The magnetization ground state for different values of the aspect ratio between the toroidal and polar radii of the nanotorus has been obtained. Besides, we have shown that the vortex and the in-plane single domain states can appear as ground states for different ranges of the aspect ratio, while a single domain state with an out-of-plane magnetization is not observed. The hysteresis curves are also obtained, evidencing the existence of two reversal modes depending on the geometry: a vortex mode and a coherent rotation. A comparison between toroidal and cylindrical nanoparticles has been performed evidencing that nanotori can accommodate a vortex as the ground state for smaller volume than cylindrical nanorings. Published by AIP Publishing.</t>
  </si>
  <si>
    <t>Núñez, Alvaro/F-4572-2011; Carvalho-Santos, Vagson/E-8806-2013; Altbir, Dora/R-6781-2018</t>
  </si>
  <si>
    <t>Carvalho-Santos, Vagson/0000-0002-2759-2152; Nunez, Alvaro S./0000-0002-6804-9703; Altbir, Dora/0000-0002-2945-4909</t>
  </si>
  <si>
    <t>10.1063/1.4958740</t>
  </si>
  <si>
    <t>WOS:000381382500006</t>
  </si>
  <si>
    <t>Gautier, JL; Monrás, JP; Osorio-Román, IO; Vásquez, CC; Bravo, D; Herranz, T; Marco, JF; Pérez-Donoso, JM</t>
  </si>
  <si>
    <t>Gautier, J. L.; Monras, J. P.; Osorio-Roman, I. O.; Vasquez, C. C.; Bravo, D.; Herranz, T.; Marco, J. F.; Perez-Donoso, J. M.</t>
  </si>
  <si>
    <t>Surface characterization of GSH-CdTe quantum dots</t>
  </si>
  <si>
    <t>The surface characterization of CdTe QDs synthesized by a novel procedure using glutathione (GSH), low temperatures (60-90 degrees C) and K2TeO3 as the -Te precursor is reported. Fluorescence of the produced QDs is stable in the pH range 6-13 and QDs inside eukaryotic cells are highly fluorescent. The surface composition of GSH-CdTe QDs with different spectroscopic properties and particle size distributions was determined by XPS. The XPS analysis indicated that the QDs are essentially CdTe, although all nanoparticles contain 12-24% of CdO (and in one case also TeO2). GSH decomposes with reaction time releasing small amounts of S-2 ions that react with Cd(Te) to yield Cd(Te)S in a smaller amount than that of CdTe. Finally, the use of QDs in fluorescence mediated immunodetection of bacterial pathogens has been evaluated. (C) 2013 Elsevier B.V. All rights reserved.</t>
  </si>
  <si>
    <t>Osorio, Igor/AEX-9230-2022; Herranz, Tirma/A-8656-2008; Perez-Donoso, Jose/G-3668-2013; Marco, JF/N-3176-2014</t>
  </si>
  <si>
    <t>Perez-Donoso, Jose/0000-0002-9506-1716; Marco, JF/0000-0002-5147-1449; Osorio-Roman, Igor/0000-0001-7502-8698</t>
  </si>
  <si>
    <t>10.1016/j.matchemphys.2013.03.008</t>
  </si>
  <si>
    <t>WOS:000319789500018</t>
  </si>
  <si>
    <t>Acevedo, CA; López, DA; Tapia, MJ; Enrione, J; Skurtys, O; Pedreschi, F; Brown, DI; Creixell, W; Osorio, F</t>
  </si>
  <si>
    <t>Acevedo, Cristian A.; Lopez, Dario A.; Tapia, Maria J.; Enrione, Javier; Skurtys, Olivier; Pedreschi, Franco; Brown, Donald I.; Creixell, Werner; Osorio, Fernando</t>
  </si>
  <si>
    <t>Using RGB Image Processing for Designing an Alginate Edible Film</t>
  </si>
  <si>
    <t>FOOD AND BIOPROCESS TECHNOLOGY</t>
  </si>
  <si>
    <t>The use of edible films to coat food products is a technique that allows for an extended shelf-life. One of the most widely used polymers is calcium alginate. However, this polymer can modify the original food color and the perception by consumers. The objective was to design an alginate film based principally on color changes using a RGB color model. Edible films were prepared with sodium alginate and glycerol as plasticizer, cross-linking the polymer with calcium. Dry and hydrated states of the edible films were studied. Film thickness was directly proportional to surface concentration and increased with hydration. There is a zone in which the color does not change with alginate surface concentration and another where the color is directly proportional to it. This latter scenario is not a consequence of structural changes or the degree of hydration. Results showed a range where the color was not modified by the alginate concentration; hence, an optimal surface concentration was determined as a design parameter. Edible films made using the optimal surface concentration would not mask microbial contamination and have good physical properties (water vapor transmission and swelling) compared with other surface concentrations. In addition, it was possible to model alginate surface concentration as a function of surface color using mathematical tools (clustering, linear regression, and support vector machine), allowing one to study the optimal use of the edible films.</t>
  </si>
  <si>
    <t>Enrione, Javier/I-9225-2014; Creixell, Werner/AAP-9544-2021; Acevedo, Cristian/D-5133-2011; pedreschi, franco/F-8844-2013; skurtys, olivier/HNS-4835-2023; osorio, fernando/AAY-7304-2021</t>
  </si>
  <si>
    <t>osorio, fernando/0000-0001-7206-0924; Creixell, Werner/0000-0002-6647-6429; skurtys, olivier/0000-0003-1432-7242; Enrione, Javier/0000-0002-3916-6775</t>
  </si>
  <si>
    <t>1935-5130</t>
  </si>
  <si>
    <t>1935-5149</t>
  </si>
  <si>
    <t>10.1007/s11947-010-0453-y</t>
  </si>
  <si>
    <t>WOS:000305213500006</t>
  </si>
  <si>
    <t>Vaca, I; Casqueiro, J; Ullán, RV; Rumbero, A; Chávez, R; Martín, JF</t>
  </si>
  <si>
    <t>Vaca, Inmaculada; Casqueiro, Javier; Ullan, Ricardo V.; Rumbero, Angel; Chavez, Renato; Martin, Juan F.</t>
  </si>
  <si>
    <t>A preparative method for the purification of isopenicillin N from genetically blocked Acremonium chrysogenum strain TD189: studies on the degradation kinetics and storage conditions</t>
  </si>
  <si>
    <t>JOURNAL OF ANTIBIOTICS</t>
  </si>
  <si>
    <t>A protocol for preparative isopenicillin N (IPN) purification, a highly interesting and hitherto unavailable intermediate of the penicillin and cephalosporin biosynthetic pathway due to its high unstability, is described. Culture broths of Acremonium chrysogenum TD189, a strain blocked in cephalosporin biosynthesis that accumulates this metabolite, were treated with acetone and filtered though charcoal and a hydrophobic resin in a single step as tandem columns. The cleared broth was then lyophilized and passed though a Sephadex G-25 column. The last step was the purification to homogeneity of IPN in a semipreparative HPLC equipment and, optionally, a desalting step by Sephadex G-10 column. Once purified, a complete analysis of the stability of the compound and the conditions for its long-term storage was carried out. Our results suggest a first-order model for IPN decomposition for all the pH and temperature analyzed. IPN is more stable at neutral pH, and once lyophilized, can be stored under vacuum and -75 degrees C with a half-life of 770 days. The Journal of Antibiotics (2011) 64, 447-451; doi:10.1038/ja.2011.30; published online 27 April 2011</t>
  </si>
  <si>
    <t>; Vaca, Inmaculada/I-2758-2013</t>
  </si>
  <si>
    <t>Casqueiro, Javier/0000-0001-9046-2708; Vaca, Inmaculada/0000-0002-8952-9036; Chavez, Renato/0000-0003-1754-3610</t>
  </si>
  <si>
    <t>0021-8820</t>
  </si>
  <si>
    <t>10.1038/ja.2011.30</t>
  </si>
  <si>
    <t>WOS:000292090800006</t>
  </si>
  <si>
    <t>Martínez, D; Otero, A; Alvarez, C; Pazos, F; Tejuca, M; Lanio, ME; Gutiérrez-Aguirre, I; Barlic, A; Iloro, I; Arrondo, JL; González-Manas, JM; Lissi, E</t>
  </si>
  <si>
    <t>Martinez, Diana; Otero, Anabel; Alvarez, Carlos; Pazos, Fabiola; Tejuca, Mayra; Lanio, Maria Eliana; Gutierrez-Aguirre, Ion; Barlic, Ariana; Iloro, Ibon; Arrondo, Jose Luis; Gonzalez-Manas, Juan Manuel; Lissi, Eduardo</t>
  </si>
  <si>
    <t>Effect of sphingomyelin and cholesterol on the interaction of St II with lipidic interfaces</t>
  </si>
  <si>
    <t>Sticholysin II (St II) is a cytolysin produced by the sea anemone Stichodactyla helianthus, characterized by forming oligomeric pores in natural and artificial membranes. In the present work the influence of the membrane lipidic components sphingomyelin (SM) and cholesterol (Cho) on binding and functional activity of St II, was evaluated using ELISA, lipid monolayers and liposomes. The aim of this work was to establish the promoting role of Cho and SM, both in St II binding and pore formation efficiency. In general the association (evaluated by ELISA and incorporation to phospholipid monolayers) of St II to lipids mixtures was better than to any one of the single components. Regarding the unique role of SM, it was found that, albeit inefficiently, St II binds to phosphatidylcholine (PC):Cho monolayers and liposomes, and is able to form active pores in these bilayers. The results in monolayers and liposomes show that the presence of SM and large amounts of Cho leads to the highest values of critical pressure and rate of association to monolayers, the most favorable interaction with liposomes, and the fastest rate of pore formation, in spite of the rigidity of the layers as suggested by the high generalized polarization (GP) of Laurdan incorporated to liposomes and FTIR data. Taken together, the present results show that the joint presence of SM and Cho, both in binary and ternary (PC containing) mixtures provide conditions particularly suitable for St II binding and function. We suggest that microdomains present in the bilayers could be important for toxin-membrane association. (c) 2006 Elsevier Ltd. All rights reserved.</t>
  </si>
  <si>
    <t>; Iloro, Ibon/L-6022-2014</t>
  </si>
  <si>
    <t>Barlic, Ariana/0000-0003-4822-142X; GONZALEZ MANAS, JUAN MANUEL/0000-0002-1833-6982; Fabiola, Isabel/0000-0002-9502-2186; Iloro, Ibon/0000-0002-9537-1714; Gutierrez Aguirre, Ion/0000-0002-8348-8616</t>
  </si>
  <si>
    <t>10.1016/j.toxicon.2006.09.019</t>
  </si>
  <si>
    <t>WOS:000243656400008</t>
  </si>
  <si>
    <t>Falomir, H; Gamboa, J; López-Sarrión, J; Méndez, F; da Silva, AJ</t>
  </si>
  <si>
    <t>Vortices, infrared effects and Lorentz invariance violation</t>
  </si>
  <si>
    <t>The Yang-Mills theory with non-commutative fields is constructed following Hamiltonian and Lagrangian methods. This modification of the standard Yang-Mills theory produces spatially localized solutions very similar to those of the standard non-Abelian gauge theories. This modification of the Yang-Mills theory contain in addition to the standard contribution, the term theta(mu)is an element of(mu nu rho lambda)(A(nu)F(rho lambda) + 2/3 A(nu)A(rho)A(lambda)) where theta(mu) is 3 P a given space-like constant vector with canonical dimension of energy. The A(mu) field rescaling and the choice theta(mu) = (0, 0, 0, theta), suggest the equivalence between the Yang-Mills-Chem-Simons theory in 2 + 1 dimensions and QCD in 3 + 1 dimensions in the heavy fermionic excitations limit. Thus, the Yang-Mills-Chern-Simons theory in 2 + I dimensions could be a codified way to QCD with only heavy quarks. The classical solutions of the modified Yang-Mills theory for the SU(2) gauge group are explicitly studied. (c) 2005 Elsevier B.V. All rights reserved.</t>
  </si>
  <si>
    <t>Lopez Sarrion, Justo Javier/0000-0002-2868-194X; Mendez, Fernando/0000-0002-9257-9552; Falomir, Horacio/0000-0001-8188-1062</t>
  </si>
  <si>
    <t>5-6</t>
  </si>
  <si>
    <t>10.1016/j.physletb.2005.11.034</t>
  </si>
  <si>
    <t>WOS:000234786400024</t>
  </si>
  <si>
    <t>Celedon, G; Venegas, F; Campos, AM; Lanio, ME; Martinez, D; Soto, C; Alvarez, C; Lissi, E</t>
  </si>
  <si>
    <t>Role of endogenous channels in red blood cells response to their exposure to the pore forming toxin Sticholysin II</t>
  </si>
  <si>
    <t>Sticholysin II (St II) is a highly hemolytic cytolysin isolated from the sea anemone Stichodactyla heliantus. The toxin hemolytic action takes place through the formation of channels that provoke an electrolyte unbalance leading to osmotic shock. The lytic event must involve the exchange of electrolytes and the entrance of water, leading to red blood cell disruption. These processes can occur through St II pores and/or the endogenous red blood cells transporters. In order to evaluate the contribution of these channels to water, anion and cation transport, we have measured the hemolysis and K+ efflux rates in the presence of several specific inhibitors. The results obtained in the presence of Hg, an AQP1 blocker, indicate that water transport through these channels is not essential for the occurrence of the lytic process induced by St II. The data also support a partial role of K+ and anion transporters. In parlicular, they are compatible with a preferential K+ efflux though the K+/Cl- co-transport as a response to the promoted swelling. Furthermore, they suggest that chloride influx, a process that can regulate both K+ efflux and lysis, is partially mediated by the endogenous cell transporters, in particular, band-3 anion exchange system being relevant at early stages of the lytic process. (c) 2005 Elsevier Ltd. All rights reserved.</t>
  </si>
  <si>
    <t>Campos Staffico, Alessandra/IOK-4172-2023</t>
  </si>
  <si>
    <t>10.1016/j.toxicon.2005.04.017</t>
  </si>
  <si>
    <t>WOS:000231405900008</t>
  </si>
  <si>
    <t>Reina, M; González-Coloma, A; Gutiérrez, C; Cabrera, R; Rodríguez, ML; Fajardo, V; Villarroel, L</t>
  </si>
  <si>
    <t>Defensive chemistry of Senecio miser</t>
  </si>
  <si>
    <t>Three eremophilanolides, 1 alpha -acetoxy-8 beta -methoxy-10 betaH-eremophil-7(11)-en-8 alpha ,12-olide (1); 1 alpha -angeloyloxy-6 beta -hydroxy-8 beta -methoxy-10 betaH-eremophil-7(11)-en-8 alpha ,12-olide (2); and 1 alpha -angeloyloxy-8 betaH,10 betaH-eremophil-7(11)-en-8 alpha ,12-olide (3), and two pyrrolizidine alkaloids, integerrimine (4) and its N-oxide (5), were isolated from bioactive fractions of Senecio miser. The structures of the new compounds 1 and 2 were established by NMR spectroscopic analysis and chemical transformation. The X-ray analysis of compound 1 was also performed. Eremophilanolides 1 and 2 and alkaloids 4 and 5 were found to be strong insect antifeedants, further supporting a proposed defensive role for these classes of compounds.</t>
  </si>
  <si>
    <t>Cabrera, Raimundo/H-9339-2015; GONZALEZ-COLOMA, AZUCENA/G-8781-2015</t>
  </si>
  <si>
    <t>Cabrera, Raimundo/0000-0002-9512-7754; GONZALEZ-COLOMA, AZUCENA/0000-0001-5124-664X; Gutierrez, Carmen/0000-0001-5829-6906</t>
  </si>
  <si>
    <t>10.1021/np000114o</t>
  </si>
  <si>
    <t>WOS:000166696400003</t>
  </si>
  <si>
    <t>Bolados, CC; Meneses, SD; Cursach, J; Díaz, FV; Valenzuela, CF; Trelles, LR; Torres, H; Fuentes, A</t>
  </si>
  <si>
    <t>Bolados, Cristian Cofre; Meneses, Sergio Duarte; Cursach, John; Diaz, Felix Vidal; Valenzuela, Claudio Farias; Trelles, Loreto Rojas; Torres, Hernan; Fuentes, Adolfo</t>
  </si>
  <si>
    <t>Velocity loss in sprint with resisted sled in highly competitive young female soccer players</t>
  </si>
  <si>
    <t>The literature presents a variety of methods to improve acceleration speed, such as resisted sled sprint training. The aim of this study was to describe the behavior of time, speed, and speed loss when executing accelerations in 20 meters without load and with a resistance sled with loads equivalent to 8%, 12%, and 15% of body weight. It corresponded to a descriptive cross-sectional study. A repeated measures ANOVA analysis was performed for the four conditions: acceleration race without resistance; with 8% of body weight; 12% of body weight; and 15% of body weight in time in seconds to travel the first 10 meters; the 10 to 20 meter section; and the entire distance from 0 to 20 meters; speed in km/h to travel from 0 to 10 meters; from 10 to 20 meters; and from 0 to 20 meters; speed loss with different loads, contrasted with running without resistance; from 0 to 10 meters; from 10 to 20 meters; and from 0 to 20 meters. The sled training showed limited speed losses with very light resistances of 8%, while light resistances of 12% and 15% produced significant losses over the average speed, exceeding the threshold that affected the kinetics and kinematics of the acceleration race.</t>
  </si>
  <si>
    <t>WOS:001360797000010</t>
  </si>
  <si>
    <t>Salles, PA; Terán-Jimenez, M; Vidal-Santoro, A; Chaná-Cuevas, P; Kauffman, M; Espay, AJ</t>
  </si>
  <si>
    <t>Salles, Philippe A.; Teran-Jimenez, Merida; Vidal-Santoro, Alvaro; Chana-Cuevas, Pedro; Kauffman, Marcelo; Espay, Alberto J.</t>
  </si>
  <si>
    <t>Recognizing Atypical Dopa-Responsive Dystonia and Its Mimics</t>
  </si>
  <si>
    <t>NEUROLOGY-CLINICAL PRACTICE</t>
  </si>
  <si>
    <t>Purpose of Review Dopa-responsive dystonia (DRD) encompasses a group of phenotypically and genetically heterogeneous neurochemical disorders. Classic GTP cyclohydrolase 1 (GCH-1)-associated DRD consists of early-onset lower limb asymmetrical dystonia, with sleep benefit, diurnal variation, and excellent and sustained response to low L-dopa doses. Recent Findings Unlike the classic phenotype, GCH-1-associated DRD may include features inconsistent with the original phenotype. We describe a GCH-1-associated late-onset DRD case with a family history of parkinsonism and cervical dystonia whose response to levodopa was poor and complicated with dyskinesia, blepharospasm, and severe nonmotor symptoms. We use this case as a springboard to review the spectrum of atypical DRD, DRD-plus, and DRD mimics. Summary GCH-1-related dystonia may exhibit wide intrafamilial phenotypic variability, no diurnal fluctuation, poor response to L-dopa, and such complications as dyskinesia, epilepsy, sleep disorders, autonomic dysfimction, oculogyric crisis, myoclonus, or tics. More recently, rare GCH-1 variants have been found to be associated with Parkinson disease. Clinicians should be aware of atypical DRD, DRD-plus, and DRD mimics.</t>
  </si>
  <si>
    <t>Espay, Alberto/AAC-4255-2020; Chana-Cuevas, Pedro/AAM-8215-2020</t>
  </si>
  <si>
    <t>2163-0402</t>
  </si>
  <si>
    <t>2163-0933</t>
  </si>
  <si>
    <t>E876</t>
  </si>
  <si>
    <t>E884</t>
  </si>
  <si>
    <t>10.1212/CPJ.0000000000001125</t>
  </si>
  <si>
    <t>WOS:000756835200010</t>
  </si>
  <si>
    <t>de Victo, ER; Ferrari, G; Solé, D; Pires, CAM; Araújo, TL; Katzmarzyk, PT; Matsudo, VKR</t>
  </si>
  <si>
    <t>de Victo, Eduardo Rossato; Ferrari, Gerson; Sole, Dirceu; Miranda Pires, Carlos Andre; Araujo, Timoteo Leandro; Katzmarzyk, Peter T.; Rodrigues Matsudo, Victor Keihan</t>
  </si>
  <si>
    <t>Association between the consumption of breakfast and the recommendation of physical activity and the nutritional status in children</t>
  </si>
  <si>
    <t>CIENCIA &amp; SAUDE COLETIVA</t>
  </si>
  <si>
    <t>The scope of this article is to associate breakfast consumption (BC) with moderate to vigorous physical activity (MVPA) intensity and the nutritional status of children aged 9-11. The sample consisted of 432 children from Sao Caetano do Sul participating in the International Study of Childhood Obesity Lifestyle and the Environment. Data were collected between 2012 and 2013. The weekly BC was obtained using the self-reported method. To measure MVPA, children used accelerometers and were classified into two groups (&lt;60 versus &gt;= 60 min/day). The nutritional status was presented by body mass index (BMI). Logistic regression models were used, adjusted for gender, age, race, parental educational level and eating score. The mean BC was 5.25 (CI95%: 5.1-5.4) days/week and the MVPA was 59.29 (CI95%: 57.3-61.7) min/day. In the total sample, 55.8% of the children did not perform &gt;= 60 min/day of MVPA and 50.2% were overweight or obese. The daily BC was not associated with MVPA, however, it reduced the odds of children being overweight or obese (OR: 0.51; CI95%: 0.34-0.76; p=0.001). Daily BC reduced the odds of excess weight or obesity in children, though it did not increase the chances of children meeting the recommendations of MVPA. Public policies should encourage daily BC to prevent excess weight or obesity.</t>
  </si>
  <si>
    <t>Victo, Eduardo/JQI-9333-2023; Solé, Dirceu/JAO-0340-2023; Ferrari, Gerson/ABG-6635-2021; Ferrari, Gerson/P-1152-2014; Katzmarzyk, Peter/N-1974-2017; Pires, Carlos/N-9271-2014</t>
  </si>
  <si>
    <t>Ferrari, Gerson/0000-0003-3177-6576; Rossato de Victo, Eduardo/0000-0002-4409-741X; Sole, Dirceu/0000-0002-3579-0861; Katzmarzyk, Peter/0000-0002-9280-6022; Pires, Carlos/0000-0001-9190-1119; Araujo, Timoteo/0000-0002-6114-3916</t>
  </si>
  <si>
    <t>1413-8123</t>
  </si>
  <si>
    <t>1678-4561</t>
  </si>
  <si>
    <t>10.1590/1413-81232021269.2.30712019</t>
  </si>
  <si>
    <t>WOS:000691884100048</t>
  </si>
  <si>
    <t>Pérez-Stuardo, D; Espinoza, A; Tapia, S; Morales-Reyes, J; Barrientos, C; Vallejos-Vidal, E; Sandino, AM; Spencer, E; Toro-Ascuy, D; Rivas-Pardo, JA; Reyes-López, FE; Reyes-Cerpa, S</t>
  </si>
  <si>
    <t>Perez-Stuardo, Diego; Espinoza, Allison; Tapia, Sebastian; Morales-Reyes, Jonathan; Barrientos, Claudio; Vallejos-Vidal, Eva; Sandino, Ana M.; Spencer, Eugenio; Toro-Ascuy, Daniela; Rivas-Pardo, J. Andres; Reyes-Lopez, Felipe E.; Reyes-Cerpa, Sebastian</t>
  </si>
  <si>
    <t>Non-Specific Antibodies Induce Lysosomal Activation in Atlantic Salmon Macrophages Infected by Piscirickettsia salmonis</t>
  </si>
  <si>
    <t>Piscirickettsia salmonis, an aggressive intracellular pathogen, is the etiological agent of salmonid rickettsial septicemia (SRS). This is a chronic multisystemic disease that generates high mortalities and large losses in Chilean salmon farming, threatening the sustainability of the salmon industry. Previous reports suggest that P. salmonis is able to survive and replicate in salmonid macrophages, inducing an anti-inflammatory environment and a limited lysosomal response that may be associated with host immune evasion mechanisms favoring bacterial survival. Current control and prophylaxis strategies against P. salmonis (based on the use of antibiotics and vaccines) have not had the expected success against infection. This makes it urgent to unravel the host-pathogen interaction to develop more effective therapeutic strategies. In this study, we evaluated the effect of treatment with IgM-beads on lysosomal activity in Atlantic salmon macrophage-enriched cell cultures infected with P. salmonis by analyzing the lysosomal pH and proteolytic ability through confocal microscopy. The impact of IgM-beads on cytotoxicity induced by P. salmonis in infected cells was evaluated by quantification of cell lysis through release of Lactate Dehydrogenase (LDH) activity. Bacterial load was determined by quantification of 16S rDNA copy number by qPCR, and counting of colony-forming units (CFU) present in the extracellular and intracellular environment. Our results suggest that stimulation with antibodies promotes lysosomal activity by lowering lysosomal pH and increasing the proteolytic activity within this organelle. Additionally, incubation with IgM-beads elicits a decrease in bacterial-induced cytotoxicity in infected Atlantic salmon macrophages and reduces the bacterial load. Overall, our results suggest that stimulation of cells infected by P. salmonis with IgM-beads reverses the modulation of the lysosomal activity induced by bacterial infection, promoting macrophage survival and bacterial elimination. This work represents a new important evidence to understand the bacterial evasion mechanisms established by P. salmonis and contribute to the development of new effective therapeutic strategies against SRS.</t>
  </si>
  <si>
    <t>Reyes-López, Felipe/S-1760-2018; Tapia, Sebastian/ABB-6644-2021; Toro-Ascuy, Daniela/JDC-8224-2023; Vallejos-Vidal, Eva/R-9606-2019</t>
  </si>
  <si>
    <t>Toro-Ascuy, Daniela/0000-0002-2563-9711; Vallejos-Vidal, Eva/0000-0002-3091-2700; Perez Stuardo, Diego Emilio/0009-0003-0944-4716; Reyes-Lopez, Felipe E./0000-0002-5001-457X; Rivas Pardo, Andres/0000-0002-8304-3238; Reyes, Sebastian/0000-0002-7676-1266</t>
  </si>
  <si>
    <t>NOV 12</t>
  </si>
  <si>
    <t>10.3389/fimmu.2020.544718</t>
  </si>
  <si>
    <t>WOS:000592347800001</t>
  </si>
  <si>
    <t>Zeppilli, M; Chouchane, H; Scardigno, L; Mahjoubi, M; Gacitua, M; Askri, R; Cherif, A; Majone, M</t>
  </si>
  <si>
    <t>Zeppilli, Marco; Chouchane, Habib; Scardigno, Laura; Mahjoubi, Mouna; Gacitua, Manuel; Askri, Refka; Cherif, Ameur; Majone, Mauro</t>
  </si>
  <si>
    <t>Bioelectrochemical vs hydrogenophilic approach for CO2 reduction into methane and acetate</t>
  </si>
  <si>
    <t>CHEMICAL ENGINEERING JOURNAL</t>
  </si>
  <si>
    <t>Methane and acetate production through CO2 reduction has been tested by using chemoautotrophic microorganisms under bioelectrochemical and hydrogenophilic conditions. For the methanogenic tests, a thermophilic anaerobic sludge has been used as inoculum while the thermal treatment of the anaerobic sludge allowed the acetogenic inoculum selection. The optimal pH has been selected through methane and acetate hydrogenophilic tests at three different pH values (5.5, 6.5, 7.5) while three different cathodic potentials (-0.7, -0.9, -1.1 V vs SHE) have been tested in bioelectrochemical experiments by using the optimum pH value. Both methane and acetate production showed higher efficiency by the use of the bioelectrochemical system instead of the corresponding hydrogenophilic tests, i.e. during the -0.9 V vs SHE bioelectrochemical condition, the efficiency for methane and acetate reached the 95 and 88% while in the hydrogenophilic tests the efficiency resulted considerably lower, with average values of 11% and 16% for methane and acetate, respectively. The higher efficiency of the bioelectrochemical system has been also confirmed by the determination of methane and acetate production rate which shown a 45 and 66% increase with respect the hydrogenophilic tests. The higher efficiency of bioelectrochemical tests has been justified by assuming a higher hydrogen mass transfer from the electrode surface to the attached biofilm. Moreover, the bioelectrochemical tests suggested the presence of a direct electron uptake for methane production, while for the acetate production, a hydrogen mediated mechanism appeared necessary. Finally, the microbial community characterization by the DGGE analysis high-lighted the effectiveness of the thermal treatment for acetogens selection by methanogens inhibition.</t>
  </si>
  <si>
    <t>Gacitua, Manuel/R-8868-2019; Cherif, Ameur/AAC-6136-2021; Zeppilli, Marco/GSI-4807-2022</t>
  </si>
  <si>
    <t>Gacitua, Manuel/0000-0003-0807-2677; Mahjoubi, Mouna/0000-0002-0474-1530; Chouchane, Habib/0000-0002-6310-3758</t>
  </si>
  <si>
    <t>1385-8947</t>
  </si>
  <si>
    <t>1873-3212</t>
  </si>
  <si>
    <t>SEP 15</t>
  </si>
  <si>
    <t>10.1016/j.cej.2020.125243</t>
  </si>
  <si>
    <t>WOS:000551969200071</t>
  </si>
  <si>
    <t>Vallejos-Vidal, E; Reyes-Cerpa, S; Rivas-Pardo, JA; Maisey, K; Yáñez, JM; Valenzuela, H; Cea, PA; Castro-Fernandez, V; Tort, L; Sandino, AM; Imarai, M; Reyes-López, FE</t>
  </si>
  <si>
    <t>Vallejos-Vidal, Eva; Reyes-Cerpa, Sebastian; Andres Rivas-Pardo, Jaime; Maisey, Kevin; Yanez, Jose M.; Valenzuela, Hector; Cea, Pablo A.; Castro-Fernandez, Victor; Tort, Lluis; Sandino, Ana M.; Imarai, Monica; Reyes-Lopez, Felipe E.</t>
  </si>
  <si>
    <t>Single-Nucleotide Polymorphisms (SNP) Mining and Their Effect on the Tridimensional Protein Structure Prediction in a Set of Immunity-Related Expressed Sequence Tags (EST) in Atlantic Salmon (Salmo salar)</t>
  </si>
  <si>
    <t>FRONTIERS IN GENETICS</t>
  </si>
  <si>
    <t>Single-nucleotide polymorphisms (SNPs) are single genetic code variations considered one of the most common forms of nucleotide modifications. Such SNPs can be located in genes associated to immune response and, therefore, they may have direct implications over the phenotype of susceptibility to infections affecting the productive sector. In this study, a set of immune-related genes (cc motif chemokine 19 precursor [ccl19], integrin beta 2 (it beta 2, also named cd18), glutathione transferase omega-1 [gsto-1], heat shock 70 KDa protein [hsp70], major histocompatibility complex class I [mhc-I]) were analyzed to identify SNPs by data mining. These genes were chosen based on their previously reported expression on infectious pancreatic necrosis virus (IPNV)-infected Atlantic salmon phenotype. The available EST sequences for these genes were obtained from the Unigene database. Twenty-eight SNPs were found in the genes evaluated and identified most of them as transition base changes. The effect of the SNPs located on the 5'-untranslated region (UTR) or 3'-UTR upon transcription factor binding sites and alternative splicing regulatory motifs was assessed and ranked with a low-medium predicted FASTSNP score risk. Synonymous SNPs were found on it beta 2 (c.2275G &gt; A), gsto-1 (c.558G &gt; A), and hsp70 (c.1950C &gt; T) with low FASTSNP predicted score risk. The difference in the relative synonymous codon usage (RSCU) value between the variant codons and the wild-type codon (Delta RSCU) showed one negative (hsp70 c.1950C &gt; T) and two positive Delta RSCU values (it beta 2 c.2275G &gt; A; gsto-1 c.558G &gt; A), suggesting that these synonymous SNPs (sSNPs) may be associated to differences in the local rate of elongation. Nonsynonymous SNPs (nsSNPs) in the gsto-1 translatable gene region were ranked, using SIFT and POLYPHEN web-tools, with the second highest (c.205A &gt; G; c484T &gt; C) and the highest (c.499T &gt; C; c.769A &gt; C) predicted score risk possible. Using homology modeling to predict the effect of these nonsynonymous SNPs, the most relevant nucleotide changes for gsto-1 were observed for the nsSNPs c.205A &gt; G, c484T &gt; C, and c.769A &gt; C. Molecular dynamics was assessed to analyze if these GSTO-1 variants have significant differences in their conformational dynamics, suggesting these SNPs could have allosteric effects modulating its catalysis. Altogether, these results suggest that candidate SNPs identified may play a crucial potential role in the immune response of Atlantic salmon.</t>
  </si>
  <si>
    <t>Yáñez, José/H-5279-2013; Reyes-López, Felipe/S-1760-2018; Maisey, Kevin/AAP-2886-2021; Tort, Lluis/H-5650-2011; Castro-Fernandez, Victor/K-9621-2018; Vallejos-Vidal, Eva/R-9606-2019</t>
  </si>
  <si>
    <t>Cea, Pablo A./0000-0002-2265-3980; Maisey, Kevin/0000-0002-7423-6329; Castro-Fernandez, Victor/0000-0002-4309-6415; Reyes, Sebastian/0000-0002-7676-1266; Tort, Lluis/0000-0002-3907-722X; Vallejos-Vidal, Eva/0000-0002-3091-2700; Rivas Pardo, Andres/0000-0002-8304-3238; Reyes-Lopez, Felipe E./0000-0002-5001-457X</t>
  </si>
  <si>
    <t>1664-8021</t>
  </si>
  <si>
    <t>FEB 27</t>
  </si>
  <si>
    <t>10.3389/fgene.2019.01406</t>
  </si>
  <si>
    <t>WOS:000525201700001</t>
  </si>
  <si>
    <t>Ahmad, H; Boutaous, M; Xin, SH; Pabiou, H; Siginer, DA</t>
  </si>
  <si>
    <t>ASME</t>
  </si>
  <si>
    <t>Ahmad, Hafiz; Boutaous, M'hamed; Xin, Shihe; Pabiou, Herve; Siginer, Dennis A.</t>
  </si>
  <si>
    <t>RHEOLOGICAL CHARACTERIZATION OF POLYETHYLENE OXIDE (PEO): AN EXPERIMENTAL STEADY STATE AND TRANSIENT ANALYSIS</t>
  </si>
  <si>
    <t>PROCEEDINGS OF THE ASME 2020 INTERNATIONAL MECHANICAL ENGINEERING CONGRESS AND EXPOSITION, IMECE2020, VOL 10</t>
  </si>
  <si>
    <t>ASME International Mechanical Engineering Congress and Exposition (IMECE)</t>
  </si>
  <si>
    <t>NOV 16-19, 2020</t>
  </si>
  <si>
    <t>Amer Soc Mech Engineers</t>
  </si>
  <si>
    <t>In this paper, the rheological characteristics of aqueous PEO (Polyethylene oxide) solution with very high molecular weight 4x106 g/mol is investigated. Shear flow measurements were carried out in steady and transient modes. The unique behavior of PEO is found to be heavily dependent on the input shear rate and the mechanism of data generation. Generally, PEO is found to be shear-thinning throughout the experiments, but at the start of the experiments at low shear rates, minimum input shear value also affects the shear-thinning behavior. In this study, we investigate the critical method of applying input shear to the samples in the lower shear rate regime. Surprisingly, different input methods yield different results. Viscosity curves obtained through shear flow experiments are found to be significantly dependent on the input method of shear rate. Experimental measurements were validated by Cross and Carreau-Yasuda models.</t>
  </si>
  <si>
    <t>978-0-7918-8458-4</t>
  </si>
  <si>
    <t>V010T10A020</t>
  </si>
  <si>
    <t>WOS:001233269200020</t>
  </si>
  <si>
    <t>Manikandan, V; Denardin, JC; Vigniselvan, S; Mane, RS</t>
  </si>
  <si>
    <t>Manikandan, V; Denardin, Juliano C.; Vigniselvan, S.; Mane, R. S.</t>
  </si>
  <si>
    <t>Structural, dielectric and enhanced soft magnetic properties of lithium (Li) substituted nickel ferrite (NiFe2O4) nanoparticles</t>
  </si>
  <si>
    <t>Li-NiFe2O4 NPs have been prepared by a simple chemical co-precipitation method. The structural analysis of Li-NiFe2O4 nanoparticles with 2-31 nm demonstrates a face centered cubic spinel phase. The scanning electron microscopy and high resolution transmission electron microscopy images highlight moderate good nanocrystalline nature as compared to x=0.4 concentration. The dielectric analysis shows that Li-NiFe2O4 NPs has a high dielectric constant at x=0.2 concentration and then reduced with respect to annealing temperature and concentration. The magnetization curves demonstrate soft magnetic nature where, the saturation and remnant magnetization increases and then coercivity decreases due to increase of annealing temperature and concentration.</t>
  </si>
  <si>
    <t>Denardin, Juliano/S-6407-2019; vairaven, Manikandan/A-8703-2016; Mane, Rajaram/B-8338-2009</t>
  </si>
  <si>
    <t>Venkatraman, Manikandan/0000-0003-4882-2663</t>
  </si>
  <si>
    <t>10.1016/j.jmmm.2018.06.059</t>
  </si>
  <si>
    <t>WOS:000446439300090</t>
  </si>
  <si>
    <t>Jiménez, JR; Díaz-Ortega, IF; Ruiz, E; Aravena, D; Pope, SJA; Colacio, E; Herrera, JM</t>
  </si>
  <si>
    <t>Jimenez, Juan-Ramon; Diaz-Ortega, Ismael F.; Ruiz, Eliseo; Aravena, Daniel; Pope, Simon J. A.; Colacio, Enrique; Manuel Herrera, Juan</t>
  </si>
  <si>
    <t>Lanthanide Tetrazolate Complexes Combining Single-Molecule Magnet and Luminescence Properties: The Effect of the Replacement of Tetrazolate N3 by -Diketonate Ligands on the Anisotropy Energy Barrier</t>
  </si>
  <si>
    <t>CHEMISTRY-A EUROPEAN JOURNAL</t>
  </si>
  <si>
    <t>Three new sets of mononuclear Ln(III) complexes of general formulas [LnL(3)]CH3OH [Ln(III)=Yb (1), Er (2), Dy (3), Gd (4), and Eu (5)], [LnL(2)(tmh)(CH3OH)]nH(2)OmCH(3)OH [Ln(III)=Yb (1b), Er (2b), Dy (3b), Gd (4b)], and [LnL(2)(tta)(CH3OH)]CH3OH [Ln(III)=Yb (1c), Er (2c), Dy (3c), Gd (4c)] were prepared by the reaction of Ln(CF3SO3)nH(2)O salts with the tridentate ligand 2-(tetrazol-5-yl)-1,10-phenanthroline (HL) and, for the last two sets, additionally with the -diketonate ligands 2,2,6,6-tetramethylheptanoate (tmh) and 2-thenoyltrifluoroacetonate (tta), respectively. In the [LnL(3)]CH3OH complexes the Ln(III) ions are coordinated to three phenanthroline tetrazolate ligands with an LnN(9) coordination sphere. Dynamic ac magnetic measurements on 1-3 reveal that these complexes only exhibit single-molecule magnet (SMM) behavior when an external dc magnetic field is applied, with U-eff values of 11.7K (1), 16.0K (2), and 20.2K (3). When the tridentate phenanthroline tetrazolate ligand is replaced by one molecule of methanol and the -diketonate ligand tmh (1b-3b) or tta (1c-3c), a significant increase in U-eff occurs and, in the case of the Dy-III complexes 3b and 3c, out-of-phase signals below 15 and 10K, respectively, are observed in zero dc magnetic field. CASSCF+RASSI ab initio calculations performed on the Dy-III complexes support the experimental results. Thus, for 3 the ground Kramers' doublet is far from being axial and the first excited state is found to be very close in energy to the ground state, so the relaxation barrier in this case is almost negligible. Conversely, for 3b and 3c, the ground Kramers' doublet is axial with a small quantum tunneling of the magnetization, and the energy difference between the ground and first Kramers' doublets is much higher, which allows these compounds to behave as SMMs at zero field. Moreover, these calculations support the larger U-eff observed for 3b compared to 3c. Additionally, the solid-state photophysical properties of 1, 2, 4, and 5 show that the phenanthroline tetrazolate ligand can act as an effective antenna to sensitize the characteristic Yb-III, Er-III, and Eu-III emissions through an energy-transfer process.</t>
  </si>
  <si>
    <t>Enrique, Colacio/L-6020-2014; Jiménez, Juan-Ramón/M-9967-2014; Pope, Simon/A-2350-2011; Aravena, Daniel/F-2174-2011; Ruiz, Eliseo/A-6268-2011; Herrera Martinez, Juan Manuel/K-3590-2014; Diaz Ortega, Ismael Francisco/B-3049-2019</t>
  </si>
  <si>
    <t>Ruiz, Eliseo/0000-0001-9097-8499; Herrera Martinez, Juan Manuel/0000-0002-9255-227X; Jimenez-Gallego, Juan-Ramon/0000-0003-3871-3594; Diaz Ortega, Ismael Francisco/0000-0002-6150-4611</t>
  </si>
  <si>
    <t>0947-6539</t>
  </si>
  <si>
    <t>1521-3765</t>
  </si>
  <si>
    <t>10.1002/chem.201601457</t>
  </si>
  <si>
    <t>WOS:000384698500022</t>
  </si>
  <si>
    <t>Sáez, CA; González, A; Contreras, RA; Moody, AJ; Moenne, A; Brown, MT</t>
  </si>
  <si>
    <t>Saez, Claudio A.; Gonzalez, Alberto; Contreras, Rodrigo A.; Moody, A. John; Moenne, Alejandra; Brown, Murray T.</t>
  </si>
  <si>
    <t>A novel field transplantation technique reveals intra-specific metal-induced oxidative responses in strains of Ectocarpus siiiculosus with different pollution histories</t>
  </si>
  <si>
    <t>ENVIRONMENTAL POLLUTION</t>
  </si>
  <si>
    <t>A novel field transplantation technique, in which seaweed material is incorporated into dialysis tubing, was used to investigate intra-specific responses to metals in the model brown alga Ectocarpus siliculosus. Metal accumulation in the two strains was similar, with higher concentrations in material deployed to the metal-contaminated site (Ventanas, Chile) than the pristine site (Quintay, Chile). However, the oxidative responses differed. At Ventanas, strain Es147 (from low-polluted site) underwent oxidative damage whereas Es524 (from highly polluted site) was not affected. Concentrations of reduced ascorbate (ASC) and reduced glutathione (GSH) were significantly higher in Es524. Activities of the antioxidant enzymes superoxide dismutase (SOD), ascorbate peroxidase (APX), catalase (CAT), and glutathione reductase (GR) all increased in Es524, whereas only SOD increased in Es147. For the first time, employing a field transplantation technique, we provide unambiguous evidence of inter-population variation of metal-tolerance in brown algae and establish that antioxidant defences are, in part, responsible. (C) 2015 Elsevier Ltd. All rights reserved.</t>
  </si>
  <si>
    <t>González, Alberto/IYJ-8593-2023; Moody, John/E-5699-2012; Sáez, Claudio/AAP-6923-2021; Contreras, Rodrigo/I-1871-2013; Brown, Murray/K-5291-2014</t>
  </si>
  <si>
    <t>Contreras, Rodrigo/0000-0001-9970-3125; Moody, John/0000-0002-1994-7419; Saez, Claudio/0000-0002-5037-3484; Gonzalez Figueroa, Alberto/0000-0002-5777-9022; Brown, Murray/0000-0003-2655-8611</t>
  </si>
  <si>
    <t>0269-7491</t>
  </si>
  <si>
    <t>1873-6424</t>
  </si>
  <si>
    <t>10.1016/j.envpol.2015.01.026</t>
  </si>
  <si>
    <t>WOS:000351972900017</t>
  </si>
  <si>
    <t>Oyarzabal, I; Ruiz, J; Ruiz, E; Aravena, D; Seco, JM; Colacio, E</t>
  </si>
  <si>
    <t>Oyarzabal, I.; Ruiz, J.; Ruiz, E.; Aravena, D.; Seco, J. M.; Colacio, E.</t>
  </si>
  <si>
    <t>Increasing the effective energy barrier promoted by the change of a counteranion in a Zn-Dy-Zn SMM: slow relaxation via the second excited state</t>
  </si>
  <si>
    <t>The trinuclear complex [ZnCl(mu-L)Dy(mu-L)ClZn]PF6 exhibits a single-molecule magnetic behaviour under zero field with a relatively large effective energy barrier of 186 cm(-1). Ab initio calculations reveal that the relaxation of the magnetization is symmetry-driven (the Dy-III ion possesses a C-2 symmetry) and occurs via the second excited state.</t>
  </si>
  <si>
    <t>Oyarzabal, Itziar/IWD-7437-2023; Enrique, Colacio/L-6020-2014; Ruiz, Eliseo/A-6268-2011; Seco, Jose Manuel/S-2722-2018; Aravena, Daniel/F-2174-2011; Oyarzabal, Itziar/F-6650-2012</t>
  </si>
  <si>
    <t>Ruiz, Jose/0000-0002-4733-4599; Ruiz, Eliseo/0000-0001-9097-8499; Seco, Jose Manuel/0000-0002-5131-6764; Aravena, Daniel/0000-0003-3140-4852; Oyarzabal, Itziar/0000-0001-9149-2511</t>
  </si>
  <si>
    <t>10.1039/c5cc04495b</t>
  </si>
  <si>
    <t>WOS:000358346600002</t>
  </si>
  <si>
    <t>Marthelot, J; Roman, B; Bico, J; Teisseire, J; Dalmas, D; Melo, F</t>
  </si>
  <si>
    <t>Marthelot, Joel; Roman, Benoit; Bico, Jose; Teisseire, Jeremie; Dalmas, Davy; Melo, Francisco</t>
  </si>
  <si>
    <t>Self-Replicating Cracks: A Collaborative Fracture Mode in Thin Films</t>
  </si>
  <si>
    <t>Straight cracks are observed in thin coatings under residual tensile stress, resulting into the classical network pattern observed in china crockery, old paintings, or dry mud. Here, we present a novel fracture mechanism where delamination and propagation occur simultaneously, leading to the spontaneous self-replication of an initial template. Surprisingly, this mechanism is active below the standard critical tensile load for channel cracks and selects a robust interaction length scale on the order of 30 times the film thickness. Depending on triggering mechanisms, crescent alleys, spirals, or long bands are generated over a wide range of experimental parameters. We describe with a simple physical model, the selection of the fracture path and provide a configuration diagram displaying the different failure modes.</t>
  </si>
  <si>
    <t>Melo, Francisco/M-3923-2014; Marthelot, Joel/B-2209-2015; Roman, Benoit/C-6273-2014; Bico, Jose/Q-1614-2015</t>
  </si>
  <si>
    <t>Melo, Francisco Esteban/0000-0001-6818-5476; Roman, Benoit/0000-0002-1473-2734; Bico, Jose/0000-0002-3872-1239; DALMAS, Davy/0000-0001-6010-8804; Marthelot, Joel/0000-0002-8682-9535</t>
  </si>
  <si>
    <t>AUG 20</t>
  </si>
  <si>
    <t>10.1103/PhysRevLett.113.085502</t>
  </si>
  <si>
    <t>WOS:000346504200008</t>
  </si>
  <si>
    <t>Vargas, E; Denardin, JC; Lavín, R; Mascaró, P; Chaneac, C; Coradin, T</t>
  </si>
  <si>
    <t>Vargas, E.; Denardin, J. C.; Lavin, R.; Mascaro, P.; Chaneac, C.; Coradin, T.</t>
  </si>
  <si>
    <t>Magnetization analysis of oriented chains of hexagonal cobalt nanoplates</t>
  </si>
  <si>
    <t>58th Annual Conference on Magnetism and Magnetic Materials</t>
  </si>
  <si>
    <t>NOV 04-08, 2013</t>
  </si>
  <si>
    <t>High quality single-crystalline hexagonal cobalt nanoplates have been obtained by a simple chemical reduction method using ultrasonic assistance. Individual nanoplates tend to form agglomerates due to their strong in-plane anisotropy. These particles were incorporated within a polyethylene matrix by a solution blending method and arrays of magnetic chains were generated by solidification of the solution of nanoparticles in the presence of a magnetic field. The easy axis of the Co plates is oriented along the field, in the direction of the chains length. Micromagnetic simulations, magnetic measurements, and FORC diagrams are used to clarify the complex magnetic behavior in these systems. (C) 2014 AIP Publishing LLC.</t>
  </si>
  <si>
    <t>Chaneac, Corinne/C-2846-2017; Coradin, Thibaud/L-8932-2013; Denardin, Juliano/S-6407-2019; Vargas, Edson/E-8344-2015</t>
  </si>
  <si>
    <t>Denardin, Juliano/0000-0002-1373-6207; Coradin, Thibaud/0000-0003-3374-5722</t>
  </si>
  <si>
    <t>17B521</t>
  </si>
  <si>
    <t>10.1063/1.4867345</t>
  </si>
  <si>
    <t>WOS:000335643700213</t>
  </si>
  <si>
    <t>Garcia, GC; Osses, A; Tapia, M</t>
  </si>
  <si>
    <t>Garcia, Galina C.; Osses, Axel; Tapia, Marcelo</t>
  </si>
  <si>
    <t>A heat source reconstruction formula from single internal measurements using a family of null controls</t>
  </si>
  <si>
    <t>JOURNAL OF INVERSE AND ILL-POSED PROBLEMS</t>
  </si>
  <si>
    <t>We consider the inverse problem of determining the spatial dependence f (x) of the source term in a heat equation partial derivative(t)u - gamma Delta u = f (x)sigma(t) in Omega x (0,T) assuming sigma(t) known, from a single internal measurements of the solution in O x (0, T). The purpose of this paper is to establish a reconstruction formula for f (x) similar to the one obtained by M. Yamamoto in Stability, Reconstruction formula and regularization for an inverse source hyperbolic problem by a control method, Inverse Problems 11 (1995), 481-496, for hyperbolic equations using exact controls, and generalized here for parabolic equations. The reconstruction formula is associated to a family of exact controls v((tau)) indexed by tau is an element of (0, T). We perform numerical simulations in order to illustrate the feasibility, accuracy and stability of the proposed reconstruction formula.</t>
  </si>
  <si>
    <t>Osses, Axel/AAG-4825-2019; Garcia, Galina/U-1019-2017; Osses, Axel/I-6366-2016</t>
  </si>
  <si>
    <t>Osses, Axel/0000-0001-6833-4064; Garcia, Galina C./0000-0003-2188-6368</t>
  </si>
  <si>
    <t>0928-0219</t>
  </si>
  <si>
    <t>1569-3945</t>
  </si>
  <si>
    <t>10.1515/jip-2011-0001</t>
  </si>
  <si>
    <t>WOS:000327873700003</t>
  </si>
  <si>
    <t>Atala, E; Velásquez, G; Vergara, C; Mardones, C; Reyes, J; Tapia, RA; Quina, F; Mendes, MA; Speisky, H; Lissi, E; Ureta-Zañartu, MS; Aspée, A; López-Alarcón, C</t>
  </si>
  <si>
    <t>Atala, E.; Velasquez, G.; Vergara, C.; Mardones, C.; Reyes, J.; Tapia, R. A.; Quina, F.; Mendes, M. A.; Speisky, H.; Lissi, E.; Ureta-Zanartu, M. S.; Aspee, A.; Lopez-Alarcon, C.</t>
  </si>
  <si>
    <t>Mechanism of Pyrogallol Red Oxidation Induced by Free Radicals and Reactive Oxidant Species. A Kinetic and Spectroelectrochemistry Study</t>
  </si>
  <si>
    <t>Pyrogallol red (PGR) presents high reactivity toward reactive (radical and nonradical) species (RS). This property of PGR, together with its characteristic spectroscopic absorption in the visible region, has allowed developing methodologies aimed at evaluating the antioxidant capacity of foods, beverages, and human fluids. These methods are based on the evaluation of the consumption of PGR induced by RS and its inhibition by antioxidants. However, at present, there are no reports regarding the degradation mechanism of PGR, limiting the extrapolation to. how antioxidants behave in different systems comprising different RS, In the present study, we evaluate the kinetics of PGR consumption promoted by different RS (peroxyl radicals, peroxynitrite, nitrogen dioxide, and hypochlorite) using spectroscopic techniques and detection of product by HPLC mass speetrometry. The same pattern of oxidation and spectroscopic properties of the products is observed, independently of the RS employed. Mass analysis indicates the formation of only one product identified as a quinone derivative, excluding the formation of peroxides or hydroperoxides and/or chlorinated compounds, in agreement with Fors assays and. oxygen consumption experiments. Cyclic voltammetry, carried out at different pH's, shows an irreversible oxidation of PGR, indicating the initial formation of a Phenoxy radical and a second charge transfer reaction generating an ortho-quinone derivative. Spectroelectrochemical oxidation of PGR shows oxidation products With identical UV-visible absorption properties to those observed in RS-induced oxidation.</t>
  </si>
  <si>
    <t>Lopez, Camilo/J-5770-2013; Tapia, Ricardo/T-7170-2017; Ureta-Zañartu, Maria/G-5239-2019; SPEISKY, HERNAN/E-6146-2013; Vergara, Carola/AAB-2317-2020; Mardones, Claudia/AAI-2850-2021; Quina, Frank/H-2255-2012; Mendes, Maria Anita/C-6372-2014</t>
  </si>
  <si>
    <t>Lopez, Camilo/0000-0002-0174-8972; Quina, Frank/0000-0003-2981-3390; Mendes, Maria Anita/0000-0002-2078-9286; Reyes, Jael/0000-0001-5478-9017; Mardones, Claudia/0000-0002-1645-1610; Vergara, Carola/0000-0003-4865-1729; Tapia, Ricardo/0000-0003-4407-3845</t>
  </si>
  <si>
    <t>10.1021/jp400423w</t>
  </si>
  <si>
    <t>WOS:000318536700016</t>
  </si>
  <si>
    <t>Dávila, J; Flores, I; Guerra, I</t>
  </si>
  <si>
    <t>Davila, Juan; Flores, Isabel; Guerra, Ignacio</t>
  </si>
  <si>
    <t>Multiplicity of solutions for a fourth order problem with exponential nonlinearity</t>
  </si>
  <si>
    <t>JOURNAL OF DIFFERENTIAL EQUATIONS</t>
  </si>
  <si>
    <t>Let B be the unit ball in R-N, N &gt;= 5 and n be the exterior unit normal vector on the boundary. We consider radial. solutions to Delta(2)u = lambda e(u) in B, u = 0 and partial derivative u/partial derivative n = 0 on partial derivative B, where lambda &gt;= 0. We show that there exists a unique lambda(S) &gt; 0 such that if lambda = lambda(S) there is a radial singular solution. If 5 &lt;= N &lt;= 12 then for lambda = lambda(S) there exist infinitely many regular radial solutions and as lambda -&gt; lambda(S) the number of such solutions goes to infinity. If N &gt;= 13 we prove uniqueness of smooth radial solutions. We derive similar results for the same equation with Navier boundary conditions. (C) 2009 Elsevier Inc. All rights reserved.</t>
  </si>
  <si>
    <t>Davila, Juan/H-9082-2012</t>
  </si>
  <si>
    <t>0022-0396</t>
  </si>
  <si>
    <t>1090-2732</t>
  </si>
  <si>
    <t>10.1016/j.jde.2009.07.023</t>
  </si>
  <si>
    <t>WOS:000271209000011</t>
  </si>
  <si>
    <t>Henriquez, S; Tapia, A; Quezada, M; Vargas, M; Cardenas, H; Rios, M; Salvatierra, AM; Croxatto, H; Orihuela, P; Zegers-Hochschild, F; Munroe, DJ; Velasquez, L</t>
  </si>
  <si>
    <t>Henriquez, S.; Tapia, A.; Quezada, M.; Vargas, M.; Cardenas, H.; Rios, M.; Salvatierra, A. M.; Croxatto, H.; Orihuela, P.; Zegers-Hochschild, F.; Munroe, D. J.; Velasquez, L.</t>
  </si>
  <si>
    <t>Deficient expression of monoamine oxidase A in the endometrium is associated with implantation failure in women participating as recipients in oocyte donation</t>
  </si>
  <si>
    <t>MOLECULAR HUMAN REPRODUCTION</t>
  </si>
  <si>
    <t>Successful implantation depends both on the quality of the embryo and on the endometrial receptivity. The latter depends on progesterone-induced changes in gene expression, a process that has been characterized by microarray analysis. One of the genes whose transcription appears to be enhanced during the receptive period is monoamine oxidase A (MAO-A). Our first objective was to confirm the increased expression of MAO-A in the endometrium during the receptive phase of spontaneous normal cycles using real time PCR and immunofluorescence. The second objective was to examine the endometrial expression of MAO-A during the receptive phase induced by exogenous estradiol (E-2) and progesterone in patients whose endometrium was shown to have been either receptive or non-receptive to embryo implantation in repeated cycles of oocyte donation. Results showed that MAO-A transcript levels increased between the pre-receptive (LH+3) and receptive phase (LH+7) in all spontaneous cycles examined, with a median increase of 25-fold. Immunofluorescent labelling demonstrated MAO-A localization to the glandular and luminal epithelium with an increasing positive score between LH+3 and LH+7. Conversely, prior failure of embryo implantation was associated with a 29-fold decrease in MAO-A mRNA levels and a substantial reduction in MAO-A protein immunofluorescent label score. These results show a strong association between endometrial receptivity and MAO-A expression in the endometrial epithelium, suggesting an important role for this enzyme in normal implantation.</t>
  </si>
  <si>
    <t>Velasquez, Luis/0000-0002-9479-1792; Henriquez, Soledad/0000-0003-3507-6534</t>
  </si>
  <si>
    <t>1460-2407</t>
  </si>
  <si>
    <t>10.1093/molehr/gal082</t>
  </si>
  <si>
    <t>WOS:000242272100004</t>
  </si>
  <si>
    <t>Corrales, T; Peinado, C; Catalina, F; Neumann, MG; Allen, NS; Rufs, AM; Encinas, MV</t>
  </si>
  <si>
    <t>Photopolymerization of methyl methacrylate initiated by thioxanthone derivatives: photoinitiation mechanism</t>
  </si>
  <si>
    <t>The photopolymerization of methyl methacrylate initiated by substituted thioxanthones in the presence of an amine has been investigated. The polymerization rates in acetonitrile were measured at several amine concentrations. The dependence of the polymerization rates with the amine concentration and the photoinitiation efficiency at a given amine concentration are highly dependent on the ketone structure. The rare constants for the quenching of thioxanthones excited states by the monomer and the amine were measured by fluorescence and laser hash photolysis, under the polymerization conditions. These data show that the reactivity of the ketone is also highly dependent on the ketone structure. The values of the quenching rate constants show that the initiation efficiency is controlled by the competition between the quenching of the excited states by the monomer and also the amine. From the latter a mechanism is proposed to simulate the dependence of the polymerization rates with amine concentration. (C) 2000 Elsevier Science Ltd. All rights reserved.</t>
  </si>
  <si>
    <t>Neumann, Miguel/AAM-1395-2021; Encinas, Maria/L-9686-2014; corrales, teresa/AAN-5978-2020; Catalina, Fernando/AAF-2569-2019</t>
  </si>
  <si>
    <t>Catalina, Fernando/0000-0002-4620-8582; Corrales, Teresa/0000-0002-0171-2283</t>
  </si>
  <si>
    <t>10.1016/S0032-3861(00)00292-5</t>
  </si>
  <si>
    <t>WOS:000089297800010</t>
  </si>
  <si>
    <t>Ferreira, GOC; Ferrari, G; Langer, RD; Cossio-Bolanos, M; Gomez-Campos, R; Lazari, E; Moraes, AM</t>
  </si>
  <si>
    <t>Ferreira, Giovana O. C.; Ferrari, Gerson; Langer, Raquel D.; Cossio-Bolanos, Marco; Gomez-Campos, Rossana; Lazari, Evandro; Moraes, Anderson M.</t>
  </si>
  <si>
    <t>Phase angle and its determinants among adolescents: influence of body composition and physical fitness level</t>
  </si>
  <si>
    <t>To examine the association between levels of physical fitness, parameters of body composition and phase angle (PhA) amongst adolescents. A total of 152 adolescents (84 girls) aged 11-16 years were included in this study. Weight and height were measured and the body mass index (BMI) was calculated. Bioelectrical impedance analysis (BIA) provided resistance and reactance parameters to calculate fat-free mass (FFM), PhA and fat mass (%FM). The following physical fitness variables were analysed: flexibility, abdominal muscular endurance, upper and lower limb explosive strength, agility, speed and cardiorespiratory fitness. Generalized Linear Models were applied to verify differences across sexes. Stepwise linear regression was used to establish an association between the variables studied. The study established an association between PhA and weight, FFM, BMI, FM, %FM and medicine ball throw (MBT) for girls. As for the boys, an association was verified between PhA and weight, FFM, BMI, standing long jump (SLJ), MBT and the three allometric VO2peak variables analyzed. An association was found between PhA and the boys' 4-m shuttle run test (4SRT) and 20-m sprint test (20SRT). Boys showed a greater phase angle than girls; In girls, BMI and %FM, were determinant of 32.4% (r = 0.57). PhA variability which is influenced by physical fitness, body composition and, therefore, the tissues electrical conductivity. Furthermore, boys' height, FFM, upper limb strength, and agility account for 58.4% (r = 0.76) PhA variability. There was a positive correlation between the physical fitness tests and the PhA.</t>
  </si>
  <si>
    <t>Ferrari, Gerson/HHM-6173-2022</t>
  </si>
  <si>
    <t>JUN 13</t>
  </si>
  <si>
    <t>10.1038/s41598-024-62546-6</t>
  </si>
  <si>
    <t>WOS:001249273400043</t>
  </si>
  <si>
    <t>Effect of non-covalent self-dimerization on the spectroscopic and electrochemical properties of mixed Cu(i) complexes</t>
  </si>
  <si>
    <t>A series of six new Cu(i) complexes with ([Cu(N-{4-R}pyridine-2-yl-methanimine)(PPh3)Br]) formulation, where R corresponds to a donor or acceptor p-substituent, have been synthesized and were used to study self-association effects on their structural and electrochemical properties. X-ray diffraction results showed that in all complexes the packing is organized from a dimer generated by supramolecular pi stacking and hydrogen bonding. H-1-NMR experiments at several concentrations showed that all complexes undergo a fast-self-association monomer-dimer equilibrium in solution, while changes in resonance frequency towards the high or low field in specific protons of the imine ligand allow establishing that dimers have similar structures to those found in the crystal. The thermodynamic parameters for this self-association process were calculated from dimerization constants determined by VT-H-1-NMR experiments for several concentrations at different temperatures. The values for K-D (4.0 to 70.0 M-1 range), Delta H (-1.4 to -2.6 kcal mol(-1) range), Delta S (-0.2 to 2.1 cal mol(-1) K-1 range), and Delta G(298) (-0.8 to -2.0 kcal mol(-1) range) are of the same order and indicate that the self-dimerization process is enthalpically driven for all complexes. The electrochemical profile of the complexes shows two redox Cu(ii)/Cu(i) processes whose relative intensities are sensitive to concentration changes, indicating that both species are in chemical equilibrium, with the monomer and the dimer having different electrochemical characteristics. We associate this behaviour with the structural lability of the Cu(i) centre that allows the monomeric molecules to reorder conformationally to achieve a more adequate assembly in the non-covalent dimer. As expected, structural properties in the solid and in solution, as well as their electrochemical properties, are not correlated with the electronic parameters usually used to evaluate R substituent effects. This confirms that the properties of the Cu(i) complexes are usually more influenced by steric effects than by the inductive effects of substituents of the ligands. In fact, the results obtained showed the importance of non-covalent intermolecular interactions in the structuring of the coordination geometry around the Cu centre and in the coordinative stability to avoid dissociative equilibria.</t>
  </si>
  <si>
    <t>Jara, Danilo/A-6090-2017; Silva, Carlos/IQS-5583-2023</t>
  </si>
  <si>
    <t>Silva, Carlos P./0000-0001-5344-042X; Vera Oyarce, Cristian/0000-0001-9972-8904; Caceres-Vasquez, Joaquin/0000-0002-0413-9574; Jara Quinteros, Danilo/0000-0001-9752-4465; LEMUS, LUIS/0000-0002-5499-8115; Martinez, Fabian/0000-0001-5802-9816</t>
  </si>
  <si>
    <t>JAN 3</t>
  </si>
  <si>
    <t>10.1039/d2ra05341a</t>
  </si>
  <si>
    <t>WOS:000906497700001</t>
  </si>
  <si>
    <t>Ciomaga, A; Ghilli, D; Topp, E</t>
  </si>
  <si>
    <t>Ciomaga, Adina; Ghilli, Daria; Topp, Erwin</t>
  </si>
  <si>
    <t>Periodic homogenization for weakly elliptic Hamilton-Jacobi-Bellman equations with critical fractional diffusion</t>
  </si>
  <si>
    <t>COMMUNICATIONS IN PARTIAL DIFFERENTIAL EQUATIONS</t>
  </si>
  <si>
    <t>In this paper we establish periodic homogenization for Hamilton-Jacobi-Bellman (HJB) equations, associated to nonlocal operators of integro-differential type. We consider the case when the fractional diffusion has the same order as the drift term, and is weakly elliptic. The outcome of the paper is two-fold. One one hand, we provide Lipschitz regularity results for weakly elliptic nonlocal HJB, extending the results previously obtained. On the other hand, we establish a convergence result, based on half relaxed limits and a comparison principle for the effective problem. The latter strongly relies on the regularity and the ellipticity properties of the effective Hamiltonian, for which a fine Lipschitz estimate of the corrector plays a crucial role.</t>
  </si>
  <si>
    <t>Ghilli, Daria/ABC-1893-2021</t>
  </si>
  <si>
    <t>Ghilli, Daria/0000-0002-7420-9240</t>
  </si>
  <si>
    <t>0360-5302</t>
  </si>
  <si>
    <t>1532-4133</t>
  </si>
  <si>
    <t>JAN 17</t>
  </si>
  <si>
    <t>10.1080/03605302.2021.1941108</t>
  </si>
  <si>
    <t>WOS:000670213600001</t>
  </si>
  <si>
    <t>Müller-Sepúlveda, A; Chevecich, CC; Jara, JA; Belmar, C; Sandoval, P; Meyer, RS; Quijada, R; Moura, S; López-Muñoz, R; Díaz-Dosque, M; Molina-Berríos, A</t>
  </si>
  <si>
    <t>Mueller-Sepulveda, Andrea; Chevecich, Camila Cid; Jara, Jose A.; Belmar, Carolina; Sandoval, Pablo; Meyer, Rocio Santander; Quijada, Raul; Moura, Sidnei; Lopez-Munoz, Rodrigo; Diaz-Dosque, Mario; Molina-Berrios, Alfredo</t>
  </si>
  <si>
    <t>Chemical Characterization of Lavandula dentata Essential Oil Cultivated in Chile and Its Antibiofilm Effect against Candida albicans</t>
  </si>
  <si>
    <t>PLANTA MEDICA</t>
  </si>
  <si>
    <t>Candida albicans is the most common human fungal pathogen, and with the increase in resistance rates worldwide, it is necessary to search for new pharmacological alternatives. Lavandula dentata L. essential oil is recognized as having antimicrobial properties. However, its effect against fungal biofilms has been poorly described. C. albicans -related infections involve the development of biofilms, which are highly resistant to conventional antifungals. In this work, we evaluated the antibiofilm effect of L. dentata L. essential oil against C. albicans. First, we characterized the essential oil by gas chromatography-mass spectrometry. The antifungal effect on C. albicans reference strains was evaluated by a disk diffusion assay and the minimal inhibitory concentration was obtained through a microdilution assay. The effect of the essential oil on the adhesion ability of C. albicans was determined through a crystal violet assay, and morphogenesis inhibition was assessed by light microscopy. The effect of the essential oil on the microarchitecture of biofilms was evaluated through scanning electron microscopy. Finally, the antibiofilm effect was evaluated through an adapted biofilm scratch assay and XTT viability assay. The main constituent of the essential oil was the monoterpenoid eucalyptol (60%). The essential oil presented minimal inhibitory concentrations of 156 and 130 mu g/mL against two strains assayed. This minimal inhibitory concentration inhibited adhesion, morphogenesis, biofilm formation, altered microarchitecture, and decreased the viability of established biofilms formed on abiotic surfaces for both strains assayed. This study demonstrates that the essential oil from L. dentata could be a promising treatment against C. albicans biofilms.</t>
  </si>
  <si>
    <t>Molina-Berríos, alfredo/K-1817-2014; Muller, Andrea/HKV-3232-2023; Diaz- Dosque, Mario/IUO-0636-2023; Belmar, Carolina/P-9961-2019; Jara, Jose/GQB-5331-2022; Lopez-Munoz, Rodrigo/I-1097-2013</t>
  </si>
  <si>
    <t>Molina-Berrios, Alfredo/0000-0001-8351-3239; Lopez-Munoz, Rodrigo/0000-0003-1825-8563; Muller, Andrea/0000-0002-4532-7352; Diaz-Dosque, Mario/0000-0001-5843-1274</t>
  </si>
  <si>
    <t>0032-0943</t>
  </si>
  <si>
    <t>1439-0221</t>
  </si>
  <si>
    <t>10.1055/a-1201-3375</t>
  </si>
  <si>
    <t>WOS:000584615100007</t>
  </si>
  <si>
    <t>García, AM; Muñoz, E; Kogan, B</t>
  </si>
  <si>
    <t>Garcia, Adolfo M.; Munoz, Edinson; Kogan, Boris</t>
  </si>
  <si>
    <t>Taxing the bilingual mind: Effects of simultaneous interpreting experience on verbal and executive mechanisms</t>
  </si>
  <si>
    <t>BILINGUALISM-LANGUAGE AND COGNITION</t>
  </si>
  <si>
    <t>This paper reviews the neurocognitive particularities of subjects with sustained experience in simultaneous interpreting, a highly demanding form of bilingual processing. The literature converges into three broad empirical patterns. First, significant neurocognitive differences, including behavioral enhancements in verbal and executive domains, are observable after only one or two years of training. Second, such effects, both in interpreting students and/or professional interpreters, seem robust for crucial linguistic (e.g., translation) and executive (e.g., working memory) aspects of the activity, but not for more marginally relevant ones (e.g., conflict resolution) - suggesting that they are non-generalizable beyond directly taxed functions. Third, though more tentatively, some of the observed verbal and executive effects seem to be mutually independent and uninfluenced by other bilingual-experience-related factors (e.g., L2 competence), which could highlight their distinctive relation with interpreting practice. In sum, this particular model of expertise sheds novel light on the adaptive capacity of cognitive systems in bilinguals.</t>
  </si>
  <si>
    <t>Kogan, Boris/HPD-5180-2023; García, Adolfo/E-7150-2017</t>
  </si>
  <si>
    <t>Munoz, Edinson/0000-0001-9949-1230; Kogan, Boris/0000-0002-5844-6203</t>
  </si>
  <si>
    <t>1366-7289</t>
  </si>
  <si>
    <t>1469-1841</t>
  </si>
  <si>
    <t>PII S1366728919000063</t>
  </si>
  <si>
    <t>10.1017/S1366728919000063</t>
  </si>
  <si>
    <t>WOS:000553821800004</t>
  </si>
  <si>
    <t>Hàn, H; Han, J; Morris, P</t>
  </si>
  <si>
    <t>ACM</t>
  </si>
  <si>
    <t>PROCEEDINGS OF THE THIRTY-FIRST ANNUAL ACM-SIAM SYMPOSIUM ON DISCRETE ALGORITHMS (SODA'20)</t>
  </si>
  <si>
    <t>31st Annual ACM-SIAM Symposium on Discrete Algorithms (SODA)</t>
  </si>
  <si>
    <t>JAN 05-08, 2020</t>
  </si>
  <si>
    <t>Salt Lake City, UT</t>
  </si>
  <si>
    <t>ACM,SIAM Activ Grp Discrete Math,ACM Special Interest Grp Algorithms &amp; Computat Theory</t>
  </si>
  <si>
    <t>We investigate the emergence of spanning structures in sparse pseudo-random k-uniform hypergraphs, using the following comparatively weak notion of pseudorandomness. A k-uniform hypergraph H on n vertices is called (p, alpha,epsilon E)-pseudo-random if for all not necessarily disjoint sets A(1),..., A(k) subset of V (H) with vertical bar A(1)vertical bar...vertical bar A(k)vertical bar &gt; alpha n(k) we have e(A(1),...,A(k)) = (1 +/- epsilon) p vertical bar A(1)vertical bar...vertical bar A(k) .For any linear k-uniform F we provide a bound on alpha = alpha(n) in terms of p = p(n) and F, such that (under natural divisibility assumptions on n) any (p, alpha,o (1))-pseudorandom n-vertex H with a mild minimum degree condition contains an F-factor. The approach also enables us to establish the existence of loose Hamilton cycles in sufficiently pseudo-random hypergraphs and all results imply corresponding bounds for stronger notions of hypergraph pseudo-randomness such as jumbledness or large spectral gap. As a consequence of our results, perfect matchings appear at alpha = o(p(k)) while loose Hamilton cycles appear at alpha = o(p(k-1)). This extends the works of Lenz Mubayi, and Lenz Mubayi Mycroft who studied the analogous problems in the dense setting.</t>
  </si>
  <si>
    <t>Han, Jie/CAH-1832-2022; Morris, Patrick/MAH-3133-2025; Han, Hiep/IVV-0527-2023</t>
  </si>
  <si>
    <t>Morris, Patrick/0000-0001-9359-0748; Han, Hiep/0000-0001-7757-7244</t>
  </si>
  <si>
    <t>WOS:000554408100043</t>
  </si>
  <si>
    <t>Jiron, I; Soto, I; Azurdia-Meza, CA; Valencia, A; Carrasco, R</t>
  </si>
  <si>
    <t>Jiron, Ivan; Soto, I.; Azurdia-Meza, Cesar A.; Valencia, A.; Carrasco, R.</t>
  </si>
  <si>
    <t>A new DNA cryptosystem based on AG codes evaluated in gaussian channels</t>
  </si>
  <si>
    <t>TELECOMMUNICATION SYSTEMS</t>
  </si>
  <si>
    <t>This paper proposes a new cryptosystem system that combines DNA cryptography and algebraic curves defined over different Galois fields. The security of the proposed cryptosystem is based on the combination of DNA encoding, a compression process using a hyperelliptic curve over a Galois field , and coding via an algebraic geometric code built using a Hermitian curve on a Galois field , where . The proposed cryptosystem resists the newest attacks found in the literature because there is no linear relationship between the original data and the information encoded with the Hermitian code. Further, the work factor for such attacks increases proportionally to the number of possible choices for the generator matrix of the Hermitian code. Simulations in terms of BER and signal-to-noise ratio (SNR) are included, which evaluate the gain of the transmitted data in an AWGN channel. The performance of the DNA/AG cryptosystem scheme is compared with un-coded QPSK, and the McEliece code in terms of BER. Further, the proposed DNA/AG system outperforms the security level of the McEliece algorithm.</t>
  </si>
  <si>
    <t>JIRON, IVAN/AAG-7462-2019; Valencia, Alvaro/H-3754-2013; Meza, Cesar/D-6948-2014</t>
  </si>
  <si>
    <t>Soto, Ismael/0000-0002-5501-5651; valencia, alvaro/0000-0002-3644-3167</t>
  </si>
  <si>
    <t>1018-4864</t>
  </si>
  <si>
    <t>1572-9451</t>
  </si>
  <si>
    <t>10.1007/s11235-016-0175-1</t>
  </si>
  <si>
    <t>WOS:000393575600004</t>
  </si>
  <si>
    <t>da Silva, AL; da Silva, LRR; Camargo, ID; Agostini, DLD; Denardin, JC; Rosa, DD; Mele, G; de Oliveira, DLV; Fechine, PBA; Mazzetto, SE</t>
  </si>
  <si>
    <t>da Silva, Andre Leandro; Rocha da Silva, Lucas Renan; de Andrade Camargo, Isabelle; da Silva Agostini, Deuber Lincon; Denardin, Juliano Casagrande; dos Santos Rosa, Derval; Mele, Giuseppe; Vasconcelos de Oliveira, Diego Lomonaco; Almeida Fechine, Pierre Basilio; Mazzetto, Selma Elaine</t>
  </si>
  <si>
    <t>Superparamagnetic nano-biocomposites for application as dielectric resonator antennas</t>
  </si>
  <si>
    <t>There is a growing global interest for the development of green technologies that allow the use of products with less damage to environment, as well as for maximum and sustainable use of natural resources. The main aim of this study was to develop superparamagnetic nano-biocomposites for application as dielectric resonator antennas, from a combination of a cardanol-based thermoset plastic, chemically modified sponge gourd fibers (NaOH 10% and NaClO 1 wt%), and magnetite nanoparticles in different contents (1, 5, and 10 wt%). The magnetite particles exhibited nanometric size, high purity and crystallinity, and superparamagnetic character. All nano-biocomposites showed superparamagnetic behavior, excellent thermal stability, good biodegradation rates, and better mechanical strength for the material with magnetite 10 wt. All dielectric resonator antennas showed satisfactory return loss and suitability for technological applications, especially for.performance in broadband. (C) 2016 Elsevier B.V. All rights reserved.</t>
  </si>
  <si>
    <t>Denardin, Juliano/S-6407-2019; Silva, André/V-2791-2019; Agostini, Deuber/I-2354-2013; Mazzetto, Selma/R-5406-2016; Mele, Giuseppe/N-9765-2015; Rosa, Derval dos Santos/K-9153-2016; Fechine, Pierre/B-7937-2013; LOMONACO, DIEGO/F-3430-2013</t>
  </si>
  <si>
    <t>Mazzetto, Selma Elaine/0000-0002-6879-3209; Mele, Giuseppe/0000-0002-6684-990X; Rosa, Derval dos Santos/0000-0001-9470-0638; Denardin, Juliano/0000-0002-1373-6207; Fechine, Pierre/0000-0002-7822-2354; Rocha da Silva, Lucas/0000-0003-3751-7823; LOMONACO, DIEGO/0000-0001-5763-4336</t>
  </si>
  <si>
    <t>10.1016/j.matchemphys.2016.10.011</t>
  </si>
  <si>
    <t>WOS:000389097000014</t>
  </si>
  <si>
    <t>Benavente, E; Maldonado, C; Devis, S; Diaz, L; Lozano, H; Sotomayor-Torres, C; González, G</t>
  </si>
  <si>
    <t>Benavente, Eglantina; Maldonado, Carlos; Devis, Sindy; Diaz, Leslie; Lozano, Harold; Sotomayor-Torres, Clivia; Gonzalez, Guillermo</t>
  </si>
  <si>
    <t>A hybrid organic-inorganic layered TiO2 based nanocomposite for sunlight photocatalysis</t>
  </si>
  <si>
    <t>A novel hybrid nanocomposite constituted of single TiO2 nanosheets sandwiched between stearic acid self-assembled monolayers was synthesized and tested in the photodegradation of methylene blue under sunlight. The product showed better photocatalytic performance than anatase under similar conditions, which may be further improved through sensitization with cadmium sulfide.</t>
  </si>
  <si>
    <t>Benavente, Eglantina/F-7662-2015; Gonzalez, Guillermo/HMV-7330-2023; Lozano, Harold/A-7043-2013; Sotomayor Torres, Clivia M/E-8418-2010</t>
  </si>
  <si>
    <t>Sotomayor Torres, Clivia M/0000-0001-9986-2716; Lozano, Harold/0000-0002-5241-7209; BENAVENTE, EGLANTINA/0000-0002-8414-9317; Devis Ruiz, Sindy/0000-0001-7384-5774; Diaz Jalaff, Leslie/0000-0002-9001-2093</t>
  </si>
  <si>
    <t>10.1039/c5ra26981d</t>
  </si>
  <si>
    <t>WOS:000370717900078</t>
  </si>
  <si>
    <t>Chaná, P; Jiménez, M; Díaz, V; Juri, C</t>
  </si>
  <si>
    <t>Chana C, Pedro; Jimenez C, Magdalena; Diaz T, Violeta; Juri, Carlos</t>
  </si>
  <si>
    <t>Parkinson disease mortality rates in Chile</t>
  </si>
  <si>
    <t>Background: Parkinson disease (PD) is the second more common neurodegenerative disorder and determines a loss in quality of life, caregiver burden and increased mortality in those affected. Aim: To determine the rates of mortality due to Parkinson disease in Chile. Material and Methods: Data were collected from death certificates between 1997 and 2008. Mortality rates were calculated and the mortality trend was established along the study period, and analyzed by age, sex and geographic region of Chile. Results: There was a steady increase in mortality over the years, particularly since 2001 (r(2) = 0.85, p &lt; 0.01). The increase in mortality rates was 0.25 per 100.000 habitants/year (r(2): 0.89, p &lt;0.01). Mortality was always higher in men and in those older than 80 years. The highest rate (per 100,000 habitants) in Chile was observed in the region of Valparaiso (2.4) while the lowest was in Antofagasta (0.8) (t = 3.72, p &lt;0.05). Conclusions: Mortality associated with PD has increased progressively, consistent with the expected increase in prevalence of the disease in the population.</t>
  </si>
  <si>
    <t>Juri, Carlos/B-6213-2008</t>
  </si>
  <si>
    <t>Juri, Carlos/0000-0002-1939-5976</t>
  </si>
  <si>
    <t>10.4067/S0034-98872013000300007</t>
  </si>
  <si>
    <t>WOS:000318826600007</t>
  </si>
  <si>
    <t>Correa, F; Falomir, H; Jakubsky, V; Plyushchay, MS</t>
  </si>
  <si>
    <t>Correa, Francisco; Falomir, Horacio; Jakubsky, Vit; Plyushchay, Mikhail S.</t>
  </si>
  <si>
    <t>Supersymmetries of the spin-1/2 particle in the field of magnetic vortex, and anyons</t>
  </si>
  <si>
    <t>The quantum non-relativistic spin-1/2 planar systems in the presence of a perpendicular magnetic field are known to possess the N = 2 supersymmetry. We consider such a system in the field of a magnetic vortex, and find that there are just two self-adjoint extensions of the Hamiltonian that are compatible with the standard N = 2 supersymmetry. We show that only in these two cases one of the subsystems coincides with the original spinless Aharonov-Bohm model and comes accompanied by the super-partner Hamiltonian which allows a singular behavior of the wave functions. We find a family of additional, nonlocal integrals of motion and treat them together with local supercharges in the unifying framework of the tri-supersymmetry. The inclusion of the dynamical conformal symmetries leads to an infinitely generated superalgebra, that contains several representations of the superconformal osp(2 vertical bar 2) symmetry. We present the application of the results in the framework of the two-body model of identical anyons. The nontrivial contact interaction and the emerging N = 2 linear and nonlinear supersymmetries of the anyons are discussed. (C) 2010 Elsevier Inc. All rights reserved.</t>
  </si>
  <si>
    <t>Jakubsky, Vit/H-2972-2014; Correa, Francisco/S-4564-2018</t>
  </si>
  <si>
    <t>Correa, Francisco/0000-0003-1735-2822; Falomir, Horacio/0000-0001-8188-1062</t>
  </si>
  <si>
    <t>10.1016/j.aop.2010.06.005</t>
  </si>
  <si>
    <t>WOS:000284659400003</t>
  </si>
  <si>
    <t>Stepanova, MV; Antonova, EE; Stanev, G; Bankov, N; Isaev, NV</t>
  </si>
  <si>
    <t>Sibeck, DG; Zastenker, GN</t>
  </si>
  <si>
    <t>Study of stratification of magnetospheric convection using Intercosmos-Bulgaria-1300 electric field observations</t>
  </si>
  <si>
    <t>PLASMA PROCESSES IN THE NEAR-EARTH SPACE: INTERBALL AND BEYOND</t>
  </si>
  <si>
    <t>COSPAR Colloquium on Plasma Processes in the Near-Earth Space</t>
  </si>
  <si>
    <t>FEB 05-10, 2002</t>
  </si>
  <si>
    <t>SOFIA, BULGARIA</t>
  </si>
  <si>
    <t>Bulgarian Acad Sci,Finnish Meteorol Inst</t>
  </si>
  <si>
    <t>The medium scale stratification theory of upward field-aligned currents predicts some periodicity in the electrostatic potential profile (and subsequently in the field-aligned current profile) that could account for oscillations experimentally observed in the auroral zone, such as successive large-scale acceleration events. The number of these events is determined by a 'scaling' parameter expressed in terms of the large-scale electric field jump across the upward field-aligned current band, the total width of the current band, and the plasma sheet ion temperature. Intercosmos-Bulgaria-1300 satellite electric field measurements were used for validation of the model. It is shown that the theory predictions are in a rather good agreement with the results of experimental observations. (C) 2003 COSPAR. Published by Elsevier Science Ltd. All rights reserved.</t>
  </si>
  <si>
    <t>10.1016/S0273-1177(03)00019-X</t>
  </si>
  <si>
    <t>WOS:000184540900040</t>
  </si>
  <si>
    <t>Longo, C; Alvarez, J; Fernández, M; Pardey, AJ; Moya, SA; Baricelli, P; Mdleleni, MM</t>
  </si>
  <si>
    <t>Water as hydride source in the reduction of nitrobenzene to aniline catalyzed by cis-[Rh(CO)2(2-picoline)2] (PF6) in aqueous 2-picoline under CO atmosphere:: kinetics study</t>
  </si>
  <si>
    <t>The cis-[Rh(CO)(2)(2-picoline)(2)] (PF6) complex is active for the catalytic reduction of nitrobenzene to aniline in aqueous 2-picoline solution under water gas shift reaction conditions. The catalytic activities for this system were studied as functions of the reaction parameters (P(CO), [Rh](tot), and T). The nitrobenzene reduction rate displays a first-order dependence on CO pressure, P(CO), over the range 0-1.9 atm at 80, 100 and 120 degrees C. The kinetics behavior with respect to P(CO) leads to the proposal that addition of CO to the catalytic species precedes the rate-limiting step. The catalytic activity proved to be non-linear in total rhodium concentration, [Rh](tot), over the range 5-60 mM. This observation was interpreted in terms of the presence of active mononuclear and polynuclear rhodium species in the system, the mononuclear species being the more active for nitrobenzene reduction. In situ FT-IR spectroscopic study confirms the presence of rhodium species with terminal and bridging carbonyls. (C) 2000 Elsevier Science Ltd All rights reserved.</t>
  </si>
  <si>
    <t>10.1016/S0277-5387(99)00392-7</t>
  </si>
  <si>
    <t>WOS:000086522600018</t>
  </si>
  <si>
    <t>Freire-Vidal, Y; Fajardo, G; Rodríguez-Sickert, C; Graells-Garrido, E; Muñoz-Reyes, JA; Figueroa, O</t>
  </si>
  <si>
    <t>Freire-Vidal, Yerka; Fajardo, Gabriela; Rodriguez-Sickert, Carlos; Graells-Garrido, Eduardo; Munoz-Reyes, Jose Antonio; Figueroa, Oriana</t>
  </si>
  <si>
    <t>Attitudes towards migration in a COVID-19 context: testing a behavioral immune system hypothesis with Twitter data</t>
  </si>
  <si>
    <t>EPJ DATA SCIENCE</t>
  </si>
  <si>
    <t>The COVID-19 outbreak implied many changes in the daily life of most of the world's population for a long time, prompting severe restrictions on sociality. The Behavioral Immune System (BIS) suggests that when facing pathogens, a psychological mechanism would be activated that, among other things, would generate an increase in prejudice and discrimination towards marginalized groups, including immigrants. This study aimed to test if people tend to enhance their rejection of minorities and foreign groups under the threat of contagious diseases, using the users' attitudes towards migrants in Twitter data from Chile, for pre-pandemic and pandemic contexts. Our results appear to be mostly against the BIS hypothesis, with some faint exceptions, since threatened users increased their tweet production in the pandemic period, compared to empathetic users, but the latter grew in number and also increased the reach of their tweets between the two periods. We also found differences in the use of language between these types of users. Alternative explanations for these results may be context-dependent.</t>
  </si>
  <si>
    <t>Sickert, Carlos/J-5538-2014; Muñoz-Reyes, José/D-2822-2012; Graells-Garrido, Eduardo/AFM-2616-2022; Fajardo, Gabriela/IRZ-8714-2023; Figueroa, Oriana/IRZ-9301-2023</t>
  </si>
  <si>
    <t>2193-1127</t>
  </si>
  <si>
    <t>10.1140/epjds/s13688-024-00511-z</t>
  </si>
  <si>
    <t>WOS:001364991600001</t>
  </si>
  <si>
    <t>Sepúlveda, J; Aedo-Muñoz, E; Lobos-González, M; Verdugo-Bosh, J; Prat-Luri, A; Brito, C; Miarka, B; Cancino-Jimenéz, J; Arias-Poblete, L</t>
  </si>
  <si>
    <t>Sepulveda, James; Aedo-Munoz, Esteban; Lobos-Gonzalez, Manuel; Verdugo-Bosh, Jaime; Prat-Luri, Amaya; Brito, Ciro; Miarka, Bianca; Cancino-Jimenez, Jorge; Arias-Poblete, Leonidas</t>
  </si>
  <si>
    <t>Osteoarthritis grades no affects gait analysis in middle-age and elderly's women. A cross-sectional study</t>
  </si>
  <si>
    <t>Aging is habitually related to modifications in the peripheral, central nervous and musculoskeletal systems. These modifications are frequently associated with mobility complications. It is currently considered that the spatiotemporal gait parameters (SGP) may be good functional indicators of the severity of knee osteoarthritis (KOA). Objective: to compare the SGP in middle -age and older women with different radiographic KOA diagnosis. Methods and materials: For this, ninety-nine (99) female participants (age: 61.0 +/- 3.0 years; body mass: 72.9 +/- 13.4 kg; height: 1.5 +/- 0.1 m; BMI: 31.2 +/- 5.7 kg/m( 2) ) were enrolled in a cross-sectional design. All participants were classified according to the Kellgren-Lawrence radiological scale (None n=15; Doubtful n=24; Minimal n=22; Moderate n=20 and Severe n=18). All participants performed a 25-m walk test for which the SGP was measured (cadence, duration of monopodal support phase, and stride length). Results: No differences were observed in any SGP measures (cadence, p=0.57; monopodal support phase, p=0.65; and stride length, p=0.22). Conclusion: Our results showed that there is no agreement between the SGP and radiographic KOA diagnosis.</t>
  </si>
  <si>
    <t>Arias Poblete, Leonidas Eduardo/JAO-4097-2023; Aedo-Muñoz, Esteban/R-5623-2019; Miarka, Bianca/V-7395-2017</t>
  </si>
  <si>
    <t>Aedo-Munoz, Esteban/0000-0003-1544-2824; Lobos-Gonzalez, Manuel/0009-0005-7903-3415; Cancino Jimenez, Jorge Ivan/0000-0002-5183-6129</t>
  </si>
  <si>
    <t>WOS:001243716700001</t>
  </si>
  <si>
    <t>Canales, D; Moyano, D; Alvarez, F; Grande-Tovar, CD; Valencia-Llano, CH; Peponi, L; Boccaccini, AR; Zapata, PA</t>
  </si>
  <si>
    <t>Canales, Daniel; Moyano, Dominique; Alvarez, Fabian; Grande-Tovar, Carlos David; Valencia-Llano, Carlos H.; Peponi, Laura; Boccaccini, Aldo R.; Zapata, Paula A.</t>
  </si>
  <si>
    <t>Preparation and characterization of novel poly (lactic acid)/calcium oxide nanocomposites by electrospinning as a potential bone tissue scaffold</t>
  </si>
  <si>
    <t>BIOMATERIALS ADVANCES</t>
  </si>
  <si>
    <t>Calcium oxide nanoparticles (n-CaO) ca. 22 nm were obtained from eggshell waste. The n-CaO was incorporated into the PLA matrix in 10 and 20 wt% of filler content by electrospinning process to get PLA/n-CaO fibers with homogenous morphology and diameter as a potential use in scaffold for bone tissue regeneration. The incorporation of n-CaO into PLA modifies the mechanical properties, having a reinforcement effect on the matrix. The Young modulus for PLA/n-CaO nanocomposites increased between 122 and 138 % concerning neat PLA fibers, showing a more rigid behavior. The PLA/n-CaO nanocomposite fibers showed in vitro bioactivity, capable of inducing the precipitation of hydroxyapatite (HA) layer in the fiber surface after seven days in SBF solution. The biocidal and biological properties of PLA/n-Cao with 20 wt% showed a 30 % reduction in bacterial viability against S. aureus and 11 % against E. coli after 6 h of bacterial exposure. Furthermore, the fibers did not show a cytotoxic effect on the bone marrow ST-2 cell line, allowing cell adhesion and proliferation in the RPMI medium. The PLA/n-CaO with 20 wt% of nanoparticles showed a higher capacity to promote osteogenic differentiation, significantly increasing the alkaline phosphatase (ALP) expression after seven days compared to PLA and cell control. The in vivo analysis corroborated the biocompatibility of the prepared scaffolds; the presence of n-CaO in PLA reduced the formation of fibrous encapsulation of the material, improving the healing process. These results validated using n-CaO to enhance the functionality of polymer matrices as a PLA, bringing bioactive, biocide, and biocompatible properties, opening a new and interesting route to develop new biomaterials as a scaffold for bone tissue engineering.</t>
  </si>
  <si>
    <t>Tovar, Carlos/J-9638-2019; Boccaccini, Aldo/C-7905-2013; Canales Arévalo, Daniel/HSG-6748-2023; Valencia Llano, Carlos Humberto/KZU-6023-2024</t>
  </si>
  <si>
    <t>Valencia Llano, Carlos Humberto/0000-0003-4892-9786; Alvarez Carrasco, Fabian/0009-0000-2506-4623; Zapata, Paula Andrea/0000-0003-3361-6226; Canales, Daniel A./0000-0002-2691-6864</t>
  </si>
  <si>
    <t>2772-9508</t>
  </si>
  <si>
    <t>10.1016/j.bioadv.2023.213578</t>
  </si>
  <si>
    <t>AUG 2023</t>
  </si>
  <si>
    <t>WOS:001061941700001</t>
  </si>
  <si>
    <t>Gad, SM; Jin, ZL; Emad, S; Vergara, JE; Yawas, DS; Dagwa, IM; Omiogbemi, IMB</t>
  </si>
  <si>
    <t>Gad, Shedrack Musa; Jin, Zelong; Emad, Seydgholamreza; Vergara, Javier Espinoza; Yawas, Danjuma Saleh; Dagwa, Ishaya Musa; Omiogbemi, Ibrahim Momoh-Bello</t>
  </si>
  <si>
    <t>Potential of rare-earth compounds as anticorrosion pigment for protection of aerospace AA2198-T851 alloy</t>
  </si>
  <si>
    <t>In this study, the anticorrosion potential of carboxylic compounds; Lanthanum 4-hydroxycinna-mate La(4OHCin)3, Cerium 4-hydroxycinnamate Ce(4OHCin)3 and Praseodymium 4-hydroxycin-namate Pr(4OHCin)3 for the protection of Al-Cu-Li alloy was investigated in 3.5% NaCl solution using electrochemical tests (EIS and PDP), scanning electron microscopy (SEM) and X-ray photoelectron spectroscopy (XPS). The findings achieved show a very good correlation between electrochemical responses and surface morphologies of the exposed alloy, indicating a modifi-cation of the surface by precipitation of the inhibitor species, leading to effective protection against corrosion. At optimum concentration 200 ppm, the trend of inhibition efficiency eta (%) increases in the order Ce(4OHCin)3 93.35% &gt; Pr(4OHCin)3 85.34% &gt; La(4OHCin)3 82.25%. XPS complemented the findings by detecting and providing information about the oxidation states of the protective species.</t>
  </si>
  <si>
    <t>Omiogbemi, Ibrahim Momoh-Bello/AAX-9130-2020</t>
  </si>
  <si>
    <t>Omiogbemi, Ibrahim Momoh-Bello/0000-0002-1086-342X; Emad, Seyedgholamreza/0000-0002-8830-6359</t>
  </si>
  <si>
    <t>e14693</t>
  </si>
  <si>
    <t>10.1016/j.heliyon.2023.e14693</t>
  </si>
  <si>
    <t>WOS:000968143300001</t>
  </si>
  <si>
    <t>do O, JM; Ruf, B; Ubilla, P</t>
  </si>
  <si>
    <t>do O, Joao Marcos; Ruf, Bernhard; Ubilla, Pedro</t>
  </si>
  <si>
    <t>A critical Moser type inequality with loss of compactness due to infinitesimal shocks</t>
  </si>
  <si>
    <t>CALCULUS OF VARIATIONS AND PARTIAL DIFFERENTIAL EQUATIONS</t>
  </si>
  <si>
    <t>We consider a one-dimensional integral inequality of Moser type: set J(c)(v) = integral(1)(0) e(c(s)v2(s)) ds and consider sup({integral 01 vertical bar v'vertical bar 2=1,v(0)=0}) J(c)(v) We show that the supremum remains finite up to the optimal coefficient c(1)(s) = 1/s (log e/s + log log e/s). Indeed, for c(gamma) = 1/s (log e/s + gamma log log e/s), with gamma &gt; 1, the supremum is infinite. For c(1) the inequality is critical with loss of compactness: the functional J(c1) fails to be weakly continuous along the infinitesimal Moser sequence w(n)(t) := t root n (0 &lt;= t &lt;= 1/n) w(n)(t) = 1 root n (1/n &lt;= t &lt;= 1). Since w'(t) = root n (0 &lt;= t &lt;= 1/n), one may say that w(n) develops an infinitesimal shock at the origin.</t>
  </si>
  <si>
    <t>0944-2669</t>
  </si>
  <si>
    <t>1432-0835</t>
  </si>
  <si>
    <t>10.1007/s00526-022-02367-5</t>
  </si>
  <si>
    <t>WOS:000879074900017</t>
  </si>
  <si>
    <t>Yu, J; Retamal, JC; Sanz, M; Solano, E; Albarrán-Arriagada, F</t>
  </si>
  <si>
    <t>Yu, Jing; Retamal, Juan Carlos; Sanz, Mikel; Solano, Enrique; Albarran-Arriagada, Francisco</t>
  </si>
  <si>
    <t>Superconducting circuit architecture for digital-analog quantum computing</t>
  </si>
  <si>
    <t>EPJ QUANTUM TECHNOLOGY</t>
  </si>
  <si>
    <t>We propose a superconducting circuit architecture suitable for digital-analog quantum computing (DAQC) based on an enhanced NISQ family of nearest-neighbor interactions. DAQC makes a smart use of digital steps (single qubit rotations) and analog blocks (parametrized multiqubit operations) to outperform digital quantum computing algorithms. Our design comprises a chain of superconducting charge qubits coupled by superconducting quantum interference devices (SQUIDs). Using magnetic flux control, we can activate/deactivate exchange interactions, double excitation/de-excitations, and others. As a paradigmatic example, we present an efficient simulation of an l x h fermion lattice (with 2 &lt; l &lt;= h), using only 2(2l + 1)(2) + 24 analog blocks. The proposed architecture design is feasible in current experimental setups for quantum computing with superconducting circuits, opening the door to useful quantum advantage with fewer resources.</t>
  </si>
  <si>
    <t>Retamal, Juan/G-6425-2010; Sanz, Mikel/W-8637-2019; Solano, Enrique/C-2895-2017</t>
  </si>
  <si>
    <t>Albarran-Arriagada, Francisco/0000-0001-8899-3673; Retamal Abarzua, Juan Carlos/0000-0002-7174-7879</t>
  </si>
  <si>
    <t>2662-4400</t>
  </si>
  <si>
    <t>2196-0763</t>
  </si>
  <si>
    <t>10.1140/epjqt/s40507-022-00129-y</t>
  </si>
  <si>
    <t>WOS:000779138700001</t>
  </si>
  <si>
    <t>González, CR; Ledesma, LO; Margarit, D; Jirón, P; Imilan, WA</t>
  </si>
  <si>
    <t>Gonzalez, Catalina Ramirez; Ledesma, Lautaro Ojeda; Margarit, Daisy; Jiron, Paola; Imilan, Walter Alejandro</t>
  </si>
  <si>
    <t>E-commerce via WhatsApp: Analysis of the One-Click Virtual Mall developed by migrants in Chile</t>
  </si>
  <si>
    <t>BITACORA URBANO TERRITORIAL</t>
  </si>
  <si>
    <t>The article problematises the digitalisation of small-scale sales, based on mobility restrictions in the face of the expansion of COVID-19 in the city of Santiago. The case studied is the Mall virtual a un click, an initiative managed by organisations of Colombian migrant entrepreneurs in Chile The proposal used mass groups on WhatsApp as a digital showcase that allowed them to continue selling, despite the restrictions that prevented them from continuing to develop sales at entrepreneurial fairs. The research recorded, through digital ethnography, the interactions of the group of entrepreneurs between May and September 2021 and complemented the analysis with an online survey and in-depth interviews. The study analysed mobilities and identified a continuum between the presence in the online space for the promotion of products and the place in the city from which marketing is generated, specifically from the home as the starting point of the process. Thus, the digital sale studied evidences the reproduction of socio-spatial inequalities, beyond the unlimited reach that e-commerce could offer to customers.</t>
  </si>
  <si>
    <t>Ramírez González, Catalina/JRX-6310-2023</t>
  </si>
  <si>
    <t>0124-7913</t>
  </si>
  <si>
    <t>2027-145X</t>
  </si>
  <si>
    <t>MAY-AUG</t>
  </si>
  <si>
    <t>10.15446/bitacora.v32n2.99055</t>
  </si>
  <si>
    <t>WOS:000793952000001</t>
  </si>
  <si>
    <t>Area-restricted search in Magellanic Woodpeckers: importance of tree senescence, forest composition and open habitats</t>
  </si>
  <si>
    <t>Animals with stable territories, specialized diets and narrow habitat choices, such as some woodpecker species, should concentrate foraging activity in areas of higher quality, a behavior consistent with the area-restricted search (ARS) behavior. The assessment of ARS behavior in specialized woodpeckers contributes to identify feeding areas important for not only their conservation but also habitats negatively affecting their foraging behavior. We addressed the effects of tree senescence, forest succession, stand composition and open habitats on the adoption of ARS behavior in Magellanic Woodpecker (Campephilus magellanicus) in a heterogeneous landscape in southern South America. Using GPS relocations from 24 woodpeckers, we estimated the First-Passage Time (FPT), a measure of the time individuals remain in a given area, with longer FPT values indicating the adoption of an ARS behavior. We determined the effects of habitat variables on FPT using a methodological framework based on Linear Mixed Effect models and a randomization procedure intended to reduce spatial autocorrelation. Averaged model coefficients showed that woodpeckers spent less time in sites dominated by the Antarctic beech (Nothofagus antarctica) and partially covered by open habitats. Conversely, FPT increased in stands and home ranges where tree senescence was higher. Thus, the ARS behavior in Magellanic Woodpecker is explained by forest composition, avoidance of open habitats and tree senescence. Our results suggest the conservation of Magellanic Woodpeckers in heterogeneous landscapes involves retention of senescent trees and maintenance of canopy continuity.</t>
  </si>
  <si>
    <t>Simonetti, Javier/A-4658-2008; Vergara, Pablo/F-2519-2010; Soto, Gerardo/JAX-4165-2023</t>
  </si>
  <si>
    <t>Maron-Perez, Francisca/0000-0001-7633-7003; Caro, Diego/0000-0002-3335-9920; Vergara, Pablo/0000-0002-0024-1678; Soto, Gerardo/0000-0002-9706-6588</t>
  </si>
  <si>
    <t>10.1007/s10336-021-01878-w</t>
  </si>
  <si>
    <t>WOS:000632756500001</t>
  </si>
  <si>
    <t>Espina, E; Navas, A; Gómez, JS; Simpson-Porco, JW; Cárdenas, R; Sáez, D; Kazerani, M</t>
  </si>
  <si>
    <t>Espina, Enrique; Navas, Alex; Gomez, Juan S.; Simpson-Porco, John W.; Cardenas, Roberto; Saez, Doris; Kazerani, Mehrdad</t>
  </si>
  <si>
    <t>Experimental Performance Evaluation of a Distributed Secondary Control Strategy for Hybrid ac/dc-Microgrids in the Event of Communication Loss/Delay</t>
  </si>
  <si>
    <t>2021 23RD EUROPEAN CONFERENCE ON POWER ELECTRONICS AND APPLICATIONS (EPE'21 ECCE EUROPE)</t>
  </si>
  <si>
    <t>23rd European Conference on Power Electronics and Applications (EPE ECCE Europe)</t>
  </si>
  <si>
    <t>SEP 06-10, 2021</t>
  </si>
  <si>
    <t>This paper evaluates experimentally the performance of a distributed secondary control strategy applied to a hybrid ac/dc-microgrid in the event of common communication issues, such as communication loss and communication delays. The two scenarios are tested on a 24kW hybrid ac/dc-microgrid laboratory-scale prototype.</t>
  </si>
  <si>
    <t>Navas Fonseca, Alex/ABA-2690-2021; Espina, Enrique/AGZ-7297-2022; Cardenas, Roberto/C-6395-2011; Saez, Doris/JBJ-6880-2023; Simpson-Porco, John/HTS-9570-2023; Gomez Quintero, Juan Sebastian/AAL-5096-2020</t>
  </si>
  <si>
    <t>Espina, Enrique/0000-0002-2075-2010; Kazerani, Mehrdad/0000-0002-9200-2139; Gomez Quintero, Juan Sebastian/0000-0002-6507-1462</t>
  </si>
  <si>
    <t>978-9-0758-1537-5</t>
  </si>
  <si>
    <t>WOS:000832143901077</t>
  </si>
  <si>
    <t>Pereyra, KV; Andrade, DC; Toledo, C; Schwarz, KG; Uribe-Ojeda, A; Ríos-Gallardo, AP; Quintanilla, RA; Contreras, S; Mahn, A; Del Rio, R</t>
  </si>
  <si>
    <t>Pereyra, Katherin V.; Andrade, David C.; Toledo, Camilo; Schwarz, Karla G.; Uribe-Ojeda, Atenea; Rios-Gallardo, Angelica P.; Quintanilla, Rodrigo A.; Contreras, Samuel; Mahn, Andrea; Del Rio, Rodrigo</t>
  </si>
  <si>
    <t>Dietary supplementation of a sulforaphane-enriched broccoli extract protects the heart from acute cardiac stress</t>
  </si>
  <si>
    <t>JOURNAL OF FUNCTIONAL FOODS</t>
  </si>
  <si>
    <t>Cardiac arrythmias play a critical role in several pathological conditions. Importantly, increased arrhythmic risk is associated with systemic oxidative stress and activation of the autonomic nervous system. Thus, we hypothesized that dietary antioxidant supplementation may help in reducing cardiac stress-induced arrhythmias. Sulforaphane (SFN), an isothiocyanate present in Brassicaceaes, is recognized as a powerful health-promoting compound with known antioxidant properties. Then, we aimed to generate a broccoli extract (BE) enriched in SFN and determine whether oral BE supplementation induced cardio-protection during acute cardiac stress in rats. BE decreases cardiac sympathetic drive and increases parasympathetic cardiac modulation as evidenced by heart rate variability (HRV) shifts. In addition, isoproterenol-induced cardiac stress (a sympathomimetic agent) induced a similar to 4-fold increase in arrhythmia incidence and this effect was almost completely abolished by BE treatment. In conclusion, dietary supplementation with a BE regulates cardiac autonomic drive and protects the heart from acute cardiac stress.</t>
  </si>
  <si>
    <t>Andrade, David/S-5896-2019; QUINTANILLA, RODRIGO/ABG-8829-2021; Toledo, Camilo/S-5840-2019</t>
  </si>
  <si>
    <t>Andrade, David Cristobal/0000-0003-2006-1444; Contreras, Samuel/0000-0002-3075-5354; Mahn, Andrea/0000-0001-6082-0279; Uribe-Ojeda, Atenea/0000-0001-9846-8602</t>
  </si>
  <si>
    <t>1756-4646</t>
  </si>
  <si>
    <t>10.1016/j.jff.2020.104267</t>
  </si>
  <si>
    <t>WOS:000600362800004</t>
  </si>
  <si>
    <t>Silva, C; Bobillier, F; Canales, D; Sepúlveda, FA; Cament, A; Amigo, N; Rivas, LM; Ulloa, MT; Reyes, P; Ortiz, JA; Gómez, T; Loyo, C; Zapata, PA</t>
  </si>
  <si>
    <t>Silva, Cristian; Bobillier, Felipe; Canales, Daniel; Sepulveda, Francesca Antonella; Cament, Alejandro; Amigo, Nicolas; Rivas, Lina M.; Ulloa, Maria T.; Reyes, Pablo; Ortiz, J. Andres; Gomez, Tatiana; Loyo, Carlos; Zapata, Paula A.</t>
  </si>
  <si>
    <t>Mechanical and Antimicrobial Polyethylene Composites with CaO Nanoparticles</t>
  </si>
  <si>
    <t>Low-density polyethylene composites containing different sizes of calcium oxide (CaO) nanoparticles were obtained by melt mixing. The CaO nanoparticles were synthesized by either the sol-gel or sonication methods, obtaining two different sizes: ca. 55 nm and 25 nm. These nanoparticles were used either as-synthesized or were modified organically on the surface with oleic acid (Mod-CaO), at concentrations of 3, 5, and 10 wt% in the polymer. The Mod-CaO nanoparticles of 25 nm can act as nucleating agents, increasing the polymer's crystallinity. The Young's Modulus increased with the Mod-CaO nanoparticles, rendering higher reinforcement effects with an increase as high as 36%. The reduction inEscherichia colibacteria in the nanocomposites increased with the amount of CaO nanoparticles, the size reduction, and the surface modification. The highest antimicrobial behavior was found in the composites with a Mod-CaO of 25 nm, presenting a reduction of 99.99%. This strong antimicrobial effect can be associated with the release of the Ca(2+)from the composites, as studied for the composite with 10 wt% nanoparticles. The ion release was dependent on the size of the nanoparticles and their surface modification. These findings show that CaO nanoparticles are an excellent alternative as an antimicrobial filler in polymer nanocomposites to be applied for food packaging or medical devices.</t>
  </si>
  <si>
    <t>Loyo, Carlos/AAZ-6777-2021; Ortiz, J. Andrés/R-4060-2019; Gómez, Tatiana/X-9734-2019; Canales Arévalo, Daniel/HSG-6748-2023; Sepúlveda, Francesca/AAW-8092-2021; Reyes-Contreras, Pablo/A-1997-2016</t>
  </si>
  <si>
    <t>Zapata, Paula Andrea/0000-0003-3361-6226; Canales, Daniel A./0000-0002-2691-6864; Sepulveda Espinoza, Francesca Antonella/0000-0001-5135-8123; Ortiz, J. Andres/0000-0002-3142-9470; Reyes-Contreras, Pablo/0000-0002-9263-8743; Loyo Davila, Carlos David/0000-0003-4177-2958</t>
  </si>
  <si>
    <t>10.3390/polym12092132</t>
  </si>
  <si>
    <t>WOS:000580701100001</t>
  </si>
  <si>
    <t>Ottone, NE; Guerrero, M; Alarcón, E; Navarro, P</t>
  </si>
  <si>
    <t>Ernesto Ottone, Nicolas; Guerrero, Marco; Alarcon, Eduardo; Navarro, Pablo</t>
  </si>
  <si>
    <t>Statistical Analysis of Shrinkage Levels of Human Brain Slices Preserved by Sheet Plastination Technique With Polyester Resin</t>
  </si>
  <si>
    <t>Plastination is currently the most important anatomical preservation technique due to the possibility of preserving bodies and organs for an indefinite period, in a dry and biosecure form, while preserving the morphological characteristics of the tissues. However, the shrinkage of the samples is also part of the plastination, perhaps becoming one of its few disadvantages. This paper presents the shrinkage caused by the classic technique of sheet plastination with polyester resin (Biodur (R) P40) in human brain slices, with the aim of statistically establishing the percentages of tissue shrinkage caused by this plastination protocol.</t>
  </si>
  <si>
    <t>Navarro, Pablo/HME-0780-2023; Ottone, Nicolas Ernesto/A-3402-2016</t>
  </si>
  <si>
    <t>Guerrero-Figueroa, Marco/0000-0001-9236-4183; Ottone, Nicolas Ernesto/0000-0002-3056-9703</t>
  </si>
  <si>
    <t>10.4067/S0717-95022020000100013</t>
  </si>
  <si>
    <t>WOS:000497982000002</t>
  </si>
  <si>
    <t>Reyes-Cerpa, S; Vallejos-Vidal, E; Gonzalez-Brown, MJ; Morales-Reyes, J; Pérez-Stuardo, D; Vargas, D; Imarai, M; Cifuentes, V; Spencer, E; Sandino, AM; Reyes-López, FE</t>
  </si>
  <si>
    <t>Reyes-Cerpa, Sebastian; Vallejos-Vidal, Eva; Jose Gonzalez-Brown, Maria; Morales-Reyes, Jonathan; Perez-Stuardo, Diego; Vargas, Deborah; Imarai, Monica; Cifuentes, Victor; Spencer, Eugenio; Maria Sandino, Ana; Reyes-Lopez, Felipe E.</t>
  </si>
  <si>
    <t>Effect of yeast (Xanthophyllomyces dendrorhous) and plant (Saint John's wort, lemon balm, and rosemary) extract based functional diets on antioxidant and immune status of Atlantic salmon (Salmo salar) subjected to crowding stress</t>
  </si>
  <si>
    <t>Salmon farming may face stress due to the intensive culture conditions with negative impacts on overall performance. In this aspect, functional feed improves not only the basic nutritional requirements but also the health status and fish growth. However, to date no studies have been carried out to evaluate the effect of functional diets in salmon subjected to crowding stress. Thus, the aim of this study was to evaluate the effect of yeast extract (Xanthophyllomyces dendrorhous; diet A) and the combination of plant extracts (common Saint John's wort, lemon balm, and rosemary; diet B) on the antioxidant and immune status of Atlantic salmon grown under normal cultured conditions and then subjected to crowding stress. Fish were fed with functional diets during 30 days (12 kg/m(3)) and then subjected to crowding stress (20 kg/m(3)) for 10 days. The lipid peroxidation in gut showed that both diets induced a marked decrease on oxidative damage when fish were subjected to crowding stress. The protein carbonylation in muscle displayed at day 30 a marked decrease in both functional diets that was more marked on the stress condition. The expression of immune markers (IFN gamma, CD4, IL-10, TGF-beta, IgM(mb), IgM(sec), T-Bet, and GATA-3) indicated the upregulation of those associated to humoral-like response (CD4, IL-10, GATA-3) when fish were subjected to crowding stress. These results were confirmed with the expression of secreted IgM. Altogether, these functional diets improved the antioxidant status and increased the expression of genes related to Th2-like response suggesting a protective role on fish subjected to crowding stress.</t>
  </si>
  <si>
    <t>Reyes-López, Felipe/S-1760-2018; Vallejos-Vidal, Eva/R-9606-2019</t>
  </si>
  <si>
    <t>Perez Stuardo, Diego Emilio/0009-0003-0944-4716; Reyes, Jonathan/0000-0002-2155-8797; Reyes-Lopez, Felipe E./0000-0002-5001-457X; Vallejos-Vidal, Eva/0000-0002-3091-2700; Reyes, Sebastian/0000-0002-7676-1266; SANDINO, ANA MARIA/0000-0002-3862-3743</t>
  </si>
  <si>
    <t>10.1016/j.fsi.2017.12.061</t>
  </si>
  <si>
    <t>WOS:000427344200027</t>
  </si>
  <si>
    <t>Vargas, M; Vargas, S; Alfaro, M; Millán, G; Fuertes, G; Carrasco, R</t>
  </si>
  <si>
    <t>Vargas, Manuel; Vargas, Soledad; Alfaro, Miguel; Millan, Ginno; Fuertes, Guillermo; Carrasco, Raul</t>
  </si>
  <si>
    <t>PBL and CDIO for engineering education: A polynesian canoes case study</t>
  </si>
  <si>
    <t>A design of nautical project using project-based learning was developed by collaborative partners and implement in two different Universities in Chile. The experience uses the concurrent engineering supported by computing platform and design techniques: Computational Fluid Dynamics (CFD), Computer Aided Manufacturing (CAM), Finite Element Method (FEM) and Computer Aided Design (CAD) as tools for enhancing the innovative capacity of students. Interdisciplinary teams are grouped by capacities and technical interests, they worked in the developing stages of the project of naval team for an international competition. The design and construction areas are approached all the technical components for a naval team; the 3d digital concept, the ergonometric studies, the computational simulations, the hydrodynamics, the resistance analysis of materials, the processes engineer, the 3D prototype, and the assisted manufacturing on computer. The research presents the obtained results by the two teams, the PBL comparison with lecture course, outcomes, and challenges.</t>
  </si>
  <si>
    <t>Fuertes, Guillermo/Q-2341-2016; vargas, manuel/AAG-4780-2020; Millán, Ginno/AAP-8680-2020; Carrasco, Raul/G-5440-2015</t>
  </si>
  <si>
    <t>Carrasco, Raul/0000-0002-5023-9349</t>
  </si>
  <si>
    <t>WOS:000458417600013</t>
  </si>
  <si>
    <t>Mendiburo-Seguel, A; Vargas, S; Oyanedel, JC; Torres, F; Vergara, E; Hough, M</t>
  </si>
  <si>
    <t>Mendiburo-Seguel, Andres; Vargas, Salvador; Oyanedel, Juan C.; Torres, Francisca; Vergara, Eduardo; Hough, Mike</t>
  </si>
  <si>
    <t>Attitudes towards drug policies in Latin America: Results from a Latin-American Survey</t>
  </si>
  <si>
    <t>INTERNATIONAL JOURNAL OF DRUG POLICY</t>
  </si>
  <si>
    <t>Background: In recent years Latin American countries have increasingly rejected the traditional prohibitionist paradigm of drug policy, reflecting its failure to reduce either consumption or trafficking. The extent to which these policy trends currently command pubic support is unclear, however. This article goes some way to filling this gap, providing a snapshot of public attitudes towards drug policies in nine Latin American countries. Methods: The 2014 Annual Survey of the Observatory of Drug Policies and Public Opinion, which has representative population samples, was used to measure public opinion. Country comparisons are made using descriptive and inferential statistics. Results: Countries fall into three groups: Peru, Bolivia and El Salvador are the most conservative countries on drug policy and perceptions of risks of cannabis use; they also score lowest on Human Development Index. On the other hand, the public in Chile and Uruguay are more likely to support drug policy reform. The remaining four countries (Argentina, Colombia, Mexico and Peru) tend to occupy the middle ground between these extremes. In addition, cannabis legalization is explained by its recreational use, being this the main meaning attached to cannabis policy among Latin American citizens. Conclusion: There is a significant heterogeneity in attitudes towards drug policies in Latin American countries, which suggests that people are questioning the policies that set the norm in Latin America without achieving any consensus regarding future measures for each country. (C) 2016 Elsevier B.V. All rights reserved.</t>
  </si>
  <si>
    <t>Oyanedel, Juan/V-2833-2019</t>
  </si>
  <si>
    <t>Oyanedel, Juan/0000-0003-4023-6926</t>
  </si>
  <si>
    <t>0955-3959</t>
  </si>
  <si>
    <t>1873-4758</t>
  </si>
  <si>
    <t>10.1016/j.drugpo.2016.10.001</t>
  </si>
  <si>
    <t>WOS:000396954300002</t>
  </si>
  <si>
    <t>Espejo, AP; Vidal-Silva, N; López-López, JA; Goerlitz, D; Nielsch, K; Escrig, J</t>
  </si>
  <si>
    <t>Espejo, A. P.; Vidal-Silva, N.; Lopez-Lopez, J. A.; Goerlitz, D.; Nielsch, K.; Escrig, J.</t>
  </si>
  <si>
    <t>Current-driven vortex domain wall motion in wire-tube nanostructures</t>
  </si>
  <si>
    <t>We have investigated the current-driven domain wall motion in nanostructures comprised of a pair of nanotube and nanowire segments. Under certain values of external magnetic fields, it is possible to pin a vortex domain wall in the transition zone between the wire and tube segments. We explored the behavior of this domain wall under the action of an electron flow applied in the opposite direction to the magnetic field. Thus, for a fixed magnetic field, it is possible to release a domain wall pinned simply by increasing the intensity of the current density, or conversely, for a fixed current density, it is possible to release the domain wall simply decreasing the magnetic external field. When the domain wall remains pinned due to the competition between the current density and the magnetic external field, it exhibits a oscillation frequency close to 8 GHz. The amplitude of the oscillations increases with the current density and decreases over time. On the other hand, when the domain wall is released and propagated through the tube segment, this shows the standard separation between a steady and a precessional regime. The ability to pin and release a domain wall by varying the geometric parameters, the current density, or the magnetic field transforms these wire-tube nanostructures in an interesting alternative as an on/off switch nano-transistor. (C) 2015 AIP Publishing LLC.</t>
  </si>
  <si>
    <t>Nielsch, Kornelius/S-3196-2016; Görlitz, Detlef/D-8530-2012; López, J/B-7408-2011; Escrig, Juan/N-4304-2015; Vidal Silva, Nicolas/IAN-0226-2023</t>
  </si>
  <si>
    <t>Gorlitz, Detlef/0000-0002-3496-5519; Lopez, Jorge/0000-0002-5648-4206; Escrig, Juan/0000-0002-3958-8185; Vidal Silva, Nicolas/0000-0002-3717-3816; Nielsch, Kornelius/0000-0003-2271-7726</t>
  </si>
  <si>
    <t>1077-3118</t>
  </si>
  <si>
    <t>MAR 30</t>
  </si>
  <si>
    <t>10.1063/1.4916666</t>
  </si>
  <si>
    <t>WOS:000352310700031</t>
  </si>
  <si>
    <t>Mascayano, F; Armijo, JE; Yang, LH</t>
  </si>
  <si>
    <t>Mascayano, Franco; Armijo, Julio Eduardo; Yang, Lawrence Hsin</t>
  </si>
  <si>
    <t>Addressing stigma relating to mental illness in low- and middle-income countries</t>
  </si>
  <si>
    <t>Yang, Lawrence/A-6386-2012</t>
  </si>
  <si>
    <t>Mascayano, Franco/0000-0002-3118-504X</t>
  </si>
  <si>
    <t>MAR 11</t>
  </si>
  <si>
    <t>10.3389/fpsyt.2015.00038</t>
  </si>
  <si>
    <t>WOS:000364209900001</t>
  </si>
  <si>
    <t>Arancibia-Miranda, N; Escudey, M; Pizarro, C; Denardin, JC; García-González, MT; Fabris, JD; Charlet, L</t>
  </si>
  <si>
    <t>Arancibia-Miranda, Nicolas; Escudey, Mauricio; Pizarro, Carmen; Denardin, Juliano C.; Teresa Garcia-Gonzalez, Maria; Fabris, Jose D.; Charlet, Laurent</t>
  </si>
  <si>
    <t>Preparation and characterization of a single-walled aluminosilicate nanotube-iron oxide composite: Its applications to removal of aqueous arsenate</t>
  </si>
  <si>
    <t>A chemical method to synthesize a magnetite coating on aluminosilicate nanotubes (imogolite) that can be used as a magnetic adsorptive composite is reported via a new procedure based on impregnation with excess of solvent. This produced a nanocomposite of imogolite and magnetite, retaining at least two of the individual properties of its initial chemical species, which are determinant for some technological applications: large surface area and high saturation magnetization. Comparatively significant differences in terms of electrophoretic and magnetic characteristics were found between the direct solid mixture of the starting materials and the resultant imogolite-magnetite mixture. The adsorption kinetics of arsenate is described adequately by the pseudo-second model and the maximum adsorbed amounts (q(e)) of this anion were closed to those obtained experimentally. A high rate of arsenate adsorption on Fe-imogolite was initially observed, suggesting that the formation of new surface sites qualitatively and quantitatively improve the removal of arsenate. The combined use of different characterization techniques (XRD, TEM, Mossbauer spectroscopy, EM, VSM and SQUID) and the kinetic sorption study suggest that Fe-imogolite has a large potential for the treatment of arsenate polluted water or other nanotechnological applications, due to its high chemical reactivity. (C) 2013 Elsevier Ltd. All rights reserved.</t>
  </si>
  <si>
    <t>Fabris, José/H-4121-2012; Arancibia-Miranda, Nicolás/I-6743-2013; Denardin, Juliano/S-6407-2019; Charlet, Laurent/G-2437-2019</t>
  </si>
  <si>
    <t>Denardin, Juliano/0000-0002-1373-6207; Pizarro, Carmen/0000-0003-4927-5681; Charlet, Laurent/0000-0003-3669-7316</t>
  </si>
  <si>
    <t>10.1016/j.materresbull.2013.12.014</t>
  </si>
  <si>
    <t>WOS:000332437200026</t>
  </si>
  <si>
    <t>Mirza, V; Patricio, B; Francisco, G; Nestor, E; Pedro, A; Soren, R; Javier, GLF</t>
  </si>
  <si>
    <t>Mirza, Villarroel; Patricio, Baeza; Francisco, Gracia; Nestor, Escalona; Pedro, Avila; Soren, Rasmussene; Javier, Gil-Llambias Francisco, Sr.</t>
  </si>
  <si>
    <t>Phosphorus effect in Co//Mo and Ni//Mo synergism in hydrodesulphurization catalysts</t>
  </si>
  <si>
    <t>29-PETR</t>
  </si>
  <si>
    <t>WOS:000207861904656</t>
  </si>
  <si>
    <t>Barrera, NP; Morales, B; Torres, S; Villalón, M</t>
  </si>
  <si>
    <t>Principles:: Mechanisms and modeling of synergism in cellular responses</t>
  </si>
  <si>
    <t>TRENDS IN PHARMACOLOGICAL SCIENCES</t>
  </si>
  <si>
    <t>Cells can be considered as integrators of simultaneous stimuli, in which cross-talk between transduction pathways can eventually produce responses that are significantly different from simply additive responses. Synergism represents an efficient means of increasing the amplitude of cellular responses induced by low levels of stimulation. Recently, several kinetic and physicochemical models have been developed to describe and predict synergistic responses. In this article, the mechanisms that control the magnitude and timing of cellular synergism are discussed. We suggest that the analysis of theoretical models could enable a general prediction of synergism despite the presence of signal-specific synergistic responses. In addition, application of the proposed concepts should aid understanding of the wide occurrence of synergism induced by interacting transduction pathways in multidrug clinical treatment.</t>
  </si>
  <si>
    <t>Torres, Soledad/G-6529-2014</t>
  </si>
  <si>
    <t>Torres, Soledad/0000-0002-4346-883X; Barrera, Nelson/0000-0001-7825-1406</t>
  </si>
  <si>
    <t>0165-6147</t>
  </si>
  <si>
    <t>1873-3735</t>
  </si>
  <si>
    <t>10.1016/j.tips.2005.08.003</t>
  </si>
  <si>
    <t>WOS:000232606200007</t>
  </si>
  <si>
    <t>VALENCIA, E; WEISS, I; FIRDOUS, S; FREYER, AJ; SHAMMA, M; URZUA, A; FAJARDO, V</t>
  </si>
  <si>
    <t>THE ISOINDOLOBENZAZEPINE ALKALOIDS</t>
  </si>
  <si>
    <t>TETRAHEDRON</t>
  </si>
  <si>
    <t>Three Chilean barberries, Berberis actinacantha Mart, ex Schult., B. darwinii Hook and B. valdiviana Phil. (Berberidaceae), have yielded several new isoindolobenzazepine and protoberberine alkaloids. Novel isoindolobenzazepines are (.+-.)-13-deoxychilenine (9), pictonamine (10), chileninone (12), (.+-.)-chilenamine (18) and (.+-.)-palmanine (19). Highly protoberberines of particular interest include (.+-.)-O-methylprechilenine (6) and (.+-.)-prepseudopalmanine (21), together with 13-methoxy-8-oxyberberine (3). Isoindolobenzazepine alkaloids arise biogenetically from the rearrangement of highly oxidized protoberberines.</t>
  </si>
  <si>
    <t>Valencia, Emir/0000-0001-5748-9415</t>
  </si>
  <si>
    <t>0040-4020</t>
  </si>
  <si>
    <t>1464-5416</t>
  </si>
  <si>
    <t>10.1016/0040-4020(84)85073-5</t>
  </si>
  <si>
    <t>WOS:A1984AAQ0100005</t>
  </si>
  <si>
    <t>García, G; Moreno-Serna, V; Saavedra, M; Cordoba, A; Canales, D; Alfaro, A; Guzmán-Soria, A; Orihuela, P; Zapata, S; Grande-Tovar, CD; Valencia-Llano, CH; Zapata, PA</t>
  </si>
  <si>
    <t>Garcia, Gabriel; Moreno-Serna, Viviana; Saavedra, Marcela; Cordoba, Alexander; Canales, Daniel; Alfaro, Aline; Guzman-Soria, Aldo; Orihuela, Pedro; Zapata, Sebastian; Grande-Tovar, Carlos David; Valencia-Llano, Carlos Humberto; Zapata, Paula A.</t>
  </si>
  <si>
    <t>Electrospun scaffolds based on a PCL/starch blend reinforced with CaO nanoparticles for bone tissue engineering</t>
  </si>
  <si>
    <t>Electrospun nanocomposite scaffolds with improved bioactive and biological properties were fabricated from a blend of polycaprolactone (PCL) and starch, and then combined with 5 wt% of calcium oxide (CaO) nanoparticles sourced from eggshells. SEM analyses showed scaffolds with fibrillar morphology and a three-dimensional structure. The hydrophilicity of scaffolds was improved with starch and CaO nanoparticles, which was evidenced by enhanced water absorption (3500 %) for 7 days. In addition, PCL/Starch/CaO scaffolds exhibited major degradation, with a mass loss of approximately 60 % compared to PCL/Starch and PCL/CaO. The PCL/ Starch/CaO scaffolds decreased in crystallinity as intermolecular interactions between the nanoparticles retarded the mobility of the polymeric chains, leading to a significant increase in Young's modulus (ca. 60 %) and a decrease in tensile strength and elongation at break, compared to neat PCL. SEM-EDS, FT-IR, and XRD analyses indicated that PCL/Starch/CaO scaffolds presented a higher biomineralization capacity due to the ability to form hydroxyapatite (HA) in their surface after 28 days. The PCL/Starch/CaO scaffolds showed attractive biological performance, allowing cell adhesion and viability of M3T3-E1 preosteoblastic cells. In vivo analysis using a subdermal dorsal model in Wistar rats showed superior biocompatibility and improved resorption process compared to a pure PCL matrix. This biological analysis suggested that the PCL/Starch/CaO electrospun mats are suitable scaffolds for guiding the regeneration of bone tissue.</t>
  </si>
  <si>
    <t>Canales Arévalo, Daniel/HSG-6748-2023; Cordoba, Alexander/HPH-1337-2023; Guzman Soria, Aldo/MDT-1845-2025; Tovar, Carlos/J-9638-2019; Valencia Llano, Carlos Humberto/KZU-6023-2024; Moreno Serna, Viviana/LZI-3166-2025</t>
  </si>
  <si>
    <t>Valencia Llano, Carlos Humberto/0000-0003-4892-9786; Moreno Serna, Viviana/0000-0001-9042-1738</t>
  </si>
  <si>
    <t>10.1016/j.ijbiomac.2024.132891</t>
  </si>
  <si>
    <t>WOS:001256888500001</t>
  </si>
  <si>
    <t>De Barbieri, F; Jorge-Badiola, D; Allende, R; Tello, K; Artigas, A; Perazzo, F; Jami, H; Ipiña, JP</t>
  </si>
  <si>
    <t>De Barbieri, Flavio; Jorge-Badiola, Denis; Allende, Rodrigo; Tello, Karem; Artigas, Alfredo; Perazzo, Franco; Jami, Henry; Ipina, Juan Perez</t>
  </si>
  <si>
    <t>Effect of Cr content in temperature-dependent mechanical properties and strain hardening of a twinning-induced plasticity steel</t>
  </si>
  <si>
    <t>This study aims at assessing and analyzing the effect on the mechanical behavior at temperatures between 25 degrees C and 350 degrees C of the Cr additions (5 % and 10 %) to a TWIP steel (Fe-22Mn-0.6C). We conducted tensile tests and characterized the microstructure after deformation by light microscopy, X-ray diffraction (XRD) and FEG-SEM-EBSD. Different temperature-dependent strengthening mechanisms were determined. Mechanical twinning, Dynamic Strain Aging (DSA), and slip bands were the predominant mechanisms, with a combination of them depending on the stacking fault energy (SFE). The SFE decreases with the chromium content and increases with temperature, influencing the percentage of mechanical twinning generated during plastic deformation and consequently, affecting the strain hardening rate (SHR). There exists a direct relationship between strain hardening rate with temperature of deformation and mechanical twinning. DSA was observed and its effect on strain hardening was analyzed in detail.</t>
  </si>
  <si>
    <t>Jorge-Badiola, Denis/AAI-7583-2021; Perez Ipiña, Juan/IZE-2438-2023; De Barbieri, Flavio/AGQ-8546-2022; Artigas, Alfredo/Y-1185-2019; Allende, Rodrigo/N-5507-2017; Jorge-Badiola, Denis/I-2082-2015; Perez Ipina, Juan E./N-2620-2016</t>
  </si>
  <si>
    <t>Allende, Rodrigo/0000-0002-2115-8160; Jorge-Badiola, Denis/0000-0002-2019-0863; De Barbieri, Flavio/0000-0001-6088-1901; Tello, Karem/0000-0002-1453-4770; Perez Ipina, Juan E./0000-0002-0934-477X</t>
  </si>
  <si>
    <t>10.1016/j.msea.2023.145865</t>
  </si>
  <si>
    <t>WOS:001111942800001</t>
  </si>
  <si>
    <t>Yarza, B; Ansoleaga, E; Godoy, L; Vera, J; Recabarren, A</t>
  </si>
  <si>
    <t>Yarza, Begona; Ansoleaga, Elisa; Godoy, Lorena; Vera, Javier; Recabarren, Alexander</t>
  </si>
  <si>
    <t>The dignity of medical work. A qualitative approach</t>
  </si>
  <si>
    <t>Background: A work that dignifies, that is adequately rewarded and is carried out with social protection is considered decent by the International Labor Organization. Aim: To describe and understand the different dimensions of the dignity of medical work from the perspective of Chilean male and female doctors. Material and Methods: From a qualitative approach, the first stage of the study consisted in the application of an open response survey which was answered by doctors from all over the country. The second stage consisted in discussion instances about dignity of medical work. In the third stage, semi-structured in-depth interviews with doctors of both sexes and of different generations were conducted. The analysis of the data was carried out following the approaches of the Grounded Theory. Results: The concept of dignity of medical work arises from a historical process of social conquest and implies the recognition of the rights of professionals and patients. Optimal conditions are required to provide quality health care. However, even in unworthy conditions, doctors do everything possible to provide a decent care. The need to humanize the relationships that occur in the context of health care is proposed. Carrying out medical work with excellence and professionalism contributes to personal fulfillment. Associativity contributes to dignify medical work. Conclusions: The dignity of medical work is understood by doctors as a polysemic and relational concept.</t>
  </si>
  <si>
    <t>WOS:001042468100006</t>
  </si>
  <si>
    <t>Pradel, P; Calisto, N; Navarro, L; Barriga, A; Vera, N; Aranda, C; Simpfendorfer, R; Valdés, N; Corsini, G; Tello, M; González, AR</t>
  </si>
  <si>
    <t>Pradel, Paulina; Calisto, Nancy; Navarro, Laura; Barriga, Andres; Vera, Nicolas; Aranda, Carlos; Simpfendorfer, Robert; Valdes, Natalia; Corsini, Gino; Tello, Mario; Gonzalez, Alex R.</t>
  </si>
  <si>
    <t>Carotenoid Cocktail Produced by An Antarctic Soil Flavobacterium with Biotechnological Potential</t>
  </si>
  <si>
    <t>Carotenoids are highly important in pigmentation, and its content in farmed crustaceans and fish correlates to their market value. These pigments also have a nutritional role in aquaculture where they are routinely added as a marine animal food supplement to ensure fish development and health. However, there is little information about carotenoids obtained from Antarctic bacteria and its use for pigmentation improvement and flesh quality in aquaculture. This study identified carotenoids produced by Antarctic soil bacteria. The pigmented strain (CN7) was isolated on modified Luria-Bertani (LB) media and incubated at 4 degrees C. This Gram-negative bacillus was identified by 16S rRNA analysis as Flavobacterium segetis. Pigment extract characterization was performed through high-performance liquid chromatography (HPLC) and identification with liquid chromatography-mass spectrometry (LC-MS). HPLC analyses revealed that this bacterium produces several pigments in the carotenoid absorption range (six peaks). LC-MS confirms the presence of one main peak corresponding to lutein or zeaxanthin (an isomer of lutein) and several other carotenoid pigments and intermediaries in a lower quantity. Therefore, we propose CN7 strain as an alternative model to produce beneficial carotenoid pigments with potential nutritional applications in aquaculture.</t>
  </si>
  <si>
    <t>Tello, Mario/N-4198-2019; Valdes, Natalia/AAI-8151-2021; González, Alex/GYU-3220-2022; Aranda, Carlos/D-7882-2013</t>
  </si>
  <si>
    <t>Navarro, Laura/0000-0002-8755-9792; Corsini, Gino/0000-0002-0418-8616; Tello, Mario/0000-0003-4573-6460; Gonzalez, Alex/0000-0001-9968-8623; Aranda, Carlos/0000-0001-6219-622X; valdes parra, Natalia/0000-0002-6884-7799; Calisto Ulloa, Nancy Cristina/0000-0002-5517-1750; Barriga, Andres/0000-0003-4375-4155</t>
  </si>
  <si>
    <t>10.3390/microorganisms9122419</t>
  </si>
  <si>
    <t>WOS:000741494500001</t>
  </si>
  <si>
    <t>Portugal, IBM; Adami, F; Schoueri, JH; Rezende, LFM; Fonseca, FLA; Ferrari, G; de Abreu, LC; De Carvalho, LEW</t>
  </si>
  <si>
    <t>Martins Portugal, Isabella Batista; Adami, Fernando; Schoueri, Jean Henri; Machado Rezende, Leandro Fornias; Affonso Fonseca, Fernando Luiz; Ferrari, Gerson; de Abreu, Luiz Carlos; Werneck De Carvalho, Luis Eduardo</t>
  </si>
  <si>
    <t>Reduction in prostate cancer hospitalizations in the COVID-19 pandemic epicenter of Latin America.</t>
  </si>
  <si>
    <t>Schoueri, Jean/X-7806-2018; Ferrari, Gerson/ABG-6635-2021; de Abreu, Luiz/B-7873-2012; Rezende, Leandro/C-1724-2012; Ferrari, Gerson/P-1152-2014</t>
  </si>
  <si>
    <t>Rezende, Leandro/0000-0002-7469-1399; Batista Martins Portugal, Isabella/0000-0002-6448-2550; Ferrari, Gerson/0000-0003-3177-6576</t>
  </si>
  <si>
    <t>e18814</t>
  </si>
  <si>
    <t>10.1200/JCO.2021.39.15_suppl.e18814</t>
  </si>
  <si>
    <t>WOS:000708120304047</t>
  </si>
  <si>
    <t>Ndiritu, SW; Scaife, AMM; Tabb, DL; Cárcamo, M; Hanson, J</t>
  </si>
  <si>
    <t>Ndiritu, S. W.; Scaife, A. M. M.; Tabb, D. L.; Carcamo, M.; Hanson, J.</t>
  </si>
  <si>
    <t>Gaussian process modelling for improved resolution in Faraday depth reconstruction</t>
  </si>
  <si>
    <t>The incomplete sampling of data in complex polarization measurements from radio telescopes negatively affects both the rotation measure (RM) transfer function and the Faraday depth spectra derived from these data. Such gaps in polarization data are mostly caused by flagging of radio frequency interference and their effects worsen as the percentage of missing data increases. In this paper we present a novel method for inferring missing polarization data based on Gaussian processes (GPs). GPs are stochastic processes that enable us to encode prior knowledge in our models. They also provide a comprehensive way of incorporating and quantifying uncertainties in regression modelling. In addition to providing non-parametric model estimates for missing values, we also demonstrate that GP modelling can be used for recovering rotation measure values directly from complex polarization data, and that inferring missing polarization data using this probabilistic method improves the resolution of reconstructed Faraday depth spectra.</t>
  </si>
  <si>
    <t>Carcamo, Miguel/LEM-3690-2024</t>
  </si>
  <si>
    <t>Tabb, David/0000-0001-7223-578X; Ndiritu, Simon Wanjau/0000-0002-8050-7455</t>
  </si>
  <si>
    <t>10.1093/mnras/stab379</t>
  </si>
  <si>
    <t>WOS:000637320100082</t>
  </si>
  <si>
    <t>Alonso-Martínez, AM; Ramírez-Vélez, R; García-Alonso, Y; Izquierdo, M; García-Hermoso, A</t>
  </si>
  <si>
    <t>Alonso-Martinez, Alicia M.; Ramirez-Velez, Robinson; Garcia-Alonso, Yesenia; Izquierdo, Mikel; Garcia-Hermoso, Antonio</t>
  </si>
  <si>
    <t>Physical Activity, Sedentary Behavior, Sleep and Self-Regulation in Spanish Preschoolers during the COVID-19 Lockdown</t>
  </si>
  <si>
    <t>Background: A better understanding of the effects of the lockdown on lifestyle behaviors may help to guide the public health response to COVID-19 at a national level and to update the global strategy to respond COVID-19 pandemic. The aim of the study was to examine the effects of the COVID-19 lockdown on device-measured physical activity (PA), sedentary time, sleep and self-regulation; and to determine whether PA and sleep are related to self-regulation problems during the lockdown. Methods: PA, sedentary time and sleep were assessed using accelerometry in the week in which the Spanish national state of alarm was declared (n = 21). Parents reported preschooler's self-regulation difficulties (internalizing and externalizing) before (n = 268) and during the lockdown (n = 157) by a validated questionnaire. Results: Preschoolers showed a decrease in total PA (mean difference [MD] = -43.3 min per day, 95% CI -68.1 to -18.5), sleep efficiency (MD = -2.09%, 95% CI -4.12 to -0.05), an increase in sedentary time (MD = 50.2 min per day, 95% CI 17.1 to 83.3) internalizing (MD = 0.17, 95% CI 0.06 to 0.28) and externalizing (MD = 0.33, 95% CI 0.23 to 0.44) problems. Preschoolers who met the World Health Organization recommendations for PA had lower internalizing scores than non-active peers (MD = -1.28, 95% CI -2.53 to -0.03). Conclusions: Our findings highlight the importance of meeting PA recommendations to reduce psychosocial difficulties during a lockdown situation.</t>
  </si>
  <si>
    <t>García-Hermoso, Antonio/ADU-2591-2022; Garcia-Hermoso, Antonio/P-1857-2017; Alonso-Martinez, Alicia M./KYR-7889-2024; Izquierdo, Mikel/A-4894-2010; Ramirez-Velez, Robinson/D-5311-2016</t>
  </si>
  <si>
    <t>Garcia-Hermoso, Antonio/0000-0002-1397-7182; Alonso-Martinez, Alicia M./0000-0002-7204-696X; Izquierdo, Mikel/0000-0002-1506-4272; Ramirez-Velez, Robinson/0000-0003-3075-6960; Garcia-Alonso, Yesenia/0000-0001-7750-9460</t>
  </si>
  <si>
    <t>10.3390/ijerph18020693</t>
  </si>
  <si>
    <t>WOS:000611242400001</t>
  </si>
  <si>
    <t>Perez-Arrau, G; Espejo, A; Mandiola, M; Gonzalez, NR; Toro, JP</t>
  </si>
  <si>
    <t>Perez-Arrau, Gregorio; Espejo, Alvaro; Mandiola, Marcela; Gonzalez, Nicolas Rios; Toro, Juan Pablo</t>
  </si>
  <si>
    <t>Organizing the Organizational Studies in Chile: Creation history of Minga Group</t>
  </si>
  <si>
    <t>RAE-REVISTA DE ADMINISTRACAO DE EMPRESAS</t>
  </si>
  <si>
    <t>This article addresses the experience, history, and particularities after the process of shaping Minga, an academic group of Organizational Studies in Chile. Following a historical-narrative methodology, a biographical account of this group is built, in which its protagonists participate as researchers and authors of the process. To analyze this story, a decolonial view is adopted, simultaneously investigating the leadership styles and the knowledge network that this experience mobilizes, paralleling the tradition of the minga chilota. The results show how the question for Organizational Studies in Chile coincides with a process of epistemic detachment from the global north, through which the collective and shared leadership among its members is consolidated in Minga, as well as its functioning as an inter-organizational academic network. The conclusions cover some of the learnings that the history and conformation of this group offer for other groups with similar intentions in the field of Organizational Studies in Latin America.</t>
  </si>
  <si>
    <t>Espejo, Alvaro/K-5540-2012</t>
  </si>
  <si>
    <t>Espejo, Alvaro/0000-0001-5474-0328; Rios Gonzalez, Nicola/0000-0003-4703-5887; Perez-Arrau, Gregorio/0000-0002-3592-3847</t>
  </si>
  <si>
    <t>2178-938X</t>
  </si>
  <si>
    <t>10.1590/S0034-759020200208</t>
  </si>
  <si>
    <t>WOS:000537025800008</t>
  </si>
  <si>
    <t>Fuenzalida, F; Aravena, D; García, C; García, M; Arce, R; Ramírez, G; Díaz, C; Isaacs, M; Arévalo, MD; Aguirre, MJ</t>
  </si>
  <si>
    <t>Fuenzalida, Francesca; Aravena, Daniel; Garcia, Camilo; Garcia, Macarena; Arce, Roxana; Ramirez, Galo; Diaz, Carlos; Isaacs, Mauricio; del Carmen Arevalo, Maria; Aguirre, Maria J.</t>
  </si>
  <si>
    <t>Effect of the substituent of the cation of N-octylpyridinium hexafluorophosphate in the electrical and electrochemical response of carbon paste electrodes modified with these ionic liquids</t>
  </si>
  <si>
    <t>A series of N-octylpyridinium hexafluorophosphate ionic liquids (ILs), ascribed as ROpyPF(6), where Opy = N-octylpyridinium and R are the substituents -OCH3, -CH3, -CF3 and -CN at the para position of the cation, were characterized and employed as binders in carbon paste electrodes (CILEs) to evaluate the electron donating or withdrawing effects of the substituent of the cation in physical and electrochemical properties of these CILEs. Substituents strongly affect the melting point of the ILs, the electric properties of the CILEs measured by electrochemical impedance spectroscopy, and the electrochemical behavior measured by the response for an outer-sphere reaction (ferro/ferricyanide redox couple) and for an inner-sphere irreversible reaction (oxidation of sulfite). Results show that ILs can be separated in two different groups: those that have withdrawing electron substituents and those that have donating-electron substituents. OpyPF(6) has a behavior similar to those that have withdrawing electron substituents. Carbon paste electrode prepared with mineral oil as binder (CPE) has a very different behavior and is described for comparison purposes only. Results show that the ILs with withdrawing electron substituents have more polarized cations (a more localized positive charge) acquiring a slight ionic character in comparison to the ILs with donating substituents. The electron withdrawing effect modifies the hydrogen-fluorine interactions and also the electrostatic interactions between anion and cation, modifying the electric and electrochemical response of the CILEs, resulting in more conductive and homogeneous surfaces. (C) 2017 Elsevier Ltd. All rights reserved.</t>
  </si>
  <si>
    <t>Diaz, Carlos/ITT-9959-2023; Arce, Roxana/V-8140-2019; García, Macarena/GXG-8380-2022; Arévalo, M./AAY-1729-2020; Aguirre, Maria/A-3935-2013; Isaacs, Mauricio/N-3027-2013; Diaz, Carlos/R-8646-2018; Aravena, Daniel/F-2174-2011</t>
  </si>
  <si>
    <t>Diaz, Carlos/0000-0002-7250-8829; Aguirre, Maria/0000-0003-1134-4469; ARCE, ROXANA/0000-0002-1387-9232; Isaacs Casanova, Mauricio/0000-0003-0503-0949; Arevalo, M. Carmen/0000-0003-4629-1643; Ramirez, Galo/0000-0002-6217-4730; Aravena, Daniel/0000-0003-3140-4852; , Roxana/0000-0002-7529-8011</t>
  </si>
  <si>
    <t>10.1016/j.electacta.2017.11.147</t>
  </si>
  <si>
    <t>WOS:000418324800108</t>
  </si>
  <si>
    <t>Gallardo, DI; Romeo, JS; Meyer, R</t>
  </si>
  <si>
    <t>Gallardo, Diego I.; Romeo, Jose S.; Meyer, Renate</t>
  </si>
  <si>
    <t>A simplified estimation procedure based on the EM algorithm for the power series cure rate model</t>
  </si>
  <si>
    <t>COMMUNICATIONS IN STATISTICS-SIMULATION AND COMPUTATION</t>
  </si>
  <si>
    <t>The family of power series cure rate models provides a flexible modeling framework for survival data of populations with a cure fraction. In this work, we present a simplified estimation procedure for the maximum likelihood (ML) approach. ML estimates are obtained via the expectation-maximization (EM) algorithm where the expectation step involves computation of the expected number of concurrent causes for each individual. It has the big advantage that the maximization step can be decomposed into separate maximizations of two lower-dimensional functions of the regression and survival distribution parameters, respectively. Two simulation studies are performed: the first to investigate the accuracy of the estimation procedure for different numbers of covariates and the second to compare our proposal with the direct maximization of the observed log-likelihood function. Finally, we illustrate the technique for parameter estimation on a dataset of survival times for patients with malignant melanoma.</t>
  </si>
  <si>
    <t>Gallardo, Diego/L-4702-2013; Romeo, Jose/J-6496-2019</t>
  </si>
  <si>
    <t>Meyer, Renate/0000-0003-0268-8569; Gallardo, Diego/0000-0001-8184-7403; Romeo, Jose/0000-0002-6707-3429</t>
  </si>
  <si>
    <t>0361-0918</t>
  </si>
  <si>
    <t>1532-4141</t>
  </si>
  <si>
    <t>10.1080/03610918.2016.1202276</t>
  </si>
  <si>
    <t>WOS:000415033700029</t>
  </si>
  <si>
    <t>Donnay, L; Giribet, G; González, HA; Pino, M</t>
  </si>
  <si>
    <t>Donnay, Laura; Giribet, Gaston; Gonzalez, Hernan A.; Pino, Miguel</t>
  </si>
  <si>
    <t>Supertranslations and Superrotations at the Black Hole Horizon</t>
  </si>
  <si>
    <t>We show that the asymptotic symmetries close to nonextremal black hole horizons are generated by an extension of supertranslations. This group is generated by a semidirect sum of Virasoro and Abelian currents. The charges associated with the asymptotic Killing symmetries satisfy the same algebra. When considering the special case of a stationary black hole, the zero mode charges correspond to the angular momentum and the entropy at the horizon.</t>
  </si>
  <si>
    <t>González, Hernán Alfredo/S-5915-2019; Pino, Miguel/G-7510-2015; Donnay, Laura/ABI-0209-2022; Gonzalez Leiva, Hernan Alfredo/K-2767-2017</t>
  </si>
  <si>
    <t>Pino, Miguel/0000-0002-7612-4515; Gonzalez Leiva, Hernan Alfredo/0000-0001-7025-3116; Donnay, Laura/0000-0002-7099-0463</t>
  </si>
  <si>
    <t>10.1103/PhysRevLett.116.091101</t>
  </si>
  <si>
    <t>WOS:000371419600005</t>
  </si>
  <si>
    <t>Roldán-Molina, A; Santander, MJ; Nunez, AS; Fernández-Rossier, J</t>
  </si>
  <si>
    <t>Roldan-Molina, A.; Santander, M. J.; Nunez, A. S.; Fernandez-Rossier, J.</t>
  </si>
  <si>
    <t>Quantum fluctuations stabilize skyrmion textures</t>
  </si>
  <si>
    <t>We study the quantum spin waves associated to skyrmion textures. We show that the zero-point energy associated to the quantum spin fluctuations of a noncollinear spin texture produce Casimir-like magnetic fields. We study the effect of these Casimir fields on the topologically protected noncollinear spin textures known as skyrmions. In a Heisenberg model with Dzyalonshinkii-Moriya interactions, chosen so the classical ground state displays skyrmion textures, we calculate the spin-wave spectrum, using the Holstein-Primakoff approximation, and the associated zero-point energy, to the lowest order in the spin-wave expansion. Our calculations are done both for the single-skyrmion case, for which we obtain a discrete set of skyrmion bound states, as well as for the skyrmion crystal, for which the resulting spectrum gives the spin-wave bands. In both cases, our calculations show that the Casimir magnetic field contributes up to 10% of the total Zeeman energy necessary to delete the skyrmion texture with an applied field.</t>
  </si>
  <si>
    <t>Roldan, Alejandro/JWO-2121-2024; Núñez, Alvaro/F-4572-2011; Fernandez-Rossier, Joaquin/C-3910-2009</t>
  </si>
  <si>
    <t>Fernandez-Rossier, Joaquin/0000-0003-2297-0289; Nunez, Alvaro S./0000-0002-6804-9703; Roldan, Alejandro/0000-0002-0697-4936</t>
  </si>
  <si>
    <t>1550-235X</t>
  </si>
  <si>
    <t>DEC 23</t>
  </si>
  <si>
    <t>10.1103/PhysRevB.92.245436</t>
  </si>
  <si>
    <t>WOS:000367067100006</t>
  </si>
  <si>
    <t>Marthelot, J; Bico, J; Melo, F; Roman, B</t>
  </si>
  <si>
    <t>Marthelot, Joel; Bico, Jose; Melo, Francisco; Roman, Benoit</t>
  </si>
  <si>
    <t>A new failure mechanism in thin film by collaborative fracture and delamination: Interacting duos of cracks</t>
  </si>
  <si>
    <t>JOURNAL OF THE MECHANICS AND PHYSICS OF SOLIDS</t>
  </si>
  <si>
    <t>When a thin film moderately adherent to a substrate is subjected to residual stress, the cooperation between fracture and delamination leads to unusual fracture patterns, such as spirals, alleys of crescents and various types of strips, all characterized by a robust characteristic length scale. We focus on the propagation of a duo of cracks: two fractures in the film connected by a delamination front and progressively detaching a strip. We show experimentally that the system selects an equilibrium width on the order of 25 times the thickness of the coating and independent of both fracture and adhesion energies. We investigate numerically the selection of the width and the condition for propagation by considering Griffith's criterion and the principle of local symmetry. In addition, we propose a simplified model based on the criterion of maximum of energy release rate, which provides insights of the physical mechanisms leading to these regular patterns, and predicts the effect of material properties on the selected width of the detaching strip. (C) 2015 Elsevier Ltd. All rights reserved.</t>
  </si>
  <si>
    <t>Melo, Francisco/M-3923-2014; Marthelot, Joel/AAE-5106-2022; Bico, Jose/Q-1614-2015; Roman, Benoit/C-6273-2014</t>
  </si>
  <si>
    <t>Bico, Jose/0000-0002-3872-1239; Melo, Francisco Esteban/0000-0001-6818-5476; Roman, Benoit/0000-0002-1473-2734; Marthelot, Joel/0000-0002-8682-9535</t>
  </si>
  <si>
    <t>0022-5096</t>
  </si>
  <si>
    <t>1873-4782</t>
  </si>
  <si>
    <t>10.1016/j.jmps.2015.07.010</t>
  </si>
  <si>
    <t>WOS:000364887400012</t>
  </si>
  <si>
    <t>Soto, I; Jiron, I; Valencia, A; Carrasco, R</t>
  </si>
  <si>
    <t>Soto, I.; Jiron, I.; Valencia, A.; Carrasco, R.</t>
  </si>
  <si>
    <t>Secure DNA data compression using algebraic curves</t>
  </si>
  <si>
    <t>ELECTRONICS LETTERS</t>
  </si>
  <si>
    <t>A system that achieves compression using artificial DNA packaging with the support of two algebraic curves is presented, whereby the Hermitian channel code algorithm introduces gain and safety. Additionally, performance results are presented with a gain of 7 dB against uncoded quadrature phase shift keying and 1 dB against McEliece, for a bit error rate of 10(-3). The results of the security levels compared with the McEliece system are also presented.</t>
  </si>
  <si>
    <t>Valencia, Alvaro/H-3754-2013; JIRON, IVAN/AAG-7462-2019</t>
  </si>
  <si>
    <t>valencia, alvaro/0000-0002-3644-3167; Soto, Ismael/0000-0002-5501-5651</t>
  </si>
  <si>
    <t>0013-5194</t>
  </si>
  <si>
    <t>1350-911X</t>
  </si>
  <si>
    <t>10.1049/el.2015.1226</t>
  </si>
  <si>
    <t>WOS:000360199000044</t>
  </si>
  <si>
    <t>Cordero, RR; Seckmeyer, G; Damiani, A; Jorquera, J; Carrasco, J; Muñoz, R; Da Silva, L; Labbe, F; Laroze, D</t>
  </si>
  <si>
    <t>Cordero, R. R.; Seckmeyer, G.; Damiani, A.; Jorquera, J.; Carrasco, J.; Munoz, R.; Da Silva, L.; Labbe, F.; Laroze, D.</t>
  </si>
  <si>
    <t>Aerosol effects on the UV irradiance in Santiago de Chile</t>
  </si>
  <si>
    <t>ATMOSPHERIC RESEARCH</t>
  </si>
  <si>
    <t>Santiago de Chile (33 degrees 27' S-70 degrees 41' W) is a mid-latitude city of 6 million inhabitants with a complicated surrounding topography. Aerosol extinction in Santiago is determined by the semi-arid local climate, the urban pollution, a regional subsidence thermal inversion layer, and the boundary-layer wind airflow. In this paper we report on spectral measurements of the surface irradiance (at 290-600 nm wavelength range) carried out during 2013 in the heart of the city by using a double monochromator-based spectroradiometer system. These measurements were used to assess the effect of local aerosols, paying particular attention to the ultraviolet (UV) range. We found that the aerosol optical depth (AOD) exhibited variations likely related to changes in the subsidence thermal inversion and in the boundary-layer winds. Although the AOD at 350 nm typically ranged from 0.2 to 0.3, peak values of about 0.7 were measured. The AOD diminished with the wavelength and typically ranged from 0.1 to 0.2 at 550 nm. Our AOD data were found to be consistent with measurements of the particulate matter (PM) mass concentration. (C) 2014 Elsevier B.V. All rights reserved.</t>
  </si>
  <si>
    <t>Damiani, Alessandro/X-4677-2019; Cordero, Raul/M-7979-2017; Laroze, David/Z-2852-2019; Munoz, Ricardo/A-1967-2011; Carrasco, Jorge/K-2949-2014; Laroze, David/E-9134-2011</t>
  </si>
  <si>
    <t>Munoz, Ricardo/0000-0002-4434-5620; Cordero, Raul R./0000-0001-7607-7993; Damiani, Alessandro/0000-0003-3014-6193; Carrasco, Jorge/0000-0003-2154-5483; Laroze, David/0000-0002-6487-8096</t>
  </si>
  <si>
    <t>0169-8095</t>
  </si>
  <si>
    <t>1873-2895</t>
  </si>
  <si>
    <t>10.1016/j.atmosres.2014.07.002</t>
  </si>
  <si>
    <t>WOS:000341468100023</t>
  </si>
  <si>
    <t>Ellwood, P; Asher, MI; Stewart, AW; Aït-Khaled, N; Mallol, J; Strachan, D</t>
  </si>
  <si>
    <t>Ellwood, P.; Asher, M. I.; Stewart, A. W.; Ait-Khaled, N.; Mallol, J.; Strachan, D.</t>
  </si>
  <si>
    <t>ISAAC Phase III Time Trends Study</t>
  </si>
  <si>
    <t>The challenges of replicating the methodology between Phases I and III of the ISAAC programme</t>
  </si>
  <si>
    <t>INTERNATIONAL JOURNAL OF TUBERCULOSIS AND LUNG DISEASE</t>
  </si>
  <si>
    <t>BACKGROUND: The International Study of Asthma and Allergies in Childhood (ISAAC) used standardised methods to examine symptom prevalence of asthma, rhinitis and eczema in adolescents and children between Phases I and III. Centres followed essential rules to ensure comparability of methodology, examined by a centralised data centre. METHODS: Centre reports (CRs) were compared for both phases and age groups. Methodological differences were categorised under major deviations (centres excluded), minor deviations (deviations identified in published tables) and very minor deviations (deviations not identified). RESULTS: There were 112 CRs for adolescents and 70 for children. Six centres for adolescents and four for children had major deviations and were excluded. Minor deviations (35 for adolescents and 20 for children) were identified in the publications. Very minor deviations (92 for adolescents and 51 for children) were not identified. The odds ratios for having any differences in methodology between phases with a change in Principal Investigator were 0.80 (95%CI 0.36-1.81) for adolescents and 0.91 (95%CI 0.32-2.62) for children. CONCLUSION: The majority of the centres replicated the ISAAC methodology to a high standard. Careful documentation of methodology using standardised tools with careful checks allows the full potential of studies such as ISAAC to be realised.</t>
  </si>
  <si>
    <t>Asher, Innes/O-2604-2016; Steriu, Andreea/AAQ-5127-2021; Deleanu, Diana/G-3963-2015; Guillen-Grima, FRANCISCO/H-3359-2012; Masjedi, Mohammad Reza/J-9776-2017; Clancy, Luke/C-1632-2015; Wong, Gary/AAY-9207-2020; Forastiere, Francesco/J-9067-2016; Khaitov, Rahim/K-5418-2014; Ellwood, Philippa/G-7555-2015</t>
  </si>
  <si>
    <t>Steriu, Andreea/0000-0002-2998-8644; Deleanu, Diana/0000-0002-8431-8352; Guillen-Grima, FRANCISCO/0000-0001-9749-8076; williams, hywel/0000-0002-5646-3093; Pearce, Neil/0000-0002-9938-7852; , Sunia/0000-0002-3238-5940; Amarales, Lidia/0009-0007-0832-7867; Garcia-Marcos, Luis/0000-0002-0925-3851; Beasley, Richard/0000-0003-0337-406X; Nilsson, Lennart/0000-0002-5680-6367; brunekreef, bert/0000-0001-9908-0060; Masjedi, Mohammad Reza/0000-0002-6871-382X; Clancy, Luke/0000-0003-2407-2263; Wong, Gary/0000-0001-5939-812X; Pekkanen, Juha/0000-0002-1083-8777; Mallol, Javier/0000-0003-2528-8672; Forastiere, Francesco/0000-0002-9162-5684; Khaitov, Rahim/0000-0003-1829-0424; Ellwood, Philippa/0000-0002-1994-4023</t>
  </si>
  <si>
    <t>1027-3719</t>
  </si>
  <si>
    <t>1815-7920</t>
  </si>
  <si>
    <t>10.5588/ijtld.11.0226</t>
  </si>
  <si>
    <t>WOS:000303700600025</t>
  </si>
  <si>
    <t>Blümel, JE; Castelo-Branco, C; Kerrigan, N; Cancelo, MJ; Blümel, B; Haya, J; Flores, M; Carvajal, MC; Sarrá, S</t>
  </si>
  <si>
    <t>Influences of hormone replacement therapy on postmenopausal women's health perceptions</t>
  </si>
  <si>
    <t>MENOPAUSE-THE JOURNAL OF THE NORTH AMERICAN MENOPAUSE SOCIETY</t>
  </si>
  <si>
    <t>Objective:To assess the beliefs of climacteric women regarding their health, menopause, and hormone replacement therapy (HRT). Design: Medical students asked to interview 526 healthy women, ranging from 40 to 64 years of age, between January and February of 2002. Of that number, 26 (4.9%) declined to participate in the interview. Thus, 500 women were interviewed about their beliefs and perceptions regarding their quality of life and health risks, as well as their opinions on menopause and HRT. Results: The mean age of the sample was 53.3 +/- 6.2 years; 83.4% were postmenopausal, and 18.8% were HRT users. Of the women interviewed, 38.6% believed that their health was good. Although 78.8% thought that cancer is the main cause of death, 64% of them considered themselves to be at high risk for cardiovascular disease and osteoporosis. Most (64%) believed that menopause deteriorates the quality of life and that it increases cardiovascular risk (52.4%) and osteoporosis (72.0%). The HRT users perceived that they had better health status (48.9% v 36.2%, P &lt; 0.02) and smaller cardiovascular risk (54.3% v 66.3%, P &lt; 0.04) than did the nonusers; however, they ignored the preventive effect of estrogens in osteoporosis. Conclusions: Women believe that menopause deteriorates their health. The HRT users perceived themselves to be healthier and to have a smaller risk for cardiovascular disease.</t>
  </si>
  <si>
    <t>Blümel, Juan Enrique/JUV-6950-2023; cancelo, maria jesus/HKW-4464-2023; Castelo-Branco, Camil/O-5245-2016</t>
  </si>
  <si>
    <t>Cancelo Hidalgo, Maria Jesus/0000-0002-2072-7747; Castelo-Branco, Camil/0000-0002-9860-8318</t>
  </si>
  <si>
    <t>1072-3714</t>
  </si>
  <si>
    <t>1530-0374</t>
  </si>
  <si>
    <t>10.1097/01.GME.0000047164.31787.45</t>
  </si>
  <si>
    <t>WOS:000182908100011</t>
  </si>
  <si>
    <t>Encinas, MV; Rufs, AM; Corrales, T; Catalina, F; Peinado, C; Schmith, K; Neumann, MG; Allen, NS</t>
  </si>
  <si>
    <t>The influence of the photophysics of 2-substituted thioxanthones on their activity as photoinitiators</t>
  </si>
  <si>
    <t>The polymerization of methyl methacrylate photoinitiated by thioxanthones (TXs) substituted in the position 2 of the chromophore ring in the presence of 2-(N,N-diethylamino) ethanol has been investigated. The photoinitiation efficiency of these systems is highly dependent on the structure of the 2-substituent. At high amine concentrations, compounds with electron-withdrawing substituents appear as more efficient photoinitiators. The photophysics of the ketones was studied in the polymerization medium. These data show that the singlet excited state of TXs is deactivated by the amine with a rate constant near the diffusional control limit. The triplet rate constants for quenching by the amine and the monomer are highly dependent on the ketone structure. Compounds with electron-withdrawing substituents in the position 2 are more reactive. These studies allow to simulate the dependence of the photoinitiation efficiency with the amine concentration and indicate that the active radicals are produced by the interaction of the ketone triplet with the amine. (C) 2002 Elsevier Science Ltd. All rights reserved.</t>
  </si>
  <si>
    <t>corrales, teresa/AAN-5978-2020; Neumann, Miguel/AAM-1395-2021; Encinas, Maria/L-9686-2014; Catalina, Fernando/AAF-2569-2019; Schmitt, Carla/C-7741-2012</t>
  </si>
  <si>
    <t>Corrales, Teresa/0000-0002-0171-2283; Schmitt, Carla/0000-0001-9952-4741; Catalina, Fernando/0000-0002-4620-8582</t>
  </si>
  <si>
    <t>PII S0032-3861(02)00211-2</t>
  </si>
  <si>
    <t>10.1016/S0032-3861(02)00211-2</t>
  </si>
  <si>
    <t>WOS:000176030500008</t>
  </si>
  <si>
    <t>Rao, SC; Li, YD; Lapin, B; Pattipati, S; Galvelis, KG; Naito, A; Gutierrez, N; Leal, TP; Salim, A; Salles, PA; De Leon, M; Mata, IF</t>
  </si>
  <si>
    <t>Rao, Shilpa C.; Li, Yadi; Lapin, Brittany; Pattipati, Sreya; Ghosh Galvelis, Kamalini; Naito, Anna; Gutierrez, Nicolas; Leal, Thiago Peixoto; Salim, Amira; Salles, Philippe A.; De Leon, Maria; Mata, Ignacio F.</t>
  </si>
  <si>
    <t>Association of women-specific health factors in the severity of Parkinson's disease</t>
  </si>
  <si>
    <t>NPJ PARKINSONS DISEASE</t>
  </si>
  <si>
    <t>Parkinson's disease (PD) is an age-related neurological disorder known for the observational differences in its risk, progression, and severity between men and women. While estrogen has been considered to be a protective factor in the development of PD, there is little known about the role that fluctuations in hormones and immune responses from sex-specific health experiences have in the disease's development and severity. We sought to identify women-specific health experiences associated with PD severity, after adjusting for known PD factors, by developing and distributing a women-specific questionnaire across the United States and creating multivariable models for PD severity. We created a questionnaire that addresses women's specific experiences and their PD clinical history and deployed it through The Parkinson's Foundation: PD Generation. To determine the association between women-specific health factors and PD severity, we constructed multivariable logistic regression models based on the MDS-UPDRS scale and the participants' questionnaire responses, genetics, and clinical data. For our initial launch in November 2021, we had 304 complete responses from PD GENEration. Univariate and multivariate logistic modeling found significant associations between major depressive disorder, perinatal depression, natural childbirth, LRRK2 genotype, B12 deficiency, total hysterectomy, and increased PD severity. This study is a nationally available questionnaire for women's health and PD. It shifts the paradigm in understanding PD etiology and acknowledging how sex-specific experiences may contribute to PD severity. In addition, the work in this study sets the foundation for future research to investigate the factors behind sex differences in PD.</t>
  </si>
  <si>
    <t>Gutierrez-Palma, Nicolas/C-3455-2015</t>
  </si>
  <si>
    <t>Lapin, Brittany/0000-0002-4314-2282; Li, Yadi/0000-0003-4930-2168; Salim, Amira/0000-0001-5300-3983</t>
  </si>
  <si>
    <t>2373-8057</t>
  </si>
  <si>
    <t>JUN 5</t>
  </si>
  <si>
    <t>10.1038/s41531-023-00524-x</t>
  </si>
  <si>
    <t>WOS:001000902300001</t>
  </si>
  <si>
    <t>Gruda, D; Berrios, RA; Kafetsios, KGG; McCleskey, JA</t>
  </si>
  <si>
    <t>Gruda, Dritjon; Berrios, Raul Antonio; Kafetsios, Konstantinos G. G.; McCleskey, Jim Allen</t>
  </si>
  <si>
    <t>Time After Time: Attachment Orientations and Impression Formation in Initial and Longer-Term Team Interactions</t>
  </si>
  <si>
    <t>If securely attached individuals typically exhibit more desirable attributes, can insecure individuals be perceived positively when working in teams despite their interpersonal disadvantages? In an exploratory study, using both a vignette based experimental research design (n = 636) and a round-robin study of professionals working on a team task for nine consecutive weeks (k = 648), we examined the evolving impressions of insecurely attached individuals over time. We find that while anxiously attached individuals are perceived more positively in initial interactions, this initial positive effect for anxious attachment disappeared over time as individuals within teams gained more relational knowledge about their team members. We also found a stable and negative effect of avoidant attachment. We discuss possible reasons for the temporal underpinnings of this effect and compare our findings to previous literature.</t>
  </si>
  <si>
    <t>Gruda, Dritjon/AAV-5887-2021; McCleskey, Jim/MEO-3376-2025; KAFETSIOS, KONSTANTINOS/F-1559-2011</t>
  </si>
  <si>
    <t>Gruda, Dritjon/0000-0002-8315-0826; McCleskey, Jim/0000-0002-7354-1823; KAFETSIOS, KONSTANTINOS/0000-0001-5933-4409</t>
  </si>
  <si>
    <t>MAY 30</t>
  </si>
  <si>
    <t>10.3389/fpsyg.2022.882162</t>
  </si>
  <si>
    <t>WOS:000810347300001</t>
  </si>
  <si>
    <t>Zapata, P; Gonzalez, M; Pacheco, I; Jorquera, C; Silva-Andrade, C; Garrido, MI; Infante, R; Salazar, JA</t>
  </si>
  <si>
    <t>Zapata, Patricio; Gonzalez, Makarena; Pacheco, Igor; Jorquera, Claudia; Silva-Andrade, Claudia; Garrido, Marco Isaac; Infante, Rodrigo; Salazar, Juan Alfonso</t>
  </si>
  <si>
    <t>Transcriptomic Analysis of Sex-Associated DEGs in Female and Male Flowers of Kiwifruit (Actinidia deliciosa [A. Chev] C. F. Liang &amp; A. R. Ferguson)</t>
  </si>
  <si>
    <t>HORTICULTURAE</t>
  </si>
  <si>
    <t>Kiwifruit (Actinidia deliciosa [A. Chev.], C.V. Liang &amp; A. R. Ferguson, 1984) is a perennial plant, with morphologically hermaphroditic and functionally dioecious flowers. Fruits of this species are berries of great commercial and nutritional importance. Nevertheless, few studies have analyzed the molecular mechanisms involved in sexual differentiation in this species. To determine these mechanisms, we performed RNA-seq in floral tissue at stage 60 on the BBCH scale in cultivar 'Hayward' (H, female) and a seedling from 'Green Light' x 'Tomuri' (G x T, male). From these analyses, we obtained expression profiles of 24,888 (H) and 27,027 (G x T) genes, of which 6413 showed differential transcript abundance. Genetic ontology (GO) and KEGG analysis revealed activation of pathways associated with the translation of hormonal signals, plant-pathogen interaction, metabolism of hormones, sugars, and nucleotides. The analysis of the protein-protein interaction network showed that the genes ERL1, AG, AGL8, LFY, WUS, AP2, WRKY, and CO, are crucial elements in the regulation of the hormonal response for the formation and development of anatomical reproductive structures and gametophytes. On the other hand, genes encoding four Putative S-adenosyl-L-methionine-dependent methyltransferases (Achn201401, Achn281971, Achn047771 and Achn231981) were identified, which were up-regulated mainly in the male flowers. Moreover, the expression profiles of 15 selected genes through RT-qPCR were consistent with the results of RNA-seq. Finally, this work provides gene expression-based interactions between transcription factors and effector genes from hormonal signaling pathways, development of floral organs, biological and metabolic processes or even epigenetic mechanisms which could be involved in the kiwi sex-determination. Thus, in order to decode the nature of these interactions, it could be helpful to propose new models of flower development and sex determination in the Actinidia genus.</t>
  </si>
  <si>
    <t>Zapata, Patricio/JAC-7460-2023; Zapata, Patricio/S-3577-2018; Pacheco, Igor/A-8507-2015; Infante, Rodrigo/E-8181-2013; SALAZAR, JUAN/U-9718-2018; Garrido Salinas, Marco Isaac/O-6046-2015</t>
  </si>
  <si>
    <t>Zapata, Patricio/0000-0001-5633-5860; Pacheco, Igor/0000-0001-5057-0464; Infante, Rodrigo/0000-0001-5179-7038; SALAZAR, JUAN/0000-0003-0380-076X; Gonzalez, Makarena/0000-0002-9898-9042; Garrido Salinas, Marco Isaac/0000-0002-8424-0540</t>
  </si>
  <si>
    <t>2311-7524</t>
  </si>
  <si>
    <t>10.3390/horticulturae8010038</t>
  </si>
  <si>
    <t>WOS:000747489500001</t>
  </si>
  <si>
    <t>Chaves, AV; Freire, RM; Feitosa, VP; Ricardo, NMPS; Denardin, JC; Neto, DMA; Fechine, PBA</t>
  </si>
  <si>
    <t>Chaves, Anderson Valerio; Freire, Rafael Melo; Feitosa, Victor Pinheiro; Ricardo, Nagila Maria Pontes Silva; Denardin, Juliano Casagrande; Andrade Neto, Davino Machado; Fechine, Pierre Basilio Almeida</t>
  </si>
  <si>
    <t>Hydroxyapatite-Based Magnetic Bionanocomposite as Pharmaceuticals Carriers in Chitosan Scaffolds</t>
  </si>
  <si>
    <t>JOURNAL OF COMPOSITES SCIENCE</t>
  </si>
  <si>
    <t>Hydroxyapatite (HA) is a bioceramic very similar to the mineral component of bones and teeth. It is well established that osteoblasts grow better onto HA-coated metals than on metals alone. Herein, the preparation of a new system consisting of magnetite (Fe3O4) and HA functionalized with oleic acid and simvastatin (SIMV), and incorporated in chitosan (CHI) scaffolds, was undertaken. HA was synthesized by the hydrothermal method, while Fe3O4 was synthesized by co-precipitation. The polymer matrix was obtained using a 2% CHI solution, and allowed to stir for 2 h. The final material was freeze-dried to produce scaffolds. The magnetic properties remained unchanged after the formation of the composite, as well as after the preparation of the scaffolds, maintaining the superparamagnetism. CHI scaffolds were analyzed by scanning electronic spectroscopy (SEM) and showed a high porosity, with very evident cavities, which provides the functionality of bone growth support during the remineralization process in possible regions affected by bone tissue losses. The synthesized composite showed an average particle size between 15 and 23 nm for particles (HA and Fe3O4). The scaffolds showed considerable porosity, which is important for the performance of various functions of the tissue structure. Moreover, the addition of simvastatin in the system can promote bone formation.</t>
  </si>
  <si>
    <t>Machado, Davino/AAS-1235-2020; Denardin, Juliano/S-6407-2019; Ricardo, Nágila/C-3630-2015; Feitosa, Victor/AAB-6133-2020; Fechine, Pierre/B-7937-2013</t>
  </si>
  <si>
    <t>Denardin, Juliano/0000-0002-1373-6207; Machado Andrade Neto, Davino/0000-0002-6091-8476; Ricardo, Nagila/0000-0003-1849-5403; Valerio Chaves, Anderson/0000-0003-2066-3461; Feitosa, Victor/0000-0001-8795-9967; Fechine, Pierre/0000-0002-7822-2354</t>
  </si>
  <si>
    <t>2504-477X</t>
  </si>
  <si>
    <t>10.3390/jcs5020037</t>
  </si>
  <si>
    <t>WOS:000624935000001</t>
  </si>
  <si>
    <t>García-Herrera, CM; Cuevas, AA; Celentano, DJ; Navarrete, A; Aranda, P; Herrera, E; Uribe, S</t>
  </si>
  <si>
    <t>Garcia-Herrera, Claudio M.; Cuevas, Alvaro A.; Celentano, Diego J.; Navarrete, Alvaro; Aranda, Pedro; Herrera, Emilio; Uribe, Sergio</t>
  </si>
  <si>
    <t>Analysis of the passive biomechanical behavior of a sheep-specific aortic artery in pulsatile flow conditions</t>
  </si>
  <si>
    <t>COMPUTER METHODS IN BIOMECHANICS AND BIOMEDICAL ENGINEERING</t>
  </si>
  <si>
    <t>In this work, a novel numerical-experimental procedure is proposed, through the use of the Cardiac Simulation Test (CST), device that allows the exposure of the arterial tissue to in-vitro conditions, mimicking cardiac cycles generated by the heart. The main goal is to describe mechanical response of the arterial wall under physiological conditions, when it is subjected to a variable pressure wave over time, which causes a stress state affecting the biomechanical behavior of the artery wall. In order to get information related to stress and strain states, numerical simulation via finite element method, is performed under a condition of systolic and diastolic pressure. The description of this methodological procedure is performed with a sample corresponding to a sheep aorta without cardiovascular pathologies. There are two major findings: the evaluation of the mechanical properties of the sheep aorta through the above-mentioned tests and, the numerical simulation of the mechanical response under the conditions present in the CST. The results state that differences between numerical and experimental circumferential stretch in diastole and systole to distinct zones studied do not exceed 1%. However, greater discrepancies can be seen in the distensibility and incremental modulus, two main indicators, which are in the order of 30%. In addition, numerical results determine an increase of the principal maximum stress and strain between the case of systolic and diastolic pressure, corresponding to 31.1% and 14.9% for the stress and strain measurement respectively; where maximum values of these variables are located in the zone of the ascending aorta and the aortic arch.</t>
  </si>
  <si>
    <t>García-Herrera, Claudio/ABE-8991-2020; Celentano, Diego/JQW-5027-2023; URIBE Arancibia, SERGIO/GRR-3235-2022; Herrera, Emilio A/H-5992-2018</t>
  </si>
  <si>
    <t>Uribe, Sergio/0000-0002-4970-9710; Herrera, Emilio A/0000-0002-6342-085X</t>
  </si>
  <si>
    <t>1025-5842</t>
  </si>
  <si>
    <t>1476-8259</t>
  </si>
  <si>
    <t>10.1080/10255842.2021.1872549</t>
  </si>
  <si>
    <t>WOS:000609607900001</t>
  </si>
  <si>
    <t>Villagrán, DO; Catrilao, AL; San Martín, AC; Contanzo, DS; Núñez-Espinosa, C; Herrera-Valenzuela, T; Guzmán-Muñoz, E; Branco, BHM; Valdés-Badilla, P</t>
  </si>
  <si>
    <t>Obreque Villagran, Darlyn; Levin Catrilao, Alvaro; Cariman San Martin, Andres; Segura Contanzo, Diego; Nunez-Espinosa, Cristian; Herrera-Valenzuela, Tomas; Guzman-Munoz, Eduardo; Magnani Branco, Braulio Henrique; Valdes-Badilla, Pablo</t>
  </si>
  <si>
    <t>Morphological and physical fitness differences in young soccer players according to playing position: a systematic review</t>
  </si>
  <si>
    <t>REVISTA ESPANOLA DE NUTRICION HUMANA Y DIETETICA</t>
  </si>
  <si>
    <t>Introduction: The aim of this systematic review was to analyze the studies that evaluate morphological and physical fitness differences in young soccer players according to playing position. Material and Methods: For its elaboration, the PRISMA-P protocol was followed, the PubMed/MEDLINE database was used, and the Downs &amp; Black methodological quality assessment was applied. Six studies met all the selection criteria, adding 784 soccer players (229 defenders [DF]; 271 midfielders [MF], 168 forwards [FW] and 69 goalkeepers [GK]) with a mean age of 16.2 years. Results: The analyzed studies indicate, that GK and DF have a height, body weight, endomorphic component and body fat higher than MF and FW, except for one study that reports higher values for body weight in FW and DF with respect to MF. In relation to physical fitness, the maximum squat exhibited higher values for FW compared to MF; cardiorespiratory fitness was higher in DF and MF when compared with GK and abdominal muscle resistance was greater in MF compared to DF. Conclusion: The GK and DF show greater height, body weight and body fat than the MF and FW. While physical fitness indicates that FW show greater lower body strength, MF and DF achieve greater cardiorespiratory fitness and MF present greater abdominal muscle resistance when young soccer players are analyzed according to playing position.</t>
  </si>
  <si>
    <t>Herrera-Valenzuela, Tomas/L-1819-2019; Branco, Braulio/AAA-1747-2019; Núñez-Espinosa, Cristian/ADF-6181-2022; Magnani Branco, Braulio Henrique/B-8178-2017</t>
  </si>
  <si>
    <t>Nunez Espinosa, Cristian Andres/0000-0002-9896-7062; Magnani Branco, Braulio Henrique/0000-0002-4625-9128; Guzman-Munoz, Eduardo/0000-0001-7001-9004; Valdes-Badilla, Pablo/0000-0002-3948-8280</t>
  </si>
  <si>
    <t>2173-1292</t>
  </si>
  <si>
    <t>2174-5145</t>
  </si>
  <si>
    <t>e1272</t>
  </si>
  <si>
    <t>10.14306/renhyd.25.S1.1272</t>
  </si>
  <si>
    <t>WOS:000736678000005</t>
  </si>
  <si>
    <t>Abejón, R; Batlle-Bayer, L; Laso, J; Bala, A; Vazquez-Rowe, I; Larrea-Gallegos, G; Margallo, M; Cristobal, J; Puig, R; Fullana-i-Palmer, P; Aldaco, R</t>
  </si>
  <si>
    <t>Abejon, Ricardo; Batlle-Bayer, Laura; Laso, Jara; Bala, Alba; Vazquez-Rowe, Ian; Larrea-Gallegos, Gustavo; Margallo, Maria; Cristobal, Jorge; Puig, Rita; Fullana-i-Palmer, Pere; Aldaco, Ruben</t>
  </si>
  <si>
    <t>Multi-Objective Optimization of Nutritional, Environmental and Economic Aspects of Diets Applied to the Spanish Context</t>
  </si>
  <si>
    <t>Current food consumption patterns must be revised in order to improve their sustainability. The nutritional, environmental, and economic consequences of these dietary patterns must be taken into consideration when diet guidelines are proposed. This study applied a systematic optimization methodology to define sustainable dietary patterns complying with nutritional, environmental, and economic issues. The methodology was based on a multi-objective optimization model that considered a distance-to-target approach. Although the three simultaneous objectives (maximal nutritional contribution, minimal greenhouse gas emissions, and minimal costs) could be divergent, the proposed model identified the optimal intake of each food product to achieve the maximal level of nutritional, environmental, and economic diets. This model was applied to six different eating patterns within the Spanish context: one based on current food consumption and five alternative diets. The results revealed that dietary patterns with improved nutritional profiles and reduced environmental impacts could be defined without additional costs just by increasing the consumption of vegetables, fruits, and legumes, while reducing the intake of meat and fish.</t>
  </si>
  <si>
    <t>Puig, Rita/V-6963-2018; Abejon, Ricardo/I-7171-2019; Larrea, Gustavo/AAK-7031-2021; Vázquez-Rowe, Ian/JRY-6839-2023; Bala Gala, Alba/J-8625-2017; ALDACO GARCIA, RUBEN/F-2314-2016; Laso Cortabitarte, Jara/C-8108-2019; Fullana-i-Palmer, Pere/J-6174-2013</t>
  </si>
  <si>
    <t>Bala Gala, Alba/0000-0002-5501-1140; Batlle-Bayer, Laura/0000-0002-8275-6383; ALDACO GARCIA, RUBEN/0000-0001-6216-7031; Laso Cortabitarte, Jara/0000-0003-4442-6786; ABEJON, Ricardo/0000-0002-8030-7752; Cristobal, Jorge/0000-0003-1872-4288; Fullana-i-Palmer, Pere/0000-0003-0013-5098; Vazquez-Rowe, Ian/0000-0002-7469-2033; PUIG, RITA/0000-0002-9436-2074; Larrea-Gallegos, Gustavo Martin/0000-0002-6283-7039</t>
  </si>
  <si>
    <t>10.3390/foods9111677</t>
  </si>
  <si>
    <t>WOS:000593242500001</t>
  </si>
  <si>
    <t>Verdejo, H; Awerkin, A; Kliemann, W; Becker, C; Chávez, H; Barbosa, KA; Delpiano, J</t>
  </si>
  <si>
    <t>Verdejo, Humberto; Awerkin, Almendra; Kliemann, Wolfgang; Becker, Cristhian; Chavez, Hector; Barbosa, Karina A.; Delpiano, Jose</t>
  </si>
  <si>
    <t>A Dynamic Stochastic Hybrid Model to Represent Significant Wave Height and Wave Period for Marine Energy Representation</t>
  </si>
  <si>
    <t>This paper presents a methodology to represent ocean wave power generation based on real data observation for significant wave height (SWH or&gt;) and wave period (WP or T). This technique is based on a hybrid model, which considers Fourier series and stochastic differential equations, allowing a continuous time representation of the random changes in the parameters associated with wave power generation (and T). The methodology is explained, including estimation methods and a validation procedure. The data series generated by the models erre used to create simulated wave power output applying a transformed matrix and a theoretical model. The results validate the utilization of this technique, when the objective is to obtain a robust dynamic representation of a random process, oriented to linear studies.</t>
  </si>
  <si>
    <t>Barbosa, Karina/A-2236-2014; Delpiano, José/S-4471-2019</t>
  </si>
  <si>
    <t>Delpiano, Jose/0000-0001-9794-5649; , Cristhian Becker/0000-0001-6943-5086; Barbosa, Karina A./0000-0001-7183-2662</t>
  </si>
  <si>
    <t>10.3390/en12050887</t>
  </si>
  <si>
    <t>WOS:000462646700120</t>
  </si>
  <si>
    <t>Robledo-O'Ryan, N; Matos, MJ; Vazquez-Rodriguez, S; Santana, L; Uriarte, E; Moncada-Basualto, M; Mura, F; Lapier, M; Maya, JD; Olea-Azar, C</t>
  </si>
  <si>
    <t>Robledo-O'Ryan, Natalia; Joao Matos, Maria; Vazquez-Rodriguez, Saleta; Santana, Lourdes; Uriarte, Eugenio; Moncada-Basualto, Mauricio; Mura, Francisco; Lapier, Michel; Diego Maya, Juan; Olea-Azar, Claudio</t>
  </si>
  <si>
    <t>Synthesis, antioxidant and antichagasic properties of a selected series of hydroxy-3-arylcoumarins</t>
  </si>
  <si>
    <t>Oxidative stress is involved in several parasitic diseases such as Chagas. Agents able to selectively modulate biochemical processes involved in the disease represent promising multifunctional agents for the delay or abolishment of the progression of this pathology. In the current work, differently substituted hydroxy-3-arylcoumarins are described, exerting both antioxidant and trypanocidal activity. Among the compounds synthesized, compound 8 showed the most interesting profile, presenting a moderate scavenging ability for peroxyl radicals (ORAC-FL = 2.23) and a high degree of selectivity towards epimastigotes stage of the parasite T. cruzi (IC50 = 1.31 mu M), higher than Nifurtimox (drug currently used for treatment of Chagas disease). Interestingly, the current study revealed that small structural changes in the hydroxy-3-arylcoumarin core allow modulating both activities, suggesting that this scaffold has desirable properties for the development of promising classes of antichagasic compounds. (C) 2016 Elsevier Ltd. All rights reserved.</t>
  </si>
  <si>
    <t>Maya, Juan/H-9561-2013; moncada, mauricio/HHN-6394-2022; Uriarte, Eugenio/F-5691-2012; OLEA AZAR, CLAUDIO/I-1605-2013; Vazquez-Rodriguez, Saleta/L-4047-2014; Santana, Lourdes/L-2981-2014; Matos, Maria Joao/L-2379-2014</t>
  </si>
  <si>
    <t>Uriarte, Eugenio/0000-0001-6218-2899; Mura Mardones, Francisco/0000-0003-0463-1814; OLEA AZAR, CLAUDIO/0000-0001-5805-0746; moncada, mauricio/0000-0003-1733-9126; Vazquez-Rodriguez, Saleta/0000-0003-1356-8984; Santana, Lourdes/0000-0001-6056-8253; Lapier Quezada, Michel Andres/0000-0002-1327-1964; Matos, Maria Joao/0000-0002-3470-8299</t>
  </si>
  <si>
    <t>10.1016/j.bmc.2016.11.033</t>
  </si>
  <si>
    <t>WOS:000392906500018</t>
  </si>
  <si>
    <t>Gil, PM; Saavedra, J; Schaffer, B; Navarro, R; Fuentealba, C; Minoletti, F</t>
  </si>
  <si>
    <t>Gil, Pilar M.; Saavedra, Jorge; Schaffer, Bruce; Navarro, Rosa; Fuentealba, Claudia; Minoletti, Felipe</t>
  </si>
  <si>
    <t>Quantifying effects of irrigation and soil water content on electrical potentials in grapevines (Vitis vinifera) using multivariate statistical methods</t>
  </si>
  <si>
    <t>SCIENTIA HORTICULTURAE</t>
  </si>
  <si>
    <t>Several studies have shown that physiological responses in plants, including fruit crops, are associated with changes in electrical potentials (EP), but it is often difficult to statistically quantify these responses. This study tested the effects of irrigation on EP in grapevines (Vitis vinifera), taking into account vapor pressure deficit (VPD) and position of electrodes along the stem by using multivariate analytical methods and a suite of statistical pretreatments. In two separate experiments, plants were exposed to one of two irrigation treatments in a greenhouse: (T1) irrigation once per day (Experiment 1), or no irrigation (Experiment 2); or (T2) irrigation three times or twice per day (Experiments 1 and 2, respectively). In each experiment, EP at three positions along the stem, soil (potting medium) water content, and VPD were continuously measured. In Experiment 2, stomatal conductance (gs) and stem water potential (SWP) were also measured for plants in each irrigation treatment as indicators of plant water status. Data were analyzed by Principal Component Analysis (PCA) to determine the effects of irrigation treatment on EP and difference in EP between pairs of electrodes (Delta EP) at various locations along the stem. Data were also analyzed by partial least squares (PLS) analysis to determine if EP or Delta EP could be used as predictors of changes in soil water content due to different irrigation treatments. Significant differences in soil water content due to irrigation treatments could be readily detected by difference in EP or Delta EP using PCA with Orthogonal Signal Correction pre-processing. Also, PLS showed that differences in soil moisture can be predicted by EP and/or Delta EP measurements at specific locations along the stem. Thus, the use of multivariate statistical methods was effective for relating EP and Delta EP measurements in grapevines to soil moisture due to differences in irrigation. (C) 2014 Elsevier B.V. All rights reserved.</t>
  </si>
  <si>
    <t>Schaffer, Bruce/B-1419-2008; Fuentealba, Claudia/N-2692-2016</t>
  </si>
  <si>
    <t>Fuentealba, Claudia/0000-0002-9477-9005; Schaffer, Bruce/0000-0001-9379-0109</t>
  </si>
  <si>
    <t>0304-4238</t>
  </si>
  <si>
    <t>1879-1018</t>
  </si>
  <si>
    <t>JUN 27</t>
  </si>
  <si>
    <t>10.1016/j.scienta.2014.04.014</t>
  </si>
  <si>
    <t>WOS:000338606400009</t>
  </si>
  <si>
    <t>Lamata, L; López, CE; Lanyon, BP; Bastin, T; Retamal, JC; Solano, E</t>
  </si>
  <si>
    <t>Lamata, L.; Lopez, C. E.; Lanyon, B. P.; Bastin, T.; Retamal, J. C.; Solano, E.</t>
  </si>
  <si>
    <t>Deterministic generation of arbitrary symmetric states and entanglement classes</t>
  </si>
  <si>
    <t>We propose a method to generate arbitrary symmetric states of N qubits, which can be easily associated with their entanglement classes. It is particularly suited to quantum optics systems like trapped ions or superconducting circuits. We encode each qubit in two metastable levels of the system and use a bosonic quantum bus for creating the states. The method is deterministic and relies on a sequence of selective unitary gates upon the qubits within the system coherence time. DOI: 10.1103/PhysRevA.87.032325</t>
  </si>
  <si>
    <t>Solano, Enrique/C-2895-2017; Lamata, Lucas/B-2439-2009; López, Carlos/B-8456-2009; Retamal, Juan/G-6425-2010; Lamata, Lucas/CAG-6488-2022</t>
  </si>
  <si>
    <t>SOLANO VILLANUEVA, ENRIQUE LEONIDAS/0000-0002-8602-1181; lanyon, benjamin/0000-0002-7379-4572; BASTIN, Thierry/0000-0002-9610-8387; Lamata, Lucas/0000-0002-9504-8685; Retamal Abarzua, Juan Carlos/0000-0002-7174-7879</t>
  </si>
  <si>
    <t>1050-2947</t>
  </si>
  <si>
    <t>1094-1622</t>
  </si>
  <si>
    <t>MAR 22</t>
  </si>
  <si>
    <t>10.1103/PhysRevA.87.032325</t>
  </si>
  <si>
    <t>WOS:000316659400005</t>
  </si>
  <si>
    <t>Pilgrim, JL; Ruiz, Y; Gesteira, A; Cruz, R; Gerostamoulos, D; Carracedo, A; Drummer, OH</t>
  </si>
  <si>
    <t>Pilgrim, Jennifer L.; Ruiz, Yarimar; Gesteira, Alejandro; Cruz, Raquel; Gerostamoulos, Dimitri; Carracedo, Angel; Drummer, Olaf H.</t>
  </si>
  <si>
    <t>Characterization of Single Nucleotide Polymorphisms of Cytochrome P450 in an Australian Deceased Sample</t>
  </si>
  <si>
    <t>CURRENT DRUG METABOLISM</t>
  </si>
  <si>
    <t>The genetically variable CYP450 isozymes are responsible for the metabolism of up to 80% of commonly used drugs, many of which are detected in cases of unexpected or suspicious death in Australia. The aim of this study was to examine the genetic profiles of individuals in a cohort of Australian deceased individuals dying of drug toxicity (219), natural disease (150), external injury (109) or unascertained (8) causes, to determine if there was an over-representation of individuals with a genetic predisposition to altered drug metabolism in cases attributed to drug toxicity compared with other causes. Single nucleotide polymorphisms (SNP) of CYP1A2, 2C9, 2C19, 2D6, 3A4 and 3A5 were analyzed. There were 27 cases (6.1%) that were CYP2D6 poor metabolizers (PM) and an additional 8 cases (1.7 %) that were CYP2C19 PMs. Around 31% of the cases were CYP2D6 intermediate-poor metabolizers, with a number of cases exhibiting drug combinations that were likely to have caused pharmacokinetic or pharmacodynamic interactions. There was no correlation between cause of death type and CYP2D6 metabolizer status. Increased enzyme activity was also indicated by the presence of hyperinducible variants such as CYP1A2*1F, which was observed at a frequency of 48%.</t>
  </si>
  <si>
    <t>Carracedo, Angel/D-4257-2012; Gerostamoulos, Dimitri/AAY-9367-2021; Pilgrim, Jennifer/K-4535-2012; Drummer, Olaf/H-7094-2014</t>
  </si>
  <si>
    <t>Drummer, Olaf/0000-0001-8953-0312; Schumann, Jennifer/0000-0002-8870-6272; Carracedo, Angel/0000-0003-1085-8986; Gerostamoulos, Dimitri/0000-0002-7958-8235; CRUZ, RAQUEL/0000-0002-6964-8898</t>
  </si>
  <si>
    <t>1389-2002</t>
  </si>
  <si>
    <t>1875-5453</t>
  </si>
  <si>
    <t>WOS:000304041700015</t>
  </si>
  <si>
    <t>Lorca, RA; Rozas, C; Loyola, S; Moreira-Ramos, S; Zeise, ML; Kirkwood, A; Huidobro-Toro, JP; Morales, B</t>
  </si>
  <si>
    <t>Lorca, Ramon A.; Rozas, Carlos; Loyola, Sebastian; Moreira-Ramos, Sandra; Zeise, Marc L.; Kirkwood, Alfredo; Huidobro-Toro, J. Pablo; Morales, Bernardo</t>
  </si>
  <si>
    <t>Zinc enhances long-term potentiation through P2X receptor modulation in the hippocampal CA1 region</t>
  </si>
  <si>
    <t>EUROPEAN JOURNAL OF NEUROSCIENCE</t>
  </si>
  <si>
    <t>Zn2+ is an essential ion that is stored in and co-released from glutamatergic synapses and it modulates neurotransmitter receptors involved in long-term potentiation (LTP). However, the mechanism(s) underlying Zn2+-induced modulation of LTP remain(s) unclear. As the purinergic P2X receptors are relevant targets for Zn2+ action, we have studied their role in LTP modulation by Zn2+ in the CA1 region of rat hippocampal slices. Induction of LTP in the presence of Zn2+ revealed a biphasic effect - 5-50 mu m enhanced LTP induction, whereas 100-300 mu m Zn2+ inhibited LTP. The involvement of a purinergic mechanism is supported by the fact that application of the P2X receptor antagonists 2',3'-O-(2,4,6-trinitrophenyl) ATP (TNP-ATP) and periodate-oxidized ATP fully abolished the facilitatory effect of Zn2+. Notably, application of the P2X(7) receptor-specific antagonist Brilliant Blue G did not modify the Zn2+-dependent facilitation of LTP. Exogenous ATP also produced a biphasic effect - 0.1-1 mu m ATP facilitated LTP, whereas 5-10 mu m inhibited LTP. The facilitatory effect of ATP was abolished by the application of TNP-ATP and was modified in the presence of 5 mu m Zn2+, suggesting that P2X receptors are involved in LTP induction and that Zn2+ leads to an increase in the affinity of P2X receptors for ATP. The latter confirms our previous results from heterologous expression systems. Collectively, our results indicate that Zn2+ at low concentrations enhances LTP by modulating P2X receptors. Although it is not yet clear which purinergic receptor subtype(s) is responsible for these effects on LTP, the data presented here suggest that P2X(4) but not P2X(7) is involved.</t>
  </si>
  <si>
    <t>Morales Castañeda, Bernardo/GPP-1642-2022; Loyola Arroyo, Sebastian/IAO-1254-2023</t>
  </si>
  <si>
    <t>Loyola Arroyo, Sebastian/0000-0002-6029-2274; Rozas, Carlos/0000-0002-6422-9600</t>
  </si>
  <si>
    <t>0953-816X</t>
  </si>
  <si>
    <t>1460-9568</t>
  </si>
  <si>
    <t>10.1111/j.1460-9568.2010.07589.x</t>
  </si>
  <si>
    <t>WOS:000289156200001</t>
  </si>
  <si>
    <t>Corona-Esquivel, R; Martínez-Hernández, E; Henríquez, F; Nyström, JO; Tritlla, J</t>
  </si>
  <si>
    <t>Corona-Esquivel, Rodolfo; Martinez-Hernandez, Enrique; Henriquez, Fernando; Nystrom, Jan Olov; Tritlla, Jordi</t>
  </si>
  <si>
    <t>Palynologic evidence for iron-oxide ash fall at La Perla, an Oligocene Kiruna-type iron ore deposit in northern Mexico</t>
  </si>
  <si>
    <t>GFF</t>
  </si>
  <si>
    <t>La Perla is an Oligocene deposit of apatite iron ore located in northern Mexico. The main ore types are massive ore, ore breccia and powdery ore. The latter is of special genetic interest because it contains well-preserved palynomorphs; fossil pollen representing several plant families growing in the region of investigation during the late Paleogene-Neogene; the assemblages include angiosperm and gymnosperm pollen grains, and also fossil fungal spores from two genera, Frasnacritetrus and Dyctiosporites, indicative of Eocene to Miocene age. The beds of powdery ore are stratified and size-sorted, but in some places there is no discernible stratification. The ore consists of a friable open framework of anhedral to euhedral hematite plates, or less commonly, martitized magnetite octahedra. Locally, the ore is even unconsolidated. The ore minerals show no abrasive rounding or other epiclastic features, and the high porosity of the iron-oxide crystal aggregate embedding the palynomorphs rules out formation by hydrothermal deposition or replacement. The exines of the palynomorphs have a light yellow color which demonstrates that they are unaffected by thermal alteration. This shows that the pollen-bearing powdery ore was deposited at a temperature below 150 degrees C, probably as volcanic ash that captured wind-blown pollen.</t>
  </si>
  <si>
    <t>Henriquez, Fernando/C-9830-2009; Cambra, Jordi/ABA-3737-2020</t>
  </si>
  <si>
    <t>Martinez Hernandez, Enrique/0000-0002-7598-8530; Tritlla Cambra, Jordi/0000-0001-6548-5107; Henriquez, Fernando/0000-0002-8494-1435</t>
  </si>
  <si>
    <t>1103-5897</t>
  </si>
  <si>
    <t>2000-0863</t>
  </si>
  <si>
    <t>PII 930238838</t>
  </si>
  <si>
    <t>10.1080/11035897.2010.519048</t>
  </si>
  <si>
    <t>WOS:000284638100005</t>
  </si>
  <si>
    <t>Stover, E; Mercure, EW</t>
  </si>
  <si>
    <t>Stover, Ed; Mercure, Eric W.</t>
  </si>
  <si>
    <t>The pomegranate: A new look at the fruit of paradise</t>
  </si>
  <si>
    <t>HORTSCIENCE</t>
  </si>
  <si>
    <t>Colloquium on Update on Statistical Methods for Interpreting Horticultural Data held at the ASHS Annual Conference</t>
  </si>
  <si>
    <t>JUL 18, 2004</t>
  </si>
  <si>
    <t>ASHS Publ Comm</t>
  </si>
  <si>
    <t>0018-5345</t>
  </si>
  <si>
    <t>2327-9834</t>
  </si>
  <si>
    <t>10.21273/HORTSCI.42.5.1088</t>
  </si>
  <si>
    <t>WOS:000248152300008</t>
  </si>
  <si>
    <t>Scorza, C; Silveira, R; Nichols, DE; Reyes-Parada, M</t>
  </si>
  <si>
    <t>Effects of 5-HT-releasing agents on the extracellullar hippocampal 5-HT of rats. Implications for the development of novel antidepressants with a short onset of action</t>
  </si>
  <si>
    <t>NEUROPHARMACOLOGY</t>
  </si>
  <si>
    <t>The effects of two selective 5-HT-releasing agents, 4-methylthioamphetamine (MTA) and 5-methoxy-6-methyl-2-aminoindan (MMAI), on the extracellular 5-HT concentration in the dorsal hippocampus was determined by microdialysis in anesthetized rats. After i.p. administration of 1 or 5 mg/kg of either compound, a rapid and significant increase of 5-HT basal release was observed. MTA (5 mg/kg) induced a maximal increase of about 2000% over the basal value 40 min after injection, which declined slowly, whereas MMAI (5 mg/kg) induced a maximal response of about 1350% which showed a rapid decline. Monoamine oxidase-A inhibitory properties of MTA, and MMAI's lack of similar properties might account for the difference between the two compounds. In agreement with previous information, a much lower increase in hippocampal 5-HT was observed in response to systemic fluoxetine. This difference in the magnitude of the response after MTA or MMAI and fluoxetine indicates that different mechanisms of action are operating. Based on evidence showing that an acute enhancement of 5-HT neurotransmission might result in the rapid appearance of therapeutic effects of serotonergic antidepressants, we suggest that MTA and MMAI might serve as leads for a novel family of compounds with a short onset of action useful for treating depression. (C) 1999 Elsevier Science Ltd. All rights reserved.</t>
  </si>
  <si>
    <t>Scorza, Fulvio/C-7048-2013</t>
  </si>
  <si>
    <t>0028-3908</t>
  </si>
  <si>
    <t>10.1016/S0028-3908(99)00023-4</t>
  </si>
  <si>
    <t>WOS:000081126200015</t>
  </si>
  <si>
    <t>Poza, AM; Fernández, C; Martínez-Gómez, F; Croce, ME; Lezcano, V; Buschmann, AH; Villar, MA</t>
  </si>
  <si>
    <t>Poza, Ailen M.; Fernandez, Carolina; Martinez-Gomez, Fabian; Croce, M. Emilia; Lezcano, Virginia; Buschmann, Alejandro H.; Villar, Marcelo A.</t>
  </si>
  <si>
    <t>Punctaria latifolia as a new source of alginate: structural characteristics and biological activity</t>
  </si>
  <si>
    <t>JOURNAL OF APPLIED PHYCOLOGY</t>
  </si>
  <si>
    <t>Alginate production is estimated to be around 30,000 tonnes per year, coming from a limited number of macroalgae species. Therefore, to diversify the market and make it sustainable over time, it is important to find new species that produce alginate. In this study, physicochemical characteristics and biological activity of alginate obtained from Punctaria latifolia were evaluated. An alginate yield of 17% (w/w) with a weight-average molar mass of approximate to 303 KDa, a polydispersity index of 1.6 and a M/G ratio of 1.09 was obtained. FT-IR spectra confirmed that the extracted polysaccharide had the characteristic of alginates and each extracted fraction showed the typical bands of MG, MM and GG blocks. Rheological properties of 0.1 N NaCl aqueous solutions of P. latifolia alginate showed that viscous modulus is higher than elastic one, and they presented a good emulsifying capacity against different food-grade oils and benzene. Also, P. latifolia alginate had an antioxidant capacity of 1.24 +/- 0.1 mg AAEq g -1 alginate and showed antitumor effect on tumoral MCF-7 cells at concentrations of 1000 and 2000 mu g mL-1. On the other hand, P. latifolia alginate had no cytotoxic effects on non-tumor, osteoblastic (hFOB) and fibroblastic (NIH3T3) cell lines.</t>
  </si>
  <si>
    <t>Buschmann, Alejandro/B-4770-2012; Villar, Marcelo/R-2742-2019</t>
  </si>
  <si>
    <t>0921-8971</t>
  </si>
  <si>
    <t>1573-5176</t>
  </si>
  <si>
    <t>2025 JAN 6</t>
  </si>
  <si>
    <t>10.1007/s10811-024-03405-9</t>
  </si>
  <si>
    <t>WOS:001390283500001</t>
  </si>
  <si>
    <t>Serey, J; Alfaro, M; Fuertes, G; Vargas, M; Ternero, R; Duran, C; Sabattin, J; Gutierrez, S</t>
  </si>
  <si>
    <t>Serey, Joel; Alfaro, Miguel; Fuertes, Guillermo; Vargas, Manuel; Ternero, Rodrigo; Duran, Claudia; Sabattin, Jorge; Gutierrez, Sebastian</t>
  </si>
  <si>
    <t>Framework for the Strategic Adoption of Industry 4.0: A Focus on Intelligent Systems</t>
  </si>
  <si>
    <t>Despite growing interest in smart manufacturing, there is little information on how organizations can approach the alignment of strategic processes with Industry 4.0. This study seeks to fill this knowledge gap by developing a framework for the integration of Industry 4.0 techniques and artificial intelligence systems. This framework will serve as a conceptual guide in the digital transformation processes toward Industry 4.0. This study involved a systematic literature review of the important methodological proposals and identification of thematic axes, research topics, strategic objectives, challenges, drivers, technological trends, models, and design architectures. In total, 160 articles were selected (120 were published between 2017 and 2022). The results provide insights into the prospects for strategic alignment in the adoption of Industry 4.0. The conceptualization of the framework shows that Industry 4.0 needs strategic adjustments mainly in seven objectives (business model, change mindset, skills, human resources, service level, ecosystem, interconnection, and absorption capacity) derived from 10 thematic axes and 28 research topics. Understanding the strategic adoption of Industry 4.0 and artificial intelligence is vital for industrial organizations to stay competitive and relevant in a constantly evolving business landscape.</t>
  </si>
  <si>
    <t>Duran, Claudia/S-1175-2019; vargas, manuel/AAG-4780-2020; Serey, Joel/Q-7279-2019; Sabattin, Jorge/P-2589-2019; Fuertes, Guillermo/Q-2341-2016</t>
  </si>
  <si>
    <t>Fuertes, Guillermo/0000-0003-3044-5919; Gutierrez Lillo, Sebastian/0000-0003-3714-0632; Ternero Saavedra, Rodrigo/0000-0002-6075-6657</t>
  </si>
  <si>
    <t>10.3390/pr11102973</t>
  </si>
  <si>
    <t>WOS:001093518400001</t>
  </si>
  <si>
    <t>Casadei, M; Fiore, E; Rubione, J; Domínguez, LM; Coronel, MF; Leiguarda, C; García, M; Mazzolini, G; Villar, MJ; Montaner, A; Constandil, L; Romero-Sandoval, EA; Brumovsky, PR</t>
  </si>
  <si>
    <t>Casadei, Mailin; Fiore, Esteban; Rubione, Julia; Maria Dominguez, Luciana; Florencia Coronel, Maria; Leiguarda, Candelaria; Garcia, Mariana; Mazzolini, Guillermo; Villar, Marcelo J.; Montaner, Alejandro; Constandil, Luis; Romero-Sandoval, E. Alfonso; Brumovsky, Pablo R.</t>
  </si>
  <si>
    <t>IMT504 blocks allodynia in rats with spared nerve injury by promoting the migration of mesenchymal stem cells and by favoring an anti-inflammatory milieu at the injured nerve</t>
  </si>
  <si>
    <t>PAIN</t>
  </si>
  <si>
    <t>IMT504, a noncoding, non-CpG oligodeoxynucleotide, modulates pain-like behavior in rats undergoing peripheral nerve injury, through mechanisms that remain poorly characterized. Here, we chose the spared nerve injury model in rats to analyze the contribution of mesenchymal stem cells (MSCs) in the mechanisms of action of IMT504. We show that a single subcutaneous administration of IMT504 reverses mechanical and cold allodynia for at least 5 weeks posttreatment. This event correlated with long-lasting increases in the percentage of MSCs in peripheral blood and injured sciatic nerves, in a process seemingly influenced by modifications in the CXCL12-CXCR4 axis. Also, injured nerves presented with reduced tumor necrosis factor-alpha and interleukin-1 beta and increased transforming growth factor-beta 1 and interleukin-10 protein levels. In vitro analysis of IMT504-pretreated rat or human MSCs revealed internalized oligodeoxynucleotide and confirmed its promigratory effects. Moreover, IMT504-pretreatment induced transcript expression of Tgf-beta 1 and Il-10 in MSCs; the increase in Il-10 becoming more robust after exposure to injured nerves. Ex vivo exposure of injured nerves to IMT504-pretreated MSCs confirmed the proinflammatory to anti-inflammatory switch observed in vivo. Interestingly, the sole exposure of injured nerves to IMT504 also resulted in downregulated Tnf-alpha and Il-1 beta transcripts. Altogether, we reveal for the first time a direct association between the antiallodynic actions of IMT504, its promigratory and cytokine secretion modulating effects on MSCs, and further anti-inflammatory actions at injured nerves. The recapitulation of key outcomes in human MSCs supports the translational potential of IMT504 as a novel treatment for neuropathic pain with a unique mechanism of action involving the regulation of neuroimmune interactions.</t>
  </si>
  <si>
    <t>Brumovsky, Pablo/AAH-6903-2019; Garcia, Mariana/HTO-6990-2023; Villar, Marcelo/H-6596-2017; Garcia, Mariana Gabriela/AFM-7186-2022</t>
  </si>
  <si>
    <t>Rubione, Julia/0000-0002-7119-8216; Dominguez, Luciana Maria/0000-0002-9949-5132; Constandil, Luis/0000-0002-2504-0119; Coronel, Maria Florencia/0000-0001-7037-5105; Casadei, Inelia Mailin Iara/0000-0001-7847-6832; Garcia, Mariana Gabriela/0000-0001-8999-5347</t>
  </si>
  <si>
    <t>0304-3959</t>
  </si>
  <si>
    <t>1872-6623</t>
  </si>
  <si>
    <t>10.1097/j.pain.0000000000002476</t>
  </si>
  <si>
    <t>WOS:000794889000022</t>
  </si>
  <si>
    <t>Cortés, C; Fuentealba, P; Manzur, J; Pérez-Obando, J; Aliaga, C; Audebrand, N; Aguilar-Bolados, H; Spodine, E</t>
  </si>
  <si>
    <t>Cortes, Catalina; Fuentealba, Pablo; Manzur, Jorge; Perez-Obando, Juliana; Aliaga, Carolina; Audebrand, Nathalie; Aguilar-Bolados, Hector; Spodine, Evgenia</t>
  </si>
  <si>
    <t>Influence of the NiII/MnII ratio on the physical properties of heterometallic Ni2xMn(2-2x)P2S6 phases and potassium intercalates K0.8Ni2xMn(1.6-2x)P2S6•2H2O</t>
  </si>
  <si>
    <t>Bimetallic Ni2xMn2-2xP2S6 phases, where 2X = 0.4 (Ni0.4), 0.8 (Ni0.8) and 1.2 (Ni1.2), were synthesized by a microwave assisted method, starting from the corresponding potassium intercalates K0.8Mn1.6P2S6 center dot 2H(2)O, K0.8Ni0.4Mn1.2P2S6 center dot 2H(2)O, and K0.8Ni0.8Mn0.8P2S6 center dot 2H(2)O. The magnetic, optical, and electrical properties were recorded, in order to visualize the influence of the secondary nickel(ii) ions on the physical properties of the pristine Mn2P2S6 phase. Both dc susceptibility and EPR data show that the antiferromagnetic interactions are attenuated in the layers of the bimetallic phases, while the critical temperature remains constant (ca. 80 K) for all the bimetallic phases, similar to that of Mn2P2S6. Conversely, the absorption edge of the solid state UV-visible spectra shifted to lower energies as the percentage of nickel(ii) increased, tending to that of the band gap value of the pristine Ni2P2S6 phase. Moreover, the electric conductivity of Ni0.4 was similar to that of the pristine Mn2P2S6 phase, while that of Ni0.8 and Ni1.2 approached the values of the electric conductivity of the pristine Ni2P2S6 phase. On the other hand, the potassium intercalates K0.8Mn1.6P2S6 center dot 2H(2)O and K0.8Ni0.4Mn1.2P2S6 center dot 2H(2)O showed magnetization at 16 K, the latter being much weaker as compared to the first. The detrimental effect of the secondary nickel(ii) ions in the layers of the bimetallic phases became evident for K0.8Ni0.8Mn0.8P2S6 center dot 2H(2)O, where the magnetization at low temperatures was not observed. The absorption edge shifted to higher energy values for K0.8Mn1.6P2S6 center dot 2H(2)O and K0.8Ni0.4Mn1.2P2S6 center dot 2H(2)O, as compared to Mn2P2S6 and Ni0.4, respectively, but the value remained close to that of Ni2P2S6 for K0.8Ni0.8Mn0.8P2S6 center dot 2H(2)O. In Ni0.8 and Ni0.4, the electrical conductivity at low frequencies stems from polarization processes such as Maxwell/Wagner/Sillars electrode polarization. Moreover, an additional polarization process is observed in the intercalates because K+ ions in the interlayer act as charge transport carriers. Consequently, the interacalates present higher electrical conductivity compared with the pristine Mn2P2S6 phase, by a factor of ca. 10(2).</t>
  </si>
  <si>
    <t>Aguilar-Bolados, Hector/P-2115-2017</t>
  </si>
  <si>
    <t>Cortes Rubio, Catalina/0000-0002-2929-4802; Aguilar-Bolados, Hector/0000-0002-5927-9494; Fuentealba, Pablo/0000-0003-0581-1243</t>
  </si>
  <si>
    <t>JAN 28</t>
  </si>
  <si>
    <t>10.1039/d0nj04680a</t>
  </si>
  <si>
    <t>WOS:000613637800049</t>
  </si>
  <si>
    <t>Pliscoff, P; Simonetti, JA; Grez, AA; Vergara, PM; Barahona-Segovia, RM</t>
  </si>
  <si>
    <t>Pliscoff, Patricio; Simonetti, Javier A.; Grez, Audrey A.; Vergara, Pablo M.; Barahona-Segovia, Rodrigo M.</t>
  </si>
  <si>
    <t>Defining corridors for movement of multiple species in a forest-plantation landscape</t>
  </si>
  <si>
    <t>Forestry plantations of Pinus radiata, managed through clearcutting method, would offer resistance to the movement of native fauna among remnants of native forest. In this study, we evaluate the possibilities of establishing connectivity corridors for native fauna in a forest landscape dominated by P. radiata, focusing on seven species with some level of specialisation in the use of different land covers and that exhibit different movement strategies. We sampled presences and abundances using several types of sampling to determine the abundance and crossing edge probabilities for the ground-dwelling beetle Ceroglossus chilensis; the mesocarnivores Conepatus chinga, Lycalopex culpaeus and Leopardus guigna; the terrestrial frogs Eupsophus septentrionalis and Pleuroderma thaul, and the understory bird Pteroptochos castaneus. We use species distribution modelling and circuit theory to calculate connectivity for each species. Finally, a spatial priorization approach was applied to obtain two scenarios of least-cost corridors. The results show that species with more specific requirements such as L. guigna, P. castaneus, P. thaul and E. septentrionalis, are unlikely to move through clear cuttings and young plantations, but their movement is possible through adult pine plantations with understory. For species that are habitat generalists such as C. chinga and L. culpaeus plantations were suitable for movement. The management of forest plantations should use multi-taxa assessments in the design of biological corridors that allow the connection of forest fragments. (C) 2020 The Authors. Published by Elsevier B.V.</t>
  </si>
  <si>
    <t>Simonetti, Javier/A-4658-2008; Grez, Audrey/G-8677-2013; Vergara, Pablo/F-2519-2010; Pliscoff, Patricio/N-2000-2019</t>
  </si>
  <si>
    <t>e01108</t>
  </si>
  <si>
    <t>10.1016/j.gecco.2020.e01108</t>
  </si>
  <si>
    <t>WOS:000568713200014</t>
  </si>
  <si>
    <t>Rojas-Nunez, J; Valencia, F; Gonzalez, RI; Bringa, EM; Allende, S; Palma, JL; Pereira, A; Escrig, J; Baltazar, SE</t>
  </si>
  <si>
    <t>Rojas-Nunez, Javier; Valencia, Felipe; Gonzalez, Rafael, I; Bringa, Eduardo M.; Allende, Sebastian; Palma, Juan L.; Pereira, Alejandro; Escrig, Juan; Baltazar, Samuel E.</t>
  </si>
  <si>
    <t>Mechanical performance of lightweight polycrystalline Ni nanotubes</t>
  </si>
  <si>
    <t>COMPUTATIONAL MATERIALS SCIENCE</t>
  </si>
  <si>
    <t>The mechanical properties of metallic nanowires and nanotubes were investigated using atomistic molecular dynamics simulations on Ni polycrystalline structures, similar to those experimentally obtained by Atomic Layer Deposition. We studied the response of nanostructures under uniaxial deformations with different thickness, geometry, and crystalline degree. Plastic deformation is due to stacking fault and coherent twin boundary formation, and to grain boundary activity. Different fracture processes are obtained from these systems, being the thin nanotubes failing thanks to a mix of brittle failure by grain boundary decohesion and ductile fracture due to significantly more twins than with a thicker nanotube and nanowire during the ductile fracture. The stress-strain curves, atomic displacements, and defects formation were analyzed, finding that nanotubes with a fraction of the volumetric mass have practically the same Young modulus and ultimate tensile stress, while fracture strain is slightly larger for nanowire. From all these studied cases, it is remarkable the result where ultra-thin nanotubes can withstand a 21% of tensile stress-strain with a similar yield strength than nanowires, but with a volumetric mass reduction of 60%, offering a lightweight alternative to design mechanical nanodevices with minimal loss of mechanical performance.</t>
  </si>
  <si>
    <t>Palma, Juan/IAP-4554-2023; Valencia, Felipe/D-9223-2015; Bringa, Eduardo/F-8918-2011; Pereira, Alejandro/X-7172-2018; Rojas, Javier/JYP-5531-2024; Baltazar, Samuel/E-1814-2011; Escrig, Juan/N-4304-2015; Gonzalez, Rafael I./I-8560-2015</t>
  </si>
  <si>
    <t>Bringa, Eduardo/0000-0002-1403-1954; Pereira Abarca, Alejandro/0000-0002-4473-0852; Baltazar, Samuel/0000-0001-9826-9400; Escrig, Juan/0000-0002-3958-8185; Palma, JuanLuis/0000-0003-2068-174X; Rojas-Nunez, Javier/0000-0002-2343-3533; Gonzalez, Rafael I./0000-0003-2599-8404</t>
  </si>
  <si>
    <t>0927-0256</t>
  </si>
  <si>
    <t>1879-0801</t>
  </si>
  <si>
    <t>10.1016/j.commatsci.2019.05.062</t>
  </si>
  <si>
    <t>WOS:000475556000011</t>
  </si>
  <si>
    <t>Jerez, DPO; Teijelo, ML; Cervantes, WR; Pérez, OEL; Sánchez, J; Pizarro, GD; Acosta, G; Flores, M; Arratia-Perez, R</t>
  </si>
  <si>
    <t>Oyarzun Jerez, Diego P.; Lopez Teijelo, Manuel; Ramos Cervantes, Wilkendry; Linarez Perez, Omar E.; Sanchez, Julio; Pizarro, Guadalupe del C.; Acosta, Gabriela; Flores, Marcos; Arratia-Perez, Ramiro</t>
  </si>
  <si>
    <t>Nanostructuring of anodic copper oxides in fluoride-containing ethylene glycol media</t>
  </si>
  <si>
    <t>JOURNAL OF ELECTROANALYTICAL CHEMISTRY</t>
  </si>
  <si>
    <t>We demonstrate that the anodization of copper in alkaline water/ethylene glycol media containing fluoride ions generates nanostructured copper oxide films. By modifying the anodization conditions (fluoride and OH- concentrations, applied voltage and anodization time), nanoflbrillar Cu2O as well as highly rough nanofibrillar network or nanoporous mixed Cu2O/CuO films are obtained. Raman and X-ray Photoemission Spectroscopy (XPS) results indicate that in fluoride presence, Cu(I) oxide is obtained when anodization takes place applying low voltages at a relatively low OH- concentration. In comparison, the subsequent oxidation to obtain Cu(II) species (CuO and Cu(OH)(2)) is promoted by increasing the OH- contents. According to the present results, an oxidation reaction scheme is proposed in order to gain a deeper understanding in the preparation of controlled nanostructured copper oxide films.</t>
  </si>
  <si>
    <t>Arratia-Perez, Ramiro/AAG-2648-2019; Sanchez, Julio/AEO-4360-2022; PIZARRO, GUADALUPE/V-3353-2017; Pérez, Omar/J-3417-2019; Flores Carrasco, Marcos/E-8058-2012</t>
  </si>
  <si>
    <t>Flores Carrasco, Marcos/0000-0002-9766-2830; Ramos Cervantes, Wilkendry/0000-0003-1313-1555; Sanchez, Julio/0000-0003-4245-0096; Linarez Perez, Omar Ezequiel/0000-0002-4034-6175</t>
  </si>
  <si>
    <t>1572-6657</t>
  </si>
  <si>
    <t>1873-2569</t>
  </si>
  <si>
    <t>10.1016/j.jelechem.2017.11.047</t>
  </si>
  <si>
    <t>WOS:000419414800023</t>
  </si>
  <si>
    <t>Escobar, RA; Lage, E; Castro, JDE; Altbir, D; Ross, CA</t>
  </si>
  <si>
    <t>Escobar, R. A.; Lage, E.; d'Albuquerque e Castro, J.; Altbir, D.; Ross, C. A.</t>
  </si>
  <si>
    <t>Geometry dependence of the magnetization reversal process in bridged dots</t>
  </si>
  <si>
    <t>Based on Monte Carlo numerical simulations: results for the magnetization reversal process in thin circular Ni dots connected by a bridge are presented. The dependence of the process on both the width of the bridge and the orientation of the applied magnetic field has been investigated. It was found that when the applied magnetic field is set parallel to the bridge, the hysteresis curves are weakly dependent on the width of the bridge, being rather close to that of a single dot of the same diameter. On the other hand, when the magnetic field is applied perpendicularly to the bridge, a significant reduction in the coercivity of the system is obtained, even in the case of narrower bridges. (C) 2017 Elsevier B.V. All rights reserved.</t>
  </si>
  <si>
    <t>Lage, Enno/I-5580-2019; Castro, João/AAR-4444-2021; Altbir, Dora/R-6781-2018</t>
  </si>
  <si>
    <t>Lage, Enno/0000-0002-3056-4822; Altbir, Dora/0000-0002-2945-4909</t>
  </si>
  <si>
    <t>10.1016/j.jmmm.2017.01.087</t>
  </si>
  <si>
    <t>WOS:000399601600045</t>
  </si>
  <si>
    <t>Carrasco, R; Soto, I; Seguel, F; Osorio-Valenzuela, L; Lagos, C; Flores, C</t>
  </si>
  <si>
    <t>Carrasco, Raul; Soto, Ismael; Seguel, Fabian; Osorio-Valenzuela, Luis; Lagos, Carolina; Flores, Cherie</t>
  </si>
  <si>
    <t>Water balance analysis in plantations of strawberries, in the commune of San Pedro</t>
  </si>
  <si>
    <t>2017 CHILEAN CONFERENCE ON ELECTRICAL, ELECTRONICS ENGINEERING, INFORMATION AND COMMUNICATION TECHNOLOGIES (CHILECON)</t>
  </si>
  <si>
    <t>CHILEAN Conference on Electrical, Electronics Engineering, Information and Communication Technologies (CHILECON)</t>
  </si>
  <si>
    <t>OCT 18-20, 2017</t>
  </si>
  <si>
    <t>Pucon, CHILE</t>
  </si>
  <si>
    <t>IEEE Chile Sect,Asociac Chilena Control Automatico,IEEE Chilean Chapter Control Syst,IEEE Chilean Chapter SMC,Macro Fac Chile,Univ Frontera,Univ Bio Bio,Univ Talca,IEEE Syst, Man, &amp; Cybernet Soc</t>
  </si>
  <si>
    <t>This work analyzes the agro-climatic variables and the water requirements by evapotranspiration for strawberry plantations in the commune of San Pedro. Correlation analysis, principal components analysis, k-means of the time series of the agro-climatic variables and evapotranspiration are used. The periods with need of water are classified to implement a water balance controller.</t>
  </si>
  <si>
    <t>Flores, Cherie/AAC-6868-2020; Seguel, Fabian/ABC-4765-2020; Carrasco, Raul/G-5440-2015</t>
  </si>
  <si>
    <t>Carrasco, Raul/0000-0002-5023-9349; Seguel, Fabian/0000-0001-6567-8988</t>
  </si>
  <si>
    <t>978-1-5386-3123-2</t>
  </si>
  <si>
    <t>WOS:000425925000183</t>
  </si>
  <si>
    <t>Fuentealba, D; Soto, I; Liu, KC; Martínez, AJ</t>
  </si>
  <si>
    <t>Fuentealba, Diego; Soto, Ismael; Liu, Kecheng; Martinez, Alejandro J.</t>
  </si>
  <si>
    <t>Tracking System with VLC for Underground Mine Using Multi-Agent Systems</t>
  </si>
  <si>
    <t>2017 FIRST SOUTH AMERICAN COLLOQUIUM ON VISIBLE LIGHT COMMUNICATIONS (SACVLC)</t>
  </si>
  <si>
    <t>1st South American Colloquium on Visible Light Communications (IEEE SACVLC)</t>
  </si>
  <si>
    <t>NOV 13, 2017</t>
  </si>
  <si>
    <t>IEEE Chile Sect,Univ Santiago Chile,Telefonica Fundac,Movistar</t>
  </si>
  <si>
    <t>In this paper we present a system description and a classification of agents for locating people inside underground mines, using Visible Light Communication. We propose a model of agents that can be used in real applications and simulations of smart environments, considering the environment, sensors, actuators, people and machine. This proposition is discussed, using as an example a previous work that locates people with VLC in underground mines. A prototype with JADEX is built to work with a Raspberry Pi as a feasible platform to work with VLC devices.</t>
  </si>
  <si>
    <t>Fuentealba, Diego/AAM-8509-2020</t>
  </si>
  <si>
    <t>Soto, Ismael/0000-0002-5501-5651; Martinez, Alejandro/0000-0003-0215-1366</t>
  </si>
  <si>
    <t>978-1-5386-1782-3</t>
  </si>
  <si>
    <t>WOS:000428142700001</t>
  </si>
  <si>
    <t>Martínez-Gómez, F; Mansilla, A; Matsuhiro, B; Matulewicz, MC; Troncoso-Valenzuela, MA</t>
  </si>
  <si>
    <t>Martinez-Gomez, Fabian; Mansilla, Andres; Matsuhiro, Betty; Matulewicz, Maria C.; Troncoso-Valenzuela, Marcos A.</t>
  </si>
  <si>
    <t>Chiroptical characterization of homopolymeric block fractions in alginates</t>
  </si>
  <si>
    <t>Homopolymannuronic and homopolyguluronic fractions were obtained by partial hydrolysis of the alkaline extracts from the brown seaweeds Ascoseira mirabilis, Desmarestia menziessi, Desmarestia ligulata and Durvillaea sp. collected in southern Chile. Full characterization of the fractions was achieved by FT-IR and NMR spectroscopy. Total hydrolysis with 90% formic acid of the homopolymeric fractions allowed the preparation of mannuronic and guluronic acids. Both monomers and homopolymeric fractions as neutral salts were studied by CD and ORD. Chiroptical spectra were similar in shape and sign to those previously published in the literature, and permitted to assign D configuration to mannuronic acid and L configuration to guluronic acid in alginic acids. Specific optical rotation values at the sodium D light for the homopolymannuronic (similar to 100 degrees) and homopolyguluronic (similar to 110 degrees) acid fractions were obtained. These high negative values are proposed for the assignment of the absolute configuration of monomers in homopolymeric fractions. (C) 2016 Elsevier Ltd. All rights reserved.</t>
  </si>
  <si>
    <t>Martinez, Fabian/0000-0001-5802-9816; Mansilla, Andres/0000-0003-3505-7018</t>
  </si>
  <si>
    <t>10.1016/j.carbpol.2016.03.047</t>
  </si>
  <si>
    <t>WOS:000375110500011</t>
  </si>
  <si>
    <t>Montes-Atenas, G; Seguel, F; Valencia, A; Bhatti, SM; Khan, MS; Soto, I; Yoma, NB</t>
  </si>
  <si>
    <t>Montes-Atenas, Gonzalo; Seguel, Fabian; Valencia, Alvaro; Bhatti, Sohail Masood; Khan, Muhammad Salman; Soto, Ismael; Yoma, Nestor Becerra</t>
  </si>
  <si>
    <t>Predicting bubble size and bubble rate data in water and in froth flotation-like slurry from computational fluid dynamics (CFD) by applying deep neural networks (DNN)</t>
  </si>
  <si>
    <t>INTERNATIONAL COMMUNICATIONS IN HEAT AND MASS TRANSFER</t>
  </si>
  <si>
    <t>Accurate characterization of two phase bubbly flows is crucial in many industrial processes such as fluidized reactors, ore froth flotation, etc. The bubble size determines the rate at which components present in the gas phase are transferred to the surroundings and vice versa while bubble rate defines the appropriate bubbly flow regime occurring in the heterogeneous system. This research work employs deep neural networks (DNNs) to predict bubble size and bubble rate using data obtained from validated computational fluid dynamics (CFD) computations. Pure water and slurry (in conditions similar to those employed in mineral froth flotation) case studies are evaluated. It is found that the DNN can predict the CFD results accurately when using four hidden layers, describing discontinuities in the bubbly flow regime. The relative errors computed between the CFD data and the prediction obtained by the DNN is as low as 8.8% and 1.8% for bubble size and bubble rate, respectively. These results confirm that the DNN can be applied to sophisticated fluid dynamics systems and allow developing better control process strategies since once the DNN is trained critical variables can be computed very efficiently. The slurry case study, although restricted to the application of mineral froth flotation, can also be generalized to other industrial operations keeping the exact same procedure. (C) 2016 Elsevier Ltd. All rights reserved.</t>
  </si>
  <si>
    <t>Bhatti, Sohail/GPK-8682-2022; Seguel, Fabian/ABC-4765-2020; Yoma, Nestor/I-8230-2015; Valencia, Alvaro/H-3754-2013; Atenas, Gonzalo/H-4162-2018; Khan, Muhammad Salman/HLQ-7467-2023</t>
  </si>
  <si>
    <t>Seguel, Fabian/0000-0001-6567-8988; valencia, alvaro/0000-0002-3644-3167; Soto, Ismael/0000-0002-5501-5651; Khan, Muhammad Salman/0000-0001-9709-8179</t>
  </si>
  <si>
    <t>0735-1933</t>
  </si>
  <si>
    <t>1879-0178</t>
  </si>
  <si>
    <t>10.1016/j.icheatmasstransfer.2016.05.031</t>
  </si>
  <si>
    <t>WOS:000381238900026</t>
  </si>
  <si>
    <t>Arias-Darraz, L; Cabezas, D; Colenso, CK; Alegría-Arcos, M; Bravo-Moraga, F; Varas-Concha, I; Almonacid, DE; Madrid, R; Brauchi, S</t>
  </si>
  <si>
    <t>Arias-Darraz, Luis; Cabezas, Deny; Colenso, Charlotte K.; Alegria-Arcos, Melissa; Bravo-Moraga, Felipe; Varas-Concha, Ignacio; Almonacid, Daniel E.; Madrid, Rodolfo; Brauchi, Sebastian</t>
  </si>
  <si>
    <t>A Transient Receptor Potential Ion Channel in Chlamydomonas Shares Key Features with Sensory Transduction-Associated TRP Channels in Mammals</t>
  </si>
  <si>
    <t>PLANT CELL</t>
  </si>
  <si>
    <t>Sensory modalities are essential for navigating through an ever-changing environment. From insects to mammals, transient receptor potential (TRP) channels are known mediators for cellular sensing. Chlamydomonas reinhardtii is a motile single-celled freshwater green alga that is guided by photosensory, mechanosensory, and chemosensory cues. In this type of alga, sensory input is first detected by membrane receptors located in the cell body and then transduced to the beating cilia by membrane depolarization. Although TRP channels seem to be absent in plants, C. reinhardtii possesses genomic sequences encoding TRP proteins. Here, we describe the cloning and characterization of a C. reinhardtii version of a TRP channel sharing key features present in mammalian TRP channels associated with sensory transduction. In silico sequence-structure analysis unveiled the modular design of TRP channels, and electrophysiological experiments conducted on Human Embryonic Kidney-293T cells expressing the Cr-TRP1 clone showed that many of the core functional features of metazoan TRP channels are present in Cr-TRP1, suggesting that basic TRP channel gating characteristics evolved early in the history of eukaryotes.</t>
  </si>
  <si>
    <t>Madrid, Rodolfo/MCJ-4974-2025; Brauchi, Sebastian/ITT-0529-2023</t>
  </si>
  <si>
    <t>Almonacid, Daniel E/0000-0002-1788-2084; Madrid, Rodolfo/0000-0002-8623-5761; Cabezas Bratesco, Deny/0000-0002-6217-1513; Bravo-Moraga, Felipe/0000-0003-2055-3983; Alegria-Arcos, Melissa/0000-0002-9372-9153; Brauchi, Sebastian/0000-0002-8494-9912</t>
  </si>
  <si>
    <t>1040-4651</t>
  </si>
  <si>
    <t>1532-298X</t>
  </si>
  <si>
    <t>10.1105/tpc.114.131862</t>
  </si>
  <si>
    <t>WOS:000350764700018</t>
  </si>
  <si>
    <t>Godoy, F; Gómez, A; Segura, R; Doctorovich, F; Pellegrino, J; Gaviglio, C; Guerrero, P; Klahn, AH; Fuentealba, M; Garland, MT</t>
  </si>
  <si>
    <t>Godoy, Fernando; Gomez, Alejandra; Segura, Rodrigo; Doctorovich, Fabio; Pellegrino, Juan; Gaviglio, Carina; Guerrero, Paulina; Hugo Klahn, A.; Fuentealba, Mauricio; Teresa Garland, Maria</t>
  </si>
  <si>
    <t>Synthesis, structure, and reactivity of (η5:η1-C5Me4(CH2)2NMe2)Re(CO)2. Electron transfer behavior of a nitrosyl derivative</t>
  </si>
  <si>
    <t>The UV irradiation of a hexane solution of the complex (eta(5)-C5Me4(CH2)(2)NMe2)Re(CO)(3) (1) afforded the chelated species (eta(5):eta(1)-C5Me4(CH2)(2)NMe2)Re(CO)(2) (2). The molecular structure of 2 has been determined by X-ray crystallography. The reaction of 2 with two-electron donor ligands yields (eta(5)-C5Me4(CH2)(2)NMe2)Re(CO)(2)(L) (1, L = CO; 3, L = PMe3). The chelated species 2 also reacts with MeOTf, HBF4, and I-2 to form the cationic compounds trans-[(eta(5)-C5Me4(CH2)(2)NMe2)Re(CO)(2)X](+) ([4](+), X = Me; [5](+), X = H; [6](+), X = 1). The trans stereochemistry of 4-6 have been assigned on the basis of nu(CO) IR intensities and C-13 NMR spectroscopy. Also, complex 2 reacts with nitrosyl tetrafluoroborate to yield [(eta(5)-C5Me4(CH2)(2)NMe2NO)Re(CO)(2)(NO)]BF4 ([7](2+)). The redox behavior of the {ReNO}(6) complex [7](2+) was studied and the products obtained after two-electron reduction were characterized by IR. DFT calculations were done to optimize the structure of [7](2+) and to study the effect of the sidearm coordination on the electronic structure of a cyclopentadienyl {ReNO}(8) complex. (C) 2014 Elsevier B.V. All rights reserved.</t>
  </si>
  <si>
    <t>Doctorovich, Fabio/K-6898-2019; Segura, Rodrigo/J-6696-2016; Fuentealba, Mauricio/F-3406-2011</t>
  </si>
  <si>
    <t>Fuentealba, Mauricio/0000-0002-2152-2102; Gomez San Martin, Alejandra/0000-0001-6483-1565; Godoy, Fernando/0000-0002-3916-4753; Segura, Rodrigo/0000-0001-5747-2357; Klahn, Hugo/0000-0003-3979-2693</t>
  </si>
  <si>
    <t>10.1016/j.jorganchem.2014.04.019</t>
  </si>
  <si>
    <t>WOS:000337995700002</t>
  </si>
  <si>
    <t>Jiménez, JE; Crego, RD; Soto, GE; Román, I; Rozzi, R; Vergara, PM</t>
  </si>
  <si>
    <t>Jimenez, Jaime E.; Crego, Ramiro D.; Soto, Gerardo E.; Roman, Iran; Rozzi, Ricardo; Vergara, Pablo M.</t>
  </si>
  <si>
    <t>Potential impact of the Alien American Mink (Neovison vison) on Magellanic woodpeckers (Campephilus magellanicus) in Navarino Island, Southern Chile</t>
  </si>
  <si>
    <t>BIOLOGICAL INVASIONS</t>
  </si>
  <si>
    <t>The American mink (Neovison vison) has been described as one of the worst invasive species in the northern hemisphere. Although some studies on the mink exist for the southern hemisphere, aside from impacts on marine and freshwater birds, its effect on other components of the biota is not well understood. Here, as a result of 3 different studies, we report evidence for the mink as a predator of the Magellanic woodpecker (Campephilus magellanicus). To our knowledge, these are the first evidences of predation on this charismatic and endemic woodpecker and indicate that mink might have a more widespread impact on forest birds than was initially suspected.</t>
  </si>
  <si>
    <t>Jimenez, Jaime/AAO-7531-2020; Vergara, Pablo/F-2519-2010; Soto, Gerardo/JAX-4165-2023; Crego, Ramiro/I-3964-2019; Rozzi, Ricardo/G-1047-2012</t>
  </si>
  <si>
    <t>Soto, Gerardo/0000-0002-9706-6588; Roman, Iran R./0000-0003-3781-7244; Crego, Ramiro/0000-0001-8583-5936; Vergara, Pablo/0000-0002-0024-1678; Rozzi, Ricardo/0000-0001-5265-8726</t>
  </si>
  <si>
    <t>1387-3547</t>
  </si>
  <si>
    <t>1573-1464</t>
  </si>
  <si>
    <t>10.1007/s10530-013-0549-1</t>
  </si>
  <si>
    <t>WOS:000333011700018</t>
  </si>
  <si>
    <t>Ansoleaga, E; Vézina, M; Montaño, R</t>
  </si>
  <si>
    <t>Ansoleaga, Elisa; Vezina, Michel; Montano, Rosa</t>
  </si>
  <si>
    <t>Depressive symptoms and work-related stress in Chilean workers: differential conditions for males and females</t>
  </si>
  <si>
    <t>CADERNOS DE SAUDE PUBLICA</t>
  </si>
  <si>
    <t>This article assessed depressive symptoms associated with work-related psychosocial risk factors according to gender in Chile, using the demand-control model (Karasek) and effort-reward imbalance (Siegrist). A cross-sectional study was conducted in a random sample of 3,010 workers (35% female and 65% male) from the country. Data analysis determined prevalence and associations through various statistical techniques (chi(2), logistic regression). Exposure to psychosocial risk factors at work and prevalence of depressive symptoms were higher in women than men (15% vs. 5%). The adjusted analysis highlighted that female workers exposed to Isostrain (OR = 2.34; 95% CI: 1.42-3.85) and low rewards (OR = 2.13; 95% CI: 1.41-3.21) and male workers exposed to psychological demands (OR = 3.04; 95% CI: 1.94-4.76) and effort-reward imbalance (OR = 2.19; 95% CI: 1.39-3.46) had increased risk of depressive symptoms. Exposure to work-related psychosocial risk factors was associated with depressive symptoms in Chilean workers. Effective prevention in key aspects of work organization is thus needed.</t>
  </si>
  <si>
    <t>0102-311X</t>
  </si>
  <si>
    <t>1678-4464</t>
  </si>
  <si>
    <t>10.1590/0102-311X00176912</t>
  </si>
  <si>
    <t>WOS:000333036300012</t>
  </si>
  <si>
    <t>Moya, PR; Berg, KA; Gutiérrez-Hernandez, MA; Sáez-Briones, P; Reyes-Parada, M; Cassels, BK; Clarke, WP</t>
  </si>
  <si>
    <t>Moya, Pablo R.; Berg, Kelly A.; Gutierrez-Hernandez, Manuel A.; Saez-Briones, Patricio; Reyes-Parada, Miguel; Cassels, Bruce K.; Clarke, William P.</t>
  </si>
  <si>
    <t>Functional selectivity of hallucinogenic phenethylamine and phenylisopropylamine derivatives at human 5-hydroxytryptamine (5-HT)2A and 5-HT2C receptors</t>
  </si>
  <si>
    <t>2,5-Dimethoxy-4-substituted phenylisopropylamines and phenethylamines are 5-hydroxytryptamine (serotonin) (5-HT)(2A/2C) agonists. The former are partial to full agonists, whereas the latter are partial to weak agonists. However, most data come from studies analyzing phospholipase C (PLC)-mediated responses, although additional effectors [e. g., phospholipase A(2) (PLA(2))] are associated with these receptors. We compared two homologous series of phenylisopropylamines and phenethylamines measuring both PLA(2) and PLC responses in Chinese hamster ovary-K1 cells expressing human 5-HT2A or 5-HT2C receptors. In addition, we assayed both groups of compounds as head shake inducers in rats. At the 5-HT2C receptor, most compounds were partial agonists for both pathways. Relative efficacy of some phenylisopropylamines was higher for both responses compared with their phenethylamine counterparts, whereas for others, no differences were found. At the 5-HT2A receptor, most compounds behaved as partial agonists, but unlike findings at 5-HT2C receptors, all phenylisopropylamines were more efficacious than their phenethylamine counterparts. 2,5-Dimethoxyphenylisopropylamine activated only the PLC pathway at both receptor subtypes, 2,5-dimethoxyphenethylamine as selective for PLC at the 5-HT2C receptor, and 2,5-dimethoxy-4-nitrophenethylamine was PLA(2)-specific at the 5-HT2A receptor. For both receptors, the rank order of efficacy of compounds differed depending upon which response was measured. The phenylisopropylamines were strong head shake inducers, whereas their phenethylamine congeners were not, in agreement with in vitro results and the involvement of 5-HT2A receptors in the head shake response. Our results support the concept of functional selectivity and indicate that subtle changes in ligand structure can result in significant differences in the cellular signaling profile.</t>
  </si>
  <si>
    <t>Clarke, William/0000-0002-8861-8256; Moya, Pablo/0000-0001-6409-1544</t>
  </si>
  <si>
    <t>10.1124/jpet.106.117507</t>
  </si>
  <si>
    <t>WOS:000246452900027</t>
  </si>
  <si>
    <t>Douraghy, A; Rannou, FR; Alexandrakis, G; Silvennan, RW; Chatziioannou, AF</t>
  </si>
  <si>
    <t>Douraghy, Ali; Rannou, Fernando R.; Alexandrakis, George; Silvennan, Robert W.; Chatziioannou, Arion F.</t>
  </si>
  <si>
    <t>FPGA electronics for OPET: A dual-modality optical and positron emission tomograph</t>
  </si>
  <si>
    <t>2007 IEEE NUCLEAR SCIENCE SYMPOSIUM CONFERENCE RECORD, VOLS 1-11</t>
  </si>
  <si>
    <t>IEEE Nuclear Science Symposium and Medical Imaging Conference</t>
  </si>
  <si>
    <t>IEEE Nuclear Science Symposium/Medical Imaging Conference</t>
  </si>
  <si>
    <t>OCT 26-NOV 03, 2007</t>
  </si>
  <si>
    <t>Honolulu, HI</t>
  </si>
  <si>
    <t>The development of a prototype dual-modality optical and PET (OPET) small animal imaging tomograph is underway in the Crump Institute for Molecular Imaging at the University of California Los Angeles. OPET consists of a single ring of six detector modules with a diameter of 3.5 cm. Each detector has an 8 x 8 array of optically isolated BGO scintillators which are coupled to multichannel photomultiplier tubes and open on the front end. The system operates in either PET or optical mode and reconstructs the data sets as 3D tomograms. The detectors are capable of detecting both annihilation events (511 keV) from PET tracers as well as Single Photon Events (SPEs) (2-3 eV) from bioluminescence. Detector channels are readout using a custom multiplex readout scheme and then filtered in analog circuitry using either a gamma-ray or SPE specific filter. Shaped pulses are sent to a Digital Signal Processing (DSP) unit for event processing. The DSP unit has 100 MHz Analog-to-Digital Converters on the front-end which send digitized samples to Field Programmable Gate Arrays which are programmed via user configurable algorithms to process PET coincidence events or bioluminescence SPEs. Information determined using DSP includes: event timing, energy determination-discrimination, position determination-lookup, and coincidence processing. Coincidence or SPE events are recorded to an external disk and minimal post processing is required prior to image reconstruction. Initial results from a two-detector version of OPET are shown for a PET phantom image reconstruction as well as for an optical mode acquisition. Projection images of an optical pattern placed on the front end of the detector module in the vicinity of a SPE source and positron emitting source are shown. Current work includes assembly of the full ring system and tomographic reconstruction of an optical source.</t>
  </si>
  <si>
    <t>Rannou, Fernando/G-5749-2019</t>
  </si>
  <si>
    <t>1095-7863</t>
  </si>
  <si>
    <t>978-1-4244-0922-8</t>
  </si>
  <si>
    <t>10.1109/NSSMIC.2007.4436752</t>
  </si>
  <si>
    <t>WOS:000257380402082</t>
  </si>
  <si>
    <t>Piñera-Moreno, R; Reyes-López, FE; Goldstein, M; Santillán-Araneda, MJ; Robles-Planells, B; Arancibia-Carvallo, C; Vallejos-Vidal, E; Cuesta, A; Esteban, MA; Tort, L</t>
  </si>
  <si>
    <t>Pinera-Moreno, Rocio; Reyes-Lopez, Felipe E.; Goldstein, Merari; Santillan-Araneda, Maria Jesus; Robles-Planells, Barbara; Arancibia-Carvallo, Camila; Vallejos-Vidal, Eva; Cuesta, Alberto; Esteban, Maria Angeles; Tort, Lluis</t>
  </si>
  <si>
    <t>Transcriptional Evaluation of Neuropeptides, Hormones, and Tissue Repair Modulators in the Skin of Gilthead Sea Bream (Sparus aurata L.) Subjected to Mechanical Damage</t>
  </si>
  <si>
    <t>ANIMALS</t>
  </si>
  <si>
    <t>The skin of bony fish is the first physical barrier and is responsible for maintaining the integrity of the fish. Lesions make the skin vulnerable to potential infection by pathogens present in the aquatic environment. In this way, wound repair has barely been studied in gilthead sea bream. Thus, this study investigated the modulation of peripheral neuro-endocrine and tissue repair markers at the transcriptional level in the skin of teleost fish subjected to mechanical damage above or below the lateral line (dorsal and ventral lesions, respectively). Samples were evaluated using RT-qPCR at 2-, 4-, and 20-days post-injury. Fish with a ventral lesion presented a trend of progressive increase in the expressions of corticotropin-releasing hormone (crh), pro-opiomelanocortin-A (pomca), proenkephalin-B (penkb), cholecystokinin (cck), oxytocin (oxt), angiotensinogen (agt), and (less pronounced) somatostatin-1B (sst1b). By contrast, fish with a dorsal lesion registered no significant increase or biological trend for the genes evaluated at the different sampling times. Collectively, the results show a rapid and more robust response of neuro-endocrine and tissue repair markers in the injuries below than above the lateral line, which could be attributable to their proximity to vital organs.</t>
  </si>
  <si>
    <t>Esteban, María/D-6709-2011; Tort, Lluis/H-5650-2011; Reyes-López, Felipe/S-1760-2018; Vallejos-Vidal, Eva/R-9606-2019; Cuesta, Alberto/B-6372-2008</t>
  </si>
  <si>
    <t>Santillan Araneda, Maria Jesus/0009-0008-1324-6970; Cuesta, Alberto/0000-0002-0906-7995; Robles-Planells, Barbara/0009-0004-6632-3512; Tort, Lluis/0000-0002-3907-722X; Goldstein, Merari/0000-0002-7006-964X; Reyes-Lopez, Felipe E./0000-0002-5001-457X</t>
  </si>
  <si>
    <t>2076-2615</t>
  </si>
  <si>
    <t>10.3390/ani14121815</t>
  </si>
  <si>
    <t>WOS:001254971400001</t>
  </si>
  <si>
    <t>Ruedlinger, J; Cid-Ossandon, V; Huidobro, A; van de Wyngard, V; Vargas, C; Ferreccio, C</t>
  </si>
  <si>
    <t>Ruedlinger, Jenny; Cid-Ossandon, Vicente; Huidobro, Andrea; van de Wyngard, Vanessa; Vargas, Claudio; Ferreccio, Catterina</t>
  </si>
  <si>
    <t>Processed meat consumption and associated factors in Chile: A cross-sectional study nested in the MAUCO cohort</t>
  </si>
  <si>
    <t>Processed meat consumption is increasing in Latin America. While in developed countries processed meat consumption has been associated with cardiovascular diseases and cancer, our region lacks data associated to its consumption and health impact. We characterized processed meat intake and associated factors in a population-based cohort of a Chilean agricultural county, MAUCO. We analyzed baseline dietary data of 7,841 participants, 4,358 women and 3,483 men (38-77 years), who answered an adapted Mediterranean index food frequency questionnaire. Eight percent of the participants presented high processed meat consumption (&gt;= 5 times per week). We explored associations of processed meat consumption with participant characteristics using multinomial logistic regression models. Main factors associated with higher consumption were being men, younger and currently employed, and having a high intake (&gt;4 times per week) of red meat (Odds ratio, 2.71, 95% CI 2.10-3.48), butter/cream (1.96, 1.60-2.41), whole-fat dairy products (1.32, 1.04-1.67) and a high intake (&gt;= 1 time per day) of sugary snacks/sweets (2.49, 2.04-3.03) and sugary drinks (1.97, 1.63-2.38). Processed meat consumption associated to chronic diseases, particularly cardiovascular disease (Prevalence ratio, 2.28, 95% CI 1.58-3.29). Obesity mediated this association in a proportion of 5.0%, whereas for diabetes the proportion was 13.9%. In this population, processed meat was associated with other unhealthy dietary and lifestyle factors, as well as with chronic diseases, particularly cardiovascular disease.</t>
  </si>
  <si>
    <t>Vargas, Claudio/AAX-6076-2020; Huidobro, Laura/AAN-8812-2021; Ruedlinger Standen, Jenny/JVN-6562-2024</t>
  </si>
  <si>
    <t>Ruedlinger, Jenny/0000-0001-9164-7018; Huidobro, Laura/0000-0001-6179-6688</t>
  </si>
  <si>
    <t>AUG 18</t>
  </si>
  <si>
    <t>10.3389/fpubh.2022.960997</t>
  </si>
  <si>
    <t>WOS:000849119000001</t>
  </si>
  <si>
    <t>Espinoza, CM; Moya, PS; Stepanova, M; Valdivia, JA; Navarro, RE</t>
  </si>
  <si>
    <t>Espinoza, C. M.; Moya, P. S.; Stepanova, M.; Valdivia, J. A.; Navarro, R. E.</t>
  </si>
  <si>
    <t>Spontaneous Magnetic Fluctuations and Collisionless Regulation of Turbulence in the Earth's Magnetotail</t>
  </si>
  <si>
    <t>ASTROPHYSICAL JOURNAL</t>
  </si>
  <si>
    <t>Among the fundamental and most challenging problems of laboratory, space, and astrophysical plasma physics is to understand the relaxation processes of nearly collisionless plasmas toward quasi-stationary states and the resultant states of electromagnetic plasma turbulence. Recently, it has been argued that solar wind plasma beta and temperature anisotropy observations may be regulated by kinetic instabilities such as the ion cyclotron, mirror, electron cyclotron, and firehose instabilities; and it has been argued that magnetic fluctuation observations are consistent with the predictions of the fluctuation-dissipation theorem, even far below the kinetic instability thresholds. Here, using in situ magnetic field and plasma measurements by the THEMIS satellite mission, we show that such regulation seems to occur also in the Earth's magnetotail plasma sheet at the ion and electron scales. Regardless of the clear differences between the solar wind and the magnetotail environments, our results indicate that spontaneous fluctuations and their collisionless regulation are fundamental features of space and astrophysical plasmas, thereby suggesting the processes is universal.</t>
  </si>
  <si>
    <t>Valdivia, Juan/A-3631-2008; Navarro, Roberto/AEY-4831-2022; Espinoza, Cristobal/U-4428-2017; Navarro, Roberto E./F-7045-2014; Moya, Pablo S./C-3163-2011; Stepanova, Marina/D-6329-2011</t>
  </si>
  <si>
    <t>Espinoza, Cristobal/0000-0003-2481-2348; Navarro, Roberto E./0000-0003-0782-1904; Moya, Pablo S./0000-0002-9161-0888; Valdivia, Juan Alejandro/0000-0003-3381-9904; Stepanova, Marina/0000-0002-1053-3375</t>
  </si>
  <si>
    <t>0004-637X</t>
  </si>
  <si>
    <t>1538-4357</t>
  </si>
  <si>
    <t>10.3847/1538-4357/ac33a2</t>
  </si>
  <si>
    <t>WOS:000739044600001</t>
  </si>
  <si>
    <t>Campillay, MC; Rivero, ER; Araya, PD; Lizarraga, AP; Cabrera, LG; Nahuelquín, CG</t>
  </si>
  <si>
    <t>Campillay Campillay, Maggie; Rivas Rivero, Edith; Dubo Araya, Pablo; Pavez Lizarraga, Amaya; Galdames Cabrera, Luz; Gonzalez Nahuelquin, Cibeles</t>
  </si>
  <si>
    <t>Contribution and challenges of nurses in times of Covid-19: a narrative review of the literature</t>
  </si>
  <si>
    <t>CULTURA DE LOS CUIDADOS</t>
  </si>
  <si>
    <t>The Covid-19 pandemic has put the leadership and practical experience of nurses to the test, and has made care visible as an essential issue for human life and global health. Objective. The purpose of this literature review is to reflect on the contributions and challenges of nurses in times of pandemic. Method. A literature review was carried out, using the Wos and SciencieDirect databases, searching for the keywords nursing AND Covid-19 AND disaster, then it was supplemented with other documents selected from various sources, mainly reports of international organizations that have been relevant in the nursing and public health work during the pandemic period. Results. 48 documents and articles that met the inclusion criteria were reviewed. Conclusions. The main contribution of nurses to the pandemic is related to the ability to form a large containment force against Covid-19, guided by compassionate care. While some challenges are self-care and planning for the recovery of the post-pandemic health system.</t>
  </si>
  <si>
    <t>Rivas Riveros, Edith/ABE-3782-2021; Campillay Campillay, Maggie/ADC-6657-2022</t>
  </si>
  <si>
    <t>Campillay Campillay, Maggie/0000-0002-4054-1595</t>
  </si>
  <si>
    <t>1138-1728</t>
  </si>
  <si>
    <t>1699-6003</t>
  </si>
  <si>
    <t>10.14198/cuid.2021.esp2.07</t>
  </si>
  <si>
    <t>WOS:000677643900007</t>
  </si>
  <si>
    <t>Miranda-Aguilar, D; Valdés-Badilla, P; Herrera-Valenzuela, T; Guzmán-Muñoz, E; Branco, BHM; Méndez-Rebolledo, G; López-Fuenzalida, A</t>
  </si>
  <si>
    <t>Miranda-Aguilar, Daniel; Valdes-Badilla, Pablo; Herrera-Valenzuela, Tomas; Guzman-Munoz, Eduardo; Magnani Branco, Braulio Henrique; Mendez-Rebolledo, Guillermo; Lopez-Fuenzalida, Antonio</t>
  </si>
  <si>
    <t>Elastic bands or gym equipment for the training of older adults?</t>
  </si>
  <si>
    <t>The aim of the present study was to compare the effects of six weeks of resistance training with the use of elastic bands (EB) to the use of traditional gym equipment (TGE) on maximum strength, body composition, manual grip, blood pressure, glycemia blood, agility, dynamic balance, flexibility, and peak aerobic consumption in older adults. This is an experimental study that evaluated two groups of older adults, one with EB (n=7) and another with TGE (n=5). A significant increase in maximal strength (EB: p=0.043 and TGE: p=0.018), peak aerobic consumption (EB: p=0.008 and TGE: p=0.038) and lower train flexibility (EB: p=0.021 and TGE: p=0.027), and a decrease of fat mass (EB: p=0.028 and TGE: p=0.021) were found. In conclusion, both training produce similar effects on neuromuscular, anthropometric, and metabolic variables in older adults. Therefore, using EB showed as effective as ETG in the training of older adults.</t>
  </si>
  <si>
    <t>Herrera-Valenzuela, Tomas/L-1819-2019; Branco, Braulio/AAA-1747-2019</t>
  </si>
  <si>
    <t>WOS:000519562000054</t>
  </si>
  <si>
    <t>Leon, AO; Castro, JDE; Retamal, JC; Cahaya, AB; Altbir, D</t>
  </si>
  <si>
    <t>Leon, Alejandro O.; Castro, Jose D'Albuquerque e; Retamal, Juan C.; Cahaya, Adam B.; Altbir, Dora</t>
  </si>
  <si>
    <t>Manipulation of the RKKY exchange by voltages</t>
  </si>
  <si>
    <t>In the last years, electric fields have been used to control the magnetic exchange interactions and anisotropies in nanometric devices. In this paper, we study the spin-spin exchange interaction between two magnetic impurities embedded in a three-dimensional nonrelativistic electron gas, namely the Ruderman-Kittel-Kasuya-Yosida (RKKY) interaction. The gas is confined in an insulating structure, and an applied voltage produces local changes in the electron density, which modulates the Fermi level of the system. Using a simple model, we demonstrate that this voltage modifies the strength and wavelength of the coupling between the impurities. Depending on the voltage, the effective RKKY exchange can change from a ferro- to an antiferromagnetic coupling, and vice versa. The spin-spin coupling can also be switched on and off by the voltage.</t>
  </si>
  <si>
    <t>Altbir, Dora/R-6781-2018; Retamal, Juan/G-6425-2010; Leon, Alejandro O./K-4833-2015; Cahaya, Adam/T-9698-2019</t>
  </si>
  <si>
    <t>Leon, Alejandro O./0000-0001-9078-685X; Retamal Abarzua, Juan Carlos/0000-0002-7174-7879; Cahaya, Adam/0000-0002-2068-9613</t>
  </si>
  <si>
    <t>10.1103/PhysRevB.100.014403</t>
  </si>
  <si>
    <t>WOS:000473534600001</t>
  </si>
  <si>
    <t>Cerda, FMC; Sabirov, I; Goulas, C; Sietsma, J; Monsalve, A; Petrov, RH</t>
  </si>
  <si>
    <t>Castro Cerda, F. M.; Sabirov, I.; Goulas, C.; Sietsma, J.; Monsalve, A.; Petrov, R. H.</t>
  </si>
  <si>
    <t>Austenite formation in 0.2% C and 0.45% C steels under conventional and ultrafast heating</t>
  </si>
  <si>
    <t>MATERIALS &amp; DESIGN</t>
  </si>
  <si>
    <t>The austenite formation in 0.2% C and 0.45%C steels with the initial microstructure of ferrite and pearlite has been studied. The effect of conventional (10 degrees C/s), fast (50 degrees C/s-100 degrees C/s) and ultrafast heating rates (&gt;100 degrees C/s) on the austenite nucleation and growth mechanisms is rationalized. Scanning Electron Microscopy (SEM), and Electron BackScatter Diffraction (EBSD) analyses provide novel experimental evidence of the austenite nucleation and growth mechanisms operating at ultrafast heating rates. Two mechanisms of austenite formation are identified: diffusional and massive. It is demonstrated that at conventional heating rates the austenite formation kinetics are determined by carbon diffusion, whereas at ultrafast heating rates formation of austenite starts by carbon diffusion control, which is later overtaken by a massive mechanism. Comprehensive thermodynamic and kinetic descriptions of austenite nucleation and growth are developed based on experimental results. (C) 2016 Elsevier Ltd. All rights reserved.</t>
  </si>
  <si>
    <t>Sabirov, Ilchat/AAF-4526-2019; Petrov, Roumen/A-5066-2008; Goulas, Constantinos/N-5450-2019; Sietsma, Jilt/E-8123-2013; Castro Cerda, Felipe Manuel/Q-2714-2016</t>
  </si>
  <si>
    <t>Sabirov, Ilchat/0000-0001-5211-6054; Goulas, Constantinos/0000-0003-4910-1761; Castro Cerda, Felipe Manuel/0000-0001-8126-5593; Monsalve, Alberto/0000-0002-5772-8815; Petrov, Roumen/0000-0003-0551-9058</t>
  </si>
  <si>
    <t>0264-1275</t>
  </si>
  <si>
    <t>1873-4197</t>
  </si>
  <si>
    <t>10.1016/j.matdes.2016.12.009</t>
  </si>
  <si>
    <t>WOS:000393726600050</t>
  </si>
  <si>
    <t>Roussenova, M; Hughes, DJ; Enrione, J; Diaz-Calderon, P; Sivaniah, E; Song, Q; Ubbink, J; Beavis, P; Swain, A; Alam, MA</t>
  </si>
  <si>
    <t>Roussenova, M.; Hughes, D. J.; Enrione, J.; Diaz-Calderon, P.; Sivaniah, E.; Song, Q.; Ubbink, J.; Beavis, P.; Swain, A.; Alam, M. A.</t>
  </si>
  <si>
    <t>Free Volume, Molecular Mobility and Polymer Structure: Towards the Rational Design of Multi-Functional Materials</t>
  </si>
  <si>
    <t>ACTA PHYSICA POLONICA A</t>
  </si>
  <si>
    <t>41st Polish Seminar on Positron Annihilation (PSPA)</t>
  </si>
  <si>
    <t>SEP 09-13, 2013</t>
  </si>
  <si>
    <t>Lublin, POLAND</t>
  </si>
  <si>
    <t>UMCS Univ, Inst Phys, Positron Res Grp</t>
  </si>
  <si>
    <t>In this short paper we illustrate the versatility of positron annihilation lifetime spectrometry when used for material characterisation by presenting a selection of recent lifetime studies carried out on novel polymeric materials with a wide range of potential industrial applications. We highlight the importance of local free volume in governing the macroscopic properties (e.g. permeation properties, mechanical strength) of these materials and how lifetime measurements can be used in conjunction with a number of complementary techniques in order to establish composition-structure-property relationships for these systems.</t>
  </si>
  <si>
    <t>Beavis, Peter/I-5154-2013; Hughes, Darren/KEI-3002-2024; Enrione, Javier/I-9225-2014; Song, Qilei/C-3729-2012</t>
  </si>
  <si>
    <t>Sivaniah, Easan/0000-0001-7293-8370; Diaz-Calderon, Paulo/0000-0002-8375-2210; Ubbink, Johan Bernard/0000-0003-2296-4161; Enrione, Javier/0000-0002-3916-6775; Song, Qilei/0000-0001-8570-3626</t>
  </si>
  <si>
    <t>0587-4246</t>
  </si>
  <si>
    <t>1898-794X</t>
  </si>
  <si>
    <t>10.12693/APhysPolA.125.801</t>
  </si>
  <si>
    <t>WOS:000339826300033</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</si>
</sst>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2" width="8.0"/>
  </cols>
  <sheetData>
    <row r="1" ht="12.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ht="12.75" customHeight="1">
      <c r="A2" s="1" t="s">
        <v>72</v>
      </c>
      <c r="B2" s="1" t="s">
        <v>73</v>
      </c>
      <c r="C2" s="1" t="s">
        <v>74</v>
      </c>
      <c r="D2" s="1" t="s">
        <v>74</v>
      </c>
      <c r="E2" s="1" t="s">
        <v>74</v>
      </c>
      <c r="F2" s="1" t="s">
        <v>75</v>
      </c>
      <c r="G2" s="1" t="s">
        <v>74</v>
      </c>
      <c r="H2" s="1" t="s">
        <v>74</v>
      </c>
      <c r="I2" s="1" t="s">
        <v>76</v>
      </c>
      <c r="J2" s="1" t="s">
        <v>77</v>
      </c>
      <c r="K2" s="1" t="s">
        <v>74</v>
      </c>
      <c r="L2" s="1" t="s">
        <v>74</v>
      </c>
      <c r="M2" s="1" t="s">
        <v>74</v>
      </c>
      <c r="N2" s="1" t="s">
        <v>74</v>
      </c>
      <c r="O2" s="1" t="s">
        <v>74</v>
      </c>
      <c r="P2" s="1" t="s">
        <v>74</v>
      </c>
      <c r="Q2" s="1" t="s">
        <v>74</v>
      </c>
      <c r="R2" s="1" t="s">
        <v>74</v>
      </c>
      <c r="S2" s="1" t="s">
        <v>74</v>
      </c>
      <c r="T2" s="1" t="s">
        <v>74</v>
      </c>
      <c r="U2" s="1" t="s">
        <v>74</v>
      </c>
      <c r="V2" s="1" t="s">
        <v>78</v>
      </c>
      <c r="W2" s="1" t="s">
        <v>74</v>
      </c>
      <c r="X2" s="1" t="s">
        <v>74</v>
      </c>
      <c r="Y2" s="1" t="s">
        <v>74</v>
      </c>
      <c r="Z2" s="1" t="s">
        <v>74</v>
      </c>
      <c r="AA2" s="1" t="s">
        <v>79</v>
      </c>
      <c r="AB2" s="1" t="s">
        <v>80</v>
      </c>
      <c r="AC2" s="1" t="s">
        <v>74</v>
      </c>
      <c r="AD2" s="1" t="s">
        <v>74</v>
      </c>
      <c r="AE2" s="1" t="s">
        <v>74</v>
      </c>
      <c r="AF2" s="1" t="s">
        <v>74</v>
      </c>
      <c r="AG2" s="1" t="s">
        <v>74</v>
      </c>
      <c r="AH2" s="1" t="s">
        <v>74</v>
      </c>
      <c r="AI2" s="1" t="s">
        <v>74</v>
      </c>
      <c r="AJ2" s="1" t="s">
        <v>74</v>
      </c>
      <c r="AK2" s="1" t="s">
        <v>74</v>
      </c>
      <c r="AL2" s="1" t="s">
        <v>74</v>
      </c>
      <c r="AM2" s="1" t="s">
        <v>74</v>
      </c>
      <c r="AN2" s="1" t="s">
        <v>74</v>
      </c>
      <c r="AO2" s="1" t="s">
        <v>81</v>
      </c>
      <c r="AP2" s="1" t="s">
        <v>82</v>
      </c>
      <c r="AQ2" s="1" t="s">
        <v>74</v>
      </c>
      <c r="AR2" s="1" t="s">
        <v>74</v>
      </c>
      <c r="AS2" s="1" t="s">
        <v>74</v>
      </c>
      <c r="AT2" s="1" t="s">
        <v>83</v>
      </c>
      <c r="AU2" s="1">
        <v>2023.0</v>
      </c>
      <c r="AV2" s="1">
        <v>57.0</v>
      </c>
      <c r="AW2" s="1">
        <v>2.0</v>
      </c>
      <c r="AX2" s="1" t="s">
        <v>74</v>
      </c>
      <c r="AY2" s="1" t="s">
        <v>74</v>
      </c>
      <c r="AZ2" s="1" t="s">
        <v>74</v>
      </c>
      <c r="BA2" s="1" t="s">
        <v>74</v>
      </c>
      <c r="BB2" s="1" t="s">
        <v>74</v>
      </c>
      <c r="BC2" s="1" t="s">
        <v>74</v>
      </c>
      <c r="BD2" s="1" t="s">
        <v>84</v>
      </c>
      <c r="BE2" s="1" t="s">
        <v>85</v>
      </c>
      <c r="BF2" s="2" t="str">
        <f>HYPERLINK("http://dx.doi.org/10.1590/0034-761220220271x","http://dx.doi.org/10.1590/0034-761220220271x")</f>
        <v>http://dx.doi.org/10.1590/0034-761220220271x</v>
      </c>
      <c r="BG2" s="1" t="s">
        <v>74</v>
      </c>
      <c r="BH2" s="1" t="s">
        <v>74</v>
      </c>
      <c r="BI2" s="1" t="s">
        <v>74</v>
      </c>
      <c r="BJ2" s="1" t="s">
        <v>74</v>
      </c>
      <c r="BK2" s="1" t="s">
        <v>74</v>
      </c>
      <c r="BL2" s="1" t="s">
        <v>74</v>
      </c>
      <c r="BM2" s="1" t="s">
        <v>74</v>
      </c>
      <c r="BN2" s="1" t="s">
        <v>74</v>
      </c>
      <c r="BO2" s="1" t="s">
        <v>74</v>
      </c>
      <c r="BP2" s="1" t="s">
        <v>74</v>
      </c>
      <c r="BQ2" s="1" t="s">
        <v>74</v>
      </c>
      <c r="BR2" s="1" t="s">
        <v>74</v>
      </c>
      <c r="BS2" s="1" t="s">
        <v>86</v>
      </c>
      <c r="BT2" s="1" t="str">
        <f>HYPERLINK("https%3A%2F%2Fwww.webofscience.com%2Fwos%2Fwoscc%2Ffull-record%2FWOS:001047482600006","View Full Record in Web of Science")</f>
        <v>View Full Record in Web of Science</v>
      </c>
    </row>
    <row r="3" ht="12.75" customHeight="1">
      <c r="A3" s="1" t="s">
        <v>72</v>
      </c>
      <c r="B3" s="1" t="s">
        <v>87</v>
      </c>
      <c r="C3" s="1" t="s">
        <v>74</v>
      </c>
      <c r="D3" s="1" t="s">
        <v>74</v>
      </c>
      <c r="E3" s="1" t="s">
        <v>74</v>
      </c>
      <c r="F3" s="1" t="s">
        <v>88</v>
      </c>
      <c r="G3" s="1" t="s">
        <v>74</v>
      </c>
      <c r="H3" s="1" t="s">
        <v>74</v>
      </c>
      <c r="I3" s="1" t="s">
        <v>89</v>
      </c>
      <c r="J3" s="1" t="s">
        <v>90</v>
      </c>
      <c r="K3" s="1" t="s">
        <v>74</v>
      </c>
      <c r="L3" s="1" t="s">
        <v>74</v>
      </c>
      <c r="M3" s="1" t="s">
        <v>74</v>
      </c>
      <c r="N3" s="1" t="s">
        <v>74</v>
      </c>
      <c r="O3" s="1" t="s">
        <v>74</v>
      </c>
      <c r="P3" s="1" t="s">
        <v>74</v>
      </c>
      <c r="Q3" s="1" t="s">
        <v>74</v>
      </c>
      <c r="R3" s="1" t="s">
        <v>74</v>
      </c>
      <c r="S3" s="1" t="s">
        <v>74</v>
      </c>
      <c r="T3" s="1" t="s">
        <v>74</v>
      </c>
      <c r="U3" s="1" t="s">
        <v>74</v>
      </c>
      <c r="V3" s="1" t="s">
        <v>91</v>
      </c>
      <c r="W3" s="1" t="s">
        <v>74</v>
      </c>
      <c r="X3" s="1" t="s">
        <v>74</v>
      </c>
      <c r="Y3" s="1" t="s">
        <v>74</v>
      </c>
      <c r="Z3" s="1" t="s">
        <v>74</v>
      </c>
      <c r="AA3" s="1" t="s">
        <v>92</v>
      </c>
      <c r="AB3" s="1" t="s">
        <v>93</v>
      </c>
      <c r="AC3" s="1" t="s">
        <v>74</v>
      </c>
      <c r="AD3" s="1" t="s">
        <v>74</v>
      </c>
      <c r="AE3" s="1" t="s">
        <v>74</v>
      </c>
      <c r="AF3" s="1" t="s">
        <v>74</v>
      </c>
      <c r="AG3" s="1" t="s">
        <v>74</v>
      </c>
      <c r="AH3" s="1" t="s">
        <v>74</v>
      </c>
      <c r="AI3" s="1" t="s">
        <v>74</v>
      </c>
      <c r="AJ3" s="1" t="s">
        <v>74</v>
      </c>
      <c r="AK3" s="1" t="s">
        <v>74</v>
      </c>
      <c r="AL3" s="1" t="s">
        <v>74</v>
      </c>
      <c r="AM3" s="1" t="s">
        <v>74</v>
      </c>
      <c r="AN3" s="1" t="s">
        <v>74</v>
      </c>
      <c r="AO3" s="1" t="s">
        <v>94</v>
      </c>
      <c r="AP3" s="1" t="s">
        <v>95</v>
      </c>
      <c r="AQ3" s="1" t="s">
        <v>74</v>
      </c>
      <c r="AR3" s="1" t="s">
        <v>74</v>
      </c>
      <c r="AS3" s="1" t="s">
        <v>74</v>
      </c>
      <c r="AT3" s="1" t="s">
        <v>96</v>
      </c>
      <c r="AU3" s="1">
        <v>2022.0</v>
      </c>
      <c r="AV3" s="1">
        <v>79.0</v>
      </c>
      <c r="AW3" s="1" t="s">
        <v>74</v>
      </c>
      <c r="AX3" s="1" t="s">
        <v>74</v>
      </c>
      <c r="AY3" s="1" t="s">
        <v>74</v>
      </c>
      <c r="AZ3" s="1" t="s">
        <v>74</v>
      </c>
      <c r="BA3" s="1" t="s">
        <v>74</v>
      </c>
      <c r="BB3" s="1">
        <v>44.0</v>
      </c>
      <c r="BC3" s="1">
        <v>57.0</v>
      </c>
      <c r="BD3" s="1" t="s">
        <v>74</v>
      </c>
      <c r="BE3" s="1" t="s">
        <v>97</v>
      </c>
      <c r="BF3" s="2" t="str">
        <f>HYPERLINK("http://dx.doi.org/10.1016/j.inffus.2021.09.021","http://dx.doi.org/10.1016/j.inffus.2021.09.021")</f>
        <v>http://dx.doi.org/10.1016/j.inffus.2021.09.021</v>
      </c>
      <c r="BG3" s="1" t="s">
        <v>74</v>
      </c>
      <c r="BH3" s="1" t="s">
        <v>98</v>
      </c>
      <c r="BI3" s="1" t="s">
        <v>74</v>
      </c>
      <c r="BJ3" s="1" t="s">
        <v>74</v>
      </c>
      <c r="BK3" s="1" t="s">
        <v>74</v>
      </c>
      <c r="BL3" s="1" t="s">
        <v>74</v>
      </c>
      <c r="BM3" s="1" t="s">
        <v>74</v>
      </c>
      <c r="BN3" s="1" t="s">
        <v>74</v>
      </c>
      <c r="BO3" s="1" t="s">
        <v>74</v>
      </c>
      <c r="BP3" s="1" t="s">
        <v>74</v>
      </c>
      <c r="BQ3" s="1" t="s">
        <v>74</v>
      </c>
      <c r="BR3" s="1" t="s">
        <v>74</v>
      </c>
      <c r="BS3" s="1" t="s">
        <v>99</v>
      </c>
      <c r="BT3" s="1" t="str">
        <f>HYPERLINK("https%3A%2F%2Fwww.webofscience.com%2Fwos%2Fwoscc%2Ffull-record%2FWOS:000716752300001","View Full Record in Web of Science")</f>
        <v>View Full Record in Web of Science</v>
      </c>
    </row>
    <row r="4" ht="12.75" customHeight="1">
      <c r="A4" s="1" t="s">
        <v>72</v>
      </c>
      <c r="B4" s="1" t="s">
        <v>100</v>
      </c>
      <c r="C4" s="1" t="s">
        <v>74</v>
      </c>
      <c r="D4" s="1" t="s">
        <v>74</v>
      </c>
      <c r="E4" s="1" t="s">
        <v>74</v>
      </c>
      <c r="F4" s="1" t="s">
        <v>101</v>
      </c>
      <c r="G4" s="1" t="s">
        <v>74</v>
      </c>
      <c r="H4" s="1" t="s">
        <v>74</v>
      </c>
      <c r="I4" s="1" t="s">
        <v>102</v>
      </c>
      <c r="J4" s="1" t="s">
        <v>103</v>
      </c>
      <c r="K4" s="1" t="s">
        <v>74</v>
      </c>
      <c r="L4" s="1" t="s">
        <v>74</v>
      </c>
      <c r="M4" s="1" t="s">
        <v>74</v>
      </c>
      <c r="N4" s="1" t="s">
        <v>74</v>
      </c>
      <c r="O4" s="1" t="s">
        <v>74</v>
      </c>
      <c r="P4" s="1" t="s">
        <v>74</v>
      </c>
      <c r="Q4" s="1" t="s">
        <v>74</v>
      </c>
      <c r="R4" s="1" t="s">
        <v>74</v>
      </c>
      <c r="S4" s="1" t="s">
        <v>74</v>
      </c>
      <c r="T4" s="1" t="s">
        <v>74</v>
      </c>
      <c r="U4" s="1" t="s">
        <v>74</v>
      </c>
      <c r="V4" s="1" t="s">
        <v>104</v>
      </c>
      <c r="W4" s="1" t="s">
        <v>74</v>
      </c>
      <c r="X4" s="1" t="s">
        <v>74</v>
      </c>
      <c r="Y4" s="1" t="s">
        <v>74</v>
      </c>
      <c r="Z4" s="1" t="s">
        <v>74</v>
      </c>
      <c r="AA4" s="1" t="s">
        <v>105</v>
      </c>
      <c r="AB4" s="1" t="s">
        <v>106</v>
      </c>
      <c r="AC4" s="1" t="s">
        <v>74</v>
      </c>
      <c r="AD4" s="1" t="s">
        <v>74</v>
      </c>
      <c r="AE4" s="1" t="s">
        <v>74</v>
      </c>
      <c r="AF4" s="1" t="s">
        <v>74</v>
      </c>
      <c r="AG4" s="1" t="s">
        <v>74</v>
      </c>
      <c r="AH4" s="1" t="s">
        <v>74</v>
      </c>
      <c r="AI4" s="1" t="s">
        <v>74</v>
      </c>
      <c r="AJ4" s="1" t="s">
        <v>74</v>
      </c>
      <c r="AK4" s="1" t="s">
        <v>74</v>
      </c>
      <c r="AL4" s="1" t="s">
        <v>74</v>
      </c>
      <c r="AM4" s="1" t="s">
        <v>74</v>
      </c>
      <c r="AN4" s="1" t="s">
        <v>74</v>
      </c>
      <c r="AO4" s="1" t="s">
        <v>107</v>
      </c>
      <c r="AP4" s="1" t="s">
        <v>74</v>
      </c>
      <c r="AQ4" s="1" t="s">
        <v>74</v>
      </c>
      <c r="AR4" s="1" t="s">
        <v>74</v>
      </c>
      <c r="AS4" s="1" t="s">
        <v>74</v>
      </c>
      <c r="AT4" s="1" t="s">
        <v>96</v>
      </c>
      <c r="AU4" s="1">
        <v>2022.0</v>
      </c>
      <c r="AV4" s="1">
        <v>15.0</v>
      </c>
      <c r="AW4" s="1">
        <v>3.0</v>
      </c>
      <c r="AX4" s="1" t="s">
        <v>74</v>
      </c>
      <c r="AY4" s="1" t="s">
        <v>74</v>
      </c>
      <c r="AZ4" s="1" t="s">
        <v>74</v>
      </c>
      <c r="BA4" s="1" t="s">
        <v>74</v>
      </c>
      <c r="BB4" s="1">
        <v>967.0</v>
      </c>
      <c r="BC4" s="1">
        <v>984.0</v>
      </c>
      <c r="BD4" s="1" t="s">
        <v>74</v>
      </c>
      <c r="BE4" s="1" t="s">
        <v>108</v>
      </c>
      <c r="BF4" s="2" t="str">
        <f>HYPERLINK("http://dx.doi.org/10.1111/1751-7915.13803","http://dx.doi.org/10.1111/1751-7915.13803")</f>
        <v>http://dx.doi.org/10.1111/1751-7915.13803</v>
      </c>
      <c r="BG4" s="1" t="s">
        <v>74</v>
      </c>
      <c r="BH4" s="1" t="s">
        <v>109</v>
      </c>
      <c r="BI4" s="1" t="s">
        <v>74</v>
      </c>
      <c r="BJ4" s="1" t="s">
        <v>74</v>
      </c>
      <c r="BK4" s="1" t="s">
        <v>74</v>
      </c>
      <c r="BL4" s="1" t="s">
        <v>74</v>
      </c>
      <c r="BM4" s="1" t="s">
        <v>74</v>
      </c>
      <c r="BN4" s="1">
        <v>3.3755311E7</v>
      </c>
      <c r="BO4" s="1" t="s">
        <v>74</v>
      </c>
      <c r="BP4" s="1" t="s">
        <v>74</v>
      </c>
      <c r="BQ4" s="1" t="s">
        <v>74</v>
      </c>
      <c r="BR4" s="1" t="s">
        <v>74</v>
      </c>
      <c r="BS4" s="1" t="s">
        <v>110</v>
      </c>
      <c r="BT4" s="1" t="str">
        <f>HYPERLINK("https%3A%2F%2Fwww.webofscience.com%2Fwos%2Fwoscc%2Ffull-record%2FWOS:000631511300001","View Full Record in Web of Science")</f>
        <v>View Full Record in Web of Science</v>
      </c>
    </row>
    <row r="5" ht="12.75" customHeight="1">
      <c r="A5" s="1" t="s">
        <v>72</v>
      </c>
      <c r="B5" s="1" t="s">
        <v>111</v>
      </c>
      <c r="C5" s="1" t="s">
        <v>74</v>
      </c>
      <c r="D5" s="1" t="s">
        <v>74</v>
      </c>
      <c r="E5" s="1" t="s">
        <v>74</v>
      </c>
      <c r="F5" s="1" t="s">
        <v>112</v>
      </c>
      <c r="G5" s="1" t="s">
        <v>74</v>
      </c>
      <c r="H5" s="1" t="s">
        <v>74</v>
      </c>
      <c r="I5" s="1" t="s">
        <v>113</v>
      </c>
      <c r="J5" s="1" t="s">
        <v>114</v>
      </c>
      <c r="K5" s="1" t="s">
        <v>74</v>
      </c>
      <c r="L5" s="1" t="s">
        <v>74</v>
      </c>
      <c r="M5" s="1" t="s">
        <v>74</v>
      </c>
      <c r="N5" s="1" t="s">
        <v>74</v>
      </c>
      <c r="O5" s="1" t="s">
        <v>74</v>
      </c>
      <c r="P5" s="1" t="s">
        <v>74</v>
      </c>
      <c r="Q5" s="1" t="s">
        <v>74</v>
      </c>
      <c r="R5" s="1" t="s">
        <v>74</v>
      </c>
      <c r="S5" s="1" t="s">
        <v>74</v>
      </c>
      <c r="T5" s="1" t="s">
        <v>74</v>
      </c>
      <c r="U5" s="1" t="s">
        <v>74</v>
      </c>
      <c r="V5" s="1" t="s">
        <v>115</v>
      </c>
      <c r="W5" s="1" t="s">
        <v>74</v>
      </c>
      <c r="X5" s="1" t="s">
        <v>74</v>
      </c>
      <c r="Y5" s="1" t="s">
        <v>74</v>
      </c>
      <c r="Z5" s="1" t="s">
        <v>74</v>
      </c>
      <c r="AA5" s="1" t="s">
        <v>116</v>
      </c>
      <c r="AB5" s="1" t="s">
        <v>117</v>
      </c>
      <c r="AC5" s="1" t="s">
        <v>74</v>
      </c>
      <c r="AD5" s="1" t="s">
        <v>74</v>
      </c>
      <c r="AE5" s="1" t="s">
        <v>74</v>
      </c>
      <c r="AF5" s="1" t="s">
        <v>74</v>
      </c>
      <c r="AG5" s="1" t="s">
        <v>74</v>
      </c>
      <c r="AH5" s="1" t="s">
        <v>74</v>
      </c>
      <c r="AI5" s="1" t="s">
        <v>74</v>
      </c>
      <c r="AJ5" s="1" t="s">
        <v>74</v>
      </c>
      <c r="AK5" s="1" t="s">
        <v>74</v>
      </c>
      <c r="AL5" s="1" t="s">
        <v>74</v>
      </c>
      <c r="AM5" s="1" t="s">
        <v>74</v>
      </c>
      <c r="AN5" s="1" t="s">
        <v>74</v>
      </c>
      <c r="AO5" s="1" t="s">
        <v>118</v>
      </c>
      <c r="AP5" s="1" t="s">
        <v>119</v>
      </c>
      <c r="AQ5" s="1" t="s">
        <v>74</v>
      </c>
      <c r="AR5" s="1" t="s">
        <v>74</v>
      </c>
      <c r="AS5" s="1" t="s">
        <v>74</v>
      </c>
      <c r="AT5" s="1" t="s">
        <v>120</v>
      </c>
      <c r="AU5" s="1">
        <v>2021.0</v>
      </c>
      <c r="AV5" s="1">
        <v>23.0</v>
      </c>
      <c r="AW5" s="1">
        <v>5.0</v>
      </c>
      <c r="AX5" s="1" t="s">
        <v>74</v>
      </c>
      <c r="AY5" s="1" t="s">
        <v>74</v>
      </c>
      <c r="AZ5" s="1" t="s">
        <v>74</v>
      </c>
      <c r="BA5" s="1" t="s">
        <v>74</v>
      </c>
      <c r="BB5" s="1">
        <v>3656.0</v>
      </c>
      <c r="BC5" s="1">
        <v>3667.0</v>
      </c>
      <c r="BD5" s="1" t="s">
        <v>74</v>
      </c>
      <c r="BE5" s="1" t="s">
        <v>121</v>
      </c>
      <c r="BF5" s="2" t="str">
        <f>HYPERLINK("http://dx.doi.org/10.1039/d0cp06080a","http://dx.doi.org/10.1039/d0cp06080a")</f>
        <v>http://dx.doi.org/10.1039/d0cp06080a</v>
      </c>
      <c r="BG5" s="1" t="s">
        <v>74</v>
      </c>
      <c r="BH5" s="1" t="s">
        <v>74</v>
      </c>
      <c r="BI5" s="1" t="s">
        <v>74</v>
      </c>
      <c r="BJ5" s="1" t="s">
        <v>74</v>
      </c>
      <c r="BK5" s="1" t="s">
        <v>74</v>
      </c>
      <c r="BL5" s="1" t="s">
        <v>74</v>
      </c>
      <c r="BM5" s="1" t="s">
        <v>74</v>
      </c>
      <c r="BN5" s="1">
        <v>3.3527942E7</v>
      </c>
      <c r="BO5" s="1" t="s">
        <v>74</v>
      </c>
      <c r="BP5" s="1" t="s">
        <v>74</v>
      </c>
      <c r="BQ5" s="1" t="s">
        <v>74</v>
      </c>
      <c r="BR5" s="1" t="s">
        <v>74</v>
      </c>
      <c r="BS5" s="1" t="s">
        <v>122</v>
      </c>
      <c r="BT5" s="1" t="str">
        <f>HYPERLINK("https%3A%2F%2Fwww.webofscience.com%2Fwos%2Fwoscc%2Ffull-record%2FWOS:000617431500047","View Full Record in Web of Science")</f>
        <v>View Full Record in Web of Science</v>
      </c>
    </row>
    <row r="6" ht="12.75" customHeight="1">
      <c r="A6" s="1" t="s">
        <v>72</v>
      </c>
      <c r="B6" s="1" t="s">
        <v>123</v>
      </c>
      <c r="C6" s="1" t="s">
        <v>74</v>
      </c>
      <c r="D6" s="1" t="s">
        <v>74</v>
      </c>
      <c r="E6" s="1" t="s">
        <v>74</v>
      </c>
      <c r="F6" s="1" t="s">
        <v>124</v>
      </c>
      <c r="G6" s="1" t="s">
        <v>74</v>
      </c>
      <c r="H6" s="1" t="s">
        <v>74</v>
      </c>
      <c r="I6" s="1" t="s">
        <v>125</v>
      </c>
      <c r="J6" s="1" t="s">
        <v>126</v>
      </c>
      <c r="K6" s="1" t="s">
        <v>74</v>
      </c>
      <c r="L6" s="1" t="s">
        <v>74</v>
      </c>
      <c r="M6" s="1" t="s">
        <v>74</v>
      </c>
      <c r="N6" s="1" t="s">
        <v>74</v>
      </c>
      <c r="O6" s="1" t="s">
        <v>74</v>
      </c>
      <c r="P6" s="1" t="s">
        <v>74</v>
      </c>
      <c r="Q6" s="1" t="s">
        <v>74</v>
      </c>
      <c r="R6" s="1" t="s">
        <v>74</v>
      </c>
      <c r="S6" s="1" t="s">
        <v>74</v>
      </c>
      <c r="T6" s="1" t="s">
        <v>74</v>
      </c>
      <c r="U6" s="1" t="s">
        <v>74</v>
      </c>
      <c r="V6" s="1" t="s">
        <v>127</v>
      </c>
      <c r="W6" s="1" t="s">
        <v>74</v>
      </c>
      <c r="X6" s="1" t="s">
        <v>74</v>
      </c>
      <c r="Y6" s="1" t="s">
        <v>74</v>
      </c>
      <c r="Z6" s="1" t="s">
        <v>74</v>
      </c>
      <c r="AA6" s="1" t="s">
        <v>74</v>
      </c>
      <c r="AB6" s="1" t="s">
        <v>74</v>
      </c>
      <c r="AC6" s="1" t="s">
        <v>74</v>
      </c>
      <c r="AD6" s="1" t="s">
        <v>74</v>
      </c>
      <c r="AE6" s="1" t="s">
        <v>74</v>
      </c>
      <c r="AF6" s="1" t="s">
        <v>74</v>
      </c>
      <c r="AG6" s="1" t="s">
        <v>74</v>
      </c>
      <c r="AH6" s="1" t="s">
        <v>74</v>
      </c>
      <c r="AI6" s="1" t="s">
        <v>74</v>
      </c>
      <c r="AJ6" s="1" t="s">
        <v>74</v>
      </c>
      <c r="AK6" s="1" t="s">
        <v>74</v>
      </c>
      <c r="AL6" s="1" t="s">
        <v>74</v>
      </c>
      <c r="AM6" s="1" t="s">
        <v>74</v>
      </c>
      <c r="AN6" s="1" t="s">
        <v>74</v>
      </c>
      <c r="AO6" s="1" t="s">
        <v>74</v>
      </c>
      <c r="AP6" s="1" t="s">
        <v>128</v>
      </c>
      <c r="AQ6" s="1" t="s">
        <v>74</v>
      </c>
      <c r="AR6" s="1" t="s">
        <v>74</v>
      </c>
      <c r="AS6" s="1" t="s">
        <v>74</v>
      </c>
      <c r="AT6" s="1" t="s">
        <v>129</v>
      </c>
      <c r="AU6" s="1">
        <v>2021.0</v>
      </c>
      <c r="AV6" s="1">
        <v>32.0</v>
      </c>
      <c r="AW6" s="1">
        <v>1.0</v>
      </c>
      <c r="AX6" s="1" t="s">
        <v>74</v>
      </c>
      <c r="AY6" s="1" t="s">
        <v>74</v>
      </c>
      <c r="AZ6" s="1" t="s">
        <v>74</v>
      </c>
      <c r="BA6" s="1" t="s">
        <v>74</v>
      </c>
      <c r="BB6" s="1">
        <v>105.0</v>
      </c>
      <c r="BC6" s="1">
        <v>111.0</v>
      </c>
      <c r="BD6" s="1" t="s">
        <v>74</v>
      </c>
      <c r="BE6" s="1" t="s">
        <v>130</v>
      </c>
      <c r="BF6" s="2" t="str">
        <f>HYPERLINK("http://dx.doi.org/10.1016/j.rmclc.2020.12.011","http://dx.doi.org/10.1016/j.rmclc.2020.12.011")</f>
        <v>http://dx.doi.org/10.1016/j.rmclc.2020.12.011</v>
      </c>
      <c r="BG6" s="1" t="s">
        <v>74</v>
      </c>
      <c r="BH6" s="1" t="s">
        <v>131</v>
      </c>
      <c r="BI6" s="1" t="s">
        <v>74</v>
      </c>
      <c r="BJ6" s="1" t="s">
        <v>74</v>
      </c>
      <c r="BK6" s="1" t="s">
        <v>74</v>
      </c>
      <c r="BL6" s="1" t="s">
        <v>74</v>
      </c>
      <c r="BM6" s="1" t="s">
        <v>74</v>
      </c>
      <c r="BN6" s="1" t="s">
        <v>74</v>
      </c>
      <c r="BO6" s="1" t="s">
        <v>74</v>
      </c>
      <c r="BP6" s="1" t="s">
        <v>74</v>
      </c>
      <c r="BQ6" s="1" t="s">
        <v>74</v>
      </c>
      <c r="BR6" s="1" t="s">
        <v>74</v>
      </c>
      <c r="BS6" s="1" t="s">
        <v>132</v>
      </c>
      <c r="BT6" s="1" t="str">
        <f>HYPERLINK("https%3A%2F%2Fwww.webofscience.com%2Fwos%2Fwoscc%2Ffull-record%2FWOS:000647287800012","View Full Record in Web of Science")</f>
        <v>View Full Record in Web of Science</v>
      </c>
    </row>
    <row r="7" ht="12.75" customHeight="1">
      <c r="A7" s="1" t="s">
        <v>72</v>
      </c>
      <c r="B7" s="1" t="s">
        <v>133</v>
      </c>
      <c r="C7" s="1" t="s">
        <v>74</v>
      </c>
      <c r="D7" s="1" t="s">
        <v>74</v>
      </c>
      <c r="E7" s="1" t="s">
        <v>74</v>
      </c>
      <c r="F7" s="1" t="s">
        <v>134</v>
      </c>
      <c r="G7" s="1" t="s">
        <v>74</v>
      </c>
      <c r="H7" s="1" t="s">
        <v>74</v>
      </c>
      <c r="I7" s="1" t="s">
        <v>135</v>
      </c>
      <c r="J7" s="1" t="s">
        <v>136</v>
      </c>
      <c r="K7" s="1" t="s">
        <v>74</v>
      </c>
      <c r="L7" s="1" t="s">
        <v>74</v>
      </c>
      <c r="M7" s="1" t="s">
        <v>74</v>
      </c>
      <c r="N7" s="1" t="s">
        <v>74</v>
      </c>
      <c r="O7" s="1" t="s">
        <v>74</v>
      </c>
      <c r="P7" s="1" t="s">
        <v>74</v>
      </c>
      <c r="Q7" s="1" t="s">
        <v>74</v>
      </c>
      <c r="R7" s="1" t="s">
        <v>74</v>
      </c>
      <c r="S7" s="1" t="s">
        <v>74</v>
      </c>
      <c r="T7" s="1" t="s">
        <v>74</v>
      </c>
      <c r="U7" s="1" t="s">
        <v>74</v>
      </c>
      <c r="V7" s="1" t="s">
        <v>137</v>
      </c>
      <c r="W7" s="1" t="s">
        <v>74</v>
      </c>
      <c r="X7" s="1" t="s">
        <v>74</v>
      </c>
      <c r="Y7" s="1" t="s">
        <v>74</v>
      </c>
      <c r="Z7" s="1" t="s">
        <v>74</v>
      </c>
      <c r="AA7" s="1" t="s">
        <v>138</v>
      </c>
      <c r="AB7" s="1" t="s">
        <v>139</v>
      </c>
      <c r="AC7" s="1" t="s">
        <v>74</v>
      </c>
      <c r="AD7" s="1" t="s">
        <v>74</v>
      </c>
      <c r="AE7" s="1" t="s">
        <v>74</v>
      </c>
      <c r="AF7" s="1" t="s">
        <v>74</v>
      </c>
      <c r="AG7" s="1" t="s">
        <v>74</v>
      </c>
      <c r="AH7" s="1" t="s">
        <v>74</v>
      </c>
      <c r="AI7" s="1" t="s">
        <v>74</v>
      </c>
      <c r="AJ7" s="1" t="s">
        <v>74</v>
      </c>
      <c r="AK7" s="1" t="s">
        <v>74</v>
      </c>
      <c r="AL7" s="1" t="s">
        <v>74</v>
      </c>
      <c r="AM7" s="1" t="s">
        <v>74</v>
      </c>
      <c r="AN7" s="1" t="s">
        <v>74</v>
      </c>
      <c r="AO7" s="1" t="s">
        <v>140</v>
      </c>
      <c r="AP7" s="1" t="s">
        <v>141</v>
      </c>
      <c r="AQ7" s="1" t="s">
        <v>74</v>
      </c>
      <c r="AR7" s="1" t="s">
        <v>74</v>
      </c>
      <c r="AS7" s="1" t="s">
        <v>74</v>
      </c>
      <c r="AT7" s="1" t="s">
        <v>142</v>
      </c>
      <c r="AU7" s="1">
        <v>2020.0</v>
      </c>
      <c r="AV7" s="1">
        <v>91.0</v>
      </c>
      <c r="AW7" s="1">
        <v>5.0</v>
      </c>
      <c r="AX7" s="1" t="s">
        <v>74</v>
      </c>
      <c r="AY7" s="1" t="s">
        <v>74</v>
      </c>
      <c r="AZ7" s="1" t="s">
        <v>74</v>
      </c>
      <c r="BA7" s="1" t="s">
        <v>74</v>
      </c>
      <c r="BB7" s="1">
        <v>543.0</v>
      </c>
      <c r="BC7" s="1">
        <v>546.0</v>
      </c>
      <c r="BD7" s="1" t="s">
        <v>74</v>
      </c>
      <c r="BE7" s="1" t="s">
        <v>143</v>
      </c>
      <c r="BF7" s="2" t="str">
        <f>HYPERLINK("http://dx.doi.org/10.1080/17453674.2020.1776461","http://dx.doi.org/10.1080/17453674.2020.1776461")</f>
        <v>http://dx.doi.org/10.1080/17453674.2020.1776461</v>
      </c>
      <c r="BG7" s="1" t="s">
        <v>74</v>
      </c>
      <c r="BH7" s="1" t="s">
        <v>144</v>
      </c>
      <c r="BI7" s="1" t="s">
        <v>74</v>
      </c>
      <c r="BJ7" s="1" t="s">
        <v>74</v>
      </c>
      <c r="BK7" s="1" t="s">
        <v>74</v>
      </c>
      <c r="BL7" s="1" t="s">
        <v>74</v>
      </c>
      <c r="BM7" s="1" t="s">
        <v>74</v>
      </c>
      <c r="BN7" s="1">
        <v>3.2539473E7</v>
      </c>
      <c r="BO7" s="1" t="s">
        <v>74</v>
      </c>
      <c r="BP7" s="1" t="s">
        <v>74</v>
      </c>
      <c r="BQ7" s="1" t="s">
        <v>74</v>
      </c>
      <c r="BR7" s="1" t="s">
        <v>74</v>
      </c>
      <c r="BS7" s="1" t="s">
        <v>145</v>
      </c>
      <c r="BT7" s="1" t="str">
        <f>HYPERLINK("https%3A%2F%2Fwww.webofscience.com%2Fwos%2Fwoscc%2Ffull-record%2FWOS:000544047800001","View Full Record in Web of Science")</f>
        <v>View Full Record in Web of Science</v>
      </c>
    </row>
    <row r="8" ht="12.75" customHeight="1">
      <c r="A8" s="1" t="s">
        <v>72</v>
      </c>
      <c r="B8" s="1" t="s">
        <v>146</v>
      </c>
      <c r="C8" s="1" t="s">
        <v>74</v>
      </c>
      <c r="D8" s="1" t="s">
        <v>74</v>
      </c>
      <c r="E8" s="1" t="s">
        <v>74</v>
      </c>
      <c r="F8" s="1" t="s">
        <v>147</v>
      </c>
      <c r="G8" s="1" t="s">
        <v>74</v>
      </c>
      <c r="H8" s="1" t="s">
        <v>74</v>
      </c>
      <c r="I8" s="1" t="s">
        <v>148</v>
      </c>
      <c r="J8" s="1" t="s">
        <v>149</v>
      </c>
      <c r="K8" s="1" t="s">
        <v>74</v>
      </c>
      <c r="L8" s="1" t="s">
        <v>74</v>
      </c>
      <c r="M8" s="1" t="s">
        <v>74</v>
      </c>
      <c r="N8" s="1" t="s">
        <v>74</v>
      </c>
      <c r="O8" s="1" t="s">
        <v>74</v>
      </c>
      <c r="P8" s="1" t="s">
        <v>74</v>
      </c>
      <c r="Q8" s="1" t="s">
        <v>74</v>
      </c>
      <c r="R8" s="1" t="s">
        <v>74</v>
      </c>
      <c r="S8" s="1" t="s">
        <v>74</v>
      </c>
      <c r="T8" s="1" t="s">
        <v>74</v>
      </c>
      <c r="U8" s="1" t="s">
        <v>74</v>
      </c>
      <c r="V8" s="1" t="s">
        <v>150</v>
      </c>
      <c r="W8" s="1" t="s">
        <v>74</v>
      </c>
      <c r="X8" s="1" t="s">
        <v>74</v>
      </c>
      <c r="Y8" s="1" t="s">
        <v>74</v>
      </c>
      <c r="Z8" s="1" t="s">
        <v>74</v>
      </c>
      <c r="AA8" s="1" t="s">
        <v>151</v>
      </c>
      <c r="AB8" s="1" t="s">
        <v>152</v>
      </c>
      <c r="AC8" s="1" t="s">
        <v>74</v>
      </c>
      <c r="AD8" s="1" t="s">
        <v>74</v>
      </c>
      <c r="AE8" s="1" t="s">
        <v>74</v>
      </c>
      <c r="AF8" s="1" t="s">
        <v>74</v>
      </c>
      <c r="AG8" s="1" t="s">
        <v>74</v>
      </c>
      <c r="AH8" s="1" t="s">
        <v>74</v>
      </c>
      <c r="AI8" s="1" t="s">
        <v>74</v>
      </c>
      <c r="AJ8" s="1" t="s">
        <v>74</v>
      </c>
      <c r="AK8" s="1" t="s">
        <v>74</v>
      </c>
      <c r="AL8" s="1" t="s">
        <v>74</v>
      </c>
      <c r="AM8" s="1" t="s">
        <v>74</v>
      </c>
      <c r="AN8" s="1" t="s">
        <v>74</v>
      </c>
      <c r="AO8" s="1" t="s">
        <v>153</v>
      </c>
      <c r="AP8" s="1" t="s">
        <v>154</v>
      </c>
      <c r="AQ8" s="1" t="s">
        <v>74</v>
      </c>
      <c r="AR8" s="1" t="s">
        <v>74</v>
      </c>
      <c r="AS8" s="1" t="s">
        <v>74</v>
      </c>
      <c r="AT8" s="1" t="s">
        <v>155</v>
      </c>
      <c r="AU8" s="1">
        <v>2020.0</v>
      </c>
      <c r="AV8" s="1">
        <v>133.0</v>
      </c>
      <c r="AW8" s="1" t="s">
        <v>74</v>
      </c>
      <c r="AX8" s="1" t="s">
        <v>74</v>
      </c>
      <c r="AY8" s="1" t="s">
        <v>74</v>
      </c>
      <c r="AZ8" s="1" t="s">
        <v>74</v>
      </c>
      <c r="BA8" s="1" t="s">
        <v>74</v>
      </c>
      <c r="BB8" s="1" t="s">
        <v>74</v>
      </c>
      <c r="BC8" s="1" t="s">
        <v>74</v>
      </c>
      <c r="BD8" s="1">
        <v>107450.0</v>
      </c>
      <c r="BE8" s="1" t="s">
        <v>156</v>
      </c>
      <c r="BF8" s="2" t="str">
        <f>HYPERLINK("http://dx.doi.org/10.1016/j.bioelechem.2019.107450","http://dx.doi.org/10.1016/j.bioelechem.2019.107450")</f>
        <v>http://dx.doi.org/10.1016/j.bioelechem.2019.107450</v>
      </c>
      <c r="BG8" s="1" t="s">
        <v>74</v>
      </c>
      <c r="BH8" s="1" t="s">
        <v>74</v>
      </c>
      <c r="BI8" s="1" t="s">
        <v>74</v>
      </c>
      <c r="BJ8" s="1" t="s">
        <v>74</v>
      </c>
      <c r="BK8" s="1" t="s">
        <v>74</v>
      </c>
      <c r="BL8" s="1" t="s">
        <v>74</v>
      </c>
      <c r="BM8" s="1" t="s">
        <v>74</v>
      </c>
      <c r="BN8" s="1">
        <v>3.1978857E7</v>
      </c>
      <c r="BO8" s="1" t="s">
        <v>74</v>
      </c>
      <c r="BP8" s="1" t="s">
        <v>74</v>
      </c>
      <c r="BQ8" s="1" t="s">
        <v>74</v>
      </c>
      <c r="BR8" s="1" t="s">
        <v>74</v>
      </c>
      <c r="BS8" s="1" t="s">
        <v>157</v>
      </c>
      <c r="BT8" s="1" t="str">
        <f>HYPERLINK("https%3A%2F%2Fwww.webofscience.com%2Fwos%2Fwoscc%2Ffull-record%2FWOS:000531827700031","View Full Record in Web of Science")</f>
        <v>View Full Record in Web of Science</v>
      </c>
    </row>
    <row r="9" ht="12.75" customHeight="1">
      <c r="A9" s="1" t="s">
        <v>72</v>
      </c>
      <c r="B9" s="1" t="s">
        <v>158</v>
      </c>
      <c r="C9" s="1" t="s">
        <v>74</v>
      </c>
      <c r="D9" s="1" t="s">
        <v>74</v>
      </c>
      <c r="E9" s="1" t="s">
        <v>74</v>
      </c>
      <c r="F9" s="1" t="s">
        <v>159</v>
      </c>
      <c r="G9" s="1" t="s">
        <v>74</v>
      </c>
      <c r="H9" s="1" t="s">
        <v>74</v>
      </c>
      <c r="I9" s="1" t="s">
        <v>160</v>
      </c>
      <c r="J9" s="1" t="s">
        <v>161</v>
      </c>
      <c r="K9" s="1" t="s">
        <v>74</v>
      </c>
      <c r="L9" s="1" t="s">
        <v>74</v>
      </c>
      <c r="M9" s="1" t="s">
        <v>74</v>
      </c>
      <c r="N9" s="1" t="s">
        <v>74</v>
      </c>
      <c r="O9" s="1" t="s">
        <v>74</v>
      </c>
      <c r="P9" s="1" t="s">
        <v>74</v>
      </c>
      <c r="Q9" s="1" t="s">
        <v>74</v>
      </c>
      <c r="R9" s="1" t="s">
        <v>74</v>
      </c>
      <c r="S9" s="1" t="s">
        <v>74</v>
      </c>
      <c r="T9" s="1" t="s">
        <v>74</v>
      </c>
      <c r="U9" s="1" t="s">
        <v>74</v>
      </c>
      <c r="V9" s="1" t="s">
        <v>162</v>
      </c>
      <c r="W9" s="1" t="s">
        <v>74</v>
      </c>
      <c r="X9" s="1" t="s">
        <v>74</v>
      </c>
      <c r="Y9" s="1" t="s">
        <v>74</v>
      </c>
      <c r="Z9" s="1" t="s">
        <v>74</v>
      </c>
      <c r="AA9" s="1" t="s">
        <v>163</v>
      </c>
      <c r="AB9" s="1" t="s">
        <v>164</v>
      </c>
      <c r="AC9" s="1" t="s">
        <v>74</v>
      </c>
      <c r="AD9" s="1" t="s">
        <v>74</v>
      </c>
      <c r="AE9" s="1" t="s">
        <v>74</v>
      </c>
      <c r="AF9" s="1" t="s">
        <v>74</v>
      </c>
      <c r="AG9" s="1" t="s">
        <v>74</v>
      </c>
      <c r="AH9" s="1" t="s">
        <v>74</v>
      </c>
      <c r="AI9" s="1" t="s">
        <v>74</v>
      </c>
      <c r="AJ9" s="1" t="s">
        <v>74</v>
      </c>
      <c r="AK9" s="1" t="s">
        <v>74</v>
      </c>
      <c r="AL9" s="1" t="s">
        <v>74</v>
      </c>
      <c r="AM9" s="1" t="s">
        <v>74</v>
      </c>
      <c r="AN9" s="1" t="s">
        <v>74</v>
      </c>
      <c r="AO9" s="1" t="s">
        <v>165</v>
      </c>
      <c r="AP9" s="1" t="s">
        <v>166</v>
      </c>
      <c r="AQ9" s="1" t="s">
        <v>74</v>
      </c>
      <c r="AR9" s="1" t="s">
        <v>74</v>
      </c>
      <c r="AS9" s="1" t="s">
        <v>74</v>
      </c>
      <c r="AT9" s="1" t="s">
        <v>167</v>
      </c>
      <c r="AU9" s="1">
        <v>2019.0</v>
      </c>
      <c r="AV9" s="1">
        <v>627.0</v>
      </c>
      <c r="AW9" s="1" t="s">
        <v>74</v>
      </c>
      <c r="AX9" s="1" t="s">
        <v>74</v>
      </c>
      <c r="AY9" s="1" t="s">
        <v>74</v>
      </c>
      <c r="AZ9" s="1" t="s">
        <v>74</v>
      </c>
      <c r="BA9" s="1" t="s">
        <v>74</v>
      </c>
      <c r="BB9" s="1" t="s">
        <v>74</v>
      </c>
      <c r="BC9" s="1" t="s">
        <v>74</v>
      </c>
      <c r="BD9" s="1" t="s">
        <v>168</v>
      </c>
      <c r="BE9" s="1" t="s">
        <v>169</v>
      </c>
      <c r="BF9" s="2" t="str">
        <f>HYPERLINK("http://dx.doi.org/10.1051/0004-6361/201935560","http://dx.doi.org/10.1051/0004-6361/201935560")</f>
        <v>http://dx.doi.org/10.1051/0004-6361/201935560</v>
      </c>
      <c r="BG9" s="1" t="s">
        <v>74</v>
      </c>
      <c r="BH9" s="1" t="s">
        <v>74</v>
      </c>
      <c r="BI9" s="1" t="s">
        <v>74</v>
      </c>
      <c r="BJ9" s="1" t="s">
        <v>74</v>
      </c>
      <c r="BK9" s="1" t="s">
        <v>74</v>
      </c>
      <c r="BL9" s="1" t="s">
        <v>74</v>
      </c>
      <c r="BM9" s="1" t="s">
        <v>74</v>
      </c>
      <c r="BN9" s="1" t="s">
        <v>74</v>
      </c>
      <c r="BO9" s="1" t="s">
        <v>74</v>
      </c>
      <c r="BP9" s="1" t="s">
        <v>74</v>
      </c>
      <c r="BQ9" s="1" t="s">
        <v>74</v>
      </c>
      <c r="BR9" s="1" t="s">
        <v>74</v>
      </c>
      <c r="BS9" s="1" t="s">
        <v>170</v>
      </c>
      <c r="BT9" s="1" t="str">
        <f>HYPERLINK("https%3A%2F%2Fwww.webofscience.com%2Fwos%2Fwoscc%2Ffull-record%2FWOS:000475288300001","View Full Record in Web of Science")</f>
        <v>View Full Record in Web of Science</v>
      </c>
    </row>
    <row r="10" ht="12.75" customHeight="1">
      <c r="A10" s="1" t="s">
        <v>72</v>
      </c>
      <c r="B10" s="1" t="s">
        <v>171</v>
      </c>
      <c r="C10" s="1" t="s">
        <v>74</v>
      </c>
      <c r="D10" s="1" t="s">
        <v>74</v>
      </c>
      <c r="E10" s="1" t="s">
        <v>74</v>
      </c>
      <c r="F10" s="1" t="s">
        <v>172</v>
      </c>
      <c r="G10" s="1" t="s">
        <v>74</v>
      </c>
      <c r="H10" s="1" t="s">
        <v>74</v>
      </c>
      <c r="I10" s="1" t="s">
        <v>173</v>
      </c>
      <c r="J10" s="1" t="s">
        <v>174</v>
      </c>
      <c r="K10" s="1" t="s">
        <v>74</v>
      </c>
      <c r="L10" s="1" t="s">
        <v>74</v>
      </c>
      <c r="M10" s="1" t="s">
        <v>74</v>
      </c>
      <c r="N10" s="1" t="s">
        <v>74</v>
      </c>
      <c r="O10" s="1" t="s">
        <v>74</v>
      </c>
      <c r="P10" s="1" t="s">
        <v>74</v>
      </c>
      <c r="Q10" s="1" t="s">
        <v>74</v>
      </c>
      <c r="R10" s="1" t="s">
        <v>74</v>
      </c>
      <c r="S10" s="1" t="s">
        <v>74</v>
      </c>
      <c r="T10" s="1" t="s">
        <v>74</v>
      </c>
      <c r="U10" s="1" t="s">
        <v>74</v>
      </c>
      <c r="V10" s="1" t="s">
        <v>175</v>
      </c>
      <c r="W10" s="1" t="s">
        <v>74</v>
      </c>
      <c r="X10" s="1" t="s">
        <v>74</v>
      </c>
      <c r="Y10" s="1" t="s">
        <v>74</v>
      </c>
      <c r="Z10" s="1" t="s">
        <v>74</v>
      </c>
      <c r="AA10" s="1" t="s">
        <v>176</v>
      </c>
      <c r="AB10" s="1" t="s">
        <v>177</v>
      </c>
      <c r="AC10" s="1" t="s">
        <v>74</v>
      </c>
      <c r="AD10" s="1" t="s">
        <v>74</v>
      </c>
      <c r="AE10" s="1" t="s">
        <v>74</v>
      </c>
      <c r="AF10" s="1" t="s">
        <v>74</v>
      </c>
      <c r="AG10" s="1" t="s">
        <v>74</v>
      </c>
      <c r="AH10" s="1" t="s">
        <v>74</v>
      </c>
      <c r="AI10" s="1" t="s">
        <v>74</v>
      </c>
      <c r="AJ10" s="1" t="s">
        <v>74</v>
      </c>
      <c r="AK10" s="1" t="s">
        <v>74</v>
      </c>
      <c r="AL10" s="1" t="s">
        <v>74</v>
      </c>
      <c r="AM10" s="1" t="s">
        <v>74</v>
      </c>
      <c r="AN10" s="1" t="s">
        <v>74</v>
      </c>
      <c r="AO10" s="1" t="s">
        <v>178</v>
      </c>
      <c r="AP10" s="1" t="s">
        <v>74</v>
      </c>
      <c r="AQ10" s="1" t="s">
        <v>74</v>
      </c>
      <c r="AR10" s="1" t="s">
        <v>74</v>
      </c>
      <c r="AS10" s="1" t="s">
        <v>74</v>
      </c>
      <c r="AT10" s="1" t="s">
        <v>179</v>
      </c>
      <c r="AU10" s="1">
        <v>2018.0</v>
      </c>
      <c r="AV10" s="1">
        <v>13.0</v>
      </c>
      <c r="AW10" s="1">
        <v>1.0</v>
      </c>
      <c r="AX10" s="1" t="s">
        <v>74</v>
      </c>
      <c r="AY10" s="1" t="s">
        <v>74</v>
      </c>
      <c r="AZ10" s="1" t="s">
        <v>74</v>
      </c>
      <c r="BA10" s="1" t="s">
        <v>74</v>
      </c>
      <c r="BB10" s="1" t="s">
        <v>74</v>
      </c>
      <c r="BC10" s="1" t="s">
        <v>74</v>
      </c>
      <c r="BD10" s="1" t="s">
        <v>180</v>
      </c>
      <c r="BE10" s="1" t="s">
        <v>181</v>
      </c>
      <c r="BF10" s="2" t="str">
        <f>HYPERLINK("http://dx.doi.org/10.1371/journal.pone.0191825","http://dx.doi.org/10.1371/journal.pone.0191825")</f>
        <v>http://dx.doi.org/10.1371/journal.pone.0191825</v>
      </c>
      <c r="BG10" s="1" t="s">
        <v>74</v>
      </c>
      <c r="BH10" s="1" t="s">
        <v>74</v>
      </c>
      <c r="BI10" s="1" t="s">
        <v>74</v>
      </c>
      <c r="BJ10" s="1" t="s">
        <v>74</v>
      </c>
      <c r="BK10" s="1" t="s">
        <v>74</v>
      </c>
      <c r="BL10" s="1" t="s">
        <v>74</v>
      </c>
      <c r="BM10" s="1" t="s">
        <v>74</v>
      </c>
      <c r="BN10" s="1">
        <v>2.9381724E7</v>
      </c>
      <c r="BO10" s="1" t="s">
        <v>74</v>
      </c>
      <c r="BP10" s="1" t="s">
        <v>74</v>
      </c>
      <c r="BQ10" s="1" t="s">
        <v>74</v>
      </c>
      <c r="BR10" s="1" t="s">
        <v>74</v>
      </c>
      <c r="BS10" s="1" t="s">
        <v>182</v>
      </c>
      <c r="BT10" s="1" t="str">
        <f>HYPERLINK("https%3A%2F%2Fwww.webofscience.com%2Fwos%2Fwoscc%2Ffull-record%2FWOS:000423617800037","View Full Record in Web of Science")</f>
        <v>View Full Record in Web of Science</v>
      </c>
    </row>
    <row r="11" ht="12.75" customHeight="1">
      <c r="A11" s="1" t="s">
        <v>72</v>
      </c>
      <c r="B11" s="1" t="s">
        <v>183</v>
      </c>
      <c r="C11" s="1" t="s">
        <v>74</v>
      </c>
      <c r="D11" s="1" t="s">
        <v>74</v>
      </c>
      <c r="E11" s="1" t="s">
        <v>74</v>
      </c>
      <c r="F11" s="1" t="s">
        <v>184</v>
      </c>
      <c r="G11" s="1" t="s">
        <v>74</v>
      </c>
      <c r="H11" s="1" t="s">
        <v>74</v>
      </c>
      <c r="I11" s="1" t="s">
        <v>185</v>
      </c>
      <c r="J11" s="1" t="s">
        <v>186</v>
      </c>
      <c r="K11" s="1" t="s">
        <v>74</v>
      </c>
      <c r="L11" s="1" t="s">
        <v>74</v>
      </c>
      <c r="M11" s="1" t="s">
        <v>74</v>
      </c>
      <c r="N11" s="1" t="s">
        <v>74</v>
      </c>
      <c r="O11" s="1" t="s">
        <v>74</v>
      </c>
      <c r="P11" s="1" t="s">
        <v>74</v>
      </c>
      <c r="Q11" s="1" t="s">
        <v>74</v>
      </c>
      <c r="R11" s="1" t="s">
        <v>74</v>
      </c>
      <c r="S11" s="1" t="s">
        <v>74</v>
      </c>
      <c r="T11" s="1" t="s">
        <v>74</v>
      </c>
      <c r="U11" s="1" t="s">
        <v>74</v>
      </c>
      <c r="V11" s="1" t="s">
        <v>187</v>
      </c>
      <c r="W11" s="1" t="s">
        <v>74</v>
      </c>
      <c r="X11" s="1" t="s">
        <v>74</v>
      </c>
      <c r="Y11" s="1" t="s">
        <v>74</v>
      </c>
      <c r="Z11" s="1" t="s">
        <v>74</v>
      </c>
      <c r="AA11" s="1" t="s">
        <v>188</v>
      </c>
      <c r="AB11" s="1" t="s">
        <v>189</v>
      </c>
      <c r="AC11" s="1" t="s">
        <v>74</v>
      </c>
      <c r="AD11" s="1" t="s">
        <v>74</v>
      </c>
      <c r="AE11" s="1" t="s">
        <v>74</v>
      </c>
      <c r="AF11" s="1" t="s">
        <v>74</v>
      </c>
      <c r="AG11" s="1" t="s">
        <v>74</v>
      </c>
      <c r="AH11" s="1" t="s">
        <v>74</v>
      </c>
      <c r="AI11" s="1" t="s">
        <v>74</v>
      </c>
      <c r="AJ11" s="1" t="s">
        <v>74</v>
      </c>
      <c r="AK11" s="1" t="s">
        <v>74</v>
      </c>
      <c r="AL11" s="1" t="s">
        <v>74</v>
      </c>
      <c r="AM11" s="1" t="s">
        <v>74</v>
      </c>
      <c r="AN11" s="1" t="s">
        <v>74</v>
      </c>
      <c r="AO11" s="1" t="s">
        <v>190</v>
      </c>
      <c r="AP11" s="1" t="s">
        <v>74</v>
      </c>
      <c r="AQ11" s="1" t="s">
        <v>74</v>
      </c>
      <c r="AR11" s="1" t="s">
        <v>74</v>
      </c>
      <c r="AS11" s="1" t="s">
        <v>74</v>
      </c>
      <c r="AT11" s="1" t="s">
        <v>191</v>
      </c>
      <c r="AU11" s="1">
        <v>2017.0</v>
      </c>
      <c r="AV11" s="1">
        <v>2.0</v>
      </c>
      <c r="AW11" s="1">
        <v>2.0</v>
      </c>
      <c r="AX11" s="1" t="s">
        <v>74</v>
      </c>
      <c r="AY11" s="1" t="s">
        <v>74</v>
      </c>
      <c r="AZ11" s="1" t="s">
        <v>74</v>
      </c>
      <c r="BA11" s="1" t="s">
        <v>74</v>
      </c>
      <c r="BB11" s="1" t="s">
        <v>74</v>
      </c>
      <c r="BC11" s="1" t="s">
        <v>74</v>
      </c>
      <c r="BD11" s="1">
        <v>25007.0</v>
      </c>
      <c r="BE11" s="1" t="s">
        <v>192</v>
      </c>
      <c r="BF11" s="2" t="str">
        <f>HYPERLINK("http://dx.doi.org/10.1088/2058-9565/aa701c","http://dx.doi.org/10.1088/2058-9565/aa701c")</f>
        <v>http://dx.doi.org/10.1088/2058-9565/aa701c</v>
      </c>
      <c r="BG11" s="1" t="s">
        <v>74</v>
      </c>
      <c r="BH11" s="1" t="s">
        <v>74</v>
      </c>
      <c r="BI11" s="1" t="s">
        <v>74</v>
      </c>
      <c r="BJ11" s="1" t="s">
        <v>74</v>
      </c>
      <c r="BK11" s="1" t="s">
        <v>74</v>
      </c>
      <c r="BL11" s="1" t="s">
        <v>74</v>
      </c>
      <c r="BM11" s="1" t="s">
        <v>74</v>
      </c>
      <c r="BN11" s="1" t="s">
        <v>74</v>
      </c>
      <c r="BO11" s="1" t="s">
        <v>74</v>
      </c>
      <c r="BP11" s="1" t="s">
        <v>74</v>
      </c>
      <c r="BQ11" s="1" t="s">
        <v>74</v>
      </c>
      <c r="BR11" s="1" t="s">
        <v>74</v>
      </c>
      <c r="BS11" s="1" t="s">
        <v>193</v>
      </c>
      <c r="BT11" s="1" t="str">
        <f>HYPERLINK("https%3A%2F%2Fwww.webofscience.com%2Fwos%2Fwoscc%2Ffull-record%2FWOS:000419250000007","View Full Record in Web of Science")</f>
        <v>View Full Record in Web of Science</v>
      </c>
    </row>
    <row r="12" ht="12.75" customHeight="1">
      <c r="A12" s="1" t="s">
        <v>72</v>
      </c>
      <c r="B12" s="1" t="s">
        <v>194</v>
      </c>
      <c r="C12" s="1" t="s">
        <v>74</v>
      </c>
      <c r="D12" s="1" t="s">
        <v>74</v>
      </c>
      <c r="E12" s="1" t="s">
        <v>74</v>
      </c>
      <c r="F12" s="1" t="s">
        <v>195</v>
      </c>
      <c r="G12" s="1" t="s">
        <v>74</v>
      </c>
      <c r="H12" s="1" t="s">
        <v>74</v>
      </c>
      <c r="I12" s="1" t="s">
        <v>196</v>
      </c>
      <c r="J12" s="1" t="s">
        <v>197</v>
      </c>
      <c r="K12" s="1" t="s">
        <v>74</v>
      </c>
      <c r="L12" s="1" t="s">
        <v>74</v>
      </c>
      <c r="M12" s="1" t="s">
        <v>74</v>
      </c>
      <c r="N12" s="1" t="s">
        <v>74</v>
      </c>
      <c r="O12" s="1" t="s">
        <v>74</v>
      </c>
      <c r="P12" s="1" t="s">
        <v>74</v>
      </c>
      <c r="Q12" s="1" t="s">
        <v>74</v>
      </c>
      <c r="R12" s="1" t="s">
        <v>74</v>
      </c>
      <c r="S12" s="1" t="s">
        <v>74</v>
      </c>
      <c r="T12" s="1" t="s">
        <v>74</v>
      </c>
      <c r="U12" s="1" t="s">
        <v>74</v>
      </c>
      <c r="V12" s="1" t="s">
        <v>198</v>
      </c>
      <c r="W12" s="1" t="s">
        <v>74</v>
      </c>
      <c r="X12" s="1" t="s">
        <v>74</v>
      </c>
      <c r="Y12" s="1" t="s">
        <v>74</v>
      </c>
      <c r="Z12" s="1" t="s">
        <v>74</v>
      </c>
      <c r="AA12" s="1" t="s">
        <v>199</v>
      </c>
      <c r="AB12" s="1" t="s">
        <v>200</v>
      </c>
      <c r="AC12" s="1" t="s">
        <v>74</v>
      </c>
      <c r="AD12" s="1" t="s">
        <v>74</v>
      </c>
      <c r="AE12" s="1" t="s">
        <v>74</v>
      </c>
      <c r="AF12" s="1" t="s">
        <v>74</v>
      </c>
      <c r="AG12" s="1" t="s">
        <v>74</v>
      </c>
      <c r="AH12" s="1" t="s">
        <v>74</v>
      </c>
      <c r="AI12" s="1" t="s">
        <v>74</v>
      </c>
      <c r="AJ12" s="1" t="s">
        <v>74</v>
      </c>
      <c r="AK12" s="1" t="s">
        <v>74</v>
      </c>
      <c r="AL12" s="1" t="s">
        <v>74</v>
      </c>
      <c r="AM12" s="1" t="s">
        <v>74</v>
      </c>
      <c r="AN12" s="1" t="s">
        <v>74</v>
      </c>
      <c r="AO12" s="1" t="s">
        <v>201</v>
      </c>
      <c r="AP12" s="1" t="s">
        <v>202</v>
      </c>
      <c r="AQ12" s="1" t="s">
        <v>74</v>
      </c>
      <c r="AR12" s="1" t="s">
        <v>74</v>
      </c>
      <c r="AS12" s="1" t="s">
        <v>74</v>
      </c>
      <c r="AT12" s="1" t="s">
        <v>203</v>
      </c>
      <c r="AU12" s="1">
        <v>2017.0</v>
      </c>
      <c r="AV12" s="1">
        <v>112.0</v>
      </c>
      <c r="AW12" s="1" t="s">
        <v>74</v>
      </c>
      <c r="AX12" s="1" t="s">
        <v>74</v>
      </c>
      <c r="AY12" s="1" t="s">
        <v>74</v>
      </c>
      <c r="AZ12" s="1" t="s">
        <v>74</v>
      </c>
      <c r="BA12" s="1" t="s">
        <v>74</v>
      </c>
      <c r="BB12" s="1">
        <v>66.0</v>
      </c>
      <c r="BC12" s="1">
        <v>73.0</v>
      </c>
      <c r="BD12" s="1" t="s">
        <v>74</v>
      </c>
      <c r="BE12" s="1" t="s">
        <v>204</v>
      </c>
      <c r="BF12" s="2" t="str">
        <f>HYPERLINK("http://dx.doi.org/10.1016/j.compositesb.2016.12.007","http://dx.doi.org/10.1016/j.compositesb.2016.12.007")</f>
        <v>http://dx.doi.org/10.1016/j.compositesb.2016.12.007</v>
      </c>
      <c r="BG12" s="1" t="s">
        <v>74</v>
      </c>
      <c r="BH12" s="1" t="s">
        <v>74</v>
      </c>
      <c r="BI12" s="1" t="s">
        <v>74</v>
      </c>
      <c r="BJ12" s="1" t="s">
        <v>74</v>
      </c>
      <c r="BK12" s="1" t="s">
        <v>74</v>
      </c>
      <c r="BL12" s="1" t="s">
        <v>74</v>
      </c>
      <c r="BM12" s="1" t="s">
        <v>74</v>
      </c>
      <c r="BN12" s="1" t="s">
        <v>74</v>
      </c>
      <c r="BO12" s="1" t="s">
        <v>74</v>
      </c>
      <c r="BP12" s="1" t="s">
        <v>74</v>
      </c>
      <c r="BQ12" s="1" t="s">
        <v>74</v>
      </c>
      <c r="BR12" s="1" t="s">
        <v>74</v>
      </c>
      <c r="BS12" s="1" t="s">
        <v>205</v>
      </c>
      <c r="BT12" s="1" t="str">
        <f>HYPERLINK("https%3A%2F%2Fwww.webofscience.com%2Fwos%2Fwoscc%2Ffull-record%2FWOS:000399517300009","View Full Record in Web of Science")</f>
        <v>View Full Record in Web of Science</v>
      </c>
    </row>
    <row r="13" ht="12.75" customHeight="1">
      <c r="A13" s="1" t="s">
        <v>72</v>
      </c>
      <c r="B13" s="1" t="s">
        <v>206</v>
      </c>
      <c r="C13" s="1" t="s">
        <v>74</v>
      </c>
      <c r="D13" s="1" t="s">
        <v>74</v>
      </c>
      <c r="E13" s="1" t="s">
        <v>74</v>
      </c>
      <c r="F13" s="1" t="s">
        <v>207</v>
      </c>
      <c r="G13" s="1" t="s">
        <v>74</v>
      </c>
      <c r="H13" s="1" t="s">
        <v>74</v>
      </c>
      <c r="I13" s="1" t="s">
        <v>208</v>
      </c>
      <c r="J13" s="1" t="s">
        <v>209</v>
      </c>
      <c r="K13" s="1" t="s">
        <v>74</v>
      </c>
      <c r="L13" s="1" t="s">
        <v>74</v>
      </c>
      <c r="M13" s="1" t="s">
        <v>74</v>
      </c>
      <c r="N13" s="1" t="s">
        <v>74</v>
      </c>
      <c r="O13" s="1" t="s">
        <v>74</v>
      </c>
      <c r="P13" s="1" t="s">
        <v>74</v>
      </c>
      <c r="Q13" s="1" t="s">
        <v>74</v>
      </c>
      <c r="R13" s="1" t="s">
        <v>74</v>
      </c>
      <c r="S13" s="1" t="s">
        <v>74</v>
      </c>
      <c r="T13" s="1" t="s">
        <v>74</v>
      </c>
      <c r="U13" s="1" t="s">
        <v>74</v>
      </c>
      <c r="V13" s="1" t="s">
        <v>210</v>
      </c>
      <c r="W13" s="1" t="s">
        <v>74</v>
      </c>
      <c r="X13" s="1" t="s">
        <v>74</v>
      </c>
      <c r="Y13" s="1" t="s">
        <v>74</v>
      </c>
      <c r="Z13" s="1" t="s">
        <v>74</v>
      </c>
      <c r="AA13" s="1" t="s">
        <v>211</v>
      </c>
      <c r="AB13" s="1" t="s">
        <v>212</v>
      </c>
      <c r="AC13" s="1" t="s">
        <v>74</v>
      </c>
      <c r="AD13" s="1" t="s">
        <v>74</v>
      </c>
      <c r="AE13" s="1" t="s">
        <v>74</v>
      </c>
      <c r="AF13" s="1" t="s">
        <v>74</v>
      </c>
      <c r="AG13" s="1" t="s">
        <v>74</v>
      </c>
      <c r="AH13" s="1" t="s">
        <v>74</v>
      </c>
      <c r="AI13" s="1" t="s">
        <v>74</v>
      </c>
      <c r="AJ13" s="1" t="s">
        <v>74</v>
      </c>
      <c r="AK13" s="1" t="s">
        <v>74</v>
      </c>
      <c r="AL13" s="1" t="s">
        <v>74</v>
      </c>
      <c r="AM13" s="1" t="s">
        <v>74</v>
      </c>
      <c r="AN13" s="1" t="s">
        <v>74</v>
      </c>
      <c r="AO13" s="1" t="s">
        <v>213</v>
      </c>
      <c r="AP13" s="1" t="s">
        <v>214</v>
      </c>
      <c r="AQ13" s="1" t="s">
        <v>74</v>
      </c>
      <c r="AR13" s="1" t="s">
        <v>74</v>
      </c>
      <c r="AS13" s="1" t="s">
        <v>74</v>
      </c>
      <c r="AT13" s="1" t="s">
        <v>215</v>
      </c>
      <c r="AU13" s="1">
        <v>2016.0</v>
      </c>
      <c r="AV13" s="1">
        <v>301.0</v>
      </c>
      <c r="AW13" s="1" t="s">
        <v>74</v>
      </c>
      <c r="AX13" s="1" t="s">
        <v>74</v>
      </c>
      <c r="AY13" s="1" t="s">
        <v>74</v>
      </c>
      <c r="AZ13" s="1" t="s">
        <v>74</v>
      </c>
      <c r="BA13" s="1" t="s">
        <v>74</v>
      </c>
      <c r="BB13" s="1">
        <v>371.0</v>
      </c>
      <c r="BC13" s="1">
        <v>380.0</v>
      </c>
      <c r="BD13" s="1" t="s">
        <v>74</v>
      </c>
      <c r="BE13" s="1" t="s">
        <v>216</v>
      </c>
      <c r="BF13" s="2" t="str">
        <f>HYPERLINK("http://dx.doi.org/10.1016/j.jhazmat.2015.09.007","http://dx.doi.org/10.1016/j.jhazmat.2015.09.007")</f>
        <v>http://dx.doi.org/10.1016/j.jhazmat.2015.09.007</v>
      </c>
      <c r="BG13" s="1" t="s">
        <v>74</v>
      </c>
      <c r="BH13" s="1" t="s">
        <v>74</v>
      </c>
      <c r="BI13" s="1" t="s">
        <v>74</v>
      </c>
      <c r="BJ13" s="1" t="s">
        <v>74</v>
      </c>
      <c r="BK13" s="1" t="s">
        <v>74</v>
      </c>
      <c r="BL13" s="1" t="s">
        <v>74</v>
      </c>
      <c r="BM13" s="1" t="s">
        <v>74</v>
      </c>
      <c r="BN13" s="1">
        <v>2.6384998E7</v>
      </c>
      <c r="BO13" s="1" t="s">
        <v>74</v>
      </c>
      <c r="BP13" s="1" t="s">
        <v>74</v>
      </c>
      <c r="BQ13" s="1" t="s">
        <v>74</v>
      </c>
      <c r="BR13" s="1" t="s">
        <v>74</v>
      </c>
      <c r="BS13" s="1" t="s">
        <v>217</v>
      </c>
      <c r="BT13" s="1" t="str">
        <f>HYPERLINK("https%3A%2F%2Fwww.webofscience.com%2Fwos%2Fwoscc%2Ffull-record%2FWOS:000367407200041","View Full Record in Web of Science")</f>
        <v>View Full Record in Web of Science</v>
      </c>
    </row>
    <row r="14" ht="12.75" customHeight="1">
      <c r="A14" s="1" t="s">
        <v>72</v>
      </c>
      <c r="B14" s="1" t="s">
        <v>218</v>
      </c>
      <c r="C14" s="1" t="s">
        <v>74</v>
      </c>
      <c r="D14" s="1" t="s">
        <v>74</v>
      </c>
      <c r="E14" s="1" t="s">
        <v>74</v>
      </c>
      <c r="F14" s="1" t="s">
        <v>219</v>
      </c>
      <c r="G14" s="1" t="s">
        <v>74</v>
      </c>
      <c r="H14" s="1" t="s">
        <v>74</v>
      </c>
      <c r="I14" s="1" t="s">
        <v>220</v>
      </c>
      <c r="J14" s="1" t="s">
        <v>174</v>
      </c>
      <c r="K14" s="1" t="s">
        <v>74</v>
      </c>
      <c r="L14" s="1" t="s">
        <v>74</v>
      </c>
      <c r="M14" s="1" t="s">
        <v>74</v>
      </c>
      <c r="N14" s="1" t="s">
        <v>74</v>
      </c>
      <c r="O14" s="1" t="s">
        <v>74</v>
      </c>
      <c r="P14" s="1" t="s">
        <v>74</v>
      </c>
      <c r="Q14" s="1" t="s">
        <v>74</v>
      </c>
      <c r="R14" s="1" t="s">
        <v>74</v>
      </c>
      <c r="S14" s="1" t="s">
        <v>74</v>
      </c>
      <c r="T14" s="1" t="s">
        <v>74</v>
      </c>
      <c r="U14" s="1" t="s">
        <v>74</v>
      </c>
      <c r="V14" s="1" t="s">
        <v>221</v>
      </c>
      <c r="W14" s="1" t="s">
        <v>74</v>
      </c>
      <c r="X14" s="1" t="s">
        <v>74</v>
      </c>
      <c r="Y14" s="1" t="s">
        <v>74</v>
      </c>
      <c r="Z14" s="1" t="s">
        <v>74</v>
      </c>
      <c r="AA14" s="1" t="s">
        <v>222</v>
      </c>
      <c r="AB14" s="1" t="s">
        <v>223</v>
      </c>
      <c r="AC14" s="1" t="s">
        <v>74</v>
      </c>
      <c r="AD14" s="1" t="s">
        <v>74</v>
      </c>
      <c r="AE14" s="1" t="s">
        <v>74</v>
      </c>
      <c r="AF14" s="1" t="s">
        <v>74</v>
      </c>
      <c r="AG14" s="1" t="s">
        <v>74</v>
      </c>
      <c r="AH14" s="1" t="s">
        <v>74</v>
      </c>
      <c r="AI14" s="1" t="s">
        <v>74</v>
      </c>
      <c r="AJ14" s="1" t="s">
        <v>74</v>
      </c>
      <c r="AK14" s="1" t="s">
        <v>74</v>
      </c>
      <c r="AL14" s="1" t="s">
        <v>74</v>
      </c>
      <c r="AM14" s="1" t="s">
        <v>74</v>
      </c>
      <c r="AN14" s="1" t="s">
        <v>74</v>
      </c>
      <c r="AO14" s="1" t="s">
        <v>178</v>
      </c>
      <c r="AP14" s="1" t="s">
        <v>74</v>
      </c>
      <c r="AQ14" s="1" t="s">
        <v>74</v>
      </c>
      <c r="AR14" s="1" t="s">
        <v>74</v>
      </c>
      <c r="AS14" s="1" t="s">
        <v>74</v>
      </c>
      <c r="AT14" s="1" t="s">
        <v>224</v>
      </c>
      <c r="AU14" s="1">
        <v>2015.0</v>
      </c>
      <c r="AV14" s="1">
        <v>10.0</v>
      </c>
      <c r="AW14" s="1">
        <v>4.0</v>
      </c>
      <c r="AX14" s="1" t="s">
        <v>74</v>
      </c>
      <c r="AY14" s="1" t="s">
        <v>74</v>
      </c>
      <c r="AZ14" s="1" t="s">
        <v>74</v>
      </c>
      <c r="BA14" s="1" t="s">
        <v>74</v>
      </c>
      <c r="BB14" s="1" t="s">
        <v>74</v>
      </c>
      <c r="BC14" s="1" t="s">
        <v>74</v>
      </c>
      <c r="BD14" s="1" t="s">
        <v>225</v>
      </c>
      <c r="BE14" s="1" t="s">
        <v>226</v>
      </c>
      <c r="BF14" s="2" t="str">
        <f>HYPERLINK("http://dx.doi.org/10.1371/journal.pone.0123335","http://dx.doi.org/10.1371/journal.pone.0123335")</f>
        <v>http://dx.doi.org/10.1371/journal.pone.0123335</v>
      </c>
      <c r="BG14" s="1" t="s">
        <v>74</v>
      </c>
      <c r="BH14" s="1" t="s">
        <v>74</v>
      </c>
      <c r="BI14" s="1" t="s">
        <v>74</v>
      </c>
      <c r="BJ14" s="1" t="s">
        <v>74</v>
      </c>
      <c r="BK14" s="1" t="s">
        <v>74</v>
      </c>
      <c r="BL14" s="1" t="s">
        <v>74</v>
      </c>
      <c r="BM14" s="1" t="s">
        <v>74</v>
      </c>
      <c r="BN14" s="1">
        <v>2.5915043E7</v>
      </c>
      <c r="BO14" s="1" t="s">
        <v>74</v>
      </c>
      <c r="BP14" s="1" t="s">
        <v>74</v>
      </c>
      <c r="BQ14" s="1" t="s">
        <v>74</v>
      </c>
      <c r="BR14" s="1" t="s">
        <v>74</v>
      </c>
      <c r="BS14" s="1" t="s">
        <v>227</v>
      </c>
      <c r="BT14" s="1" t="str">
        <f>HYPERLINK("https%3A%2F%2Fwww.webofscience.com%2Fwos%2Fwoscc%2Ffull-record%2FWOS:000353659100021","View Full Record in Web of Science")</f>
        <v>View Full Record in Web of Science</v>
      </c>
    </row>
    <row r="15" ht="12.75" customHeight="1">
      <c r="A15" s="1" t="s">
        <v>72</v>
      </c>
      <c r="B15" s="1" t="s">
        <v>228</v>
      </c>
      <c r="C15" s="1" t="s">
        <v>74</v>
      </c>
      <c r="D15" s="1" t="s">
        <v>74</v>
      </c>
      <c r="E15" s="1" t="s">
        <v>74</v>
      </c>
      <c r="F15" s="1" t="s">
        <v>229</v>
      </c>
      <c r="G15" s="1" t="s">
        <v>74</v>
      </c>
      <c r="H15" s="1" t="s">
        <v>74</v>
      </c>
      <c r="I15" s="1" t="s">
        <v>230</v>
      </c>
      <c r="J15" s="1" t="s">
        <v>231</v>
      </c>
      <c r="K15" s="1" t="s">
        <v>74</v>
      </c>
      <c r="L15" s="1" t="s">
        <v>74</v>
      </c>
      <c r="M15" s="1" t="s">
        <v>74</v>
      </c>
      <c r="N15" s="1" t="s">
        <v>74</v>
      </c>
      <c r="O15" s="1" t="s">
        <v>74</v>
      </c>
      <c r="P15" s="1" t="s">
        <v>74</v>
      </c>
      <c r="Q15" s="1" t="s">
        <v>74</v>
      </c>
      <c r="R15" s="1" t="s">
        <v>74</v>
      </c>
      <c r="S15" s="1" t="s">
        <v>74</v>
      </c>
      <c r="T15" s="1" t="s">
        <v>74</v>
      </c>
      <c r="U15" s="1" t="s">
        <v>74</v>
      </c>
      <c r="V15" s="1" t="s">
        <v>232</v>
      </c>
      <c r="W15" s="1" t="s">
        <v>74</v>
      </c>
      <c r="X15" s="1" t="s">
        <v>74</v>
      </c>
      <c r="Y15" s="1" t="s">
        <v>74</v>
      </c>
      <c r="Z15" s="1" t="s">
        <v>74</v>
      </c>
      <c r="AA15" s="1" t="s">
        <v>233</v>
      </c>
      <c r="AB15" s="1" t="s">
        <v>234</v>
      </c>
      <c r="AC15" s="1" t="s">
        <v>74</v>
      </c>
      <c r="AD15" s="1" t="s">
        <v>74</v>
      </c>
      <c r="AE15" s="1" t="s">
        <v>74</v>
      </c>
      <c r="AF15" s="1" t="s">
        <v>74</v>
      </c>
      <c r="AG15" s="1" t="s">
        <v>74</v>
      </c>
      <c r="AH15" s="1" t="s">
        <v>74</v>
      </c>
      <c r="AI15" s="1" t="s">
        <v>74</v>
      </c>
      <c r="AJ15" s="1" t="s">
        <v>74</v>
      </c>
      <c r="AK15" s="1" t="s">
        <v>74</v>
      </c>
      <c r="AL15" s="1" t="s">
        <v>74</v>
      </c>
      <c r="AM15" s="1" t="s">
        <v>74</v>
      </c>
      <c r="AN15" s="1" t="s">
        <v>74</v>
      </c>
      <c r="AO15" s="1" t="s">
        <v>235</v>
      </c>
      <c r="AP15" s="1" t="s">
        <v>236</v>
      </c>
      <c r="AQ15" s="1" t="s">
        <v>74</v>
      </c>
      <c r="AR15" s="1" t="s">
        <v>74</v>
      </c>
      <c r="AS15" s="1" t="s">
        <v>74</v>
      </c>
      <c r="AT15" s="1" t="s">
        <v>237</v>
      </c>
      <c r="AU15" s="1">
        <v>2015.0</v>
      </c>
      <c r="AV15" s="1">
        <v>379.0</v>
      </c>
      <c r="AW15" s="1" t="s">
        <v>238</v>
      </c>
      <c r="AX15" s="1" t="s">
        <v>74</v>
      </c>
      <c r="AY15" s="1" t="s">
        <v>74</v>
      </c>
      <c r="AZ15" s="1" t="s">
        <v>74</v>
      </c>
      <c r="BA15" s="1" t="s">
        <v>74</v>
      </c>
      <c r="BB15" s="1">
        <v>47.0</v>
      </c>
      <c r="BC15" s="1">
        <v>53.0</v>
      </c>
      <c r="BD15" s="1" t="s">
        <v>74</v>
      </c>
      <c r="BE15" s="1" t="s">
        <v>239</v>
      </c>
      <c r="BF15" s="2" t="str">
        <f>HYPERLINK("http://dx.doi.org/10.1016/j.physleta.2014.10.025","http://dx.doi.org/10.1016/j.physleta.2014.10.025")</f>
        <v>http://dx.doi.org/10.1016/j.physleta.2014.10.025</v>
      </c>
      <c r="BG15" s="1" t="s">
        <v>74</v>
      </c>
      <c r="BH15" s="1" t="s">
        <v>74</v>
      </c>
      <c r="BI15" s="1" t="s">
        <v>74</v>
      </c>
      <c r="BJ15" s="1" t="s">
        <v>74</v>
      </c>
      <c r="BK15" s="1" t="s">
        <v>74</v>
      </c>
      <c r="BL15" s="1" t="s">
        <v>74</v>
      </c>
      <c r="BM15" s="1" t="s">
        <v>74</v>
      </c>
      <c r="BN15" s="1" t="s">
        <v>74</v>
      </c>
      <c r="BO15" s="1" t="s">
        <v>74</v>
      </c>
      <c r="BP15" s="1" t="s">
        <v>74</v>
      </c>
      <c r="BQ15" s="1" t="s">
        <v>74</v>
      </c>
      <c r="BR15" s="1" t="s">
        <v>74</v>
      </c>
      <c r="BS15" s="1" t="s">
        <v>240</v>
      </c>
      <c r="BT15" s="1" t="str">
        <f>HYPERLINK("https%3A%2F%2Fwww.webofscience.com%2Fwos%2Fwoscc%2Ffull-record%2FWOS:000346460500009","View Full Record in Web of Science")</f>
        <v>View Full Record in Web of Science</v>
      </c>
    </row>
    <row r="16" ht="12.75" customHeight="1">
      <c r="A16" s="1" t="s">
        <v>72</v>
      </c>
      <c r="B16" s="1" t="s">
        <v>241</v>
      </c>
      <c r="C16" s="1" t="s">
        <v>74</v>
      </c>
      <c r="D16" s="1" t="s">
        <v>74</v>
      </c>
      <c r="E16" s="1" t="s">
        <v>74</v>
      </c>
      <c r="F16" s="1" t="s">
        <v>242</v>
      </c>
      <c r="G16" s="1" t="s">
        <v>74</v>
      </c>
      <c r="H16" s="1" t="s">
        <v>74</v>
      </c>
      <c r="I16" s="1" t="s">
        <v>243</v>
      </c>
      <c r="J16" s="1" t="s">
        <v>244</v>
      </c>
      <c r="K16" s="1" t="s">
        <v>74</v>
      </c>
      <c r="L16" s="1" t="s">
        <v>74</v>
      </c>
      <c r="M16" s="1" t="s">
        <v>74</v>
      </c>
      <c r="N16" s="1" t="s">
        <v>74</v>
      </c>
      <c r="O16" s="1" t="s">
        <v>74</v>
      </c>
      <c r="P16" s="1" t="s">
        <v>74</v>
      </c>
      <c r="Q16" s="1" t="s">
        <v>74</v>
      </c>
      <c r="R16" s="1" t="s">
        <v>74</v>
      </c>
      <c r="S16" s="1" t="s">
        <v>74</v>
      </c>
      <c r="T16" s="1" t="s">
        <v>74</v>
      </c>
      <c r="U16" s="1" t="s">
        <v>74</v>
      </c>
      <c r="V16" s="1" t="s">
        <v>245</v>
      </c>
      <c r="W16" s="1" t="s">
        <v>74</v>
      </c>
      <c r="X16" s="1" t="s">
        <v>74</v>
      </c>
      <c r="Y16" s="1" t="s">
        <v>74</v>
      </c>
      <c r="Z16" s="1" t="s">
        <v>74</v>
      </c>
      <c r="AA16" s="1" t="s">
        <v>246</v>
      </c>
      <c r="AB16" s="1" t="s">
        <v>247</v>
      </c>
      <c r="AC16" s="1" t="s">
        <v>74</v>
      </c>
      <c r="AD16" s="1" t="s">
        <v>74</v>
      </c>
      <c r="AE16" s="1" t="s">
        <v>74</v>
      </c>
      <c r="AF16" s="1" t="s">
        <v>74</v>
      </c>
      <c r="AG16" s="1" t="s">
        <v>74</v>
      </c>
      <c r="AH16" s="1" t="s">
        <v>74</v>
      </c>
      <c r="AI16" s="1" t="s">
        <v>74</v>
      </c>
      <c r="AJ16" s="1" t="s">
        <v>74</v>
      </c>
      <c r="AK16" s="1" t="s">
        <v>74</v>
      </c>
      <c r="AL16" s="1" t="s">
        <v>74</v>
      </c>
      <c r="AM16" s="1" t="s">
        <v>74</v>
      </c>
      <c r="AN16" s="1" t="s">
        <v>74</v>
      </c>
      <c r="AO16" s="1" t="s">
        <v>248</v>
      </c>
      <c r="AP16" s="1" t="s">
        <v>249</v>
      </c>
      <c r="AQ16" s="1" t="s">
        <v>74</v>
      </c>
      <c r="AR16" s="1" t="s">
        <v>74</v>
      </c>
      <c r="AS16" s="1" t="s">
        <v>74</v>
      </c>
      <c r="AT16" s="1" t="s">
        <v>250</v>
      </c>
      <c r="AU16" s="1">
        <v>2014.0</v>
      </c>
      <c r="AV16" s="1">
        <v>35.0</v>
      </c>
      <c r="AW16" s="1">
        <v>18.0</v>
      </c>
      <c r="AX16" s="1" t="s">
        <v>74</v>
      </c>
      <c r="AY16" s="1" t="s">
        <v>74</v>
      </c>
      <c r="AZ16" s="1" t="s">
        <v>74</v>
      </c>
      <c r="BA16" s="1" t="s">
        <v>74</v>
      </c>
      <c r="BB16" s="1">
        <v>2365.0</v>
      </c>
      <c r="BC16" s="1">
        <v>2372.0</v>
      </c>
      <c r="BD16" s="1" t="s">
        <v>74</v>
      </c>
      <c r="BE16" s="1" t="s">
        <v>251</v>
      </c>
      <c r="BF16" s="2" t="str">
        <f>HYPERLINK("http://dx.doi.org/10.1080/09593330.2014.904932","http://dx.doi.org/10.1080/09593330.2014.904932")</f>
        <v>http://dx.doi.org/10.1080/09593330.2014.904932</v>
      </c>
      <c r="BG16" s="1" t="s">
        <v>74</v>
      </c>
      <c r="BH16" s="1" t="s">
        <v>74</v>
      </c>
      <c r="BI16" s="1" t="s">
        <v>74</v>
      </c>
      <c r="BJ16" s="1" t="s">
        <v>74</v>
      </c>
      <c r="BK16" s="1" t="s">
        <v>74</v>
      </c>
      <c r="BL16" s="1" t="s">
        <v>74</v>
      </c>
      <c r="BM16" s="1" t="s">
        <v>74</v>
      </c>
      <c r="BN16" s="1">
        <v>2.514519E7</v>
      </c>
      <c r="BO16" s="1" t="s">
        <v>74</v>
      </c>
      <c r="BP16" s="1" t="s">
        <v>74</v>
      </c>
      <c r="BQ16" s="1" t="s">
        <v>74</v>
      </c>
      <c r="BR16" s="1" t="s">
        <v>74</v>
      </c>
      <c r="BS16" s="1" t="s">
        <v>252</v>
      </c>
      <c r="BT16" s="1" t="str">
        <f>HYPERLINK("https%3A%2F%2Fwww.webofscience.com%2Fwos%2Fwoscc%2Ffull-record%2FWOS:000336432700012","View Full Record in Web of Science")</f>
        <v>View Full Record in Web of Science</v>
      </c>
    </row>
    <row r="17" ht="12.75" customHeight="1">
      <c r="A17" s="1" t="s">
        <v>72</v>
      </c>
      <c r="B17" s="1" t="s">
        <v>253</v>
      </c>
      <c r="C17" s="1" t="s">
        <v>74</v>
      </c>
      <c r="D17" s="1" t="s">
        <v>74</v>
      </c>
      <c r="E17" s="1" t="s">
        <v>74</v>
      </c>
      <c r="F17" s="1" t="s">
        <v>254</v>
      </c>
      <c r="G17" s="1" t="s">
        <v>74</v>
      </c>
      <c r="H17" s="1" t="s">
        <v>74</v>
      </c>
      <c r="I17" s="1" t="s">
        <v>255</v>
      </c>
      <c r="J17" s="1" t="s">
        <v>256</v>
      </c>
      <c r="K17" s="1" t="s">
        <v>74</v>
      </c>
      <c r="L17" s="1" t="s">
        <v>74</v>
      </c>
      <c r="M17" s="1" t="s">
        <v>74</v>
      </c>
      <c r="N17" s="1" t="s">
        <v>74</v>
      </c>
      <c r="O17" s="1" t="s">
        <v>74</v>
      </c>
      <c r="P17" s="1" t="s">
        <v>74</v>
      </c>
      <c r="Q17" s="1" t="s">
        <v>74</v>
      </c>
      <c r="R17" s="1" t="s">
        <v>74</v>
      </c>
      <c r="S17" s="1" t="s">
        <v>74</v>
      </c>
      <c r="T17" s="1" t="s">
        <v>74</v>
      </c>
      <c r="U17" s="1" t="s">
        <v>74</v>
      </c>
      <c r="V17" s="1" t="s">
        <v>74</v>
      </c>
      <c r="W17" s="1" t="s">
        <v>74</v>
      </c>
      <c r="X17" s="1" t="s">
        <v>74</v>
      </c>
      <c r="Y17" s="1" t="s">
        <v>74</v>
      </c>
      <c r="Z17" s="1" t="s">
        <v>74</v>
      </c>
      <c r="AA17" s="1" t="s">
        <v>257</v>
      </c>
      <c r="AB17" s="1" t="s">
        <v>74</v>
      </c>
      <c r="AC17" s="1" t="s">
        <v>74</v>
      </c>
      <c r="AD17" s="1" t="s">
        <v>74</v>
      </c>
      <c r="AE17" s="1" t="s">
        <v>74</v>
      </c>
      <c r="AF17" s="1" t="s">
        <v>74</v>
      </c>
      <c r="AG17" s="1" t="s">
        <v>74</v>
      </c>
      <c r="AH17" s="1" t="s">
        <v>74</v>
      </c>
      <c r="AI17" s="1" t="s">
        <v>74</v>
      </c>
      <c r="AJ17" s="1" t="s">
        <v>74</v>
      </c>
      <c r="AK17" s="1" t="s">
        <v>74</v>
      </c>
      <c r="AL17" s="1" t="s">
        <v>74</v>
      </c>
      <c r="AM17" s="1" t="s">
        <v>74</v>
      </c>
      <c r="AN17" s="1" t="s">
        <v>74</v>
      </c>
      <c r="AO17" s="1" t="s">
        <v>258</v>
      </c>
      <c r="AP17" s="1" t="s">
        <v>74</v>
      </c>
      <c r="AQ17" s="1" t="s">
        <v>74</v>
      </c>
      <c r="AR17" s="1" t="s">
        <v>74</v>
      </c>
      <c r="AS17" s="1" t="s">
        <v>74</v>
      </c>
      <c r="AT17" s="1" t="s">
        <v>259</v>
      </c>
      <c r="AU17" s="1">
        <v>2014.0</v>
      </c>
      <c r="AV17" s="1">
        <v>70.0</v>
      </c>
      <c r="AW17" s="1" t="s">
        <v>74</v>
      </c>
      <c r="AX17" s="1" t="s">
        <v>74</v>
      </c>
      <c r="AY17" s="1" t="s">
        <v>260</v>
      </c>
      <c r="AZ17" s="1" t="s">
        <v>74</v>
      </c>
      <c r="BA17" s="1" t="s">
        <v>261</v>
      </c>
      <c r="BB17" s="1" t="s">
        <v>262</v>
      </c>
      <c r="BC17" s="1" t="s">
        <v>262</v>
      </c>
      <c r="BD17" s="1" t="s">
        <v>74</v>
      </c>
      <c r="BE17" s="1" t="s">
        <v>263</v>
      </c>
      <c r="BF17" s="2" t="str">
        <f>HYPERLINK("http://dx.doi.org/10.1107/S2053273314082242","http://dx.doi.org/10.1107/S2053273314082242")</f>
        <v>http://dx.doi.org/10.1107/S2053273314082242</v>
      </c>
      <c r="BG17" s="1" t="s">
        <v>74</v>
      </c>
      <c r="BH17" s="1" t="s">
        <v>74</v>
      </c>
      <c r="BI17" s="1" t="s">
        <v>74</v>
      </c>
      <c r="BJ17" s="1" t="s">
        <v>74</v>
      </c>
      <c r="BK17" s="1" t="s">
        <v>74</v>
      </c>
      <c r="BL17" s="1" t="s">
        <v>74</v>
      </c>
      <c r="BM17" s="1" t="s">
        <v>74</v>
      </c>
      <c r="BN17" s="1" t="s">
        <v>74</v>
      </c>
      <c r="BO17" s="1" t="s">
        <v>74</v>
      </c>
      <c r="BP17" s="1" t="s">
        <v>74</v>
      </c>
      <c r="BQ17" s="1" t="s">
        <v>74</v>
      </c>
      <c r="BR17" s="1" t="s">
        <v>74</v>
      </c>
      <c r="BS17" s="1" t="s">
        <v>264</v>
      </c>
      <c r="BT17" s="1" t="str">
        <f>HYPERLINK("https%3A%2F%2Fwww.webofscience.com%2Fwos%2Fwoscc%2Ffull-record%2FWOS:000519606301778","View Full Record in Web of Science")</f>
        <v>View Full Record in Web of Science</v>
      </c>
    </row>
    <row r="18" ht="12.75" customHeight="1">
      <c r="A18" s="1" t="s">
        <v>72</v>
      </c>
      <c r="B18" s="1" t="s">
        <v>265</v>
      </c>
      <c r="C18" s="1" t="s">
        <v>74</v>
      </c>
      <c r="D18" s="1" t="s">
        <v>74</v>
      </c>
      <c r="E18" s="1" t="s">
        <v>74</v>
      </c>
      <c r="F18" s="1" t="s">
        <v>266</v>
      </c>
      <c r="G18" s="1" t="s">
        <v>74</v>
      </c>
      <c r="H18" s="1" t="s">
        <v>74</v>
      </c>
      <c r="I18" s="1" t="s">
        <v>267</v>
      </c>
      <c r="J18" s="1" t="s">
        <v>268</v>
      </c>
      <c r="K18" s="1" t="s">
        <v>74</v>
      </c>
      <c r="L18" s="1" t="s">
        <v>74</v>
      </c>
      <c r="M18" s="1" t="s">
        <v>74</v>
      </c>
      <c r="N18" s="1" t="s">
        <v>74</v>
      </c>
      <c r="O18" s="1" t="s">
        <v>74</v>
      </c>
      <c r="P18" s="1" t="s">
        <v>74</v>
      </c>
      <c r="Q18" s="1" t="s">
        <v>74</v>
      </c>
      <c r="R18" s="1" t="s">
        <v>74</v>
      </c>
      <c r="S18" s="1" t="s">
        <v>74</v>
      </c>
      <c r="T18" s="1" t="s">
        <v>74</v>
      </c>
      <c r="U18" s="1" t="s">
        <v>74</v>
      </c>
      <c r="V18" s="1" t="s">
        <v>269</v>
      </c>
      <c r="W18" s="1" t="s">
        <v>74</v>
      </c>
      <c r="X18" s="1" t="s">
        <v>74</v>
      </c>
      <c r="Y18" s="1" t="s">
        <v>74</v>
      </c>
      <c r="Z18" s="1" t="s">
        <v>74</v>
      </c>
      <c r="AA18" s="1" t="s">
        <v>270</v>
      </c>
      <c r="AB18" s="1" t="s">
        <v>271</v>
      </c>
      <c r="AC18" s="1" t="s">
        <v>74</v>
      </c>
      <c r="AD18" s="1" t="s">
        <v>74</v>
      </c>
      <c r="AE18" s="1" t="s">
        <v>74</v>
      </c>
      <c r="AF18" s="1" t="s">
        <v>74</v>
      </c>
      <c r="AG18" s="1" t="s">
        <v>74</v>
      </c>
      <c r="AH18" s="1" t="s">
        <v>74</v>
      </c>
      <c r="AI18" s="1" t="s">
        <v>74</v>
      </c>
      <c r="AJ18" s="1" t="s">
        <v>74</v>
      </c>
      <c r="AK18" s="1" t="s">
        <v>74</v>
      </c>
      <c r="AL18" s="1" t="s">
        <v>74</v>
      </c>
      <c r="AM18" s="1" t="s">
        <v>74</v>
      </c>
      <c r="AN18" s="1" t="s">
        <v>74</v>
      </c>
      <c r="AO18" s="1" t="s">
        <v>272</v>
      </c>
      <c r="AP18" s="1" t="s">
        <v>273</v>
      </c>
      <c r="AQ18" s="1" t="s">
        <v>74</v>
      </c>
      <c r="AR18" s="1" t="s">
        <v>74</v>
      </c>
      <c r="AS18" s="1" t="s">
        <v>74</v>
      </c>
      <c r="AT18" s="1" t="s">
        <v>155</v>
      </c>
      <c r="AU18" s="1">
        <v>2014.0</v>
      </c>
      <c r="AV18" s="1">
        <v>23.0</v>
      </c>
      <c r="AW18" s="1">
        <v>6.0</v>
      </c>
      <c r="AX18" s="1" t="s">
        <v>74</v>
      </c>
      <c r="AY18" s="1" t="s">
        <v>74</v>
      </c>
      <c r="AZ18" s="1" t="s">
        <v>74</v>
      </c>
      <c r="BA18" s="1" t="s">
        <v>74</v>
      </c>
      <c r="BB18" s="1" t="s">
        <v>74</v>
      </c>
      <c r="BC18" s="1" t="s">
        <v>74</v>
      </c>
      <c r="BD18" s="1">
        <v>63001.0</v>
      </c>
      <c r="BE18" s="1" t="s">
        <v>274</v>
      </c>
      <c r="BF18" s="2" t="str">
        <f>HYPERLINK("http://dx.doi.org/10.1088/0964-1726/23/6/063001","http://dx.doi.org/10.1088/0964-1726/23/6/063001")</f>
        <v>http://dx.doi.org/10.1088/0964-1726/23/6/063001</v>
      </c>
      <c r="BG18" s="1" t="s">
        <v>74</v>
      </c>
      <c r="BH18" s="1" t="s">
        <v>74</v>
      </c>
      <c r="BI18" s="1" t="s">
        <v>74</v>
      </c>
      <c r="BJ18" s="1" t="s">
        <v>74</v>
      </c>
      <c r="BK18" s="1" t="s">
        <v>74</v>
      </c>
      <c r="BL18" s="1" t="s">
        <v>74</v>
      </c>
      <c r="BM18" s="1" t="s">
        <v>74</v>
      </c>
      <c r="BN18" s="1" t="s">
        <v>74</v>
      </c>
      <c r="BO18" s="1" t="s">
        <v>74</v>
      </c>
      <c r="BP18" s="1" t="s">
        <v>74</v>
      </c>
      <c r="BQ18" s="1" t="s">
        <v>74</v>
      </c>
      <c r="BR18" s="1" t="s">
        <v>74</v>
      </c>
      <c r="BS18" s="1" t="s">
        <v>275</v>
      </c>
      <c r="BT18" s="1" t="str">
        <f>HYPERLINK("https%3A%2F%2Fwww.webofscience.com%2Fwos%2Fwoscc%2Ffull-record%2FWOS:000336277600001","View Full Record in Web of Science")</f>
        <v>View Full Record in Web of Science</v>
      </c>
    </row>
    <row r="19" ht="12.75" customHeight="1">
      <c r="A19" s="1" t="s">
        <v>72</v>
      </c>
      <c r="B19" s="1" t="s">
        <v>276</v>
      </c>
      <c r="C19" s="1" t="s">
        <v>74</v>
      </c>
      <c r="D19" s="1" t="s">
        <v>74</v>
      </c>
      <c r="E19" s="1" t="s">
        <v>74</v>
      </c>
      <c r="F19" s="1" t="s">
        <v>277</v>
      </c>
      <c r="G19" s="1" t="s">
        <v>74</v>
      </c>
      <c r="H19" s="1" t="s">
        <v>74</v>
      </c>
      <c r="I19" s="1" t="s">
        <v>278</v>
      </c>
      <c r="J19" s="1" t="s">
        <v>279</v>
      </c>
      <c r="K19" s="1" t="s">
        <v>74</v>
      </c>
      <c r="L19" s="1" t="s">
        <v>74</v>
      </c>
      <c r="M19" s="1" t="s">
        <v>74</v>
      </c>
      <c r="N19" s="1" t="s">
        <v>74</v>
      </c>
      <c r="O19" s="1" t="s">
        <v>74</v>
      </c>
      <c r="P19" s="1" t="s">
        <v>74</v>
      </c>
      <c r="Q19" s="1" t="s">
        <v>74</v>
      </c>
      <c r="R19" s="1" t="s">
        <v>74</v>
      </c>
      <c r="S19" s="1" t="s">
        <v>74</v>
      </c>
      <c r="T19" s="1" t="s">
        <v>74</v>
      </c>
      <c r="U19" s="1" t="s">
        <v>74</v>
      </c>
      <c r="V19" s="1" t="s">
        <v>280</v>
      </c>
      <c r="W19" s="1" t="s">
        <v>74</v>
      </c>
      <c r="X19" s="1" t="s">
        <v>74</v>
      </c>
      <c r="Y19" s="1" t="s">
        <v>74</v>
      </c>
      <c r="Z19" s="1" t="s">
        <v>74</v>
      </c>
      <c r="AA19" s="1" t="s">
        <v>281</v>
      </c>
      <c r="AB19" s="1" t="s">
        <v>282</v>
      </c>
      <c r="AC19" s="1" t="s">
        <v>74</v>
      </c>
      <c r="AD19" s="1" t="s">
        <v>74</v>
      </c>
      <c r="AE19" s="1" t="s">
        <v>74</v>
      </c>
      <c r="AF19" s="1" t="s">
        <v>74</v>
      </c>
      <c r="AG19" s="1" t="s">
        <v>74</v>
      </c>
      <c r="AH19" s="1" t="s">
        <v>74</v>
      </c>
      <c r="AI19" s="1" t="s">
        <v>74</v>
      </c>
      <c r="AJ19" s="1" t="s">
        <v>74</v>
      </c>
      <c r="AK19" s="1" t="s">
        <v>74</v>
      </c>
      <c r="AL19" s="1" t="s">
        <v>74</v>
      </c>
      <c r="AM19" s="1" t="s">
        <v>74</v>
      </c>
      <c r="AN19" s="1" t="s">
        <v>74</v>
      </c>
      <c r="AO19" s="1" t="s">
        <v>283</v>
      </c>
      <c r="AP19" s="1" t="s">
        <v>284</v>
      </c>
      <c r="AQ19" s="1" t="s">
        <v>74</v>
      </c>
      <c r="AR19" s="1" t="s">
        <v>74</v>
      </c>
      <c r="AS19" s="1" t="s">
        <v>74</v>
      </c>
      <c r="AT19" s="1" t="s">
        <v>179</v>
      </c>
      <c r="AU19" s="1">
        <v>2013.0</v>
      </c>
      <c r="AV19" s="1">
        <v>92.0</v>
      </c>
      <c r="AW19" s="1">
        <v>1.0</v>
      </c>
      <c r="AX19" s="1" t="s">
        <v>74</v>
      </c>
      <c r="AY19" s="1" t="s">
        <v>74</v>
      </c>
      <c r="AZ19" s="1" t="s">
        <v>74</v>
      </c>
      <c r="BA19" s="1" t="s">
        <v>74</v>
      </c>
      <c r="BB19" s="1">
        <v>157.0</v>
      </c>
      <c r="BC19" s="1">
        <v>166.0</v>
      </c>
      <c r="BD19" s="1" t="s">
        <v>74</v>
      </c>
      <c r="BE19" s="1" t="s">
        <v>285</v>
      </c>
      <c r="BF19" s="2" t="str">
        <f>HYPERLINK("http://dx.doi.org/10.1016/j.carbpol.2012.09.031","http://dx.doi.org/10.1016/j.carbpol.2012.09.031")</f>
        <v>http://dx.doi.org/10.1016/j.carbpol.2012.09.031</v>
      </c>
      <c r="BG19" s="1" t="s">
        <v>74</v>
      </c>
      <c r="BH19" s="1" t="s">
        <v>74</v>
      </c>
      <c r="BI19" s="1" t="s">
        <v>74</v>
      </c>
      <c r="BJ19" s="1" t="s">
        <v>74</v>
      </c>
      <c r="BK19" s="1" t="s">
        <v>74</v>
      </c>
      <c r="BL19" s="1" t="s">
        <v>74</v>
      </c>
      <c r="BM19" s="1" t="s">
        <v>74</v>
      </c>
      <c r="BN19" s="1">
        <v>2.3218278E7</v>
      </c>
      <c r="BO19" s="1" t="s">
        <v>74</v>
      </c>
      <c r="BP19" s="1" t="s">
        <v>74</v>
      </c>
      <c r="BQ19" s="1" t="s">
        <v>74</v>
      </c>
      <c r="BR19" s="1" t="s">
        <v>74</v>
      </c>
      <c r="BS19" s="1" t="s">
        <v>286</v>
      </c>
      <c r="BT19" s="1" t="str">
        <f>HYPERLINK("https%3A%2F%2Fwww.webofscience.com%2Fwos%2Fwoscc%2Ffull-record%2FWOS:000313146900021","View Full Record in Web of Science")</f>
        <v>View Full Record in Web of Science</v>
      </c>
    </row>
    <row r="20" ht="12.75" customHeight="1">
      <c r="A20" s="1" t="s">
        <v>72</v>
      </c>
      <c r="B20" s="1" t="s">
        <v>287</v>
      </c>
      <c r="C20" s="1" t="s">
        <v>74</v>
      </c>
      <c r="D20" s="1" t="s">
        <v>74</v>
      </c>
      <c r="E20" s="1" t="s">
        <v>74</v>
      </c>
      <c r="F20" s="1" t="s">
        <v>288</v>
      </c>
      <c r="G20" s="1" t="s">
        <v>74</v>
      </c>
      <c r="H20" s="1" t="s">
        <v>74</v>
      </c>
      <c r="I20" s="1" t="s">
        <v>289</v>
      </c>
      <c r="J20" s="1" t="s">
        <v>290</v>
      </c>
      <c r="K20" s="1" t="s">
        <v>74</v>
      </c>
      <c r="L20" s="1" t="s">
        <v>74</v>
      </c>
      <c r="M20" s="1" t="s">
        <v>74</v>
      </c>
      <c r="N20" s="1" t="s">
        <v>74</v>
      </c>
      <c r="O20" s="1" t="s">
        <v>74</v>
      </c>
      <c r="P20" s="1" t="s">
        <v>74</v>
      </c>
      <c r="Q20" s="1" t="s">
        <v>74</v>
      </c>
      <c r="R20" s="1" t="s">
        <v>74</v>
      </c>
      <c r="S20" s="1" t="s">
        <v>74</v>
      </c>
      <c r="T20" s="1" t="s">
        <v>74</v>
      </c>
      <c r="U20" s="1" t="s">
        <v>74</v>
      </c>
      <c r="V20" s="1" t="s">
        <v>291</v>
      </c>
      <c r="W20" s="1" t="s">
        <v>74</v>
      </c>
      <c r="X20" s="1" t="s">
        <v>74</v>
      </c>
      <c r="Y20" s="1" t="s">
        <v>74</v>
      </c>
      <c r="Z20" s="1" t="s">
        <v>74</v>
      </c>
      <c r="AA20" s="1" t="s">
        <v>292</v>
      </c>
      <c r="AB20" s="1" t="s">
        <v>293</v>
      </c>
      <c r="AC20" s="1" t="s">
        <v>74</v>
      </c>
      <c r="AD20" s="1" t="s">
        <v>74</v>
      </c>
      <c r="AE20" s="1" t="s">
        <v>74</v>
      </c>
      <c r="AF20" s="1" t="s">
        <v>74</v>
      </c>
      <c r="AG20" s="1" t="s">
        <v>74</v>
      </c>
      <c r="AH20" s="1" t="s">
        <v>74</v>
      </c>
      <c r="AI20" s="1" t="s">
        <v>74</v>
      </c>
      <c r="AJ20" s="1" t="s">
        <v>74</v>
      </c>
      <c r="AK20" s="1" t="s">
        <v>74</v>
      </c>
      <c r="AL20" s="1" t="s">
        <v>74</v>
      </c>
      <c r="AM20" s="1" t="s">
        <v>74</v>
      </c>
      <c r="AN20" s="1" t="s">
        <v>74</v>
      </c>
      <c r="AO20" s="1" t="s">
        <v>294</v>
      </c>
      <c r="AP20" s="1" t="s">
        <v>295</v>
      </c>
      <c r="AQ20" s="1" t="s">
        <v>74</v>
      </c>
      <c r="AR20" s="1" t="s">
        <v>74</v>
      </c>
      <c r="AS20" s="1" t="s">
        <v>74</v>
      </c>
      <c r="AT20" s="1" t="s">
        <v>296</v>
      </c>
      <c r="AU20" s="1">
        <v>2010.0</v>
      </c>
      <c r="AV20" s="1">
        <v>469.0</v>
      </c>
      <c r="AW20" s="1">
        <v>3.0</v>
      </c>
      <c r="AX20" s="1" t="s">
        <v>74</v>
      </c>
      <c r="AY20" s="1" t="s">
        <v>74</v>
      </c>
      <c r="AZ20" s="1" t="s">
        <v>74</v>
      </c>
      <c r="BA20" s="1" t="s">
        <v>74</v>
      </c>
      <c r="BB20" s="1">
        <v>375.0</v>
      </c>
      <c r="BC20" s="1">
        <v>379.0</v>
      </c>
      <c r="BD20" s="1" t="s">
        <v>74</v>
      </c>
      <c r="BE20" s="1" t="s">
        <v>297</v>
      </c>
      <c r="BF20" s="2" t="str">
        <f>HYPERLINK("http://dx.doi.org/10.1016/j.neulet.2009.12.031","http://dx.doi.org/10.1016/j.neulet.2009.12.031")</f>
        <v>http://dx.doi.org/10.1016/j.neulet.2009.12.031</v>
      </c>
      <c r="BG20" s="1" t="s">
        <v>74</v>
      </c>
      <c r="BH20" s="1" t="s">
        <v>74</v>
      </c>
      <c r="BI20" s="1" t="s">
        <v>74</v>
      </c>
      <c r="BJ20" s="1" t="s">
        <v>74</v>
      </c>
      <c r="BK20" s="1" t="s">
        <v>74</v>
      </c>
      <c r="BL20" s="1" t="s">
        <v>74</v>
      </c>
      <c r="BM20" s="1" t="s">
        <v>74</v>
      </c>
      <c r="BN20" s="1">
        <v>2.0026184E7</v>
      </c>
      <c r="BO20" s="1" t="s">
        <v>74</v>
      </c>
      <c r="BP20" s="1" t="s">
        <v>74</v>
      </c>
      <c r="BQ20" s="1" t="s">
        <v>74</v>
      </c>
      <c r="BR20" s="1" t="s">
        <v>74</v>
      </c>
      <c r="BS20" s="1" t="s">
        <v>298</v>
      </c>
      <c r="BT20" s="1" t="str">
        <f>HYPERLINK("https%3A%2F%2Fwww.webofscience.com%2Fwos%2Fwoscc%2Ffull-record%2FWOS:000274722100020","View Full Record in Web of Science")</f>
        <v>View Full Record in Web of Science</v>
      </c>
    </row>
    <row r="21" ht="12.75" customHeight="1">
      <c r="A21" s="1" t="s">
        <v>72</v>
      </c>
      <c r="B21" s="1" t="s">
        <v>299</v>
      </c>
      <c r="C21" s="1" t="s">
        <v>74</v>
      </c>
      <c r="D21" s="1" t="s">
        <v>74</v>
      </c>
      <c r="E21" s="1" t="s">
        <v>74</v>
      </c>
      <c r="F21" s="1" t="s">
        <v>300</v>
      </c>
      <c r="G21" s="1" t="s">
        <v>74</v>
      </c>
      <c r="H21" s="1" t="s">
        <v>74</v>
      </c>
      <c r="I21" s="1" t="s">
        <v>301</v>
      </c>
      <c r="J21" s="1" t="s">
        <v>302</v>
      </c>
      <c r="K21" s="1" t="s">
        <v>74</v>
      </c>
      <c r="L21" s="1" t="s">
        <v>74</v>
      </c>
      <c r="M21" s="1" t="s">
        <v>74</v>
      </c>
      <c r="N21" s="1" t="s">
        <v>74</v>
      </c>
      <c r="O21" s="1" t="s">
        <v>74</v>
      </c>
      <c r="P21" s="1" t="s">
        <v>74</v>
      </c>
      <c r="Q21" s="1" t="s">
        <v>74</v>
      </c>
      <c r="R21" s="1" t="s">
        <v>74</v>
      </c>
      <c r="S21" s="1" t="s">
        <v>74</v>
      </c>
      <c r="T21" s="1" t="s">
        <v>74</v>
      </c>
      <c r="U21" s="1" t="s">
        <v>74</v>
      </c>
      <c r="V21" s="1" t="s">
        <v>303</v>
      </c>
      <c r="W21" s="1" t="s">
        <v>74</v>
      </c>
      <c r="X21" s="1" t="s">
        <v>74</v>
      </c>
      <c r="Y21" s="1" t="s">
        <v>74</v>
      </c>
      <c r="Z21" s="1" t="s">
        <v>74</v>
      </c>
      <c r="AA21" s="1" t="s">
        <v>304</v>
      </c>
      <c r="AB21" s="1" t="s">
        <v>305</v>
      </c>
      <c r="AC21" s="1" t="s">
        <v>74</v>
      </c>
      <c r="AD21" s="1" t="s">
        <v>74</v>
      </c>
      <c r="AE21" s="1" t="s">
        <v>74</v>
      </c>
      <c r="AF21" s="1" t="s">
        <v>74</v>
      </c>
      <c r="AG21" s="1" t="s">
        <v>74</v>
      </c>
      <c r="AH21" s="1" t="s">
        <v>74</v>
      </c>
      <c r="AI21" s="1" t="s">
        <v>74</v>
      </c>
      <c r="AJ21" s="1" t="s">
        <v>74</v>
      </c>
      <c r="AK21" s="1" t="s">
        <v>74</v>
      </c>
      <c r="AL21" s="1" t="s">
        <v>74</v>
      </c>
      <c r="AM21" s="1" t="s">
        <v>74</v>
      </c>
      <c r="AN21" s="1" t="s">
        <v>74</v>
      </c>
      <c r="AO21" s="1" t="s">
        <v>306</v>
      </c>
      <c r="AP21" s="1" t="s">
        <v>307</v>
      </c>
      <c r="AQ21" s="1" t="s">
        <v>74</v>
      </c>
      <c r="AR21" s="1" t="s">
        <v>74</v>
      </c>
      <c r="AS21" s="1" t="s">
        <v>74</v>
      </c>
      <c r="AT21" s="1" t="s">
        <v>259</v>
      </c>
      <c r="AU21" s="1">
        <v>2008.0</v>
      </c>
      <c r="AV21" s="1">
        <v>27.0</v>
      </c>
      <c r="AW21" s="1">
        <v>8.0</v>
      </c>
      <c r="AX21" s="1" t="s">
        <v>74</v>
      </c>
      <c r="AY21" s="1" t="s">
        <v>74</v>
      </c>
      <c r="AZ21" s="1" t="s">
        <v>74</v>
      </c>
      <c r="BA21" s="1" t="s">
        <v>74</v>
      </c>
      <c r="BB21" s="1">
        <v>1333.0</v>
      </c>
      <c r="BC21" s="1">
        <v>1340.0</v>
      </c>
      <c r="BD21" s="1" t="s">
        <v>74</v>
      </c>
      <c r="BE21" s="1" t="s">
        <v>308</v>
      </c>
      <c r="BF21" s="2" t="str">
        <f>HYPERLINK("http://dx.doi.org/10.1007/s00299-008-0559-0","http://dx.doi.org/10.1007/s00299-008-0559-0")</f>
        <v>http://dx.doi.org/10.1007/s00299-008-0559-0</v>
      </c>
      <c r="BG21" s="1" t="s">
        <v>74</v>
      </c>
      <c r="BH21" s="1" t="s">
        <v>74</v>
      </c>
      <c r="BI21" s="1" t="s">
        <v>74</v>
      </c>
      <c r="BJ21" s="1" t="s">
        <v>74</v>
      </c>
      <c r="BK21" s="1" t="s">
        <v>74</v>
      </c>
      <c r="BL21" s="1" t="s">
        <v>74</v>
      </c>
      <c r="BM21" s="1" t="s">
        <v>74</v>
      </c>
      <c r="BN21" s="1">
        <v>1.8493725E7</v>
      </c>
      <c r="BO21" s="1" t="s">
        <v>74</v>
      </c>
      <c r="BP21" s="1" t="s">
        <v>74</v>
      </c>
      <c r="BQ21" s="1" t="s">
        <v>74</v>
      </c>
      <c r="BR21" s="1" t="s">
        <v>74</v>
      </c>
      <c r="BS21" s="1" t="s">
        <v>309</v>
      </c>
      <c r="BT21" s="1" t="str">
        <f>HYPERLINK("https%3A%2F%2Fwww.webofscience.com%2Fwos%2Fwoscc%2Ffull-record%2FWOS:000257382800007","View Full Record in Web of Science")</f>
        <v>View Full Record in Web of Science</v>
      </c>
    </row>
    <row r="22" ht="12.75" customHeight="1">
      <c r="A22" s="1" t="s">
        <v>72</v>
      </c>
      <c r="B22" s="1" t="s">
        <v>310</v>
      </c>
      <c r="C22" s="1" t="s">
        <v>74</v>
      </c>
      <c r="D22" s="1" t="s">
        <v>74</v>
      </c>
      <c r="E22" s="1" t="s">
        <v>74</v>
      </c>
      <c r="F22" s="1" t="s">
        <v>310</v>
      </c>
      <c r="G22" s="1" t="s">
        <v>74</v>
      </c>
      <c r="H22" s="1" t="s">
        <v>74</v>
      </c>
      <c r="I22" s="1" t="s">
        <v>311</v>
      </c>
      <c r="J22" s="1" t="s">
        <v>312</v>
      </c>
      <c r="K22" s="1" t="s">
        <v>74</v>
      </c>
      <c r="L22" s="1" t="s">
        <v>74</v>
      </c>
      <c r="M22" s="1" t="s">
        <v>74</v>
      </c>
      <c r="N22" s="1" t="s">
        <v>74</v>
      </c>
      <c r="O22" s="1" t="s">
        <v>74</v>
      </c>
      <c r="P22" s="1" t="s">
        <v>74</v>
      </c>
      <c r="Q22" s="1" t="s">
        <v>74</v>
      </c>
      <c r="R22" s="1" t="s">
        <v>74</v>
      </c>
      <c r="S22" s="1" t="s">
        <v>74</v>
      </c>
      <c r="T22" s="1" t="s">
        <v>74</v>
      </c>
      <c r="U22" s="1" t="s">
        <v>74</v>
      </c>
      <c r="V22" s="1" t="s">
        <v>313</v>
      </c>
      <c r="W22" s="1" t="s">
        <v>74</v>
      </c>
      <c r="X22" s="1" t="s">
        <v>74</v>
      </c>
      <c r="Y22" s="1" t="s">
        <v>74</v>
      </c>
      <c r="Z22" s="1" t="s">
        <v>74</v>
      </c>
      <c r="AA22" s="1" t="s">
        <v>74</v>
      </c>
      <c r="AB22" s="1" t="s">
        <v>74</v>
      </c>
      <c r="AC22" s="1" t="s">
        <v>74</v>
      </c>
      <c r="AD22" s="1" t="s">
        <v>74</v>
      </c>
      <c r="AE22" s="1" t="s">
        <v>74</v>
      </c>
      <c r="AF22" s="1" t="s">
        <v>74</v>
      </c>
      <c r="AG22" s="1" t="s">
        <v>74</v>
      </c>
      <c r="AH22" s="1" t="s">
        <v>74</v>
      </c>
      <c r="AI22" s="1" t="s">
        <v>74</v>
      </c>
      <c r="AJ22" s="1" t="s">
        <v>74</v>
      </c>
      <c r="AK22" s="1" t="s">
        <v>74</v>
      </c>
      <c r="AL22" s="1" t="s">
        <v>74</v>
      </c>
      <c r="AM22" s="1" t="s">
        <v>74</v>
      </c>
      <c r="AN22" s="1" t="s">
        <v>74</v>
      </c>
      <c r="AO22" s="1" t="s">
        <v>314</v>
      </c>
      <c r="AP22" s="1" t="s">
        <v>315</v>
      </c>
      <c r="AQ22" s="1" t="s">
        <v>74</v>
      </c>
      <c r="AR22" s="1" t="s">
        <v>74</v>
      </c>
      <c r="AS22" s="1" t="s">
        <v>74</v>
      </c>
      <c r="AT22" s="1" t="s">
        <v>316</v>
      </c>
      <c r="AU22" s="1">
        <v>2002.0</v>
      </c>
      <c r="AV22" s="1">
        <v>16.0</v>
      </c>
      <c r="AW22" s="1">
        <v>10.0</v>
      </c>
      <c r="AX22" s="1" t="s">
        <v>74</v>
      </c>
      <c r="AY22" s="1" t="s">
        <v>74</v>
      </c>
      <c r="AZ22" s="1" t="s">
        <v>74</v>
      </c>
      <c r="BA22" s="1" t="s">
        <v>74</v>
      </c>
      <c r="BB22" s="1">
        <v>597.0</v>
      </c>
      <c r="BC22" s="1">
        <v>600.0</v>
      </c>
      <c r="BD22" s="1" t="s">
        <v>74</v>
      </c>
      <c r="BE22" s="1" t="s">
        <v>317</v>
      </c>
      <c r="BF22" s="2" t="str">
        <f>HYPERLINK("http://dx.doi.org/10.1002/aoc.353","http://dx.doi.org/10.1002/aoc.353")</f>
        <v>http://dx.doi.org/10.1002/aoc.353</v>
      </c>
      <c r="BG22" s="1" t="s">
        <v>74</v>
      </c>
      <c r="BH22" s="1" t="s">
        <v>74</v>
      </c>
      <c r="BI22" s="1" t="s">
        <v>74</v>
      </c>
      <c r="BJ22" s="1" t="s">
        <v>74</v>
      </c>
      <c r="BK22" s="1" t="s">
        <v>74</v>
      </c>
      <c r="BL22" s="1" t="s">
        <v>74</v>
      </c>
      <c r="BM22" s="1" t="s">
        <v>74</v>
      </c>
      <c r="BN22" s="1" t="s">
        <v>74</v>
      </c>
      <c r="BO22" s="1" t="s">
        <v>74</v>
      </c>
      <c r="BP22" s="1" t="s">
        <v>74</v>
      </c>
      <c r="BQ22" s="1" t="s">
        <v>74</v>
      </c>
      <c r="BR22" s="1" t="s">
        <v>74</v>
      </c>
      <c r="BS22" s="1" t="s">
        <v>318</v>
      </c>
      <c r="BT22" s="1" t="str">
        <f>HYPERLINK("https%3A%2F%2Fwww.webofscience.com%2Fwos%2Fwoscc%2Ffull-record%2FWOS:000178135700007","View Full Record in Web of Science")</f>
        <v>View Full Record in Web of Science</v>
      </c>
    </row>
    <row r="23" ht="12.75" customHeight="1">
      <c r="A23" s="1" t="s">
        <v>72</v>
      </c>
      <c r="B23" s="1" t="s">
        <v>319</v>
      </c>
      <c r="C23" s="1" t="s">
        <v>74</v>
      </c>
      <c r="D23" s="1" t="s">
        <v>74</v>
      </c>
      <c r="E23" s="1" t="s">
        <v>74</v>
      </c>
      <c r="F23" s="1" t="s">
        <v>319</v>
      </c>
      <c r="G23" s="1" t="s">
        <v>74</v>
      </c>
      <c r="H23" s="1" t="s">
        <v>74</v>
      </c>
      <c r="I23" s="1" t="s">
        <v>320</v>
      </c>
      <c r="J23" s="1" t="s">
        <v>321</v>
      </c>
      <c r="K23" s="1" t="s">
        <v>74</v>
      </c>
      <c r="L23" s="1" t="s">
        <v>74</v>
      </c>
      <c r="M23" s="1" t="s">
        <v>74</v>
      </c>
      <c r="N23" s="1" t="s">
        <v>74</v>
      </c>
      <c r="O23" s="1" t="s">
        <v>74</v>
      </c>
      <c r="P23" s="1" t="s">
        <v>74</v>
      </c>
      <c r="Q23" s="1" t="s">
        <v>74</v>
      </c>
      <c r="R23" s="1" t="s">
        <v>74</v>
      </c>
      <c r="S23" s="1" t="s">
        <v>74</v>
      </c>
      <c r="T23" s="1" t="s">
        <v>74</v>
      </c>
      <c r="U23" s="1" t="s">
        <v>74</v>
      </c>
      <c r="V23" s="1" t="s">
        <v>322</v>
      </c>
      <c r="W23" s="1" t="s">
        <v>74</v>
      </c>
      <c r="X23" s="1" t="s">
        <v>74</v>
      </c>
      <c r="Y23" s="1" t="s">
        <v>74</v>
      </c>
      <c r="Z23" s="1" t="s">
        <v>74</v>
      </c>
      <c r="AA23" s="1" t="s">
        <v>323</v>
      </c>
      <c r="AB23" s="1" t="s">
        <v>324</v>
      </c>
      <c r="AC23" s="1" t="s">
        <v>74</v>
      </c>
      <c r="AD23" s="1" t="s">
        <v>74</v>
      </c>
      <c r="AE23" s="1" t="s">
        <v>74</v>
      </c>
      <c r="AF23" s="1" t="s">
        <v>74</v>
      </c>
      <c r="AG23" s="1" t="s">
        <v>74</v>
      </c>
      <c r="AH23" s="1" t="s">
        <v>74</v>
      </c>
      <c r="AI23" s="1" t="s">
        <v>74</v>
      </c>
      <c r="AJ23" s="1" t="s">
        <v>74</v>
      </c>
      <c r="AK23" s="1" t="s">
        <v>74</v>
      </c>
      <c r="AL23" s="1" t="s">
        <v>74</v>
      </c>
      <c r="AM23" s="1" t="s">
        <v>74</v>
      </c>
      <c r="AN23" s="1" t="s">
        <v>74</v>
      </c>
      <c r="AO23" s="1" t="s">
        <v>325</v>
      </c>
      <c r="AP23" s="1" t="s">
        <v>326</v>
      </c>
      <c r="AQ23" s="1" t="s">
        <v>74</v>
      </c>
      <c r="AR23" s="1" t="s">
        <v>74</v>
      </c>
      <c r="AS23" s="1" t="s">
        <v>74</v>
      </c>
      <c r="AT23" s="1" t="s">
        <v>327</v>
      </c>
      <c r="AU23" s="1">
        <v>2000.0</v>
      </c>
      <c r="AV23" s="1">
        <v>62.0</v>
      </c>
      <c r="AW23" s="1">
        <v>4.0</v>
      </c>
      <c r="AX23" s="1" t="s">
        <v>74</v>
      </c>
      <c r="AY23" s="1" t="s">
        <v>74</v>
      </c>
      <c r="AZ23" s="1" t="s">
        <v>74</v>
      </c>
      <c r="BA23" s="1" t="s">
        <v>74</v>
      </c>
      <c r="BB23" s="1" t="s">
        <v>74</v>
      </c>
      <c r="BC23" s="1" t="s">
        <v>74</v>
      </c>
      <c r="BD23" s="1">
        <v>44002.0</v>
      </c>
      <c r="BE23" s="1" t="s">
        <v>328</v>
      </c>
      <c r="BF23" s="2" t="str">
        <f>HYPERLINK("http://dx.doi.org/10.1103/PhysRevD.62.044002","http://dx.doi.org/10.1103/PhysRevD.62.044002")</f>
        <v>http://dx.doi.org/10.1103/PhysRevD.62.044002</v>
      </c>
      <c r="BG23" s="1" t="s">
        <v>74</v>
      </c>
      <c r="BH23" s="1" t="s">
        <v>74</v>
      </c>
      <c r="BI23" s="1" t="s">
        <v>74</v>
      </c>
      <c r="BJ23" s="1" t="s">
        <v>74</v>
      </c>
      <c r="BK23" s="1" t="s">
        <v>74</v>
      </c>
      <c r="BL23" s="1" t="s">
        <v>74</v>
      </c>
      <c r="BM23" s="1" t="s">
        <v>74</v>
      </c>
      <c r="BN23" s="1" t="s">
        <v>74</v>
      </c>
      <c r="BO23" s="1" t="s">
        <v>74</v>
      </c>
      <c r="BP23" s="1" t="s">
        <v>74</v>
      </c>
      <c r="BQ23" s="1" t="s">
        <v>74</v>
      </c>
      <c r="BR23" s="1" t="s">
        <v>74</v>
      </c>
      <c r="BS23" s="1" t="s">
        <v>329</v>
      </c>
      <c r="BT23" s="1" t="str">
        <f>HYPERLINK("https%3A%2F%2Fwww.webofscience.com%2Fwos%2Fwoscc%2Ffull-record%2FWOS:000088793100044","View Full Record in Web of Science")</f>
        <v>View Full Record in Web of Science</v>
      </c>
    </row>
    <row r="24" ht="12.75" customHeight="1">
      <c r="A24" s="1" t="s">
        <v>72</v>
      </c>
      <c r="B24" s="1" t="s">
        <v>330</v>
      </c>
      <c r="C24" s="1" t="s">
        <v>74</v>
      </c>
      <c r="D24" s="1" t="s">
        <v>74</v>
      </c>
      <c r="E24" s="1" t="s">
        <v>74</v>
      </c>
      <c r="F24" s="1" t="s">
        <v>330</v>
      </c>
      <c r="G24" s="1" t="s">
        <v>74</v>
      </c>
      <c r="H24" s="1" t="s">
        <v>74</v>
      </c>
      <c r="I24" s="1" t="s">
        <v>331</v>
      </c>
      <c r="J24" s="1" t="s">
        <v>332</v>
      </c>
      <c r="K24" s="1" t="s">
        <v>74</v>
      </c>
      <c r="L24" s="1" t="s">
        <v>74</v>
      </c>
      <c r="M24" s="1" t="s">
        <v>74</v>
      </c>
      <c r="N24" s="1" t="s">
        <v>74</v>
      </c>
      <c r="O24" s="1" t="s">
        <v>74</v>
      </c>
      <c r="P24" s="1" t="s">
        <v>74</v>
      </c>
      <c r="Q24" s="1" t="s">
        <v>74</v>
      </c>
      <c r="R24" s="1" t="s">
        <v>74</v>
      </c>
      <c r="S24" s="1" t="s">
        <v>74</v>
      </c>
      <c r="T24" s="1" t="s">
        <v>74</v>
      </c>
      <c r="U24" s="1" t="s">
        <v>74</v>
      </c>
      <c r="V24" s="1" t="s">
        <v>333</v>
      </c>
      <c r="W24" s="1" t="s">
        <v>74</v>
      </c>
      <c r="X24" s="1" t="s">
        <v>74</v>
      </c>
      <c r="Y24" s="1" t="s">
        <v>74</v>
      </c>
      <c r="Z24" s="1" t="s">
        <v>74</v>
      </c>
      <c r="AA24" s="1" t="s">
        <v>334</v>
      </c>
      <c r="AB24" s="1" t="s">
        <v>335</v>
      </c>
      <c r="AC24" s="1" t="s">
        <v>74</v>
      </c>
      <c r="AD24" s="1" t="s">
        <v>74</v>
      </c>
      <c r="AE24" s="1" t="s">
        <v>74</v>
      </c>
      <c r="AF24" s="1" t="s">
        <v>74</v>
      </c>
      <c r="AG24" s="1" t="s">
        <v>74</v>
      </c>
      <c r="AH24" s="1" t="s">
        <v>74</v>
      </c>
      <c r="AI24" s="1" t="s">
        <v>74</v>
      </c>
      <c r="AJ24" s="1" t="s">
        <v>74</v>
      </c>
      <c r="AK24" s="1" t="s">
        <v>74</v>
      </c>
      <c r="AL24" s="1" t="s">
        <v>74</v>
      </c>
      <c r="AM24" s="1" t="s">
        <v>74</v>
      </c>
      <c r="AN24" s="1" t="s">
        <v>74</v>
      </c>
      <c r="AO24" s="1" t="s">
        <v>336</v>
      </c>
      <c r="AP24" s="1" t="s">
        <v>337</v>
      </c>
      <c r="AQ24" s="1" t="s">
        <v>74</v>
      </c>
      <c r="AR24" s="1" t="s">
        <v>74</v>
      </c>
      <c r="AS24" s="1" t="s">
        <v>74</v>
      </c>
      <c r="AT24" s="1" t="s">
        <v>74</v>
      </c>
      <c r="AU24" s="1">
        <v>2000.0</v>
      </c>
      <c r="AV24" s="1">
        <v>45.0</v>
      </c>
      <c r="AW24" s="1">
        <v>27.0</v>
      </c>
      <c r="AX24" s="1" t="s">
        <v>74</v>
      </c>
      <c r="AY24" s="1" t="s">
        <v>74</v>
      </c>
      <c r="AZ24" s="1" t="s">
        <v>74</v>
      </c>
      <c r="BA24" s="1" t="s">
        <v>74</v>
      </c>
      <c r="BB24" s="1">
        <v>4431.0</v>
      </c>
      <c r="BC24" s="1">
        <v>4440.0</v>
      </c>
      <c r="BD24" s="1" t="s">
        <v>74</v>
      </c>
      <c r="BE24" s="1" t="s">
        <v>338</v>
      </c>
      <c r="BF24" s="2" t="str">
        <f>HYPERLINK("http://dx.doi.org/10.1016/S0013-4686(00)00498-9","http://dx.doi.org/10.1016/S0013-4686(00)00498-9")</f>
        <v>http://dx.doi.org/10.1016/S0013-4686(00)00498-9</v>
      </c>
      <c r="BG24" s="1" t="s">
        <v>74</v>
      </c>
      <c r="BH24" s="1" t="s">
        <v>74</v>
      </c>
      <c r="BI24" s="1" t="s">
        <v>74</v>
      </c>
      <c r="BJ24" s="1" t="s">
        <v>74</v>
      </c>
      <c r="BK24" s="1" t="s">
        <v>74</v>
      </c>
      <c r="BL24" s="1" t="s">
        <v>74</v>
      </c>
      <c r="BM24" s="1" t="s">
        <v>74</v>
      </c>
      <c r="BN24" s="1" t="s">
        <v>74</v>
      </c>
      <c r="BO24" s="1" t="s">
        <v>74</v>
      </c>
      <c r="BP24" s="1" t="s">
        <v>74</v>
      </c>
      <c r="BQ24" s="1" t="s">
        <v>74</v>
      </c>
      <c r="BR24" s="1" t="s">
        <v>74</v>
      </c>
      <c r="BS24" s="1" t="s">
        <v>339</v>
      </c>
      <c r="BT24" s="1" t="str">
        <f>HYPERLINK("https%3A%2F%2Fwww.webofscience.com%2Fwos%2Fwoscc%2Ffull-record%2FWOS:000089538300005","View Full Record in Web of Science")</f>
        <v>View Full Record in Web of Science</v>
      </c>
    </row>
    <row r="25" ht="12.75" customHeight="1">
      <c r="A25" s="1" t="s">
        <v>72</v>
      </c>
      <c r="B25" s="1" t="s">
        <v>340</v>
      </c>
      <c r="C25" s="1" t="s">
        <v>74</v>
      </c>
      <c r="D25" s="1" t="s">
        <v>74</v>
      </c>
      <c r="E25" s="1" t="s">
        <v>74</v>
      </c>
      <c r="F25" s="1" t="s">
        <v>340</v>
      </c>
      <c r="G25" s="1" t="s">
        <v>74</v>
      </c>
      <c r="H25" s="1" t="s">
        <v>74</v>
      </c>
      <c r="I25" s="1" t="s">
        <v>341</v>
      </c>
      <c r="J25" s="1" t="s">
        <v>342</v>
      </c>
      <c r="K25" s="1" t="s">
        <v>74</v>
      </c>
      <c r="L25" s="1" t="s">
        <v>74</v>
      </c>
      <c r="M25" s="1" t="s">
        <v>74</v>
      </c>
      <c r="N25" s="1" t="s">
        <v>74</v>
      </c>
      <c r="O25" s="1" t="s">
        <v>74</v>
      </c>
      <c r="P25" s="1" t="s">
        <v>74</v>
      </c>
      <c r="Q25" s="1" t="s">
        <v>74</v>
      </c>
      <c r="R25" s="1" t="s">
        <v>74</v>
      </c>
      <c r="S25" s="1" t="s">
        <v>74</v>
      </c>
      <c r="T25" s="1" t="s">
        <v>74</v>
      </c>
      <c r="U25" s="1" t="s">
        <v>74</v>
      </c>
      <c r="V25" s="1" t="s">
        <v>343</v>
      </c>
      <c r="W25" s="1" t="s">
        <v>74</v>
      </c>
      <c r="X25" s="1" t="s">
        <v>74</v>
      </c>
      <c r="Y25" s="1" t="s">
        <v>74</v>
      </c>
      <c r="Z25" s="1" t="s">
        <v>74</v>
      </c>
      <c r="AA25" s="1" t="s">
        <v>344</v>
      </c>
      <c r="AB25" s="1" t="s">
        <v>345</v>
      </c>
      <c r="AC25" s="1" t="s">
        <v>74</v>
      </c>
      <c r="AD25" s="1" t="s">
        <v>74</v>
      </c>
      <c r="AE25" s="1" t="s">
        <v>74</v>
      </c>
      <c r="AF25" s="1" t="s">
        <v>74</v>
      </c>
      <c r="AG25" s="1" t="s">
        <v>74</v>
      </c>
      <c r="AH25" s="1" t="s">
        <v>74</v>
      </c>
      <c r="AI25" s="1" t="s">
        <v>74</v>
      </c>
      <c r="AJ25" s="1" t="s">
        <v>74</v>
      </c>
      <c r="AK25" s="1" t="s">
        <v>74</v>
      </c>
      <c r="AL25" s="1" t="s">
        <v>74</v>
      </c>
      <c r="AM25" s="1" t="s">
        <v>74</v>
      </c>
      <c r="AN25" s="1" t="s">
        <v>74</v>
      </c>
      <c r="AO25" s="1" t="s">
        <v>346</v>
      </c>
      <c r="AP25" s="1" t="s">
        <v>347</v>
      </c>
      <c r="AQ25" s="1" t="s">
        <v>74</v>
      </c>
      <c r="AR25" s="1" t="s">
        <v>74</v>
      </c>
      <c r="AS25" s="1" t="s">
        <v>74</v>
      </c>
      <c r="AT25" s="1" t="s">
        <v>348</v>
      </c>
      <c r="AU25" s="1">
        <v>1999.0</v>
      </c>
      <c r="AV25" s="1">
        <v>175.0</v>
      </c>
      <c r="AW25" s="1">
        <v>2.0</v>
      </c>
      <c r="AX25" s="1" t="s">
        <v>74</v>
      </c>
      <c r="AY25" s="1" t="s">
        <v>74</v>
      </c>
      <c r="AZ25" s="1" t="s">
        <v>74</v>
      </c>
      <c r="BA25" s="1" t="s">
        <v>74</v>
      </c>
      <c r="BB25" s="1">
        <v>223.0</v>
      </c>
      <c r="BC25" s="1">
        <v>229.0</v>
      </c>
      <c r="BD25" s="1" t="s">
        <v>74</v>
      </c>
      <c r="BE25" s="1" t="s">
        <v>349</v>
      </c>
      <c r="BF25" s="2" t="str">
        <f>HYPERLINK("http://dx.doi.org/10.1111/j.1574-6968.1999.tb13624.x","http://dx.doi.org/10.1111/j.1574-6968.1999.tb13624.x")</f>
        <v>http://dx.doi.org/10.1111/j.1574-6968.1999.tb13624.x</v>
      </c>
      <c r="BG25" s="1" t="s">
        <v>74</v>
      </c>
      <c r="BH25" s="1" t="s">
        <v>74</v>
      </c>
      <c r="BI25" s="1" t="s">
        <v>74</v>
      </c>
      <c r="BJ25" s="1" t="s">
        <v>74</v>
      </c>
      <c r="BK25" s="1" t="s">
        <v>74</v>
      </c>
      <c r="BL25" s="1" t="s">
        <v>74</v>
      </c>
      <c r="BM25" s="1" t="s">
        <v>74</v>
      </c>
      <c r="BN25" s="1">
        <v>1.0386372E7</v>
      </c>
      <c r="BO25" s="1" t="s">
        <v>74</v>
      </c>
      <c r="BP25" s="1" t="s">
        <v>74</v>
      </c>
      <c r="BQ25" s="1" t="s">
        <v>74</v>
      </c>
      <c r="BR25" s="1" t="s">
        <v>74</v>
      </c>
      <c r="BS25" s="1" t="s">
        <v>350</v>
      </c>
      <c r="BT25" s="1" t="str">
        <f>HYPERLINK("https%3A%2F%2Fwww.webofscience.com%2Fwos%2Fwoscc%2Ffull-record%2FWOS:000080920200011","View Full Record in Web of Science")</f>
        <v>View Full Record in Web of Science</v>
      </c>
    </row>
    <row r="26" ht="12.75" customHeight="1">
      <c r="A26" s="1" t="s">
        <v>72</v>
      </c>
      <c r="B26" s="1" t="s">
        <v>351</v>
      </c>
      <c r="C26" s="1" t="s">
        <v>74</v>
      </c>
      <c r="D26" s="1" t="s">
        <v>74</v>
      </c>
      <c r="E26" s="1" t="s">
        <v>74</v>
      </c>
      <c r="F26" s="1" t="s">
        <v>351</v>
      </c>
      <c r="G26" s="1" t="s">
        <v>74</v>
      </c>
      <c r="H26" s="1" t="s">
        <v>74</v>
      </c>
      <c r="I26" s="1" t="s">
        <v>352</v>
      </c>
      <c r="J26" s="1" t="s">
        <v>353</v>
      </c>
      <c r="K26" s="1" t="s">
        <v>74</v>
      </c>
      <c r="L26" s="1" t="s">
        <v>74</v>
      </c>
      <c r="M26" s="1" t="s">
        <v>74</v>
      </c>
      <c r="N26" s="1" t="s">
        <v>74</v>
      </c>
      <c r="O26" s="1" t="s">
        <v>74</v>
      </c>
      <c r="P26" s="1" t="s">
        <v>74</v>
      </c>
      <c r="Q26" s="1" t="s">
        <v>74</v>
      </c>
      <c r="R26" s="1" t="s">
        <v>74</v>
      </c>
      <c r="S26" s="1" t="s">
        <v>74</v>
      </c>
      <c r="T26" s="1" t="s">
        <v>74</v>
      </c>
      <c r="U26" s="1" t="s">
        <v>74</v>
      </c>
      <c r="V26" s="1" t="s">
        <v>354</v>
      </c>
      <c r="W26" s="1" t="s">
        <v>74</v>
      </c>
      <c r="X26" s="1" t="s">
        <v>74</v>
      </c>
      <c r="Y26" s="1" t="s">
        <v>74</v>
      </c>
      <c r="Z26" s="1" t="s">
        <v>74</v>
      </c>
      <c r="AA26" s="1" t="s">
        <v>355</v>
      </c>
      <c r="AB26" s="1" t="s">
        <v>356</v>
      </c>
      <c r="AC26" s="1" t="s">
        <v>74</v>
      </c>
      <c r="AD26" s="1" t="s">
        <v>74</v>
      </c>
      <c r="AE26" s="1" t="s">
        <v>74</v>
      </c>
      <c r="AF26" s="1" t="s">
        <v>74</v>
      </c>
      <c r="AG26" s="1" t="s">
        <v>74</v>
      </c>
      <c r="AH26" s="1" t="s">
        <v>74</v>
      </c>
      <c r="AI26" s="1" t="s">
        <v>74</v>
      </c>
      <c r="AJ26" s="1" t="s">
        <v>74</v>
      </c>
      <c r="AK26" s="1" t="s">
        <v>74</v>
      </c>
      <c r="AL26" s="1" t="s">
        <v>74</v>
      </c>
      <c r="AM26" s="1" t="s">
        <v>74</v>
      </c>
      <c r="AN26" s="1" t="s">
        <v>74</v>
      </c>
      <c r="AO26" s="1" t="s">
        <v>357</v>
      </c>
      <c r="AP26" s="1" t="s">
        <v>74</v>
      </c>
      <c r="AQ26" s="1" t="s">
        <v>74</v>
      </c>
      <c r="AR26" s="1" t="s">
        <v>74</v>
      </c>
      <c r="AS26" s="1" t="s">
        <v>74</v>
      </c>
      <c r="AT26" s="1" t="s">
        <v>358</v>
      </c>
      <c r="AU26" s="1">
        <v>1998.0</v>
      </c>
      <c r="AV26" s="1">
        <v>37.0</v>
      </c>
      <c r="AW26" s="1">
        <v>18.0</v>
      </c>
      <c r="AX26" s="1" t="s">
        <v>74</v>
      </c>
      <c r="AY26" s="1" t="s">
        <v>74</v>
      </c>
      <c r="AZ26" s="1" t="s">
        <v>74</v>
      </c>
      <c r="BA26" s="1" t="s">
        <v>74</v>
      </c>
      <c r="BB26" s="1">
        <v>6295.0</v>
      </c>
      <c r="BC26" s="1">
        <v>6302.0</v>
      </c>
      <c r="BD26" s="1" t="s">
        <v>74</v>
      </c>
      <c r="BE26" s="1" t="s">
        <v>359</v>
      </c>
      <c r="BF26" s="2" t="str">
        <f>HYPERLINK("http://dx.doi.org/10.1021/bi971515e","http://dx.doi.org/10.1021/bi971515e")</f>
        <v>http://dx.doi.org/10.1021/bi971515e</v>
      </c>
      <c r="BG26" s="1" t="s">
        <v>74</v>
      </c>
      <c r="BH26" s="1" t="s">
        <v>74</v>
      </c>
      <c r="BI26" s="1" t="s">
        <v>74</v>
      </c>
      <c r="BJ26" s="1" t="s">
        <v>74</v>
      </c>
      <c r="BK26" s="1" t="s">
        <v>74</v>
      </c>
      <c r="BL26" s="1" t="s">
        <v>74</v>
      </c>
      <c r="BM26" s="1" t="s">
        <v>74</v>
      </c>
      <c r="BN26" s="1">
        <v>9572844.0</v>
      </c>
      <c r="BO26" s="1" t="s">
        <v>74</v>
      </c>
      <c r="BP26" s="1" t="s">
        <v>74</v>
      </c>
      <c r="BQ26" s="1" t="s">
        <v>74</v>
      </c>
      <c r="BR26" s="1" t="s">
        <v>74</v>
      </c>
      <c r="BS26" s="1" t="s">
        <v>360</v>
      </c>
      <c r="BT26" s="1" t="str">
        <f>HYPERLINK("https%3A%2F%2Fwww.webofscience.com%2Fwos%2Fwoscc%2Ffull-record%2FWOS:000073585600010","View Full Record in Web of Science")</f>
        <v>View Full Record in Web of Science</v>
      </c>
    </row>
    <row r="27" ht="12.75" customHeight="1">
      <c r="A27" s="1" t="s">
        <v>72</v>
      </c>
      <c r="B27" s="1" t="s">
        <v>361</v>
      </c>
      <c r="C27" s="1" t="s">
        <v>74</v>
      </c>
      <c r="D27" s="1" t="s">
        <v>74</v>
      </c>
      <c r="E27" s="1" t="s">
        <v>74</v>
      </c>
      <c r="F27" s="1" t="s">
        <v>361</v>
      </c>
      <c r="G27" s="1" t="s">
        <v>74</v>
      </c>
      <c r="H27" s="1" t="s">
        <v>74</v>
      </c>
      <c r="I27" s="1" t="s">
        <v>362</v>
      </c>
      <c r="J27" s="1" t="s">
        <v>363</v>
      </c>
      <c r="K27" s="1" t="s">
        <v>74</v>
      </c>
      <c r="L27" s="1" t="s">
        <v>74</v>
      </c>
      <c r="M27" s="1" t="s">
        <v>74</v>
      </c>
      <c r="N27" s="1" t="s">
        <v>74</v>
      </c>
      <c r="O27" s="1" t="s">
        <v>74</v>
      </c>
      <c r="P27" s="1" t="s">
        <v>74</v>
      </c>
      <c r="Q27" s="1" t="s">
        <v>74</v>
      </c>
      <c r="R27" s="1" t="s">
        <v>74</v>
      </c>
      <c r="S27" s="1" t="s">
        <v>74</v>
      </c>
      <c r="T27" s="1" t="s">
        <v>74</v>
      </c>
      <c r="U27" s="1" t="s">
        <v>74</v>
      </c>
      <c r="V27" s="1" t="s">
        <v>364</v>
      </c>
      <c r="W27" s="1" t="s">
        <v>74</v>
      </c>
      <c r="X27" s="1" t="s">
        <v>74</v>
      </c>
      <c r="Y27" s="1" t="s">
        <v>74</v>
      </c>
      <c r="Z27" s="1" t="s">
        <v>74</v>
      </c>
      <c r="AA27" s="1" t="s">
        <v>365</v>
      </c>
      <c r="AB27" s="1" t="s">
        <v>366</v>
      </c>
      <c r="AC27" s="1" t="s">
        <v>74</v>
      </c>
      <c r="AD27" s="1" t="s">
        <v>74</v>
      </c>
      <c r="AE27" s="1" t="s">
        <v>74</v>
      </c>
      <c r="AF27" s="1" t="s">
        <v>74</v>
      </c>
      <c r="AG27" s="1" t="s">
        <v>74</v>
      </c>
      <c r="AH27" s="1" t="s">
        <v>74</v>
      </c>
      <c r="AI27" s="1" t="s">
        <v>74</v>
      </c>
      <c r="AJ27" s="1" t="s">
        <v>74</v>
      </c>
      <c r="AK27" s="1" t="s">
        <v>74</v>
      </c>
      <c r="AL27" s="1" t="s">
        <v>74</v>
      </c>
      <c r="AM27" s="1" t="s">
        <v>74</v>
      </c>
      <c r="AN27" s="1" t="s">
        <v>74</v>
      </c>
      <c r="AO27" s="1" t="s">
        <v>367</v>
      </c>
      <c r="AP27" s="1" t="s">
        <v>74</v>
      </c>
      <c r="AQ27" s="1" t="s">
        <v>74</v>
      </c>
      <c r="AR27" s="1" t="s">
        <v>74</v>
      </c>
      <c r="AS27" s="1" t="s">
        <v>74</v>
      </c>
      <c r="AT27" s="1" t="s">
        <v>368</v>
      </c>
      <c r="AU27" s="1">
        <v>1997.0</v>
      </c>
      <c r="AV27" s="1">
        <v>93.0</v>
      </c>
      <c r="AW27" s="1">
        <v>8.0</v>
      </c>
      <c r="AX27" s="1" t="s">
        <v>74</v>
      </c>
      <c r="AY27" s="1" t="s">
        <v>74</v>
      </c>
      <c r="AZ27" s="1" t="s">
        <v>74</v>
      </c>
      <c r="BA27" s="1" t="s">
        <v>74</v>
      </c>
      <c r="BB27" s="1">
        <v>1517.0</v>
      </c>
      <c r="BC27" s="1">
        <v>1521.0</v>
      </c>
      <c r="BD27" s="1" t="s">
        <v>74</v>
      </c>
      <c r="BE27" s="1" t="s">
        <v>369</v>
      </c>
      <c r="BF27" s="2" t="str">
        <f>HYPERLINK("http://dx.doi.org/10.1039/a607264j","http://dx.doi.org/10.1039/a607264j")</f>
        <v>http://dx.doi.org/10.1039/a607264j</v>
      </c>
      <c r="BG27" s="1" t="s">
        <v>74</v>
      </c>
      <c r="BH27" s="1" t="s">
        <v>74</v>
      </c>
      <c r="BI27" s="1" t="s">
        <v>74</v>
      </c>
      <c r="BJ27" s="1" t="s">
        <v>74</v>
      </c>
      <c r="BK27" s="1" t="s">
        <v>74</v>
      </c>
      <c r="BL27" s="1" t="s">
        <v>74</v>
      </c>
      <c r="BM27" s="1" t="s">
        <v>74</v>
      </c>
      <c r="BN27" s="1" t="s">
        <v>74</v>
      </c>
      <c r="BO27" s="1" t="s">
        <v>74</v>
      </c>
      <c r="BP27" s="1" t="s">
        <v>74</v>
      </c>
      <c r="BQ27" s="1" t="s">
        <v>74</v>
      </c>
      <c r="BR27" s="1" t="s">
        <v>74</v>
      </c>
      <c r="BS27" s="1" t="s">
        <v>370</v>
      </c>
      <c r="BT27" s="1" t="str">
        <f>HYPERLINK("https%3A%2F%2Fwww.webofscience.com%2Fwos%2Fwoscc%2Ffull-record%2FWOS:A1997WW48000008","View Full Record in Web of Science")</f>
        <v>View Full Record in Web of Science</v>
      </c>
    </row>
    <row r="28" ht="12.75" customHeight="1">
      <c r="A28" s="1" t="s">
        <v>72</v>
      </c>
      <c r="B28" s="1" t="s">
        <v>371</v>
      </c>
      <c r="C28" s="1" t="s">
        <v>74</v>
      </c>
      <c r="D28" s="1" t="s">
        <v>74</v>
      </c>
      <c r="E28" s="1" t="s">
        <v>74</v>
      </c>
      <c r="F28" s="1" t="s">
        <v>371</v>
      </c>
      <c r="G28" s="1" t="s">
        <v>74</v>
      </c>
      <c r="H28" s="1" t="s">
        <v>74</v>
      </c>
      <c r="I28" s="1" t="s">
        <v>372</v>
      </c>
      <c r="J28" s="1" t="s">
        <v>373</v>
      </c>
      <c r="K28" s="1" t="s">
        <v>74</v>
      </c>
      <c r="L28" s="1" t="s">
        <v>74</v>
      </c>
      <c r="M28" s="1" t="s">
        <v>74</v>
      </c>
      <c r="N28" s="1" t="s">
        <v>74</v>
      </c>
      <c r="O28" s="1" t="s">
        <v>74</v>
      </c>
      <c r="P28" s="1" t="s">
        <v>74</v>
      </c>
      <c r="Q28" s="1" t="s">
        <v>74</v>
      </c>
      <c r="R28" s="1" t="s">
        <v>74</v>
      </c>
      <c r="S28" s="1" t="s">
        <v>74</v>
      </c>
      <c r="T28" s="1" t="s">
        <v>74</v>
      </c>
      <c r="U28" s="1" t="s">
        <v>74</v>
      </c>
      <c r="V28" s="1" t="s">
        <v>374</v>
      </c>
      <c r="W28" s="1" t="s">
        <v>74</v>
      </c>
      <c r="X28" s="1" t="s">
        <v>74</v>
      </c>
      <c r="Y28" s="1" t="s">
        <v>74</v>
      </c>
      <c r="Z28" s="1" t="s">
        <v>74</v>
      </c>
      <c r="AA28" s="1" t="s">
        <v>74</v>
      </c>
      <c r="AB28" s="1" t="s">
        <v>375</v>
      </c>
      <c r="AC28" s="1" t="s">
        <v>74</v>
      </c>
      <c r="AD28" s="1" t="s">
        <v>74</v>
      </c>
      <c r="AE28" s="1" t="s">
        <v>74</v>
      </c>
      <c r="AF28" s="1" t="s">
        <v>74</v>
      </c>
      <c r="AG28" s="1" t="s">
        <v>74</v>
      </c>
      <c r="AH28" s="1" t="s">
        <v>74</v>
      </c>
      <c r="AI28" s="1" t="s">
        <v>74</v>
      </c>
      <c r="AJ28" s="1" t="s">
        <v>74</v>
      </c>
      <c r="AK28" s="1" t="s">
        <v>74</v>
      </c>
      <c r="AL28" s="1" t="s">
        <v>74</v>
      </c>
      <c r="AM28" s="1" t="s">
        <v>74</v>
      </c>
      <c r="AN28" s="1" t="s">
        <v>74</v>
      </c>
      <c r="AO28" s="1" t="s">
        <v>376</v>
      </c>
      <c r="AP28" s="1" t="s">
        <v>74</v>
      </c>
      <c r="AQ28" s="1" t="s">
        <v>74</v>
      </c>
      <c r="AR28" s="1" t="s">
        <v>74</v>
      </c>
      <c r="AS28" s="1" t="s">
        <v>74</v>
      </c>
      <c r="AT28" s="1" t="s">
        <v>377</v>
      </c>
      <c r="AU28" s="1">
        <v>1994.0</v>
      </c>
      <c r="AV28" s="1">
        <v>36.0</v>
      </c>
      <c r="AW28" s="1">
        <v>1.0</v>
      </c>
      <c r="AX28" s="1" t="s">
        <v>74</v>
      </c>
      <c r="AY28" s="1" t="s">
        <v>74</v>
      </c>
      <c r="AZ28" s="1" t="s">
        <v>74</v>
      </c>
      <c r="BA28" s="1" t="s">
        <v>74</v>
      </c>
      <c r="BB28" s="1">
        <v>249.0</v>
      </c>
      <c r="BC28" s="1">
        <v>250.0</v>
      </c>
      <c r="BD28" s="1" t="s">
        <v>74</v>
      </c>
      <c r="BE28" s="1" t="s">
        <v>378</v>
      </c>
      <c r="BF28" s="2" t="str">
        <f>HYPERLINK("http://dx.doi.org/10.1016/S0031-9422(00)97048-1","http://dx.doi.org/10.1016/S0031-9422(00)97048-1")</f>
        <v>http://dx.doi.org/10.1016/S0031-9422(00)97048-1</v>
      </c>
      <c r="BG28" s="1" t="s">
        <v>74</v>
      </c>
      <c r="BH28" s="1" t="s">
        <v>74</v>
      </c>
      <c r="BI28" s="1" t="s">
        <v>74</v>
      </c>
      <c r="BJ28" s="1" t="s">
        <v>74</v>
      </c>
      <c r="BK28" s="1" t="s">
        <v>74</v>
      </c>
      <c r="BL28" s="1" t="s">
        <v>74</v>
      </c>
      <c r="BM28" s="1" t="s">
        <v>74</v>
      </c>
      <c r="BN28" s="1" t="s">
        <v>74</v>
      </c>
      <c r="BO28" s="1" t="s">
        <v>74</v>
      </c>
      <c r="BP28" s="1" t="s">
        <v>74</v>
      </c>
      <c r="BQ28" s="1" t="s">
        <v>74</v>
      </c>
      <c r="BR28" s="1" t="s">
        <v>74</v>
      </c>
      <c r="BS28" s="1" t="s">
        <v>379</v>
      </c>
      <c r="BT28" s="1" t="str">
        <f>HYPERLINK("https%3A%2F%2Fwww.webofscience.com%2Fwos%2Fwoscc%2Ffull-record%2FWOS:A1994NL39100048","View Full Record in Web of Science")</f>
        <v>View Full Record in Web of Science</v>
      </c>
    </row>
    <row r="29" ht="12.75" customHeight="1">
      <c r="A29" s="1" t="s">
        <v>72</v>
      </c>
      <c r="B29" s="1" t="s">
        <v>380</v>
      </c>
      <c r="C29" s="1" t="s">
        <v>74</v>
      </c>
      <c r="D29" s="1" t="s">
        <v>74</v>
      </c>
      <c r="E29" s="1" t="s">
        <v>74</v>
      </c>
      <c r="F29" s="1" t="s">
        <v>381</v>
      </c>
      <c r="G29" s="1" t="s">
        <v>74</v>
      </c>
      <c r="H29" s="1" t="s">
        <v>74</v>
      </c>
      <c r="I29" s="1" t="s">
        <v>382</v>
      </c>
      <c r="J29" s="1" t="s">
        <v>383</v>
      </c>
      <c r="K29" s="1" t="s">
        <v>74</v>
      </c>
      <c r="L29" s="1" t="s">
        <v>74</v>
      </c>
      <c r="M29" s="1" t="s">
        <v>74</v>
      </c>
      <c r="N29" s="1" t="s">
        <v>74</v>
      </c>
      <c r="O29" s="1" t="s">
        <v>74</v>
      </c>
      <c r="P29" s="1" t="s">
        <v>74</v>
      </c>
      <c r="Q29" s="1" t="s">
        <v>74</v>
      </c>
      <c r="R29" s="1" t="s">
        <v>74</v>
      </c>
      <c r="S29" s="1" t="s">
        <v>74</v>
      </c>
      <c r="T29" s="1" t="s">
        <v>74</v>
      </c>
      <c r="U29" s="1" t="s">
        <v>74</v>
      </c>
      <c r="V29" s="1" t="s">
        <v>384</v>
      </c>
      <c r="W29" s="1" t="s">
        <v>74</v>
      </c>
      <c r="X29" s="1" t="s">
        <v>74</v>
      </c>
      <c r="Y29" s="1" t="s">
        <v>74</v>
      </c>
      <c r="Z29" s="1" t="s">
        <v>74</v>
      </c>
      <c r="AA29" s="1" t="s">
        <v>385</v>
      </c>
      <c r="AB29" s="1" t="s">
        <v>386</v>
      </c>
      <c r="AC29" s="1" t="s">
        <v>74</v>
      </c>
      <c r="AD29" s="1" t="s">
        <v>74</v>
      </c>
      <c r="AE29" s="1" t="s">
        <v>74</v>
      </c>
      <c r="AF29" s="1" t="s">
        <v>74</v>
      </c>
      <c r="AG29" s="1" t="s">
        <v>74</v>
      </c>
      <c r="AH29" s="1" t="s">
        <v>74</v>
      </c>
      <c r="AI29" s="1" t="s">
        <v>74</v>
      </c>
      <c r="AJ29" s="1" t="s">
        <v>74</v>
      </c>
      <c r="AK29" s="1" t="s">
        <v>74</v>
      </c>
      <c r="AL29" s="1" t="s">
        <v>74</v>
      </c>
      <c r="AM29" s="1" t="s">
        <v>74</v>
      </c>
      <c r="AN29" s="1" t="s">
        <v>74</v>
      </c>
      <c r="AO29" s="1" t="s">
        <v>387</v>
      </c>
      <c r="AP29" s="1" t="s">
        <v>74</v>
      </c>
      <c r="AQ29" s="1" t="s">
        <v>74</v>
      </c>
      <c r="AR29" s="1" t="s">
        <v>74</v>
      </c>
      <c r="AS29" s="1" t="s">
        <v>74</v>
      </c>
      <c r="AT29" s="1" t="s">
        <v>388</v>
      </c>
      <c r="AU29" s="1">
        <v>2025.0</v>
      </c>
      <c r="AV29" s="1">
        <v>15.0</v>
      </c>
      <c r="AW29" s="1">
        <v>1.0</v>
      </c>
      <c r="AX29" s="1" t="s">
        <v>74</v>
      </c>
      <c r="AY29" s="1" t="s">
        <v>74</v>
      </c>
      <c r="AZ29" s="1" t="s">
        <v>74</v>
      </c>
      <c r="BA29" s="1" t="s">
        <v>74</v>
      </c>
      <c r="BB29" s="1" t="s">
        <v>74</v>
      </c>
      <c r="BC29" s="1" t="s">
        <v>74</v>
      </c>
      <c r="BD29" s="1">
        <v>11458.0</v>
      </c>
      <c r="BE29" s="1" t="s">
        <v>389</v>
      </c>
      <c r="BF29" s="2" t="str">
        <f>HYPERLINK("http://dx.doi.org/10.1038/s41598-025-96288-w","http://dx.doi.org/10.1038/s41598-025-96288-w")</f>
        <v>http://dx.doi.org/10.1038/s41598-025-96288-w</v>
      </c>
      <c r="BG29" s="1" t="s">
        <v>74</v>
      </c>
      <c r="BH29" s="1" t="s">
        <v>74</v>
      </c>
      <c r="BI29" s="1" t="s">
        <v>74</v>
      </c>
      <c r="BJ29" s="1" t="s">
        <v>74</v>
      </c>
      <c r="BK29" s="1" t="s">
        <v>74</v>
      </c>
      <c r="BL29" s="1" t="s">
        <v>74</v>
      </c>
      <c r="BM29" s="1" t="s">
        <v>74</v>
      </c>
      <c r="BN29" s="1">
        <v>4.0181158E7</v>
      </c>
      <c r="BO29" s="1" t="s">
        <v>74</v>
      </c>
      <c r="BP29" s="1" t="s">
        <v>74</v>
      </c>
      <c r="BQ29" s="1" t="s">
        <v>74</v>
      </c>
      <c r="BR29" s="1" t="s">
        <v>74</v>
      </c>
      <c r="BS29" s="1" t="s">
        <v>390</v>
      </c>
      <c r="BT29" s="1" t="str">
        <f>HYPERLINK("https%3A%2F%2Fwww.webofscience.com%2Fwos%2Fwoscc%2Ffull-record%2FWOS:001459337000015","View Full Record in Web of Science")</f>
        <v>View Full Record in Web of Science</v>
      </c>
    </row>
    <row r="30" ht="12.75" customHeight="1">
      <c r="A30" s="1" t="s">
        <v>72</v>
      </c>
      <c r="B30" s="1" t="s">
        <v>391</v>
      </c>
      <c r="C30" s="1" t="s">
        <v>74</v>
      </c>
      <c r="D30" s="1" t="s">
        <v>74</v>
      </c>
      <c r="E30" s="1" t="s">
        <v>74</v>
      </c>
      <c r="F30" s="1" t="s">
        <v>392</v>
      </c>
      <c r="G30" s="1" t="s">
        <v>74</v>
      </c>
      <c r="H30" s="1" t="s">
        <v>74</v>
      </c>
      <c r="I30" s="1" t="s">
        <v>393</v>
      </c>
      <c r="J30" s="1" t="s">
        <v>394</v>
      </c>
      <c r="K30" s="1" t="s">
        <v>74</v>
      </c>
      <c r="L30" s="1" t="s">
        <v>74</v>
      </c>
      <c r="M30" s="1" t="s">
        <v>74</v>
      </c>
      <c r="N30" s="1" t="s">
        <v>74</v>
      </c>
      <c r="O30" s="1" t="s">
        <v>74</v>
      </c>
      <c r="P30" s="1" t="s">
        <v>74</v>
      </c>
      <c r="Q30" s="1" t="s">
        <v>74</v>
      </c>
      <c r="R30" s="1" t="s">
        <v>74</v>
      </c>
      <c r="S30" s="1" t="s">
        <v>74</v>
      </c>
      <c r="T30" s="1" t="s">
        <v>74</v>
      </c>
      <c r="U30" s="1" t="s">
        <v>74</v>
      </c>
      <c r="V30" s="1" t="s">
        <v>74</v>
      </c>
      <c r="W30" s="1" t="s">
        <v>74</v>
      </c>
      <c r="X30" s="1" t="s">
        <v>74</v>
      </c>
      <c r="Y30" s="1" t="s">
        <v>74</v>
      </c>
      <c r="Z30" s="1" t="s">
        <v>74</v>
      </c>
      <c r="AA30" s="1" t="s">
        <v>395</v>
      </c>
      <c r="AB30" s="1" t="s">
        <v>74</v>
      </c>
      <c r="AC30" s="1" t="s">
        <v>74</v>
      </c>
      <c r="AD30" s="1" t="s">
        <v>74</v>
      </c>
      <c r="AE30" s="1" t="s">
        <v>74</v>
      </c>
      <c r="AF30" s="1" t="s">
        <v>74</v>
      </c>
      <c r="AG30" s="1" t="s">
        <v>74</v>
      </c>
      <c r="AH30" s="1" t="s">
        <v>74</v>
      </c>
      <c r="AI30" s="1" t="s">
        <v>74</v>
      </c>
      <c r="AJ30" s="1" t="s">
        <v>74</v>
      </c>
      <c r="AK30" s="1" t="s">
        <v>74</v>
      </c>
      <c r="AL30" s="1" t="s">
        <v>74</v>
      </c>
      <c r="AM30" s="1" t="s">
        <v>74</v>
      </c>
      <c r="AN30" s="1" t="s">
        <v>74</v>
      </c>
      <c r="AO30" s="1" t="s">
        <v>396</v>
      </c>
      <c r="AP30" s="1" t="s">
        <v>397</v>
      </c>
      <c r="AQ30" s="1" t="s">
        <v>74</v>
      </c>
      <c r="AR30" s="1" t="s">
        <v>74</v>
      </c>
      <c r="AS30" s="1" t="s">
        <v>74</v>
      </c>
      <c r="AT30" s="1" t="s">
        <v>398</v>
      </c>
      <c r="AU30" s="1">
        <v>2024.0</v>
      </c>
      <c r="AV30" s="1">
        <v>29.0</v>
      </c>
      <c r="AW30" s="1">
        <v>1.0</v>
      </c>
      <c r="AX30" s="1" t="s">
        <v>74</v>
      </c>
      <c r="AY30" s="1" t="s">
        <v>74</v>
      </c>
      <c r="AZ30" s="1" t="s">
        <v>399</v>
      </c>
      <c r="BA30" s="1" t="s">
        <v>74</v>
      </c>
      <c r="BB30" s="1">
        <v>1.0</v>
      </c>
      <c r="BC30" s="1">
        <v>1.0</v>
      </c>
      <c r="BD30" s="1" t="s">
        <v>74</v>
      </c>
      <c r="BE30" s="1" t="s">
        <v>400</v>
      </c>
      <c r="BF30" s="2" t="str">
        <f>HYPERLINK("http://dx.doi.org/10.1007/s00775-024-02047-z","http://dx.doi.org/10.1007/s00775-024-02047-z")</f>
        <v>http://dx.doi.org/10.1007/s00775-024-02047-z</v>
      </c>
      <c r="BG30" s="1" t="s">
        <v>74</v>
      </c>
      <c r="BH30" s="1" t="s">
        <v>401</v>
      </c>
      <c r="BI30" s="1" t="s">
        <v>74</v>
      </c>
      <c r="BJ30" s="1" t="s">
        <v>74</v>
      </c>
      <c r="BK30" s="1" t="s">
        <v>74</v>
      </c>
      <c r="BL30" s="1" t="s">
        <v>74</v>
      </c>
      <c r="BM30" s="1" t="s">
        <v>74</v>
      </c>
      <c r="BN30" s="1">
        <v>3.8517517E7</v>
      </c>
      <c r="BO30" s="1" t="s">
        <v>74</v>
      </c>
      <c r="BP30" s="1" t="s">
        <v>74</v>
      </c>
      <c r="BQ30" s="1" t="s">
        <v>74</v>
      </c>
      <c r="BR30" s="1" t="s">
        <v>74</v>
      </c>
      <c r="BS30" s="1" t="s">
        <v>402</v>
      </c>
      <c r="BT30" s="1" t="str">
        <f>HYPERLINK("https%3A%2F%2Fwww.webofscience.com%2Fwos%2Fwoscc%2Ffull-record%2FWOS:001190290700001","View Full Record in Web of Science")</f>
        <v>View Full Record in Web of Science</v>
      </c>
    </row>
    <row r="31" ht="12.75" customHeight="1">
      <c r="A31" s="1" t="s">
        <v>72</v>
      </c>
      <c r="B31" s="1" t="s">
        <v>403</v>
      </c>
      <c r="C31" s="1" t="s">
        <v>74</v>
      </c>
      <c r="D31" s="1" t="s">
        <v>74</v>
      </c>
      <c r="E31" s="1" t="s">
        <v>74</v>
      </c>
      <c r="F31" s="1" t="s">
        <v>404</v>
      </c>
      <c r="G31" s="1" t="s">
        <v>74</v>
      </c>
      <c r="H31" s="1" t="s">
        <v>74</v>
      </c>
      <c r="I31" s="1" t="s">
        <v>405</v>
      </c>
      <c r="J31" s="1" t="s">
        <v>406</v>
      </c>
      <c r="K31" s="1" t="s">
        <v>74</v>
      </c>
      <c r="L31" s="1" t="s">
        <v>74</v>
      </c>
      <c r="M31" s="1" t="s">
        <v>74</v>
      </c>
      <c r="N31" s="1" t="s">
        <v>74</v>
      </c>
      <c r="O31" s="1" t="s">
        <v>74</v>
      </c>
      <c r="P31" s="1" t="s">
        <v>74</v>
      </c>
      <c r="Q31" s="1" t="s">
        <v>74</v>
      </c>
      <c r="R31" s="1" t="s">
        <v>74</v>
      </c>
      <c r="S31" s="1" t="s">
        <v>74</v>
      </c>
      <c r="T31" s="1" t="s">
        <v>74</v>
      </c>
      <c r="U31" s="1" t="s">
        <v>74</v>
      </c>
      <c r="V31" s="1" t="s">
        <v>407</v>
      </c>
      <c r="W31" s="1" t="s">
        <v>74</v>
      </c>
      <c r="X31" s="1" t="s">
        <v>74</v>
      </c>
      <c r="Y31" s="1" t="s">
        <v>74</v>
      </c>
      <c r="Z31" s="1" t="s">
        <v>74</v>
      </c>
      <c r="AA31" s="1" t="s">
        <v>408</v>
      </c>
      <c r="AB31" s="1" t="s">
        <v>409</v>
      </c>
      <c r="AC31" s="1" t="s">
        <v>74</v>
      </c>
      <c r="AD31" s="1" t="s">
        <v>74</v>
      </c>
      <c r="AE31" s="1" t="s">
        <v>74</v>
      </c>
      <c r="AF31" s="1" t="s">
        <v>74</v>
      </c>
      <c r="AG31" s="1" t="s">
        <v>74</v>
      </c>
      <c r="AH31" s="1" t="s">
        <v>74</v>
      </c>
      <c r="AI31" s="1" t="s">
        <v>74</v>
      </c>
      <c r="AJ31" s="1" t="s">
        <v>74</v>
      </c>
      <c r="AK31" s="1" t="s">
        <v>74</v>
      </c>
      <c r="AL31" s="1" t="s">
        <v>74</v>
      </c>
      <c r="AM31" s="1" t="s">
        <v>74</v>
      </c>
      <c r="AN31" s="1" t="s">
        <v>74</v>
      </c>
      <c r="AO31" s="1" t="s">
        <v>74</v>
      </c>
      <c r="AP31" s="1" t="s">
        <v>410</v>
      </c>
      <c r="AQ31" s="1" t="s">
        <v>74</v>
      </c>
      <c r="AR31" s="1" t="s">
        <v>74</v>
      </c>
      <c r="AS31" s="1" t="s">
        <v>74</v>
      </c>
      <c r="AT31" s="1" t="s">
        <v>411</v>
      </c>
      <c r="AU31" s="1">
        <v>2023.0</v>
      </c>
      <c r="AV31" s="1">
        <v>9.0</v>
      </c>
      <c r="AW31" s="1">
        <v>11.0</v>
      </c>
      <c r="AX31" s="1" t="s">
        <v>74</v>
      </c>
      <c r="AY31" s="1" t="s">
        <v>74</v>
      </c>
      <c r="AZ31" s="1" t="s">
        <v>74</v>
      </c>
      <c r="BA31" s="1" t="s">
        <v>74</v>
      </c>
      <c r="BB31" s="1" t="s">
        <v>74</v>
      </c>
      <c r="BC31" s="1" t="s">
        <v>74</v>
      </c>
      <c r="BD31" s="1" t="s">
        <v>412</v>
      </c>
      <c r="BE31" s="1" t="s">
        <v>413</v>
      </c>
      <c r="BF31" s="2" t="str">
        <f>HYPERLINK("http://dx.doi.org/10.1016/j.heliyon.2023.e21044","http://dx.doi.org/10.1016/j.heliyon.2023.e21044")</f>
        <v>http://dx.doi.org/10.1016/j.heliyon.2023.e21044</v>
      </c>
      <c r="BG31" s="1" t="s">
        <v>74</v>
      </c>
      <c r="BH31" s="1" t="s">
        <v>414</v>
      </c>
      <c r="BI31" s="1" t="s">
        <v>74</v>
      </c>
      <c r="BJ31" s="1" t="s">
        <v>74</v>
      </c>
      <c r="BK31" s="1" t="s">
        <v>74</v>
      </c>
      <c r="BL31" s="1" t="s">
        <v>74</v>
      </c>
      <c r="BM31" s="1" t="s">
        <v>74</v>
      </c>
      <c r="BN31" s="1">
        <v>3.7928014E7</v>
      </c>
      <c r="BO31" s="1" t="s">
        <v>74</v>
      </c>
      <c r="BP31" s="1" t="s">
        <v>74</v>
      </c>
      <c r="BQ31" s="1" t="s">
        <v>74</v>
      </c>
      <c r="BR31" s="1" t="s">
        <v>74</v>
      </c>
      <c r="BS31" s="1" t="s">
        <v>415</v>
      </c>
      <c r="BT31" s="1" t="str">
        <f>HYPERLINK("https%3A%2F%2Fwww.webofscience.com%2Fwos%2Fwoscc%2Ffull-record%2FWOS:001110508000001","View Full Record in Web of Science")</f>
        <v>View Full Record in Web of Science</v>
      </c>
    </row>
    <row r="32" ht="12.75" customHeight="1">
      <c r="A32" s="1" t="s">
        <v>72</v>
      </c>
      <c r="B32" s="1" t="s">
        <v>416</v>
      </c>
      <c r="C32" s="1" t="s">
        <v>74</v>
      </c>
      <c r="D32" s="1" t="s">
        <v>74</v>
      </c>
      <c r="E32" s="1" t="s">
        <v>74</v>
      </c>
      <c r="F32" s="1" t="s">
        <v>417</v>
      </c>
      <c r="G32" s="1" t="s">
        <v>74</v>
      </c>
      <c r="H32" s="1" t="s">
        <v>74</v>
      </c>
      <c r="I32" s="1" t="s">
        <v>418</v>
      </c>
      <c r="J32" s="1" t="s">
        <v>419</v>
      </c>
      <c r="K32" s="1" t="s">
        <v>74</v>
      </c>
      <c r="L32" s="1" t="s">
        <v>74</v>
      </c>
      <c r="M32" s="1" t="s">
        <v>74</v>
      </c>
      <c r="N32" s="1" t="s">
        <v>74</v>
      </c>
      <c r="O32" s="1" t="s">
        <v>74</v>
      </c>
      <c r="P32" s="1" t="s">
        <v>74</v>
      </c>
      <c r="Q32" s="1" t="s">
        <v>74</v>
      </c>
      <c r="R32" s="1" t="s">
        <v>74</v>
      </c>
      <c r="S32" s="1" t="s">
        <v>74</v>
      </c>
      <c r="T32" s="1" t="s">
        <v>74</v>
      </c>
      <c r="U32" s="1" t="s">
        <v>74</v>
      </c>
      <c r="V32" s="1" t="s">
        <v>420</v>
      </c>
      <c r="W32" s="1" t="s">
        <v>74</v>
      </c>
      <c r="X32" s="1" t="s">
        <v>74</v>
      </c>
      <c r="Y32" s="1" t="s">
        <v>74</v>
      </c>
      <c r="Z32" s="1" t="s">
        <v>74</v>
      </c>
      <c r="AA32" s="1" t="s">
        <v>421</v>
      </c>
      <c r="AB32" s="1" t="s">
        <v>422</v>
      </c>
      <c r="AC32" s="1" t="s">
        <v>74</v>
      </c>
      <c r="AD32" s="1" t="s">
        <v>74</v>
      </c>
      <c r="AE32" s="1" t="s">
        <v>74</v>
      </c>
      <c r="AF32" s="1" t="s">
        <v>74</v>
      </c>
      <c r="AG32" s="1" t="s">
        <v>74</v>
      </c>
      <c r="AH32" s="1" t="s">
        <v>74</v>
      </c>
      <c r="AI32" s="1" t="s">
        <v>74</v>
      </c>
      <c r="AJ32" s="1" t="s">
        <v>74</v>
      </c>
      <c r="AK32" s="1" t="s">
        <v>74</v>
      </c>
      <c r="AL32" s="1" t="s">
        <v>74</v>
      </c>
      <c r="AM32" s="1" t="s">
        <v>74</v>
      </c>
      <c r="AN32" s="1" t="s">
        <v>74</v>
      </c>
      <c r="AO32" s="1" t="s">
        <v>423</v>
      </c>
      <c r="AP32" s="1" t="s">
        <v>424</v>
      </c>
      <c r="AQ32" s="1" t="s">
        <v>74</v>
      </c>
      <c r="AR32" s="1" t="s">
        <v>74</v>
      </c>
      <c r="AS32" s="1" t="s">
        <v>74</v>
      </c>
      <c r="AT32" s="1" t="s">
        <v>425</v>
      </c>
      <c r="AU32" s="1">
        <v>2021.0</v>
      </c>
      <c r="AV32" s="1">
        <v>98.0</v>
      </c>
      <c r="AW32" s="1">
        <v>5.0</v>
      </c>
      <c r="AX32" s="1" t="s">
        <v>74</v>
      </c>
      <c r="AY32" s="1" t="s">
        <v>74</v>
      </c>
      <c r="AZ32" s="1" t="s">
        <v>74</v>
      </c>
      <c r="BA32" s="1" t="s">
        <v>74</v>
      </c>
      <c r="BB32" s="1">
        <v>1571.0</v>
      </c>
      <c r="BC32" s="1">
        <v>1582.0</v>
      </c>
      <c r="BD32" s="1" t="s">
        <v>74</v>
      </c>
      <c r="BE32" s="1" t="s">
        <v>426</v>
      </c>
      <c r="BF32" s="2" t="str">
        <f>HYPERLINK("http://dx.doi.org/10.1021/acs.jchemed.0c00557","http://dx.doi.org/10.1021/acs.jchemed.0c00557")</f>
        <v>http://dx.doi.org/10.1021/acs.jchemed.0c00557</v>
      </c>
      <c r="BG32" s="1" t="s">
        <v>74</v>
      </c>
      <c r="BH32" s="1" t="s">
        <v>427</v>
      </c>
      <c r="BI32" s="1" t="s">
        <v>74</v>
      </c>
      <c r="BJ32" s="1" t="s">
        <v>74</v>
      </c>
      <c r="BK32" s="1" t="s">
        <v>74</v>
      </c>
      <c r="BL32" s="1" t="s">
        <v>74</v>
      </c>
      <c r="BM32" s="1" t="s">
        <v>74</v>
      </c>
      <c r="BN32" s="1" t="s">
        <v>74</v>
      </c>
      <c r="BO32" s="1" t="s">
        <v>74</v>
      </c>
      <c r="BP32" s="1" t="s">
        <v>74</v>
      </c>
      <c r="BQ32" s="1" t="s">
        <v>74</v>
      </c>
      <c r="BR32" s="1" t="s">
        <v>74</v>
      </c>
      <c r="BS32" s="1" t="s">
        <v>428</v>
      </c>
      <c r="BT32" s="1" t="str">
        <f>HYPERLINK("https%3A%2F%2Fwww.webofscience.com%2Fwos%2Fwoscc%2Ffull-record%2FWOS:000651525900011","View Full Record in Web of Science")</f>
        <v>View Full Record in Web of Science</v>
      </c>
    </row>
    <row r="33" ht="12.75" customHeight="1">
      <c r="A33" s="1" t="s">
        <v>72</v>
      </c>
      <c r="B33" s="1" t="s">
        <v>429</v>
      </c>
      <c r="C33" s="1" t="s">
        <v>74</v>
      </c>
      <c r="D33" s="1" t="s">
        <v>74</v>
      </c>
      <c r="E33" s="1" t="s">
        <v>74</v>
      </c>
      <c r="F33" s="1" t="s">
        <v>430</v>
      </c>
      <c r="G33" s="1" t="s">
        <v>74</v>
      </c>
      <c r="H33" s="1" t="s">
        <v>74</v>
      </c>
      <c r="I33" s="1" t="s">
        <v>431</v>
      </c>
      <c r="J33" s="1" t="s">
        <v>432</v>
      </c>
      <c r="K33" s="1" t="s">
        <v>74</v>
      </c>
      <c r="L33" s="1" t="s">
        <v>74</v>
      </c>
      <c r="M33" s="1" t="s">
        <v>74</v>
      </c>
      <c r="N33" s="1" t="s">
        <v>74</v>
      </c>
      <c r="O33" s="1" t="s">
        <v>74</v>
      </c>
      <c r="P33" s="1" t="s">
        <v>74</v>
      </c>
      <c r="Q33" s="1" t="s">
        <v>74</v>
      </c>
      <c r="R33" s="1" t="s">
        <v>74</v>
      </c>
      <c r="S33" s="1" t="s">
        <v>74</v>
      </c>
      <c r="T33" s="1" t="s">
        <v>74</v>
      </c>
      <c r="U33" s="1" t="s">
        <v>74</v>
      </c>
      <c r="V33" s="1" t="s">
        <v>433</v>
      </c>
      <c r="W33" s="1" t="s">
        <v>74</v>
      </c>
      <c r="X33" s="1" t="s">
        <v>74</v>
      </c>
      <c r="Y33" s="1" t="s">
        <v>74</v>
      </c>
      <c r="Z33" s="1" t="s">
        <v>74</v>
      </c>
      <c r="AA33" s="1" t="s">
        <v>434</v>
      </c>
      <c r="AB33" s="1" t="s">
        <v>435</v>
      </c>
      <c r="AC33" s="1" t="s">
        <v>74</v>
      </c>
      <c r="AD33" s="1" t="s">
        <v>74</v>
      </c>
      <c r="AE33" s="1" t="s">
        <v>74</v>
      </c>
      <c r="AF33" s="1" t="s">
        <v>74</v>
      </c>
      <c r="AG33" s="1" t="s">
        <v>74</v>
      </c>
      <c r="AH33" s="1" t="s">
        <v>74</v>
      </c>
      <c r="AI33" s="1" t="s">
        <v>74</v>
      </c>
      <c r="AJ33" s="1" t="s">
        <v>74</v>
      </c>
      <c r="AK33" s="1" t="s">
        <v>74</v>
      </c>
      <c r="AL33" s="1" t="s">
        <v>74</v>
      </c>
      <c r="AM33" s="1" t="s">
        <v>74</v>
      </c>
      <c r="AN33" s="1" t="s">
        <v>74</v>
      </c>
      <c r="AO33" s="1" t="s">
        <v>436</v>
      </c>
      <c r="AP33" s="1" t="s">
        <v>437</v>
      </c>
      <c r="AQ33" s="1" t="s">
        <v>74</v>
      </c>
      <c r="AR33" s="1" t="s">
        <v>74</v>
      </c>
      <c r="AS33" s="1" t="s">
        <v>74</v>
      </c>
      <c r="AT33" s="1" t="s">
        <v>438</v>
      </c>
      <c r="AU33" s="1">
        <v>2021.0</v>
      </c>
      <c r="AV33" s="1">
        <v>113.0</v>
      </c>
      <c r="AW33" s="1" t="s">
        <v>74</v>
      </c>
      <c r="AX33" s="1" t="s">
        <v>74</v>
      </c>
      <c r="AY33" s="1" t="s">
        <v>74</v>
      </c>
      <c r="AZ33" s="1" t="s">
        <v>74</v>
      </c>
      <c r="BA33" s="1" t="s">
        <v>74</v>
      </c>
      <c r="BB33" s="1" t="s">
        <v>74</v>
      </c>
      <c r="BC33" s="1" t="s">
        <v>74</v>
      </c>
      <c r="BD33" s="1">
        <v>106518.0</v>
      </c>
      <c r="BE33" s="1" t="s">
        <v>439</v>
      </c>
      <c r="BF33" s="2" t="str">
        <f>HYPERLINK("http://dx.doi.org/10.1016/j.foodhyd.2020.106518","http://dx.doi.org/10.1016/j.foodhyd.2020.106518")</f>
        <v>http://dx.doi.org/10.1016/j.foodhyd.2020.106518</v>
      </c>
      <c r="BG33" s="1" t="s">
        <v>74</v>
      </c>
      <c r="BH33" s="1" t="s">
        <v>74</v>
      </c>
      <c r="BI33" s="1" t="s">
        <v>74</v>
      </c>
      <c r="BJ33" s="1" t="s">
        <v>74</v>
      </c>
      <c r="BK33" s="1" t="s">
        <v>74</v>
      </c>
      <c r="BL33" s="1" t="s">
        <v>74</v>
      </c>
      <c r="BM33" s="1" t="s">
        <v>74</v>
      </c>
      <c r="BN33" s="1" t="s">
        <v>74</v>
      </c>
      <c r="BO33" s="1" t="s">
        <v>74</v>
      </c>
      <c r="BP33" s="1" t="s">
        <v>74</v>
      </c>
      <c r="BQ33" s="1" t="s">
        <v>74</v>
      </c>
      <c r="BR33" s="1" t="s">
        <v>74</v>
      </c>
      <c r="BS33" s="1" t="s">
        <v>440</v>
      </c>
      <c r="BT33" s="1" t="str">
        <f>HYPERLINK("https%3A%2F%2Fwww.webofscience.com%2Fwos%2Fwoscc%2Ffull-record%2FWOS:000618066100003","View Full Record in Web of Science")</f>
        <v>View Full Record in Web of Science</v>
      </c>
    </row>
    <row r="34" ht="12.75" customHeight="1">
      <c r="A34" s="1" t="s">
        <v>72</v>
      </c>
      <c r="B34" s="1" t="s">
        <v>441</v>
      </c>
      <c r="C34" s="1" t="s">
        <v>74</v>
      </c>
      <c r="D34" s="1" t="s">
        <v>74</v>
      </c>
      <c r="E34" s="1" t="s">
        <v>74</v>
      </c>
      <c r="F34" s="1" t="s">
        <v>442</v>
      </c>
      <c r="G34" s="1" t="s">
        <v>74</v>
      </c>
      <c r="H34" s="1" t="s">
        <v>74</v>
      </c>
      <c r="I34" s="1" t="s">
        <v>443</v>
      </c>
      <c r="J34" s="1" t="s">
        <v>444</v>
      </c>
      <c r="K34" s="1" t="s">
        <v>74</v>
      </c>
      <c r="L34" s="1" t="s">
        <v>74</v>
      </c>
      <c r="M34" s="1" t="s">
        <v>74</v>
      </c>
      <c r="N34" s="1" t="s">
        <v>74</v>
      </c>
      <c r="O34" s="1" t="s">
        <v>74</v>
      </c>
      <c r="P34" s="1" t="s">
        <v>74</v>
      </c>
      <c r="Q34" s="1" t="s">
        <v>74</v>
      </c>
      <c r="R34" s="1" t="s">
        <v>74</v>
      </c>
      <c r="S34" s="1" t="s">
        <v>74</v>
      </c>
      <c r="T34" s="1" t="s">
        <v>74</v>
      </c>
      <c r="U34" s="1" t="s">
        <v>74</v>
      </c>
      <c r="V34" s="1" t="s">
        <v>445</v>
      </c>
      <c r="W34" s="1" t="s">
        <v>74</v>
      </c>
      <c r="X34" s="1" t="s">
        <v>74</v>
      </c>
      <c r="Y34" s="1" t="s">
        <v>74</v>
      </c>
      <c r="Z34" s="1" t="s">
        <v>74</v>
      </c>
      <c r="AA34" s="1" t="s">
        <v>446</v>
      </c>
      <c r="AB34" s="1" t="s">
        <v>447</v>
      </c>
      <c r="AC34" s="1" t="s">
        <v>74</v>
      </c>
      <c r="AD34" s="1" t="s">
        <v>74</v>
      </c>
      <c r="AE34" s="1" t="s">
        <v>74</v>
      </c>
      <c r="AF34" s="1" t="s">
        <v>74</v>
      </c>
      <c r="AG34" s="1" t="s">
        <v>74</v>
      </c>
      <c r="AH34" s="1" t="s">
        <v>74</v>
      </c>
      <c r="AI34" s="1" t="s">
        <v>74</v>
      </c>
      <c r="AJ34" s="1" t="s">
        <v>74</v>
      </c>
      <c r="AK34" s="1" t="s">
        <v>74</v>
      </c>
      <c r="AL34" s="1" t="s">
        <v>74</v>
      </c>
      <c r="AM34" s="1" t="s">
        <v>74</v>
      </c>
      <c r="AN34" s="1" t="s">
        <v>74</v>
      </c>
      <c r="AO34" s="1" t="s">
        <v>448</v>
      </c>
      <c r="AP34" s="1" t="s">
        <v>74</v>
      </c>
      <c r="AQ34" s="1" t="s">
        <v>74</v>
      </c>
      <c r="AR34" s="1" t="s">
        <v>74</v>
      </c>
      <c r="AS34" s="1" t="s">
        <v>74</v>
      </c>
      <c r="AT34" s="1" t="s">
        <v>449</v>
      </c>
      <c r="AU34" s="1">
        <v>2020.0</v>
      </c>
      <c r="AV34" s="1">
        <v>11.0</v>
      </c>
      <c r="AW34" s="1" t="s">
        <v>74</v>
      </c>
      <c r="AX34" s="1" t="s">
        <v>74</v>
      </c>
      <c r="AY34" s="1" t="s">
        <v>74</v>
      </c>
      <c r="AZ34" s="1" t="s">
        <v>74</v>
      </c>
      <c r="BA34" s="1" t="s">
        <v>74</v>
      </c>
      <c r="BB34" s="1" t="s">
        <v>74</v>
      </c>
      <c r="BC34" s="1" t="s">
        <v>74</v>
      </c>
      <c r="BD34" s="1">
        <v>1125.0</v>
      </c>
      <c r="BE34" s="1" t="s">
        <v>450</v>
      </c>
      <c r="BF34" s="2" t="str">
        <f>HYPERLINK("http://dx.doi.org/10.3389/fphar.2020.01125","http://dx.doi.org/10.3389/fphar.2020.01125")</f>
        <v>http://dx.doi.org/10.3389/fphar.2020.01125</v>
      </c>
      <c r="BG34" s="1" t="s">
        <v>74</v>
      </c>
      <c r="BH34" s="1" t="s">
        <v>74</v>
      </c>
      <c r="BI34" s="1" t="s">
        <v>74</v>
      </c>
      <c r="BJ34" s="1" t="s">
        <v>74</v>
      </c>
      <c r="BK34" s="1" t="s">
        <v>74</v>
      </c>
      <c r="BL34" s="1" t="s">
        <v>74</v>
      </c>
      <c r="BM34" s="1" t="s">
        <v>74</v>
      </c>
      <c r="BN34" s="1">
        <v>3.2848744E7</v>
      </c>
      <c r="BO34" s="1" t="s">
        <v>74</v>
      </c>
      <c r="BP34" s="1" t="s">
        <v>74</v>
      </c>
      <c r="BQ34" s="1" t="s">
        <v>74</v>
      </c>
      <c r="BR34" s="1" t="s">
        <v>74</v>
      </c>
      <c r="BS34" s="1" t="s">
        <v>451</v>
      </c>
      <c r="BT34" s="1" t="str">
        <f>HYPERLINK("https%3A%2F%2Fwww.webofscience.com%2Fwos%2Fwoscc%2Ffull-record%2FWOS:000561214200001","View Full Record in Web of Science")</f>
        <v>View Full Record in Web of Science</v>
      </c>
    </row>
    <row r="35" ht="12.75" customHeight="1">
      <c r="A35" s="1" t="s">
        <v>72</v>
      </c>
      <c r="B35" s="1" t="s">
        <v>452</v>
      </c>
      <c r="C35" s="1" t="s">
        <v>74</v>
      </c>
      <c r="D35" s="1" t="s">
        <v>74</v>
      </c>
      <c r="E35" s="1" t="s">
        <v>74</v>
      </c>
      <c r="F35" s="1" t="s">
        <v>453</v>
      </c>
      <c r="G35" s="1" t="s">
        <v>74</v>
      </c>
      <c r="H35" s="1" t="s">
        <v>74</v>
      </c>
      <c r="I35" s="1" t="s">
        <v>454</v>
      </c>
      <c r="J35" s="1" t="s">
        <v>455</v>
      </c>
      <c r="K35" s="1" t="s">
        <v>74</v>
      </c>
      <c r="L35" s="1" t="s">
        <v>74</v>
      </c>
      <c r="M35" s="1" t="s">
        <v>74</v>
      </c>
      <c r="N35" s="1" t="s">
        <v>74</v>
      </c>
      <c r="O35" s="1" t="s">
        <v>456</v>
      </c>
      <c r="P35" s="1" t="s">
        <v>457</v>
      </c>
      <c r="Q35" s="1" t="s">
        <v>458</v>
      </c>
      <c r="R35" s="1" t="s">
        <v>74</v>
      </c>
      <c r="S35" s="1" t="s">
        <v>74</v>
      </c>
      <c r="T35" s="1" t="s">
        <v>74</v>
      </c>
      <c r="U35" s="1" t="s">
        <v>74</v>
      </c>
      <c r="V35" s="1" t="s">
        <v>459</v>
      </c>
      <c r="W35" s="1" t="s">
        <v>74</v>
      </c>
      <c r="X35" s="1" t="s">
        <v>74</v>
      </c>
      <c r="Y35" s="1" t="s">
        <v>74</v>
      </c>
      <c r="Z35" s="1" t="s">
        <v>74</v>
      </c>
      <c r="AA35" s="1" t="s">
        <v>460</v>
      </c>
      <c r="AB35" s="1" t="s">
        <v>461</v>
      </c>
      <c r="AC35" s="1" t="s">
        <v>74</v>
      </c>
      <c r="AD35" s="1" t="s">
        <v>74</v>
      </c>
      <c r="AE35" s="1" t="s">
        <v>74</v>
      </c>
      <c r="AF35" s="1" t="s">
        <v>74</v>
      </c>
      <c r="AG35" s="1" t="s">
        <v>74</v>
      </c>
      <c r="AH35" s="1" t="s">
        <v>74</v>
      </c>
      <c r="AI35" s="1" t="s">
        <v>74</v>
      </c>
      <c r="AJ35" s="1" t="s">
        <v>74</v>
      </c>
      <c r="AK35" s="1" t="s">
        <v>74</v>
      </c>
      <c r="AL35" s="1" t="s">
        <v>74</v>
      </c>
      <c r="AM35" s="1" t="s">
        <v>74</v>
      </c>
      <c r="AN35" s="1" t="s">
        <v>74</v>
      </c>
      <c r="AO35" s="1" t="s">
        <v>462</v>
      </c>
      <c r="AP35" s="1" t="s">
        <v>463</v>
      </c>
      <c r="AQ35" s="1" t="s">
        <v>74</v>
      </c>
      <c r="AR35" s="1" t="s">
        <v>74</v>
      </c>
      <c r="AS35" s="1" t="s">
        <v>74</v>
      </c>
      <c r="AT35" s="1" t="s">
        <v>464</v>
      </c>
      <c r="AU35" s="1">
        <v>2020.0</v>
      </c>
      <c r="AV35" s="1">
        <v>24.0</v>
      </c>
      <c r="AW35" s="1">
        <v>1.0</v>
      </c>
      <c r="AX35" s="1" t="s">
        <v>74</v>
      </c>
      <c r="AY35" s="1" t="s">
        <v>74</v>
      </c>
      <c r="AZ35" s="1" t="s">
        <v>399</v>
      </c>
      <c r="BA35" s="1" t="s">
        <v>74</v>
      </c>
      <c r="BB35" s="1">
        <v>43.0</v>
      </c>
      <c r="BC35" s="1">
        <v>52.0</v>
      </c>
      <c r="BD35" s="1" t="s">
        <v>74</v>
      </c>
      <c r="BE35" s="1" t="s">
        <v>465</v>
      </c>
      <c r="BF35" s="2" t="str">
        <f>HYPERLINK("http://dx.doi.org/10.1007/s00792-019-01111-w","http://dx.doi.org/10.1007/s00792-019-01111-w")</f>
        <v>http://dx.doi.org/10.1007/s00792-019-01111-w</v>
      </c>
      <c r="BG35" s="1" t="s">
        <v>74</v>
      </c>
      <c r="BH35" s="1" t="s">
        <v>74</v>
      </c>
      <c r="BI35" s="1" t="s">
        <v>74</v>
      </c>
      <c r="BJ35" s="1" t="s">
        <v>74</v>
      </c>
      <c r="BK35" s="1" t="s">
        <v>74</v>
      </c>
      <c r="BL35" s="1" t="s">
        <v>74</v>
      </c>
      <c r="BM35" s="1" t="s">
        <v>74</v>
      </c>
      <c r="BN35" s="1">
        <v>3.1324985E7</v>
      </c>
      <c r="BO35" s="1" t="s">
        <v>74</v>
      </c>
      <c r="BP35" s="1" t="s">
        <v>74</v>
      </c>
      <c r="BQ35" s="1" t="s">
        <v>74</v>
      </c>
      <c r="BR35" s="1" t="s">
        <v>74</v>
      </c>
      <c r="BS35" s="1" t="s">
        <v>466</v>
      </c>
      <c r="BT35" s="1" t="str">
        <f>HYPERLINK("https%3A%2F%2Fwww.webofscience.com%2Fwos%2Fwoscc%2Ffull-record%2FWOS:000511855700004","View Full Record in Web of Science")</f>
        <v>View Full Record in Web of Science</v>
      </c>
    </row>
    <row r="36" ht="12.75" customHeight="1">
      <c r="A36" s="1" t="s">
        <v>72</v>
      </c>
      <c r="B36" s="1" t="s">
        <v>467</v>
      </c>
      <c r="C36" s="1" t="s">
        <v>74</v>
      </c>
      <c r="D36" s="1" t="s">
        <v>74</v>
      </c>
      <c r="E36" s="1" t="s">
        <v>74</v>
      </c>
      <c r="F36" s="1" t="s">
        <v>468</v>
      </c>
      <c r="G36" s="1" t="s">
        <v>74</v>
      </c>
      <c r="H36" s="1" t="s">
        <v>74</v>
      </c>
      <c r="I36" s="1" t="s">
        <v>469</v>
      </c>
      <c r="J36" s="1" t="s">
        <v>470</v>
      </c>
      <c r="K36" s="1" t="s">
        <v>74</v>
      </c>
      <c r="L36" s="1" t="s">
        <v>74</v>
      </c>
      <c r="M36" s="1" t="s">
        <v>74</v>
      </c>
      <c r="N36" s="1" t="s">
        <v>74</v>
      </c>
      <c r="O36" s="1" t="s">
        <v>74</v>
      </c>
      <c r="P36" s="1" t="s">
        <v>74</v>
      </c>
      <c r="Q36" s="1" t="s">
        <v>74</v>
      </c>
      <c r="R36" s="1" t="s">
        <v>74</v>
      </c>
      <c r="S36" s="1" t="s">
        <v>74</v>
      </c>
      <c r="T36" s="1" t="s">
        <v>74</v>
      </c>
      <c r="U36" s="1" t="s">
        <v>74</v>
      </c>
      <c r="V36" s="1" t="s">
        <v>471</v>
      </c>
      <c r="W36" s="1" t="s">
        <v>74</v>
      </c>
      <c r="X36" s="1" t="s">
        <v>74</v>
      </c>
      <c r="Y36" s="1" t="s">
        <v>74</v>
      </c>
      <c r="Z36" s="1" t="s">
        <v>74</v>
      </c>
      <c r="AA36" s="1" t="s">
        <v>472</v>
      </c>
      <c r="AB36" s="1" t="s">
        <v>473</v>
      </c>
      <c r="AC36" s="1" t="s">
        <v>74</v>
      </c>
      <c r="AD36" s="1" t="s">
        <v>74</v>
      </c>
      <c r="AE36" s="1" t="s">
        <v>74</v>
      </c>
      <c r="AF36" s="1" t="s">
        <v>74</v>
      </c>
      <c r="AG36" s="1" t="s">
        <v>74</v>
      </c>
      <c r="AH36" s="1" t="s">
        <v>74</v>
      </c>
      <c r="AI36" s="1" t="s">
        <v>74</v>
      </c>
      <c r="AJ36" s="1" t="s">
        <v>74</v>
      </c>
      <c r="AK36" s="1" t="s">
        <v>74</v>
      </c>
      <c r="AL36" s="1" t="s">
        <v>74</v>
      </c>
      <c r="AM36" s="1" t="s">
        <v>74</v>
      </c>
      <c r="AN36" s="1" t="s">
        <v>74</v>
      </c>
      <c r="AO36" s="1" t="s">
        <v>474</v>
      </c>
      <c r="AP36" s="1" t="s">
        <v>74</v>
      </c>
      <c r="AQ36" s="1" t="s">
        <v>74</v>
      </c>
      <c r="AR36" s="1" t="s">
        <v>74</v>
      </c>
      <c r="AS36" s="1" t="s">
        <v>74</v>
      </c>
      <c r="AT36" s="1" t="s">
        <v>74</v>
      </c>
      <c r="AU36" s="1">
        <v>2020.0</v>
      </c>
      <c r="AV36" s="1">
        <v>8.0</v>
      </c>
      <c r="AW36" s="1" t="s">
        <v>74</v>
      </c>
      <c r="AX36" s="1" t="s">
        <v>74</v>
      </c>
      <c r="AY36" s="1" t="s">
        <v>74</v>
      </c>
      <c r="AZ36" s="1" t="s">
        <v>74</v>
      </c>
      <c r="BA36" s="1" t="s">
        <v>74</v>
      </c>
      <c r="BB36" s="1">
        <v>193412.0</v>
      </c>
      <c r="BC36" s="1">
        <v>193448.0</v>
      </c>
      <c r="BD36" s="1" t="s">
        <v>74</v>
      </c>
      <c r="BE36" s="1" t="s">
        <v>475</v>
      </c>
      <c r="BF36" s="2" t="str">
        <f>HYPERLINK("http://dx.doi.org/10.1109/ACCESS.2020.3032378","http://dx.doi.org/10.1109/ACCESS.2020.3032378")</f>
        <v>http://dx.doi.org/10.1109/ACCESS.2020.3032378</v>
      </c>
      <c r="BG36" s="1" t="s">
        <v>74</v>
      </c>
      <c r="BH36" s="1" t="s">
        <v>74</v>
      </c>
      <c r="BI36" s="1" t="s">
        <v>74</v>
      </c>
      <c r="BJ36" s="1" t="s">
        <v>74</v>
      </c>
      <c r="BK36" s="1" t="s">
        <v>74</v>
      </c>
      <c r="BL36" s="1" t="s">
        <v>74</v>
      </c>
      <c r="BM36" s="1" t="s">
        <v>74</v>
      </c>
      <c r="BN36" s="1" t="s">
        <v>74</v>
      </c>
      <c r="BO36" s="1" t="s">
        <v>74</v>
      </c>
      <c r="BP36" s="1" t="s">
        <v>74</v>
      </c>
      <c r="BQ36" s="1" t="s">
        <v>74</v>
      </c>
      <c r="BR36" s="1" t="s">
        <v>74</v>
      </c>
      <c r="BS36" s="1" t="s">
        <v>476</v>
      </c>
      <c r="BT36" s="1" t="str">
        <f>HYPERLINK("https%3A%2F%2Fwww.webofscience.com%2Fwos%2Fwoscc%2Ffull-record%2FWOS:000589751900001","View Full Record in Web of Science")</f>
        <v>View Full Record in Web of Science</v>
      </c>
    </row>
    <row r="37" ht="12.75" customHeight="1">
      <c r="A37" s="1" t="s">
        <v>72</v>
      </c>
      <c r="B37" s="1" t="s">
        <v>477</v>
      </c>
      <c r="C37" s="1" t="s">
        <v>74</v>
      </c>
      <c r="D37" s="1" t="s">
        <v>74</v>
      </c>
      <c r="E37" s="1" t="s">
        <v>74</v>
      </c>
      <c r="F37" s="1" t="s">
        <v>478</v>
      </c>
      <c r="G37" s="1" t="s">
        <v>74</v>
      </c>
      <c r="H37" s="1" t="s">
        <v>74</v>
      </c>
      <c r="I37" s="1" t="s">
        <v>479</v>
      </c>
      <c r="J37" s="1" t="s">
        <v>480</v>
      </c>
      <c r="K37" s="1" t="s">
        <v>74</v>
      </c>
      <c r="L37" s="1" t="s">
        <v>74</v>
      </c>
      <c r="M37" s="1" t="s">
        <v>74</v>
      </c>
      <c r="N37" s="1" t="s">
        <v>74</v>
      </c>
      <c r="O37" s="1" t="s">
        <v>74</v>
      </c>
      <c r="P37" s="1" t="s">
        <v>74</v>
      </c>
      <c r="Q37" s="1" t="s">
        <v>74</v>
      </c>
      <c r="R37" s="1" t="s">
        <v>74</v>
      </c>
      <c r="S37" s="1" t="s">
        <v>74</v>
      </c>
      <c r="T37" s="1" t="s">
        <v>74</v>
      </c>
      <c r="U37" s="1" t="s">
        <v>74</v>
      </c>
      <c r="V37" s="1" t="s">
        <v>481</v>
      </c>
      <c r="W37" s="1" t="s">
        <v>74</v>
      </c>
      <c r="X37" s="1" t="s">
        <v>74</v>
      </c>
      <c r="Y37" s="1" t="s">
        <v>74</v>
      </c>
      <c r="Z37" s="1" t="s">
        <v>74</v>
      </c>
      <c r="AA37" s="1" t="s">
        <v>482</v>
      </c>
      <c r="AB37" s="1" t="s">
        <v>483</v>
      </c>
      <c r="AC37" s="1" t="s">
        <v>74</v>
      </c>
      <c r="AD37" s="1" t="s">
        <v>74</v>
      </c>
      <c r="AE37" s="1" t="s">
        <v>74</v>
      </c>
      <c r="AF37" s="1" t="s">
        <v>74</v>
      </c>
      <c r="AG37" s="1" t="s">
        <v>74</v>
      </c>
      <c r="AH37" s="1" t="s">
        <v>74</v>
      </c>
      <c r="AI37" s="1" t="s">
        <v>74</v>
      </c>
      <c r="AJ37" s="1" t="s">
        <v>74</v>
      </c>
      <c r="AK37" s="1" t="s">
        <v>74</v>
      </c>
      <c r="AL37" s="1" t="s">
        <v>74</v>
      </c>
      <c r="AM37" s="1" t="s">
        <v>74</v>
      </c>
      <c r="AN37" s="1" t="s">
        <v>74</v>
      </c>
      <c r="AO37" s="1" t="s">
        <v>484</v>
      </c>
      <c r="AP37" s="1" t="s">
        <v>485</v>
      </c>
      <c r="AQ37" s="1" t="s">
        <v>74</v>
      </c>
      <c r="AR37" s="1" t="s">
        <v>74</v>
      </c>
      <c r="AS37" s="1" t="s">
        <v>74</v>
      </c>
      <c r="AT37" s="1" t="s">
        <v>377</v>
      </c>
      <c r="AU37" s="1">
        <v>2019.0</v>
      </c>
      <c r="AV37" s="1">
        <v>102.0</v>
      </c>
      <c r="AW37" s="1" t="s">
        <v>74</v>
      </c>
      <c r="AX37" s="1" t="s">
        <v>74</v>
      </c>
      <c r="AY37" s="1" t="s">
        <v>74</v>
      </c>
      <c r="AZ37" s="1" t="s">
        <v>74</v>
      </c>
      <c r="BA37" s="1" t="s">
        <v>74</v>
      </c>
      <c r="BB37" s="1">
        <v>78.0</v>
      </c>
      <c r="BC37" s="1">
        <v>82.0</v>
      </c>
      <c r="BD37" s="1" t="s">
        <v>74</v>
      </c>
      <c r="BE37" s="1" t="s">
        <v>486</v>
      </c>
      <c r="BF37" s="2" t="str">
        <f>HYPERLINK("http://dx.doi.org/10.1016/j.elecom.2019.04.005","http://dx.doi.org/10.1016/j.elecom.2019.04.005")</f>
        <v>http://dx.doi.org/10.1016/j.elecom.2019.04.005</v>
      </c>
      <c r="BG37" s="1" t="s">
        <v>74</v>
      </c>
      <c r="BH37" s="1" t="s">
        <v>74</v>
      </c>
      <c r="BI37" s="1" t="s">
        <v>74</v>
      </c>
      <c r="BJ37" s="1" t="s">
        <v>74</v>
      </c>
      <c r="BK37" s="1" t="s">
        <v>74</v>
      </c>
      <c r="BL37" s="1" t="s">
        <v>74</v>
      </c>
      <c r="BM37" s="1" t="s">
        <v>74</v>
      </c>
      <c r="BN37" s="1" t="s">
        <v>74</v>
      </c>
      <c r="BO37" s="1" t="s">
        <v>74</v>
      </c>
      <c r="BP37" s="1" t="s">
        <v>74</v>
      </c>
      <c r="BQ37" s="1" t="s">
        <v>74</v>
      </c>
      <c r="BR37" s="1" t="s">
        <v>74</v>
      </c>
      <c r="BS37" s="1" t="s">
        <v>487</v>
      </c>
      <c r="BT37" s="1" t="str">
        <f>HYPERLINK("https%3A%2F%2Fwww.webofscience.com%2Fwos%2Fwoscc%2Ffull-record%2FWOS:000465448100015","View Full Record in Web of Science")</f>
        <v>View Full Record in Web of Science</v>
      </c>
    </row>
    <row r="38" ht="12.75" customHeight="1">
      <c r="A38" s="1" t="s">
        <v>72</v>
      </c>
      <c r="B38" s="1" t="s">
        <v>488</v>
      </c>
      <c r="C38" s="1" t="s">
        <v>74</v>
      </c>
      <c r="D38" s="1" t="s">
        <v>74</v>
      </c>
      <c r="E38" s="1" t="s">
        <v>74</v>
      </c>
      <c r="F38" s="1" t="s">
        <v>489</v>
      </c>
      <c r="G38" s="1" t="s">
        <v>74</v>
      </c>
      <c r="H38" s="1" t="s">
        <v>74</v>
      </c>
      <c r="I38" s="1" t="s">
        <v>490</v>
      </c>
      <c r="J38" s="1" t="s">
        <v>491</v>
      </c>
      <c r="K38" s="1" t="s">
        <v>74</v>
      </c>
      <c r="L38" s="1" t="s">
        <v>74</v>
      </c>
      <c r="M38" s="1" t="s">
        <v>74</v>
      </c>
      <c r="N38" s="1" t="s">
        <v>74</v>
      </c>
      <c r="O38" s="1" t="s">
        <v>74</v>
      </c>
      <c r="P38" s="1" t="s">
        <v>74</v>
      </c>
      <c r="Q38" s="1" t="s">
        <v>74</v>
      </c>
      <c r="R38" s="1" t="s">
        <v>74</v>
      </c>
      <c r="S38" s="1" t="s">
        <v>74</v>
      </c>
      <c r="T38" s="1" t="s">
        <v>74</v>
      </c>
      <c r="U38" s="1" t="s">
        <v>74</v>
      </c>
      <c r="V38" s="1" t="s">
        <v>492</v>
      </c>
      <c r="W38" s="1" t="s">
        <v>74</v>
      </c>
      <c r="X38" s="1" t="s">
        <v>74</v>
      </c>
      <c r="Y38" s="1" t="s">
        <v>74</v>
      </c>
      <c r="Z38" s="1" t="s">
        <v>74</v>
      </c>
      <c r="AA38" s="1" t="s">
        <v>74</v>
      </c>
      <c r="AB38" s="1" t="s">
        <v>493</v>
      </c>
      <c r="AC38" s="1" t="s">
        <v>74</v>
      </c>
      <c r="AD38" s="1" t="s">
        <v>74</v>
      </c>
      <c r="AE38" s="1" t="s">
        <v>74</v>
      </c>
      <c r="AF38" s="1" t="s">
        <v>74</v>
      </c>
      <c r="AG38" s="1" t="s">
        <v>74</v>
      </c>
      <c r="AH38" s="1" t="s">
        <v>74</v>
      </c>
      <c r="AI38" s="1" t="s">
        <v>74</v>
      </c>
      <c r="AJ38" s="1" t="s">
        <v>74</v>
      </c>
      <c r="AK38" s="1" t="s">
        <v>74</v>
      </c>
      <c r="AL38" s="1" t="s">
        <v>74</v>
      </c>
      <c r="AM38" s="1" t="s">
        <v>74</v>
      </c>
      <c r="AN38" s="1" t="s">
        <v>74</v>
      </c>
      <c r="AO38" s="1" t="s">
        <v>494</v>
      </c>
      <c r="AP38" s="1" t="s">
        <v>495</v>
      </c>
      <c r="AQ38" s="1" t="s">
        <v>74</v>
      </c>
      <c r="AR38" s="1" t="s">
        <v>74</v>
      </c>
      <c r="AS38" s="1" t="s">
        <v>74</v>
      </c>
      <c r="AT38" s="1" t="s">
        <v>348</v>
      </c>
      <c r="AU38" s="1">
        <v>2018.0</v>
      </c>
      <c r="AV38" s="1">
        <v>504.0</v>
      </c>
      <c r="AW38" s="1" t="s">
        <v>74</v>
      </c>
      <c r="AX38" s="1" t="s">
        <v>74</v>
      </c>
      <c r="AY38" s="1" t="s">
        <v>74</v>
      </c>
      <c r="AZ38" s="1" t="s">
        <v>74</v>
      </c>
      <c r="BA38" s="1" t="s">
        <v>74</v>
      </c>
      <c r="BB38" s="1">
        <v>336.0</v>
      </c>
      <c r="BC38" s="1">
        <v>363.0</v>
      </c>
      <c r="BD38" s="1" t="s">
        <v>74</v>
      </c>
      <c r="BE38" s="1" t="s">
        <v>496</v>
      </c>
      <c r="BF38" s="2" t="str">
        <f>HYPERLINK("http://dx.doi.org/10.1016/j.jalgebra.2018.01.049","http://dx.doi.org/10.1016/j.jalgebra.2018.01.049")</f>
        <v>http://dx.doi.org/10.1016/j.jalgebra.2018.01.049</v>
      </c>
      <c r="BG38" s="1" t="s">
        <v>74</v>
      </c>
      <c r="BH38" s="1" t="s">
        <v>74</v>
      </c>
      <c r="BI38" s="1" t="s">
        <v>74</v>
      </c>
      <c r="BJ38" s="1" t="s">
        <v>74</v>
      </c>
      <c r="BK38" s="1" t="s">
        <v>74</v>
      </c>
      <c r="BL38" s="1" t="s">
        <v>74</v>
      </c>
      <c r="BM38" s="1" t="s">
        <v>74</v>
      </c>
      <c r="BN38" s="1" t="s">
        <v>74</v>
      </c>
      <c r="BO38" s="1" t="s">
        <v>74</v>
      </c>
      <c r="BP38" s="1" t="s">
        <v>74</v>
      </c>
      <c r="BQ38" s="1" t="s">
        <v>74</v>
      </c>
      <c r="BR38" s="1" t="s">
        <v>74</v>
      </c>
      <c r="BS38" s="1" t="s">
        <v>497</v>
      </c>
      <c r="BT38" s="1" t="str">
        <f>HYPERLINK("https%3A%2F%2Fwww.webofscience.com%2Fwos%2Fwoscc%2Ffull-record%2FWOS:000431284200010","View Full Record in Web of Science")</f>
        <v>View Full Record in Web of Science</v>
      </c>
    </row>
    <row r="39" ht="12.75" customHeight="1">
      <c r="A39" s="1" t="s">
        <v>72</v>
      </c>
      <c r="B39" s="1" t="s">
        <v>498</v>
      </c>
      <c r="C39" s="1" t="s">
        <v>74</v>
      </c>
      <c r="D39" s="1" t="s">
        <v>74</v>
      </c>
      <c r="E39" s="1" t="s">
        <v>74</v>
      </c>
      <c r="F39" s="1" t="s">
        <v>499</v>
      </c>
      <c r="G39" s="1" t="s">
        <v>74</v>
      </c>
      <c r="H39" s="1" t="s">
        <v>74</v>
      </c>
      <c r="I39" s="1" t="s">
        <v>500</v>
      </c>
      <c r="J39" s="1" t="s">
        <v>501</v>
      </c>
      <c r="K39" s="1" t="s">
        <v>74</v>
      </c>
      <c r="L39" s="1" t="s">
        <v>74</v>
      </c>
      <c r="M39" s="1" t="s">
        <v>74</v>
      </c>
      <c r="N39" s="1" t="s">
        <v>74</v>
      </c>
      <c r="O39" s="1" t="s">
        <v>74</v>
      </c>
      <c r="P39" s="1" t="s">
        <v>74</v>
      </c>
      <c r="Q39" s="1" t="s">
        <v>74</v>
      </c>
      <c r="R39" s="1" t="s">
        <v>74</v>
      </c>
      <c r="S39" s="1" t="s">
        <v>74</v>
      </c>
      <c r="T39" s="1" t="s">
        <v>74</v>
      </c>
      <c r="U39" s="1" t="s">
        <v>74</v>
      </c>
      <c r="V39" s="1" t="s">
        <v>502</v>
      </c>
      <c r="W39" s="1" t="s">
        <v>74</v>
      </c>
      <c r="X39" s="1" t="s">
        <v>74</v>
      </c>
      <c r="Y39" s="1" t="s">
        <v>74</v>
      </c>
      <c r="Z39" s="1" t="s">
        <v>74</v>
      </c>
      <c r="AA39" s="1" t="s">
        <v>503</v>
      </c>
      <c r="AB39" s="1" t="s">
        <v>504</v>
      </c>
      <c r="AC39" s="1" t="s">
        <v>74</v>
      </c>
      <c r="AD39" s="1" t="s">
        <v>74</v>
      </c>
      <c r="AE39" s="1" t="s">
        <v>74</v>
      </c>
      <c r="AF39" s="1" t="s">
        <v>74</v>
      </c>
      <c r="AG39" s="1" t="s">
        <v>74</v>
      </c>
      <c r="AH39" s="1" t="s">
        <v>74</v>
      </c>
      <c r="AI39" s="1" t="s">
        <v>74</v>
      </c>
      <c r="AJ39" s="1" t="s">
        <v>74</v>
      </c>
      <c r="AK39" s="1" t="s">
        <v>74</v>
      </c>
      <c r="AL39" s="1" t="s">
        <v>74</v>
      </c>
      <c r="AM39" s="1" t="s">
        <v>74</v>
      </c>
      <c r="AN39" s="1" t="s">
        <v>74</v>
      </c>
      <c r="AO39" s="1" t="s">
        <v>505</v>
      </c>
      <c r="AP39" s="1" t="s">
        <v>506</v>
      </c>
      <c r="AQ39" s="1" t="s">
        <v>74</v>
      </c>
      <c r="AR39" s="1" t="s">
        <v>74</v>
      </c>
      <c r="AS39" s="1" t="s">
        <v>74</v>
      </c>
      <c r="AT39" s="1" t="s">
        <v>96</v>
      </c>
      <c r="AU39" s="1">
        <v>2018.0</v>
      </c>
      <c r="AV39" s="1">
        <v>69.0</v>
      </c>
      <c r="AW39" s="1" t="s">
        <v>74</v>
      </c>
      <c r="AX39" s="1" t="s">
        <v>74</v>
      </c>
      <c r="AY39" s="1" t="s">
        <v>74</v>
      </c>
      <c r="AZ39" s="1" t="s">
        <v>74</v>
      </c>
      <c r="BA39" s="1" t="s">
        <v>74</v>
      </c>
      <c r="BB39" s="1">
        <v>336.0</v>
      </c>
      <c r="BC39" s="1">
        <v>350.0</v>
      </c>
      <c r="BD39" s="1" t="s">
        <v>74</v>
      </c>
      <c r="BE39" s="1" t="s">
        <v>507</v>
      </c>
      <c r="BF39" s="2" t="str">
        <f>HYPERLINK("http://dx.doi.org/10.1016/j.bbi.2017.12.007","http://dx.doi.org/10.1016/j.bbi.2017.12.007")</f>
        <v>http://dx.doi.org/10.1016/j.bbi.2017.12.007</v>
      </c>
      <c r="BG39" s="1" t="s">
        <v>74</v>
      </c>
      <c r="BH39" s="1" t="s">
        <v>74</v>
      </c>
      <c r="BI39" s="1" t="s">
        <v>74</v>
      </c>
      <c r="BJ39" s="1" t="s">
        <v>74</v>
      </c>
      <c r="BK39" s="1" t="s">
        <v>74</v>
      </c>
      <c r="BL39" s="1" t="s">
        <v>74</v>
      </c>
      <c r="BM39" s="1" t="s">
        <v>74</v>
      </c>
      <c r="BN39" s="1">
        <v>2.9246456E7</v>
      </c>
      <c r="BO39" s="1" t="s">
        <v>74</v>
      </c>
      <c r="BP39" s="1" t="s">
        <v>74</v>
      </c>
      <c r="BQ39" s="1" t="s">
        <v>74</v>
      </c>
      <c r="BR39" s="1" t="s">
        <v>74</v>
      </c>
      <c r="BS39" s="1" t="s">
        <v>508</v>
      </c>
      <c r="BT39" s="1" t="str">
        <f>HYPERLINK("https%3A%2F%2Fwww.webofscience.com%2Fwos%2Fwoscc%2Ffull-record%2FWOS:000432905200031","View Full Record in Web of Science")</f>
        <v>View Full Record in Web of Science</v>
      </c>
    </row>
    <row r="40" ht="12.75" customHeight="1">
      <c r="A40" s="1" t="s">
        <v>72</v>
      </c>
      <c r="B40" s="1" t="s">
        <v>509</v>
      </c>
      <c r="C40" s="1" t="s">
        <v>74</v>
      </c>
      <c r="D40" s="1" t="s">
        <v>74</v>
      </c>
      <c r="E40" s="1" t="s">
        <v>74</v>
      </c>
      <c r="F40" s="1" t="s">
        <v>510</v>
      </c>
      <c r="G40" s="1" t="s">
        <v>74</v>
      </c>
      <c r="H40" s="1" t="s">
        <v>74</v>
      </c>
      <c r="I40" s="1" t="s">
        <v>511</v>
      </c>
      <c r="J40" s="1" t="s">
        <v>383</v>
      </c>
      <c r="K40" s="1" t="s">
        <v>74</v>
      </c>
      <c r="L40" s="1" t="s">
        <v>74</v>
      </c>
      <c r="M40" s="1" t="s">
        <v>74</v>
      </c>
      <c r="N40" s="1" t="s">
        <v>74</v>
      </c>
      <c r="O40" s="1" t="s">
        <v>74</v>
      </c>
      <c r="P40" s="1" t="s">
        <v>74</v>
      </c>
      <c r="Q40" s="1" t="s">
        <v>74</v>
      </c>
      <c r="R40" s="1" t="s">
        <v>74</v>
      </c>
      <c r="S40" s="1" t="s">
        <v>74</v>
      </c>
      <c r="T40" s="1" t="s">
        <v>74</v>
      </c>
      <c r="U40" s="1" t="s">
        <v>74</v>
      </c>
      <c r="V40" s="1" t="s">
        <v>512</v>
      </c>
      <c r="W40" s="1" t="s">
        <v>74</v>
      </c>
      <c r="X40" s="1" t="s">
        <v>74</v>
      </c>
      <c r="Y40" s="1" t="s">
        <v>74</v>
      </c>
      <c r="Z40" s="1" t="s">
        <v>74</v>
      </c>
      <c r="AA40" s="1" t="s">
        <v>513</v>
      </c>
      <c r="AB40" s="1" t="s">
        <v>514</v>
      </c>
      <c r="AC40" s="1" t="s">
        <v>74</v>
      </c>
      <c r="AD40" s="1" t="s">
        <v>74</v>
      </c>
      <c r="AE40" s="1" t="s">
        <v>74</v>
      </c>
      <c r="AF40" s="1" t="s">
        <v>74</v>
      </c>
      <c r="AG40" s="1" t="s">
        <v>74</v>
      </c>
      <c r="AH40" s="1" t="s">
        <v>74</v>
      </c>
      <c r="AI40" s="1" t="s">
        <v>74</v>
      </c>
      <c r="AJ40" s="1" t="s">
        <v>74</v>
      </c>
      <c r="AK40" s="1" t="s">
        <v>74</v>
      </c>
      <c r="AL40" s="1" t="s">
        <v>74</v>
      </c>
      <c r="AM40" s="1" t="s">
        <v>74</v>
      </c>
      <c r="AN40" s="1" t="s">
        <v>74</v>
      </c>
      <c r="AO40" s="1" t="s">
        <v>387</v>
      </c>
      <c r="AP40" s="1" t="s">
        <v>74</v>
      </c>
      <c r="AQ40" s="1" t="s">
        <v>74</v>
      </c>
      <c r="AR40" s="1" t="s">
        <v>74</v>
      </c>
      <c r="AS40" s="1" t="s">
        <v>74</v>
      </c>
      <c r="AT40" s="1" t="s">
        <v>515</v>
      </c>
      <c r="AU40" s="1">
        <v>2017.0</v>
      </c>
      <c r="AV40" s="1">
        <v>7.0</v>
      </c>
      <c r="AW40" s="1" t="s">
        <v>74</v>
      </c>
      <c r="AX40" s="1" t="s">
        <v>74</v>
      </c>
      <c r="AY40" s="1" t="s">
        <v>74</v>
      </c>
      <c r="AZ40" s="1" t="s">
        <v>74</v>
      </c>
      <c r="BA40" s="1" t="s">
        <v>74</v>
      </c>
      <c r="BB40" s="1" t="s">
        <v>74</v>
      </c>
      <c r="BC40" s="1" t="s">
        <v>74</v>
      </c>
      <c r="BD40" s="1">
        <v>42622.0</v>
      </c>
      <c r="BE40" s="1" t="s">
        <v>516</v>
      </c>
      <c r="BF40" s="2" t="str">
        <f>HYPERLINK("http://dx.doi.org/10.1038/srep42622","http://dx.doi.org/10.1038/srep42622")</f>
        <v>http://dx.doi.org/10.1038/srep42622</v>
      </c>
      <c r="BG40" s="1" t="s">
        <v>74</v>
      </c>
      <c r="BH40" s="1" t="s">
        <v>74</v>
      </c>
      <c r="BI40" s="1" t="s">
        <v>74</v>
      </c>
      <c r="BJ40" s="1" t="s">
        <v>74</v>
      </c>
      <c r="BK40" s="1" t="s">
        <v>74</v>
      </c>
      <c r="BL40" s="1" t="s">
        <v>74</v>
      </c>
      <c r="BM40" s="1" t="s">
        <v>74</v>
      </c>
      <c r="BN40" s="1">
        <v>2.8195167E7</v>
      </c>
      <c r="BO40" s="1" t="s">
        <v>74</v>
      </c>
      <c r="BP40" s="1" t="s">
        <v>74</v>
      </c>
      <c r="BQ40" s="1" t="s">
        <v>74</v>
      </c>
      <c r="BR40" s="1" t="s">
        <v>74</v>
      </c>
      <c r="BS40" s="1" t="s">
        <v>517</v>
      </c>
      <c r="BT40" s="1" t="str">
        <f>HYPERLINK("https%3A%2F%2Fwww.webofscience.com%2Fwos%2Fwoscc%2Ffull-record%2FWOS:000393868200001","View Full Record in Web of Science")</f>
        <v>View Full Record in Web of Science</v>
      </c>
    </row>
    <row r="41" ht="12.75" customHeight="1">
      <c r="A41" s="1" t="s">
        <v>72</v>
      </c>
      <c r="B41" s="1" t="s">
        <v>518</v>
      </c>
      <c r="C41" s="1" t="s">
        <v>74</v>
      </c>
      <c r="D41" s="1" t="s">
        <v>74</v>
      </c>
      <c r="E41" s="1" t="s">
        <v>74</v>
      </c>
      <c r="F41" s="1" t="s">
        <v>519</v>
      </c>
      <c r="G41" s="1" t="s">
        <v>74</v>
      </c>
      <c r="H41" s="1" t="s">
        <v>74</v>
      </c>
      <c r="I41" s="1" t="s">
        <v>520</v>
      </c>
      <c r="J41" s="1" t="s">
        <v>521</v>
      </c>
      <c r="K41" s="1" t="s">
        <v>74</v>
      </c>
      <c r="L41" s="1" t="s">
        <v>74</v>
      </c>
      <c r="M41" s="1" t="s">
        <v>74</v>
      </c>
      <c r="N41" s="1" t="s">
        <v>74</v>
      </c>
      <c r="O41" s="1" t="s">
        <v>74</v>
      </c>
      <c r="P41" s="1" t="s">
        <v>74</v>
      </c>
      <c r="Q41" s="1" t="s">
        <v>74</v>
      </c>
      <c r="R41" s="1" t="s">
        <v>74</v>
      </c>
      <c r="S41" s="1" t="s">
        <v>74</v>
      </c>
      <c r="T41" s="1" t="s">
        <v>74</v>
      </c>
      <c r="U41" s="1" t="s">
        <v>74</v>
      </c>
      <c r="V41" s="1" t="s">
        <v>522</v>
      </c>
      <c r="W41" s="1" t="s">
        <v>74</v>
      </c>
      <c r="X41" s="1" t="s">
        <v>74</v>
      </c>
      <c r="Y41" s="1" t="s">
        <v>74</v>
      </c>
      <c r="Z41" s="1" t="s">
        <v>74</v>
      </c>
      <c r="AA41" s="1" t="s">
        <v>523</v>
      </c>
      <c r="AB41" s="1" t="s">
        <v>524</v>
      </c>
      <c r="AC41" s="1" t="s">
        <v>74</v>
      </c>
      <c r="AD41" s="1" t="s">
        <v>74</v>
      </c>
      <c r="AE41" s="1" t="s">
        <v>74</v>
      </c>
      <c r="AF41" s="1" t="s">
        <v>74</v>
      </c>
      <c r="AG41" s="1" t="s">
        <v>74</v>
      </c>
      <c r="AH41" s="1" t="s">
        <v>74</v>
      </c>
      <c r="AI41" s="1" t="s">
        <v>74</v>
      </c>
      <c r="AJ41" s="1" t="s">
        <v>74</v>
      </c>
      <c r="AK41" s="1" t="s">
        <v>74</v>
      </c>
      <c r="AL41" s="1" t="s">
        <v>74</v>
      </c>
      <c r="AM41" s="1" t="s">
        <v>74</v>
      </c>
      <c r="AN41" s="1" t="s">
        <v>74</v>
      </c>
      <c r="AO41" s="1" t="s">
        <v>525</v>
      </c>
      <c r="AP41" s="1" t="s">
        <v>526</v>
      </c>
      <c r="AQ41" s="1" t="s">
        <v>74</v>
      </c>
      <c r="AR41" s="1" t="s">
        <v>74</v>
      </c>
      <c r="AS41" s="1" t="s">
        <v>74</v>
      </c>
      <c r="AT41" s="1" t="s">
        <v>316</v>
      </c>
      <c r="AU41" s="1">
        <v>2015.0</v>
      </c>
      <c r="AV41" s="1">
        <v>24.0</v>
      </c>
      <c r="AW41" s="1">
        <v>10.0</v>
      </c>
      <c r="AX41" s="1" t="s">
        <v>74</v>
      </c>
      <c r="AY41" s="1" t="s">
        <v>74</v>
      </c>
      <c r="AZ41" s="1" t="s">
        <v>74</v>
      </c>
      <c r="BA41" s="1" t="s">
        <v>74</v>
      </c>
      <c r="BB41" s="1">
        <v>4156.0</v>
      </c>
      <c r="BC41" s="1">
        <v>4170.0</v>
      </c>
      <c r="BD41" s="1" t="s">
        <v>74</v>
      </c>
      <c r="BE41" s="1" t="s">
        <v>527</v>
      </c>
      <c r="BF41" s="2" t="str">
        <f>HYPERLINK("http://dx.doi.org/10.1007/s11665-015-1684-x","http://dx.doi.org/10.1007/s11665-015-1684-x")</f>
        <v>http://dx.doi.org/10.1007/s11665-015-1684-x</v>
      </c>
      <c r="BG41" s="1" t="s">
        <v>74</v>
      </c>
      <c r="BH41" s="1" t="s">
        <v>74</v>
      </c>
      <c r="BI41" s="1" t="s">
        <v>74</v>
      </c>
      <c r="BJ41" s="1" t="s">
        <v>74</v>
      </c>
      <c r="BK41" s="1" t="s">
        <v>74</v>
      </c>
      <c r="BL41" s="1" t="s">
        <v>74</v>
      </c>
      <c r="BM41" s="1" t="s">
        <v>74</v>
      </c>
      <c r="BN41" s="1" t="s">
        <v>74</v>
      </c>
      <c r="BO41" s="1" t="s">
        <v>74</v>
      </c>
      <c r="BP41" s="1" t="s">
        <v>74</v>
      </c>
      <c r="BQ41" s="1" t="s">
        <v>74</v>
      </c>
      <c r="BR41" s="1" t="s">
        <v>74</v>
      </c>
      <c r="BS41" s="1" t="s">
        <v>528</v>
      </c>
      <c r="BT41" s="1" t="str">
        <f>HYPERLINK("https%3A%2F%2Fwww.webofscience.com%2Fwos%2Fwoscc%2Ffull-record%2FWOS:000362296000050","View Full Record in Web of Science")</f>
        <v>View Full Record in Web of Science</v>
      </c>
    </row>
    <row r="42" ht="12.75" customHeight="1">
      <c r="A42" s="1" t="s">
        <v>72</v>
      </c>
      <c r="B42" s="1" t="s">
        <v>529</v>
      </c>
      <c r="C42" s="1" t="s">
        <v>74</v>
      </c>
      <c r="D42" s="1" t="s">
        <v>74</v>
      </c>
      <c r="E42" s="1" t="s">
        <v>74</v>
      </c>
      <c r="F42" s="1" t="s">
        <v>530</v>
      </c>
      <c r="G42" s="1" t="s">
        <v>74</v>
      </c>
      <c r="H42" s="1" t="s">
        <v>74</v>
      </c>
      <c r="I42" s="1" t="s">
        <v>531</v>
      </c>
      <c r="J42" s="1" t="s">
        <v>532</v>
      </c>
      <c r="K42" s="1" t="s">
        <v>74</v>
      </c>
      <c r="L42" s="1" t="s">
        <v>74</v>
      </c>
      <c r="M42" s="1" t="s">
        <v>74</v>
      </c>
      <c r="N42" s="1" t="s">
        <v>74</v>
      </c>
      <c r="O42" s="1" t="s">
        <v>74</v>
      </c>
      <c r="P42" s="1" t="s">
        <v>74</v>
      </c>
      <c r="Q42" s="1" t="s">
        <v>74</v>
      </c>
      <c r="R42" s="1" t="s">
        <v>74</v>
      </c>
      <c r="S42" s="1" t="s">
        <v>74</v>
      </c>
      <c r="T42" s="1" t="s">
        <v>74</v>
      </c>
      <c r="U42" s="1" t="s">
        <v>74</v>
      </c>
      <c r="V42" s="1" t="s">
        <v>533</v>
      </c>
      <c r="W42" s="1" t="s">
        <v>74</v>
      </c>
      <c r="X42" s="1" t="s">
        <v>74</v>
      </c>
      <c r="Y42" s="1" t="s">
        <v>74</v>
      </c>
      <c r="Z42" s="1" t="s">
        <v>74</v>
      </c>
      <c r="AA42" s="1" t="s">
        <v>534</v>
      </c>
      <c r="AB42" s="1" t="s">
        <v>535</v>
      </c>
      <c r="AC42" s="1" t="s">
        <v>74</v>
      </c>
      <c r="AD42" s="1" t="s">
        <v>74</v>
      </c>
      <c r="AE42" s="1" t="s">
        <v>74</v>
      </c>
      <c r="AF42" s="1" t="s">
        <v>74</v>
      </c>
      <c r="AG42" s="1" t="s">
        <v>74</v>
      </c>
      <c r="AH42" s="1" t="s">
        <v>74</v>
      </c>
      <c r="AI42" s="1" t="s">
        <v>74</v>
      </c>
      <c r="AJ42" s="1" t="s">
        <v>74</v>
      </c>
      <c r="AK42" s="1" t="s">
        <v>74</v>
      </c>
      <c r="AL42" s="1" t="s">
        <v>74</v>
      </c>
      <c r="AM42" s="1" t="s">
        <v>74</v>
      </c>
      <c r="AN42" s="1" t="s">
        <v>74</v>
      </c>
      <c r="AO42" s="1" t="s">
        <v>536</v>
      </c>
      <c r="AP42" s="1" t="s">
        <v>537</v>
      </c>
      <c r="AQ42" s="1" t="s">
        <v>74</v>
      </c>
      <c r="AR42" s="1" t="s">
        <v>74</v>
      </c>
      <c r="AS42" s="1" t="s">
        <v>74</v>
      </c>
      <c r="AT42" s="1" t="s">
        <v>96</v>
      </c>
      <c r="AU42" s="1">
        <v>2015.0</v>
      </c>
      <c r="AV42" s="1">
        <v>119.0</v>
      </c>
      <c r="AW42" s="1" t="s">
        <v>74</v>
      </c>
      <c r="AX42" s="1" t="s">
        <v>74</v>
      </c>
      <c r="AY42" s="1" t="s">
        <v>74</v>
      </c>
      <c r="AZ42" s="1" t="s">
        <v>74</v>
      </c>
      <c r="BA42" s="1" t="s">
        <v>74</v>
      </c>
      <c r="BB42" s="1">
        <v>1.0</v>
      </c>
      <c r="BC42" s="1">
        <v>9.0</v>
      </c>
      <c r="BD42" s="1" t="s">
        <v>74</v>
      </c>
      <c r="BE42" s="1" t="s">
        <v>538</v>
      </c>
      <c r="BF42" s="2" t="str">
        <f>HYPERLINK("http://dx.doi.org/10.1016/j.nlm.2014.11.003","http://dx.doi.org/10.1016/j.nlm.2014.11.003")</f>
        <v>http://dx.doi.org/10.1016/j.nlm.2014.11.003</v>
      </c>
      <c r="BG42" s="1" t="s">
        <v>74</v>
      </c>
      <c r="BH42" s="1" t="s">
        <v>74</v>
      </c>
      <c r="BI42" s="1" t="s">
        <v>74</v>
      </c>
      <c r="BJ42" s="1" t="s">
        <v>74</v>
      </c>
      <c r="BK42" s="1" t="s">
        <v>74</v>
      </c>
      <c r="BL42" s="1" t="s">
        <v>74</v>
      </c>
      <c r="BM42" s="1" t="s">
        <v>74</v>
      </c>
      <c r="BN42" s="1">
        <v>2.5464009E7</v>
      </c>
      <c r="BO42" s="1" t="s">
        <v>74</v>
      </c>
      <c r="BP42" s="1" t="s">
        <v>74</v>
      </c>
      <c r="BQ42" s="1" t="s">
        <v>74</v>
      </c>
      <c r="BR42" s="1" t="s">
        <v>74</v>
      </c>
      <c r="BS42" s="1" t="s">
        <v>539</v>
      </c>
      <c r="BT42" s="1" t="str">
        <f>HYPERLINK("https%3A%2F%2Fwww.webofscience.com%2Fwos%2Fwoscc%2Ffull-record%2FWOS:000352826000001","View Full Record in Web of Science")</f>
        <v>View Full Record in Web of Science</v>
      </c>
    </row>
    <row r="43" ht="12.75" customHeight="1">
      <c r="A43" s="1" t="s">
        <v>72</v>
      </c>
      <c r="B43" s="1" t="s">
        <v>540</v>
      </c>
      <c r="C43" s="1" t="s">
        <v>74</v>
      </c>
      <c r="D43" s="1" t="s">
        <v>74</v>
      </c>
      <c r="E43" s="1" t="s">
        <v>74</v>
      </c>
      <c r="F43" s="1" t="s">
        <v>541</v>
      </c>
      <c r="G43" s="1" t="s">
        <v>74</v>
      </c>
      <c r="H43" s="1" t="s">
        <v>74</v>
      </c>
      <c r="I43" s="1" t="s">
        <v>542</v>
      </c>
      <c r="J43" s="1" t="s">
        <v>543</v>
      </c>
      <c r="K43" s="1" t="s">
        <v>74</v>
      </c>
      <c r="L43" s="1" t="s">
        <v>74</v>
      </c>
      <c r="M43" s="1" t="s">
        <v>74</v>
      </c>
      <c r="N43" s="1" t="s">
        <v>74</v>
      </c>
      <c r="O43" s="1" t="s">
        <v>74</v>
      </c>
      <c r="P43" s="1" t="s">
        <v>74</v>
      </c>
      <c r="Q43" s="1" t="s">
        <v>74</v>
      </c>
      <c r="R43" s="1" t="s">
        <v>74</v>
      </c>
      <c r="S43" s="1" t="s">
        <v>74</v>
      </c>
      <c r="T43" s="1" t="s">
        <v>74</v>
      </c>
      <c r="U43" s="1" t="s">
        <v>74</v>
      </c>
      <c r="V43" s="1" t="s">
        <v>544</v>
      </c>
      <c r="W43" s="1" t="s">
        <v>74</v>
      </c>
      <c r="X43" s="1" t="s">
        <v>74</v>
      </c>
      <c r="Y43" s="1" t="s">
        <v>74</v>
      </c>
      <c r="Z43" s="1" t="s">
        <v>74</v>
      </c>
      <c r="AA43" s="1" t="s">
        <v>545</v>
      </c>
      <c r="AB43" s="1" t="s">
        <v>74</v>
      </c>
      <c r="AC43" s="1" t="s">
        <v>74</v>
      </c>
      <c r="AD43" s="1" t="s">
        <v>74</v>
      </c>
      <c r="AE43" s="1" t="s">
        <v>74</v>
      </c>
      <c r="AF43" s="1" t="s">
        <v>74</v>
      </c>
      <c r="AG43" s="1" t="s">
        <v>74</v>
      </c>
      <c r="AH43" s="1" t="s">
        <v>74</v>
      </c>
      <c r="AI43" s="1" t="s">
        <v>74</v>
      </c>
      <c r="AJ43" s="1" t="s">
        <v>74</v>
      </c>
      <c r="AK43" s="1" t="s">
        <v>74</v>
      </c>
      <c r="AL43" s="1" t="s">
        <v>74</v>
      </c>
      <c r="AM43" s="1" t="s">
        <v>74</v>
      </c>
      <c r="AN43" s="1" t="s">
        <v>74</v>
      </c>
      <c r="AO43" s="1" t="s">
        <v>546</v>
      </c>
      <c r="AP43" s="1" t="s">
        <v>547</v>
      </c>
      <c r="AQ43" s="1" t="s">
        <v>74</v>
      </c>
      <c r="AR43" s="1" t="s">
        <v>74</v>
      </c>
      <c r="AS43" s="1" t="s">
        <v>74</v>
      </c>
      <c r="AT43" s="1" t="s">
        <v>74</v>
      </c>
      <c r="AU43" s="1">
        <v>2015.0</v>
      </c>
      <c r="AV43" s="1">
        <v>177.0</v>
      </c>
      <c r="AW43" s="1" t="s">
        <v>74</v>
      </c>
      <c r="AX43" s="1" t="s">
        <v>74</v>
      </c>
      <c r="AY43" s="1" t="s">
        <v>74</v>
      </c>
      <c r="AZ43" s="1" t="s">
        <v>74</v>
      </c>
      <c r="BA43" s="1" t="s">
        <v>74</v>
      </c>
      <c r="BB43" s="1">
        <v>15.0</v>
      </c>
      <c r="BC43" s="1">
        <v>21.0</v>
      </c>
      <c r="BD43" s="1" t="s">
        <v>74</v>
      </c>
      <c r="BE43" s="1" t="s">
        <v>548</v>
      </c>
      <c r="BF43" s="2" t="str">
        <f>HYPERLINK("http://dx.doi.org/10.1016/j.micres.2015.04.010","http://dx.doi.org/10.1016/j.micres.2015.04.010")</f>
        <v>http://dx.doi.org/10.1016/j.micres.2015.04.010</v>
      </c>
      <c r="BG43" s="1" t="s">
        <v>74</v>
      </c>
      <c r="BH43" s="1" t="s">
        <v>74</v>
      </c>
      <c r="BI43" s="1" t="s">
        <v>74</v>
      </c>
      <c r="BJ43" s="1" t="s">
        <v>74</v>
      </c>
      <c r="BK43" s="1" t="s">
        <v>74</v>
      </c>
      <c r="BL43" s="1" t="s">
        <v>74</v>
      </c>
      <c r="BM43" s="1" t="s">
        <v>74</v>
      </c>
      <c r="BN43" s="1">
        <v>2.6211961E7</v>
      </c>
      <c r="BO43" s="1" t="s">
        <v>74</v>
      </c>
      <c r="BP43" s="1" t="s">
        <v>74</v>
      </c>
      <c r="BQ43" s="1" t="s">
        <v>74</v>
      </c>
      <c r="BR43" s="1" t="s">
        <v>74</v>
      </c>
      <c r="BS43" s="1" t="s">
        <v>549</v>
      </c>
      <c r="BT43" s="1" t="str">
        <f>HYPERLINK("https%3A%2F%2Fwww.webofscience.com%2Fwos%2Fwoscc%2Ffull-record%2FWOS:000359963900003","View Full Record in Web of Science")</f>
        <v>View Full Record in Web of Science</v>
      </c>
    </row>
    <row r="44" ht="12.75" customHeight="1">
      <c r="A44" s="1" t="s">
        <v>72</v>
      </c>
      <c r="B44" s="1" t="s">
        <v>550</v>
      </c>
      <c r="C44" s="1" t="s">
        <v>74</v>
      </c>
      <c r="D44" s="1" t="s">
        <v>74</v>
      </c>
      <c r="E44" s="1" t="s">
        <v>74</v>
      </c>
      <c r="F44" s="1" t="s">
        <v>551</v>
      </c>
      <c r="G44" s="1" t="s">
        <v>74</v>
      </c>
      <c r="H44" s="1" t="s">
        <v>74</v>
      </c>
      <c r="I44" s="1" t="s">
        <v>552</v>
      </c>
      <c r="J44" s="1" t="s">
        <v>553</v>
      </c>
      <c r="K44" s="1" t="s">
        <v>74</v>
      </c>
      <c r="L44" s="1" t="s">
        <v>74</v>
      </c>
      <c r="M44" s="1" t="s">
        <v>74</v>
      </c>
      <c r="N44" s="1" t="s">
        <v>74</v>
      </c>
      <c r="O44" s="1" t="s">
        <v>74</v>
      </c>
      <c r="P44" s="1" t="s">
        <v>74</v>
      </c>
      <c r="Q44" s="1" t="s">
        <v>74</v>
      </c>
      <c r="R44" s="1" t="s">
        <v>74</v>
      </c>
      <c r="S44" s="1" t="s">
        <v>74</v>
      </c>
      <c r="T44" s="1" t="s">
        <v>74</v>
      </c>
      <c r="U44" s="1" t="s">
        <v>74</v>
      </c>
      <c r="V44" s="1" t="s">
        <v>554</v>
      </c>
      <c r="W44" s="1" t="s">
        <v>74</v>
      </c>
      <c r="X44" s="1" t="s">
        <v>74</v>
      </c>
      <c r="Y44" s="1" t="s">
        <v>74</v>
      </c>
      <c r="Z44" s="1" t="s">
        <v>74</v>
      </c>
      <c r="AA44" s="1" t="s">
        <v>555</v>
      </c>
      <c r="AB44" s="1" t="s">
        <v>556</v>
      </c>
      <c r="AC44" s="1" t="s">
        <v>74</v>
      </c>
      <c r="AD44" s="1" t="s">
        <v>74</v>
      </c>
      <c r="AE44" s="1" t="s">
        <v>74</v>
      </c>
      <c r="AF44" s="1" t="s">
        <v>74</v>
      </c>
      <c r="AG44" s="1" t="s">
        <v>74</v>
      </c>
      <c r="AH44" s="1" t="s">
        <v>74</v>
      </c>
      <c r="AI44" s="1" t="s">
        <v>74</v>
      </c>
      <c r="AJ44" s="1" t="s">
        <v>74</v>
      </c>
      <c r="AK44" s="1" t="s">
        <v>74</v>
      </c>
      <c r="AL44" s="1" t="s">
        <v>74</v>
      </c>
      <c r="AM44" s="1" t="s">
        <v>74</v>
      </c>
      <c r="AN44" s="1" t="s">
        <v>74</v>
      </c>
      <c r="AO44" s="1" t="s">
        <v>557</v>
      </c>
      <c r="AP44" s="1" t="s">
        <v>558</v>
      </c>
      <c r="AQ44" s="1" t="s">
        <v>74</v>
      </c>
      <c r="AR44" s="1" t="s">
        <v>74</v>
      </c>
      <c r="AS44" s="1" t="s">
        <v>74</v>
      </c>
      <c r="AT44" s="1" t="s">
        <v>559</v>
      </c>
      <c r="AU44" s="1">
        <v>2012.0</v>
      </c>
      <c r="AV44" s="1">
        <v>37.0</v>
      </c>
      <c r="AW44" s="1">
        <v>23.0</v>
      </c>
      <c r="AX44" s="1" t="s">
        <v>74</v>
      </c>
      <c r="AY44" s="1" t="s">
        <v>74</v>
      </c>
      <c r="AZ44" s="1" t="s">
        <v>74</v>
      </c>
      <c r="BA44" s="1" t="s">
        <v>74</v>
      </c>
      <c r="BB44" s="1">
        <v>18310.0</v>
      </c>
      <c r="BC44" s="1">
        <v>18318.0</v>
      </c>
      <c r="BD44" s="1" t="s">
        <v>74</v>
      </c>
      <c r="BE44" s="1" t="s">
        <v>560</v>
      </c>
      <c r="BF44" s="2" t="str">
        <f>HYPERLINK("http://dx.doi.org/10.1016/j.ijhydene.2012.09.033","http://dx.doi.org/10.1016/j.ijhydene.2012.09.033")</f>
        <v>http://dx.doi.org/10.1016/j.ijhydene.2012.09.033</v>
      </c>
      <c r="BG44" s="1" t="s">
        <v>74</v>
      </c>
      <c r="BH44" s="1" t="s">
        <v>74</v>
      </c>
      <c r="BI44" s="1" t="s">
        <v>74</v>
      </c>
      <c r="BJ44" s="1" t="s">
        <v>74</v>
      </c>
      <c r="BK44" s="1" t="s">
        <v>74</v>
      </c>
      <c r="BL44" s="1" t="s">
        <v>74</v>
      </c>
      <c r="BM44" s="1" t="s">
        <v>74</v>
      </c>
      <c r="BN44" s="1" t="s">
        <v>74</v>
      </c>
      <c r="BO44" s="1" t="s">
        <v>74</v>
      </c>
      <c r="BP44" s="1" t="s">
        <v>74</v>
      </c>
      <c r="BQ44" s="1" t="s">
        <v>74</v>
      </c>
      <c r="BR44" s="1" t="s">
        <v>74</v>
      </c>
      <c r="BS44" s="1" t="s">
        <v>561</v>
      </c>
      <c r="BT44" s="1" t="str">
        <f>HYPERLINK("https%3A%2F%2Fwww.webofscience.com%2Fwos%2Fwoscc%2Ffull-record%2FWOS:000311865700066","View Full Record in Web of Science")</f>
        <v>View Full Record in Web of Science</v>
      </c>
    </row>
    <row r="45" ht="12.75" customHeight="1">
      <c r="A45" s="1" t="s">
        <v>72</v>
      </c>
      <c r="B45" s="1" t="s">
        <v>562</v>
      </c>
      <c r="C45" s="1" t="s">
        <v>74</v>
      </c>
      <c r="D45" s="1" t="s">
        <v>74</v>
      </c>
      <c r="E45" s="1" t="s">
        <v>74</v>
      </c>
      <c r="F45" s="1" t="s">
        <v>563</v>
      </c>
      <c r="G45" s="1" t="s">
        <v>74</v>
      </c>
      <c r="H45" s="1" t="s">
        <v>74</v>
      </c>
      <c r="I45" s="1" t="s">
        <v>564</v>
      </c>
      <c r="J45" s="1" t="s">
        <v>532</v>
      </c>
      <c r="K45" s="1" t="s">
        <v>74</v>
      </c>
      <c r="L45" s="1" t="s">
        <v>74</v>
      </c>
      <c r="M45" s="1" t="s">
        <v>74</v>
      </c>
      <c r="N45" s="1" t="s">
        <v>74</v>
      </c>
      <c r="O45" s="1" t="s">
        <v>74</v>
      </c>
      <c r="P45" s="1" t="s">
        <v>74</v>
      </c>
      <c r="Q45" s="1" t="s">
        <v>74</v>
      </c>
      <c r="R45" s="1" t="s">
        <v>74</v>
      </c>
      <c r="S45" s="1" t="s">
        <v>74</v>
      </c>
      <c r="T45" s="1" t="s">
        <v>74</v>
      </c>
      <c r="U45" s="1" t="s">
        <v>74</v>
      </c>
      <c r="V45" s="1" t="s">
        <v>565</v>
      </c>
      <c r="W45" s="1" t="s">
        <v>74</v>
      </c>
      <c r="X45" s="1" t="s">
        <v>74</v>
      </c>
      <c r="Y45" s="1" t="s">
        <v>74</v>
      </c>
      <c r="Z45" s="1" t="s">
        <v>74</v>
      </c>
      <c r="AA45" s="1" t="s">
        <v>534</v>
      </c>
      <c r="AB45" s="1" t="s">
        <v>566</v>
      </c>
      <c r="AC45" s="1" t="s">
        <v>74</v>
      </c>
      <c r="AD45" s="1" t="s">
        <v>74</v>
      </c>
      <c r="AE45" s="1" t="s">
        <v>74</v>
      </c>
      <c r="AF45" s="1" t="s">
        <v>74</v>
      </c>
      <c r="AG45" s="1" t="s">
        <v>74</v>
      </c>
      <c r="AH45" s="1" t="s">
        <v>74</v>
      </c>
      <c r="AI45" s="1" t="s">
        <v>74</v>
      </c>
      <c r="AJ45" s="1" t="s">
        <v>74</v>
      </c>
      <c r="AK45" s="1" t="s">
        <v>74</v>
      </c>
      <c r="AL45" s="1" t="s">
        <v>74</v>
      </c>
      <c r="AM45" s="1" t="s">
        <v>74</v>
      </c>
      <c r="AN45" s="1" t="s">
        <v>74</v>
      </c>
      <c r="AO45" s="1" t="s">
        <v>536</v>
      </c>
      <c r="AP45" s="1" t="s">
        <v>74</v>
      </c>
      <c r="AQ45" s="1" t="s">
        <v>74</v>
      </c>
      <c r="AR45" s="1" t="s">
        <v>74</v>
      </c>
      <c r="AS45" s="1" t="s">
        <v>74</v>
      </c>
      <c r="AT45" s="1" t="s">
        <v>316</v>
      </c>
      <c r="AU45" s="1">
        <v>2012.0</v>
      </c>
      <c r="AV45" s="1">
        <v>98.0</v>
      </c>
      <c r="AW45" s="1">
        <v>3.0</v>
      </c>
      <c r="AX45" s="1" t="s">
        <v>74</v>
      </c>
      <c r="AY45" s="1" t="s">
        <v>74</v>
      </c>
      <c r="AZ45" s="1" t="s">
        <v>74</v>
      </c>
      <c r="BA45" s="1" t="s">
        <v>74</v>
      </c>
      <c r="BB45" s="1">
        <v>228.0</v>
      </c>
      <c r="BC45" s="1">
        <v>234.0</v>
      </c>
      <c r="BD45" s="1" t="s">
        <v>74</v>
      </c>
      <c r="BE45" s="1" t="s">
        <v>567</v>
      </c>
      <c r="BF45" s="2" t="str">
        <f>HYPERLINK("http://dx.doi.org/10.1016/j.nlm.2012.07.006","http://dx.doi.org/10.1016/j.nlm.2012.07.006")</f>
        <v>http://dx.doi.org/10.1016/j.nlm.2012.07.006</v>
      </c>
      <c r="BG45" s="1" t="s">
        <v>74</v>
      </c>
      <c r="BH45" s="1" t="s">
        <v>74</v>
      </c>
      <c r="BI45" s="1" t="s">
        <v>74</v>
      </c>
      <c r="BJ45" s="1" t="s">
        <v>74</v>
      </c>
      <c r="BK45" s="1" t="s">
        <v>74</v>
      </c>
      <c r="BL45" s="1" t="s">
        <v>74</v>
      </c>
      <c r="BM45" s="1" t="s">
        <v>74</v>
      </c>
      <c r="BN45" s="1">
        <v>2.2892388E7</v>
      </c>
      <c r="BO45" s="1" t="s">
        <v>74</v>
      </c>
      <c r="BP45" s="1" t="s">
        <v>74</v>
      </c>
      <c r="BQ45" s="1" t="s">
        <v>74</v>
      </c>
      <c r="BR45" s="1" t="s">
        <v>74</v>
      </c>
      <c r="BS45" s="1" t="s">
        <v>568</v>
      </c>
      <c r="BT45" s="1" t="str">
        <f>HYPERLINK("https%3A%2F%2Fwww.webofscience.com%2Fwos%2Fwoscc%2Ffull-record%2FWOS:000311768800004","View Full Record in Web of Science")</f>
        <v>View Full Record in Web of Science</v>
      </c>
    </row>
    <row r="46" ht="12.75" customHeight="1">
      <c r="A46" s="1" t="s">
        <v>72</v>
      </c>
      <c r="B46" s="1" t="s">
        <v>569</v>
      </c>
      <c r="C46" s="1" t="s">
        <v>74</v>
      </c>
      <c r="D46" s="1" t="s">
        <v>74</v>
      </c>
      <c r="E46" s="1" t="s">
        <v>74</v>
      </c>
      <c r="F46" s="1" t="s">
        <v>570</v>
      </c>
      <c r="G46" s="1" t="s">
        <v>74</v>
      </c>
      <c r="H46" s="1" t="s">
        <v>74</v>
      </c>
      <c r="I46" s="1" t="s">
        <v>571</v>
      </c>
      <c r="J46" s="1" t="s">
        <v>572</v>
      </c>
      <c r="K46" s="1" t="s">
        <v>74</v>
      </c>
      <c r="L46" s="1" t="s">
        <v>74</v>
      </c>
      <c r="M46" s="1" t="s">
        <v>74</v>
      </c>
      <c r="N46" s="1" t="s">
        <v>74</v>
      </c>
      <c r="O46" s="1" t="s">
        <v>74</v>
      </c>
      <c r="P46" s="1" t="s">
        <v>74</v>
      </c>
      <c r="Q46" s="1" t="s">
        <v>74</v>
      </c>
      <c r="R46" s="1" t="s">
        <v>74</v>
      </c>
      <c r="S46" s="1" t="s">
        <v>74</v>
      </c>
      <c r="T46" s="1" t="s">
        <v>74</v>
      </c>
      <c r="U46" s="1" t="s">
        <v>74</v>
      </c>
      <c r="V46" s="1" t="s">
        <v>573</v>
      </c>
      <c r="W46" s="1" t="s">
        <v>74</v>
      </c>
      <c r="X46" s="1" t="s">
        <v>74</v>
      </c>
      <c r="Y46" s="1" t="s">
        <v>74</v>
      </c>
      <c r="Z46" s="1" t="s">
        <v>74</v>
      </c>
      <c r="AA46" s="1" t="s">
        <v>574</v>
      </c>
      <c r="AB46" s="1" t="s">
        <v>74</v>
      </c>
      <c r="AC46" s="1" t="s">
        <v>74</v>
      </c>
      <c r="AD46" s="1" t="s">
        <v>74</v>
      </c>
      <c r="AE46" s="1" t="s">
        <v>74</v>
      </c>
      <c r="AF46" s="1" t="s">
        <v>74</v>
      </c>
      <c r="AG46" s="1" t="s">
        <v>74</v>
      </c>
      <c r="AH46" s="1" t="s">
        <v>74</v>
      </c>
      <c r="AI46" s="1" t="s">
        <v>74</v>
      </c>
      <c r="AJ46" s="1" t="s">
        <v>74</v>
      </c>
      <c r="AK46" s="1" t="s">
        <v>74</v>
      </c>
      <c r="AL46" s="1" t="s">
        <v>74</v>
      </c>
      <c r="AM46" s="1" t="s">
        <v>74</v>
      </c>
      <c r="AN46" s="1" t="s">
        <v>74</v>
      </c>
      <c r="AO46" s="1" t="s">
        <v>575</v>
      </c>
      <c r="AP46" s="1" t="s">
        <v>576</v>
      </c>
      <c r="AQ46" s="1" t="s">
        <v>74</v>
      </c>
      <c r="AR46" s="1" t="s">
        <v>74</v>
      </c>
      <c r="AS46" s="1" t="s">
        <v>74</v>
      </c>
      <c r="AT46" s="1" t="s">
        <v>577</v>
      </c>
      <c r="AU46" s="1">
        <v>2009.0</v>
      </c>
      <c r="AV46" s="1">
        <v>257.0</v>
      </c>
      <c r="AW46" s="1">
        <v>3.0</v>
      </c>
      <c r="AX46" s="1" t="s">
        <v>74</v>
      </c>
      <c r="AY46" s="1" t="s">
        <v>74</v>
      </c>
      <c r="AZ46" s="1" t="s">
        <v>74</v>
      </c>
      <c r="BA46" s="1" t="s">
        <v>74</v>
      </c>
      <c r="BB46" s="1">
        <v>721.0</v>
      </c>
      <c r="BC46" s="1">
        <v>752.0</v>
      </c>
      <c r="BD46" s="1" t="s">
        <v>74</v>
      </c>
      <c r="BE46" s="1" t="s">
        <v>578</v>
      </c>
      <c r="BF46" s="2" t="str">
        <f>HYPERLINK("http://dx.doi.org/10.1016/j.jfa.2009.04.001","http://dx.doi.org/10.1016/j.jfa.2009.04.001")</f>
        <v>http://dx.doi.org/10.1016/j.jfa.2009.04.001</v>
      </c>
      <c r="BG46" s="1" t="s">
        <v>74</v>
      </c>
      <c r="BH46" s="1" t="s">
        <v>74</v>
      </c>
      <c r="BI46" s="1" t="s">
        <v>74</v>
      </c>
      <c r="BJ46" s="1" t="s">
        <v>74</v>
      </c>
      <c r="BK46" s="1" t="s">
        <v>74</v>
      </c>
      <c r="BL46" s="1" t="s">
        <v>74</v>
      </c>
      <c r="BM46" s="1" t="s">
        <v>74</v>
      </c>
      <c r="BN46" s="1" t="s">
        <v>74</v>
      </c>
      <c r="BO46" s="1" t="s">
        <v>74</v>
      </c>
      <c r="BP46" s="1" t="s">
        <v>74</v>
      </c>
      <c r="BQ46" s="1" t="s">
        <v>74</v>
      </c>
      <c r="BR46" s="1" t="s">
        <v>74</v>
      </c>
      <c r="BS46" s="1" t="s">
        <v>579</v>
      </c>
      <c r="BT46" s="1" t="str">
        <f>HYPERLINK("https%3A%2F%2Fwww.webofscience.com%2Fwos%2Fwoscc%2Ffull-record%2FWOS:000266889100004","View Full Record in Web of Science")</f>
        <v>View Full Record in Web of Science</v>
      </c>
    </row>
    <row r="47" ht="12.75" customHeight="1">
      <c r="A47" s="1" t="s">
        <v>72</v>
      </c>
      <c r="B47" s="1" t="s">
        <v>580</v>
      </c>
      <c r="C47" s="1" t="s">
        <v>74</v>
      </c>
      <c r="D47" s="1" t="s">
        <v>74</v>
      </c>
      <c r="E47" s="1" t="s">
        <v>74</v>
      </c>
      <c r="F47" s="1" t="s">
        <v>580</v>
      </c>
      <c r="G47" s="1" t="s">
        <v>74</v>
      </c>
      <c r="H47" s="1" t="s">
        <v>74</v>
      </c>
      <c r="I47" s="1" t="s">
        <v>581</v>
      </c>
      <c r="J47" s="1" t="s">
        <v>582</v>
      </c>
      <c r="K47" s="1" t="s">
        <v>74</v>
      </c>
      <c r="L47" s="1" t="s">
        <v>74</v>
      </c>
      <c r="M47" s="1" t="s">
        <v>74</v>
      </c>
      <c r="N47" s="1" t="s">
        <v>74</v>
      </c>
      <c r="O47" s="1" t="s">
        <v>74</v>
      </c>
      <c r="P47" s="1" t="s">
        <v>74</v>
      </c>
      <c r="Q47" s="1" t="s">
        <v>74</v>
      </c>
      <c r="R47" s="1" t="s">
        <v>74</v>
      </c>
      <c r="S47" s="1" t="s">
        <v>74</v>
      </c>
      <c r="T47" s="1" t="s">
        <v>74</v>
      </c>
      <c r="U47" s="1" t="s">
        <v>74</v>
      </c>
      <c r="V47" s="1" t="s">
        <v>583</v>
      </c>
      <c r="W47" s="1" t="s">
        <v>74</v>
      </c>
      <c r="X47" s="1" t="s">
        <v>74</v>
      </c>
      <c r="Y47" s="1" t="s">
        <v>74</v>
      </c>
      <c r="Z47" s="1" t="s">
        <v>74</v>
      </c>
      <c r="AA47" s="1" t="s">
        <v>584</v>
      </c>
      <c r="AB47" s="1" t="s">
        <v>585</v>
      </c>
      <c r="AC47" s="1" t="s">
        <v>74</v>
      </c>
      <c r="AD47" s="1" t="s">
        <v>74</v>
      </c>
      <c r="AE47" s="1" t="s">
        <v>74</v>
      </c>
      <c r="AF47" s="1" t="s">
        <v>74</v>
      </c>
      <c r="AG47" s="1" t="s">
        <v>74</v>
      </c>
      <c r="AH47" s="1" t="s">
        <v>74</v>
      </c>
      <c r="AI47" s="1" t="s">
        <v>74</v>
      </c>
      <c r="AJ47" s="1" t="s">
        <v>74</v>
      </c>
      <c r="AK47" s="1" t="s">
        <v>74</v>
      </c>
      <c r="AL47" s="1" t="s">
        <v>74</v>
      </c>
      <c r="AM47" s="1" t="s">
        <v>74</v>
      </c>
      <c r="AN47" s="1" t="s">
        <v>74</v>
      </c>
      <c r="AO47" s="1" t="s">
        <v>586</v>
      </c>
      <c r="AP47" s="1" t="s">
        <v>587</v>
      </c>
      <c r="AQ47" s="1" t="s">
        <v>74</v>
      </c>
      <c r="AR47" s="1" t="s">
        <v>74</v>
      </c>
      <c r="AS47" s="1" t="s">
        <v>74</v>
      </c>
      <c r="AT47" s="1" t="s">
        <v>588</v>
      </c>
      <c r="AU47" s="1">
        <v>2001.0</v>
      </c>
      <c r="AV47" s="1">
        <v>64.0</v>
      </c>
      <c r="AW47" s="1">
        <v>1.0</v>
      </c>
      <c r="AX47" s="1" t="s">
        <v>74</v>
      </c>
      <c r="AY47" s="1" t="s">
        <v>74</v>
      </c>
      <c r="AZ47" s="1" t="s">
        <v>74</v>
      </c>
      <c r="BA47" s="1" t="s">
        <v>74</v>
      </c>
      <c r="BB47" s="1" t="s">
        <v>74</v>
      </c>
      <c r="BC47" s="1" t="s">
        <v>74</v>
      </c>
      <c r="BD47" s="1">
        <v>12410.0</v>
      </c>
      <c r="BE47" s="1" t="s">
        <v>589</v>
      </c>
      <c r="BF47" s="2" t="str">
        <f>HYPERLINK("http://dx.doi.org/10.1103/PhysRevB.64.012410","http://dx.doi.org/10.1103/PhysRevB.64.012410")</f>
        <v>http://dx.doi.org/10.1103/PhysRevB.64.012410</v>
      </c>
      <c r="BG47" s="1" t="s">
        <v>74</v>
      </c>
      <c r="BH47" s="1" t="s">
        <v>74</v>
      </c>
      <c r="BI47" s="1" t="s">
        <v>74</v>
      </c>
      <c r="BJ47" s="1" t="s">
        <v>74</v>
      </c>
      <c r="BK47" s="1" t="s">
        <v>74</v>
      </c>
      <c r="BL47" s="1" t="s">
        <v>74</v>
      </c>
      <c r="BM47" s="1" t="s">
        <v>74</v>
      </c>
      <c r="BN47" s="1" t="s">
        <v>74</v>
      </c>
      <c r="BO47" s="1" t="s">
        <v>74</v>
      </c>
      <c r="BP47" s="1" t="s">
        <v>74</v>
      </c>
      <c r="BQ47" s="1" t="s">
        <v>74</v>
      </c>
      <c r="BR47" s="1" t="s">
        <v>74</v>
      </c>
      <c r="BS47" s="1" t="s">
        <v>590</v>
      </c>
      <c r="BT47" s="1" t="str">
        <f>HYPERLINK("https%3A%2F%2Fwww.webofscience.com%2Fwos%2Fwoscc%2Ffull-record%2FWOS:000169711900017","View Full Record in Web of Science")</f>
        <v>View Full Record in Web of Science</v>
      </c>
    </row>
    <row r="48" ht="12.75" customHeight="1">
      <c r="A48" s="1" t="s">
        <v>72</v>
      </c>
      <c r="B48" s="1" t="s">
        <v>591</v>
      </c>
      <c r="C48" s="1" t="s">
        <v>74</v>
      </c>
      <c r="D48" s="1" t="s">
        <v>74</v>
      </c>
      <c r="E48" s="1" t="s">
        <v>74</v>
      </c>
      <c r="F48" s="1" t="s">
        <v>591</v>
      </c>
      <c r="G48" s="1" t="s">
        <v>74</v>
      </c>
      <c r="H48" s="1" t="s">
        <v>74</v>
      </c>
      <c r="I48" s="1" t="s">
        <v>592</v>
      </c>
      <c r="J48" s="1" t="s">
        <v>593</v>
      </c>
      <c r="K48" s="1" t="s">
        <v>74</v>
      </c>
      <c r="L48" s="1" t="s">
        <v>74</v>
      </c>
      <c r="M48" s="1" t="s">
        <v>74</v>
      </c>
      <c r="N48" s="1" t="s">
        <v>74</v>
      </c>
      <c r="O48" s="1" t="s">
        <v>74</v>
      </c>
      <c r="P48" s="1" t="s">
        <v>74</v>
      </c>
      <c r="Q48" s="1" t="s">
        <v>74</v>
      </c>
      <c r="R48" s="1" t="s">
        <v>74</v>
      </c>
      <c r="S48" s="1" t="s">
        <v>74</v>
      </c>
      <c r="T48" s="1" t="s">
        <v>74</v>
      </c>
      <c r="U48" s="1" t="s">
        <v>74</v>
      </c>
      <c r="V48" s="1" t="s">
        <v>594</v>
      </c>
      <c r="W48" s="1" t="s">
        <v>74</v>
      </c>
      <c r="X48" s="1" t="s">
        <v>74</v>
      </c>
      <c r="Y48" s="1" t="s">
        <v>74</v>
      </c>
      <c r="Z48" s="1" t="s">
        <v>74</v>
      </c>
      <c r="AA48" s="1" t="s">
        <v>74</v>
      </c>
      <c r="AB48" s="1" t="s">
        <v>74</v>
      </c>
      <c r="AC48" s="1" t="s">
        <v>74</v>
      </c>
      <c r="AD48" s="1" t="s">
        <v>74</v>
      </c>
      <c r="AE48" s="1" t="s">
        <v>74</v>
      </c>
      <c r="AF48" s="1" t="s">
        <v>74</v>
      </c>
      <c r="AG48" s="1" t="s">
        <v>74</v>
      </c>
      <c r="AH48" s="1" t="s">
        <v>74</v>
      </c>
      <c r="AI48" s="1" t="s">
        <v>74</v>
      </c>
      <c r="AJ48" s="1" t="s">
        <v>74</v>
      </c>
      <c r="AK48" s="1" t="s">
        <v>74</v>
      </c>
      <c r="AL48" s="1" t="s">
        <v>74</v>
      </c>
      <c r="AM48" s="1" t="s">
        <v>74</v>
      </c>
      <c r="AN48" s="1" t="s">
        <v>74</v>
      </c>
      <c r="AO48" s="1" t="s">
        <v>595</v>
      </c>
      <c r="AP48" s="1" t="s">
        <v>74</v>
      </c>
      <c r="AQ48" s="1" t="s">
        <v>74</v>
      </c>
      <c r="AR48" s="1" t="s">
        <v>74</v>
      </c>
      <c r="AS48" s="1" t="s">
        <v>74</v>
      </c>
      <c r="AT48" s="1" t="s">
        <v>74</v>
      </c>
      <c r="AU48" s="1">
        <v>2000.0</v>
      </c>
      <c r="AV48" s="1">
        <v>215.0</v>
      </c>
      <c r="AW48" s="1">
        <v>3.0</v>
      </c>
      <c r="AX48" s="1" t="s">
        <v>74</v>
      </c>
      <c r="AY48" s="1" t="s">
        <v>74</v>
      </c>
      <c r="AZ48" s="1" t="s">
        <v>74</v>
      </c>
      <c r="BA48" s="1" t="s">
        <v>74</v>
      </c>
      <c r="BB48" s="1">
        <v>413.0</v>
      </c>
      <c r="BC48" s="1">
        <v>414.0</v>
      </c>
      <c r="BD48" s="1" t="s">
        <v>74</v>
      </c>
      <c r="BE48" s="1" t="s">
        <v>74</v>
      </c>
      <c r="BF48" s="1" t="s">
        <v>74</v>
      </c>
      <c r="BG48" s="1" t="s">
        <v>74</v>
      </c>
      <c r="BH48" s="1" t="s">
        <v>74</v>
      </c>
      <c r="BI48" s="1" t="s">
        <v>74</v>
      </c>
      <c r="BJ48" s="1" t="s">
        <v>74</v>
      </c>
      <c r="BK48" s="1" t="s">
        <v>74</v>
      </c>
      <c r="BL48" s="1" t="s">
        <v>74</v>
      </c>
      <c r="BM48" s="1" t="s">
        <v>74</v>
      </c>
      <c r="BN48" s="1" t="s">
        <v>74</v>
      </c>
      <c r="BO48" s="1" t="s">
        <v>74</v>
      </c>
      <c r="BP48" s="1" t="s">
        <v>74</v>
      </c>
      <c r="BQ48" s="1" t="s">
        <v>74</v>
      </c>
      <c r="BR48" s="1" t="s">
        <v>74</v>
      </c>
      <c r="BS48" s="1" t="s">
        <v>596</v>
      </c>
      <c r="BT48" s="1" t="str">
        <f>HYPERLINK("https%3A%2F%2Fwww.webofscience.com%2Fwos%2Fwoscc%2Ffull-record%2FWOS:000088244800052","View Full Record in Web of Science")</f>
        <v>View Full Record in Web of Science</v>
      </c>
    </row>
    <row r="49" ht="12.75" customHeight="1">
      <c r="A49" s="1" t="s">
        <v>72</v>
      </c>
      <c r="B49" s="1" t="s">
        <v>597</v>
      </c>
      <c r="C49" s="1" t="s">
        <v>74</v>
      </c>
      <c r="D49" s="1" t="s">
        <v>74</v>
      </c>
      <c r="E49" s="1" t="s">
        <v>74</v>
      </c>
      <c r="F49" s="1" t="s">
        <v>597</v>
      </c>
      <c r="G49" s="1" t="s">
        <v>74</v>
      </c>
      <c r="H49" s="1" t="s">
        <v>74</v>
      </c>
      <c r="I49" s="1" t="s">
        <v>598</v>
      </c>
      <c r="J49" s="1" t="s">
        <v>599</v>
      </c>
      <c r="K49" s="1" t="s">
        <v>74</v>
      </c>
      <c r="L49" s="1" t="s">
        <v>74</v>
      </c>
      <c r="M49" s="1" t="s">
        <v>74</v>
      </c>
      <c r="N49" s="1" t="s">
        <v>74</v>
      </c>
      <c r="O49" s="1" t="s">
        <v>74</v>
      </c>
      <c r="P49" s="1" t="s">
        <v>74</v>
      </c>
      <c r="Q49" s="1" t="s">
        <v>74</v>
      </c>
      <c r="R49" s="1" t="s">
        <v>74</v>
      </c>
      <c r="S49" s="1" t="s">
        <v>74</v>
      </c>
      <c r="T49" s="1" t="s">
        <v>74</v>
      </c>
      <c r="U49" s="1" t="s">
        <v>74</v>
      </c>
      <c r="V49" s="1" t="s">
        <v>74</v>
      </c>
      <c r="W49" s="1" t="s">
        <v>74</v>
      </c>
      <c r="X49" s="1" t="s">
        <v>74</v>
      </c>
      <c r="Y49" s="1" t="s">
        <v>74</v>
      </c>
      <c r="Z49" s="1" t="s">
        <v>74</v>
      </c>
      <c r="AA49" s="1" t="s">
        <v>600</v>
      </c>
      <c r="AB49" s="1" t="s">
        <v>74</v>
      </c>
      <c r="AC49" s="1" t="s">
        <v>74</v>
      </c>
      <c r="AD49" s="1" t="s">
        <v>74</v>
      </c>
      <c r="AE49" s="1" t="s">
        <v>74</v>
      </c>
      <c r="AF49" s="1" t="s">
        <v>74</v>
      </c>
      <c r="AG49" s="1" t="s">
        <v>74</v>
      </c>
      <c r="AH49" s="1" t="s">
        <v>74</v>
      </c>
      <c r="AI49" s="1" t="s">
        <v>74</v>
      </c>
      <c r="AJ49" s="1" t="s">
        <v>74</v>
      </c>
      <c r="AK49" s="1" t="s">
        <v>74</v>
      </c>
      <c r="AL49" s="1" t="s">
        <v>74</v>
      </c>
      <c r="AM49" s="1" t="s">
        <v>74</v>
      </c>
      <c r="AN49" s="1" t="s">
        <v>74</v>
      </c>
      <c r="AO49" s="1" t="s">
        <v>601</v>
      </c>
      <c r="AP49" s="1" t="s">
        <v>602</v>
      </c>
      <c r="AQ49" s="1" t="s">
        <v>74</v>
      </c>
      <c r="AR49" s="1" t="s">
        <v>74</v>
      </c>
      <c r="AS49" s="1" t="s">
        <v>74</v>
      </c>
      <c r="AT49" s="1" t="s">
        <v>603</v>
      </c>
      <c r="AU49" s="1">
        <v>1995.0</v>
      </c>
      <c r="AV49" s="1">
        <v>9.0</v>
      </c>
      <c r="AW49" s="1">
        <v>6.0</v>
      </c>
      <c r="AX49" s="1" t="s">
        <v>74</v>
      </c>
      <c r="AY49" s="1" t="s">
        <v>74</v>
      </c>
      <c r="AZ49" s="1" t="s">
        <v>74</v>
      </c>
      <c r="BA49" s="1" t="s">
        <v>74</v>
      </c>
      <c r="BB49" s="1" t="s">
        <v>604</v>
      </c>
      <c r="BC49" s="1" t="s">
        <v>604</v>
      </c>
      <c r="BD49" s="1" t="s">
        <v>74</v>
      </c>
      <c r="BE49" s="1" t="s">
        <v>74</v>
      </c>
      <c r="BF49" s="1" t="s">
        <v>74</v>
      </c>
      <c r="BG49" s="1" t="s">
        <v>74</v>
      </c>
      <c r="BH49" s="1" t="s">
        <v>74</v>
      </c>
      <c r="BI49" s="1" t="s">
        <v>74</v>
      </c>
      <c r="BJ49" s="1" t="s">
        <v>74</v>
      </c>
      <c r="BK49" s="1" t="s">
        <v>74</v>
      </c>
      <c r="BL49" s="1" t="s">
        <v>74</v>
      </c>
      <c r="BM49" s="1" t="s">
        <v>74</v>
      </c>
      <c r="BN49" s="1" t="s">
        <v>74</v>
      </c>
      <c r="BO49" s="1" t="s">
        <v>74</v>
      </c>
      <c r="BP49" s="1" t="s">
        <v>74</v>
      </c>
      <c r="BQ49" s="1" t="s">
        <v>74</v>
      </c>
      <c r="BR49" s="1" t="s">
        <v>74</v>
      </c>
      <c r="BS49" s="1" t="s">
        <v>605</v>
      </c>
      <c r="BT49" s="1" t="str">
        <f>HYPERLINK("https%3A%2F%2Fwww.webofscience.com%2Fwos%2Fwoscc%2Ffull-record%2FWOS:A1995QV27401302","View Full Record in Web of Science")</f>
        <v>View Full Record in Web of Science</v>
      </c>
    </row>
    <row r="50" ht="12.75" customHeight="1">
      <c r="A50" s="1" t="s">
        <v>72</v>
      </c>
      <c r="B50" s="1" t="s">
        <v>606</v>
      </c>
      <c r="C50" s="1" t="s">
        <v>74</v>
      </c>
      <c r="D50" s="1" t="s">
        <v>74</v>
      </c>
      <c r="E50" s="1" t="s">
        <v>74</v>
      </c>
      <c r="F50" s="1" t="s">
        <v>607</v>
      </c>
      <c r="G50" s="1" t="s">
        <v>74</v>
      </c>
      <c r="H50" s="1" t="s">
        <v>74</v>
      </c>
      <c r="I50" s="1" t="s">
        <v>608</v>
      </c>
      <c r="J50" s="1" t="s">
        <v>609</v>
      </c>
      <c r="K50" s="1" t="s">
        <v>74</v>
      </c>
      <c r="L50" s="1" t="s">
        <v>74</v>
      </c>
      <c r="M50" s="1" t="s">
        <v>74</v>
      </c>
      <c r="N50" s="1" t="s">
        <v>74</v>
      </c>
      <c r="O50" s="1" t="s">
        <v>74</v>
      </c>
      <c r="P50" s="1" t="s">
        <v>74</v>
      </c>
      <c r="Q50" s="1" t="s">
        <v>74</v>
      </c>
      <c r="R50" s="1" t="s">
        <v>74</v>
      </c>
      <c r="S50" s="1" t="s">
        <v>74</v>
      </c>
      <c r="T50" s="1" t="s">
        <v>74</v>
      </c>
      <c r="U50" s="1" t="s">
        <v>74</v>
      </c>
      <c r="V50" s="1" t="s">
        <v>610</v>
      </c>
      <c r="W50" s="1" t="s">
        <v>74</v>
      </c>
      <c r="X50" s="1" t="s">
        <v>74</v>
      </c>
      <c r="Y50" s="1" t="s">
        <v>74</v>
      </c>
      <c r="Z50" s="1" t="s">
        <v>74</v>
      </c>
      <c r="AA50" s="1" t="s">
        <v>611</v>
      </c>
      <c r="AB50" s="1" t="s">
        <v>612</v>
      </c>
      <c r="AC50" s="1" t="s">
        <v>74</v>
      </c>
      <c r="AD50" s="1" t="s">
        <v>74</v>
      </c>
      <c r="AE50" s="1" t="s">
        <v>74</v>
      </c>
      <c r="AF50" s="1" t="s">
        <v>74</v>
      </c>
      <c r="AG50" s="1" t="s">
        <v>74</v>
      </c>
      <c r="AH50" s="1" t="s">
        <v>74</v>
      </c>
      <c r="AI50" s="1" t="s">
        <v>74</v>
      </c>
      <c r="AJ50" s="1" t="s">
        <v>74</v>
      </c>
      <c r="AK50" s="1" t="s">
        <v>74</v>
      </c>
      <c r="AL50" s="1" t="s">
        <v>74</v>
      </c>
      <c r="AM50" s="1" t="s">
        <v>74</v>
      </c>
      <c r="AN50" s="1" t="s">
        <v>74</v>
      </c>
      <c r="AO50" s="1" t="s">
        <v>74</v>
      </c>
      <c r="AP50" s="1" t="s">
        <v>613</v>
      </c>
      <c r="AQ50" s="1" t="s">
        <v>74</v>
      </c>
      <c r="AR50" s="1" t="s">
        <v>74</v>
      </c>
      <c r="AS50" s="1" t="s">
        <v>74</v>
      </c>
      <c r="AT50" s="1" t="s">
        <v>316</v>
      </c>
      <c r="AU50" s="1">
        <v>2024.0</v>
      </c>
      <c r="AV50" s="1">
        <v>54.0</v>
      </c>
      <c r="AW50" s="1" t="s">
        <v>74</v>
      </c>
      <c r="AX50" s="1" t="s">
        <v>74</v>
      </c>
      <c r="AY50" s="1" t="s">
        <v>74</v>
      </c>
      <c r="AZ50" s="1" t="s">
        <v>74</v>
      </c>
      <c r="BA50" s="1" t="s">
        <v>74</v>
      </c>
      <c r="BB50" s="1" t="s">
        <v>74</v>
      </c>
      <c r="BC50" s="1" t="s">
        <v>74</v>
      </c>
      <c r="BD50" s="1" t="s">
        <v>614</v>
      </c>
      <c r="BE50" s="1" t="s">
        <v>615</v>
      </c>
      <c r="BF50" s="2" t="str">
        <f>HYPERLINK("http://dx.doi.org/10.1016/j.gecco.2024.e03160","http://dx.doi.org/10.1016/j.gecco.2024.e03160")</f>
        <v>http://dx.doi.org/10.1016/j.gecco.2024.e03160</v>
      </c>
      <c r="BG50" s="1" t="s">
        <v>74</v>
      </c>
      <c r="BH50" s="1" t="s">
        <v>74</v>
      </c>
      <c r="BI50" s="1" t="s">
        <v>74</v>
      </c>
      <c r="BJ50" s="1" t="s">
        <v>74</v>
      </c>
      <c r="BK50" s="1" t="s">
        <v>74</v>
      </c>
      <c r="BL50" s="1" t="s">
        <v>74</v>
      </c>
      <c r="BM50" s="1" t="s">
        <v>74</v>
      </c>
      <c r="BN50" s="1" t="s">
        <v>74</v>
      </c>
      <c r="BO50" s="1" t="s">
        <v>74</v>
      </c>
      <c r="BP50" s="1" t="s">
        <v>74</v>
      </c>
      <c r="BQ50" s="1" t="s">
        <v>74</v>
      </c>
      <c r="BR50" s="1" t="s">
        <v>74</v>
      </c>
      <c r="BS50" s="1" t="s">
        <v>616</v>
      </c>
      <c r="BT50" s="1" t="str">
        <f>HYPERLINK("https%3A%2F%2Fwww.webofscience.com%2Fwos%2Fwoscc%2Ffull-record%2FWOS:001306998900001","View Full Record in Web of Science")</f>
        <v>View Full Record in Web of Science</v>
      </c>
    </row>
    <row r="51" ht="12.75" customHeight="1">
      <c r="A51" s="1" t="s">
        <v>72</v>
      </c>
      <c r="B51" s="1" t="s">
        <v>617</v>
      </c>
      <c r="C51" s="1" t="s">
        <v>74</v>
      </c>
      <c r="D51" s="1" t="s">
        <v>74</v>
      </c>
      <c r="E51" s="1" t="s">
        <v>74</v>
      </c>
      <c r="F51" s="1" t="s">
        <v>618</v>
      </c>
      <c r="G51" s="1" t="s">
        <v>74</v>
      </c>
      <c r="H51" s="1" t="s">
        <v>74</v>
      </c>
      <c r="I51" s="1" t="s">
        <v>619</v>
      </c>
      <c r="J51" s="1" t="s">
        <v>620</v>
      </c>
      <c r="K51" s="1" t="s">
        <v>74</v>
      </c>
      <c r="L51" s="1" t="s">
        <v>74</v>
      </c>
      <c r="M51" s="1" t="s">
        <v>74</v>
      </c>
      <c r="N51" s="1" t="s">
        <v>74</v>
      </c>
      <c r="O51" s="1" t="s">
        <v>74</v>
      </c>
      <c r="P51" s="1" t="s">
        <v>74</v>
      </c>
      <c r="Q51" s="1" t="s">
        <v>74</v>
      </c>
      <c r="R51" s="1" t="s">
        <v>74</v>
      </c>
      <c r="S51" s="1" t="s">
        <v>74</v>
      </c>
      <c r="T51" s="1" t="s">
        <v>74</v>
      </c>
      <c r="U51" s="1" t="s">
        <v>74</v>
      </c>
      <c r="V51" s="1" t="s">
        <v>621</v>
      </c>
      <c r="W51" s="1" t="s">
        <v>74</v>
      </c>
      <c r="X51" s="1" t="s">
        <v>74</v>
      </c>
      <c r="Y51" s="1" t="s">
        <v>74</v>
      </c>
      <c r="Z51" s="1" t="s">
        <v>74</v>
      </c>
      <c r="AA51" s="1" t="s">
        <v>622</v>
      </c>
      <c r="AB51" s="1" t="s">
        <v>623</v>
      </c>
      <c r="AC51" s="1" t="s">
        <v>74</v>
      </c>
      <c r="AD51" s="1" t="s">
        <v>74</v>
      </c>
      <c r="AE51" s="1" t="s">
        <v>74</v>
      </c>
      <c r="AF51" s="1" t="s">
        <v>74</v>
      </c>
      <c r="AG51" s="1" t="s">
        <v>74</v>
      </c>
      <c r="AH51" s="1" t="s">
        <v>74</v>
      </c>
      <c r="AI51" s="1" t="s">
        <v>74</v>
      </c>
      <c r="AJ51" s="1" t="s">
        <v>74</v>
      </c>
      <c r="AK51" s="1" t="s">
        <v>74</v>
      </c>
      <c r="AL51" s="1" t="s">
        <v>74</v>
      </c>
      <c r="AM51" s="1" t="s">
        <v>74</v>
      </c>
      <c r="AN51" s="1" t="s">
        <v>74</v>
      </c>
      <c r="AO51" s="1" t="s">
        <v>74</v>
      </c>
      <c r="AP51" s="1" t="s">
        <v>624</v>
      </c>
      <c r="AQ51" s="1" t="s">
        <v>74</v>
      </c>
      <c r="AR51" s="1" t="s">
        <v>74</v>
      </c>
      <c r="AS51" s="1" t="s">
        <v>74</v>
      </c>
      <c r="AT51" s="1" t="s">
        <v>438</v>
      </c>
      <c r="AU51" s="1">
        <v>2024.0</v>
      </c>
      <c r="AV51" s="1">
        <v>8.0</v>
      </c>
      <c r="AW51" s="1">
        <v>2.0</v>
      </c>
      <c r="AX51" s="1" t="s">
        <v>74</v>
      </c>
      <c r="AY51" s="1" t="s">
        <v>74</v>
      </c>
      <c r="AZ51" s="1" t="s">
        <v>74</v>
      </c>
      <c r="BA51" s="1" t="s">
        <v>74</v>
      </c>
      <c r="BB51" s="1" t="s">
        <v>74</v>
      </c>
      <c r="BC51" s="1" t="s">
        <v>74</v>
      </c>
      <c r="BD51" s="1">
        <v>39.0</v>
      </c>
      <c r="BE51" s="1" t="s">
        <v>625</v>
      </c>
      <c r="BF51" s="2" t="str">
        <f>HYPERLINK("http://dx.doi.org/10.3390/chemengineering8020039","http://dx.doi.org/10.3390/chemengineering8020039")</f>
        <v>http://dx.doi.org/10.3390/chemengineering8020039</v>
      </c>
      <c r="BG51" s="1" t="s">
        <v>74</v>
      </c>
      <c r="BH51" s="1" t="s">
        <v>74</v>
      </c>
      <c r="BI51" s="1" t="s">
        <v>74</v>
      </c>
      <c r="BJ51" s="1" t="s">
        <v>74</v>
      </c>
      <c r="BK51" s="1" t="s">
        <v>74</v>
      </c>
      <c r="BL51" s="1" t="s">
        <v>74</v>
      </c>
      <c r="BM51" s="1" t="s">
        <v>74</v>
      </c>
      <c r="BN51" s="1" t="s">
        <v>74</v>
      </c>
      <c r="BO51" s="1" t="s">
        <v>74</v>
      </c>
      <c r="BP51" s="1" t="s">
        <v>74</v>
      </c>
      <c r="BQ51" s="1" t="s">
        <v>74</v>
      </c>
      <c r="BR51" s="1" t="s">
        <v>74</v>
      </c>
      <c r="BS51" s="1" t="s">
        <v>626</v>
      </c>
      <c r="BT51" s="1" t="str">
        <f>HYPERLINK("https%3A%2F%2Fwww.webofscience.com%2Fwos%2Fwoscc%2Ffull-record%2FWOS:001210152300001","View Full Record in Web of Science")</f>
        <v>View Full Record in Web of Science</v>
      </c>
    </row>
    <row r="52" ht="12.75" customHeight="1">
      <c r="A52" s="1" t="s">
        <v>72</v>
      </c>
      <c r="B52" s="1" t="s">
        <v>627</v>
      </c>
      <c r="C52" s="1" t="s">
        <v>74</v>
      </c>
      <c r="D52" s="1" t="s">
        <v>74</v>
      </c>
      <c r="E52" s="1" t="s">
        <v>74</v>
      </c>
      <c r="F52" s="1" t="s">
        <v>628</v>
      </c>
      <c r="G52" s="1" t="s">
        <v>74</v>
      </c>
      <c r="H52" s="1" t="s">
        <v>74</v>
      </c>
      <c r="I52" s="1" t="s">
        <v>629</v>
      </c>
      <c r="J52" s="1" t="s">
        <v>630</v>
      </c>
      <c r="K52" s="1" t="s">
        <v>74</v>
      </c>
      <c r="L52" s="1" t="s">
        <v>74</v>
      </c>
      <c r="M52" s="1" t="s">
        <v>74</v>
      </c>
      <c r="N52" s="1" t="s">
        <v>74</v>
      </c>
      <c r="O52" s="1" t="s">
        <v>74</v>
      </c>
      <c r="P52" s="1" t="s">
        <v>74</v>
      </c>
      <c r="Q52" s="1" t="s">
        <v>74</v>
      </c>
      <c r="R52" s="1" t="s">
        <v>74</v>
      </c>
      <c r="S52" s="1" t="s">
        <v>74</v>
      </c>
      <c r="T52" s="1" t="s">
        <v>74</v>
      </c>
      <c r="U52" s="1" t="s">
        <v>74</v>
      </c>
      <c r="V52" s="1" t="s">
        <v>631</v>
      </c>
      <c r="W52" s="1" t="s">
        <v>74</v>
      </c>
      <c r="X52" s="1" t="s">
        <v>74</v>
      </c>
      <c r="Y52" s="1" t="s">
        <v>74</v>
      </c>
      <c r="Z52" s="1" t="s">
        <v>74</v>
      </c>
      <c r="AA52" s="1" t="s">
        <v>632</v>
      </c>
      <c r="AB52" s="1" t="s">
        <v>633</v>
      </c>
      <c r="AC52" s="1" t="s">
        <v>74</v>
      </c>
      <c r="AD52" s="1" t="s">
        <v>74</v>
      </c>
      <c r="AE52" s="1" t="s">
        <v>74</v>
      </c>
      <c r="AF52" s="1" t="s">
        <v>74</v>
      </c>
      <c r="AG52" s="1" t="s">
        <v>74</v>
      </c>
      <c r="AH52" s="1" t="s">
        <v>74</v>
      </c>
      <c r="AI52" s="1" t="s">
        <v>74</v>
      </c>
      <c r="AJ52" s="1" t="s">
        <v>74</v>
      </c>
      <c r="AK52" s="1" t="s">
        <v>74</v>
      </c>
      <c r="AL52" s="1" t="s">
        <v>74</v>
      </c>
      <c r="AM52" s="1" t="s">
        <v>74</v>
      </c>
      <c r="AN52" s="1" t="s">
        <v>74</v>
      </c>
      <c r="AO52" s="1" t="s">
        <v>74</v>
      </c>
      <c r="AP52" s="1" t="s">
        <v>634</v>
      </c>
      <c r="AQ52" s="1" t="s">
        <v>74</v>
      </c>
      <c r="AR52" s="1" t="s">
        <v>74</v>
      </c>
      <c r="AS52" s="1" t="s">
        <v>74</v>
      </c>
      <c r="AT52" s="1" t="s">
        <v>398</v>
      </c>
      <c r="AU52" s="1">
        <v>2024.0</v>
      </c>
      <c r="AV52" s="1">
        <v>17.0</v>
      </c>
      <c r="AW52" s="1">
        <v>4.0</v>
      </c>
      <c r="AX52" s="1" t="s">
        <v>74</v>
      </c>
      <c r="AY52" s="1" t="s">
        <v>74</v>
      </c>
      <c r="AZ52" s="1" t="s">
        <v>74</v>
      </c>
      <c r="BA52" s="1" t="s">
        <v>74</v>
      </c>
      <c r="BB52" s="1" t="s">
        <v>74</v>
      </c>
      <c r="BC52" s="1" t="s">
        <v>74</v>
      </c>
      <c r="BD52" s="1">
        <v>817.0</v>
      </c>
      <c r="BE52" s="1" t="s">
        <v>635</v>
      </c>
      <c r="BF52" s="2" t="str">
        <f>HYPERLINK("http://dx.doi.org/10.3390/ma17040817","http://dx.doi.org/10.3390/ma17040817")</f>
        <v>http://dx.doi.org/10.3390/ma17040817</v>
      </c>
      <c r="BG52" s="1" t="s">
        <v>74</v>
      </c>
      <c r="BH52" s="1" t="s">
        <v>74</v>
      </c>
      <c r="BI52" s="1" t="s">
        <v>74</v>
      </c>
      <c r="BJ52" s="1" t="s">
        <v>74</v>
      </c>
      <c r="BK52" s="1" t="s">
        <v>74</v>
      </c>
      <c r="BL52" s="1" t="s">
        <v>74</v>
      </c>
      <c r="BM52" s="1" t="s">
        <v>74</v>
      </c>
      <c r="BN52" s="1">
        <v>3.8399068E7</v>
      </c>
      <c r="BO52" s="1" t="s">
        <v>74</v>
      </c>
      <c r="BP52" s="1" t="s">
        <v>74</v>
      </c>
      <c r="BQ52" s="1" t="s">
        <v>74</v>
      </c>
      <c r="BR52" s="1" t="s">
        <v>74</v>
      </c>
      <c r="BS52" s="1" t="s">
        <v>636</v>
      </c>
      <c r="BT52" s="1" t="str">
        <f>HYPERLINK("https%3A%2F%2Fwww.webofscience.com%2Fwos%2Fwoscc%2Ffull-record%2FWOS:001170043500001","View Full Record in Web of Science")</f>
        <v>View Full Record in Web of Science</v>
      </c>
    </row>
    <row r="53" ht="12.75" customHeight="1">
      <c r="A53" s="1" t="s">
        <v>72</v>
      </c>
      <c r="B53" s="1" t="s">
        <v>637</v>
      </c>
      <c r="C53" s="1" t="s">
        <v>74</v>
      </c>
      <c r="D53" s="1" t="s">
        <v>74</v>
      </c>
      <c r="E53" s="1" t="s">
        <v>74</v>
      </c>
      <c r="F53" s="1" t="s">
        <v>638</v>
      </c>
      <c r="G53" s="1" t="s">
        <v>74</v>
      </c>
      <c r="H53" s="1" t="s">
        <v>74</v>
      </c>
      <c r="I53" s="1" t="s">
        <v>639</v>
      </c>
      <c r="J53" s="1" t="s">
        <v>640</v>
      </c>
      <c r="K53" s="1" t="s">
        <v>74</v>
      </c>
      <c r="L53" s="1" t="s">
        <v>74</v>
      </c>
      <c r="M53" s="1" t="s">
        <v>74</v>
      </c>
      <c r="N53" s="1" t="s">
        <v>74</v>
      </c>
      <c r="O53" s="1" t="s">
        <v>74</v>
      </c>
      <c r="P53" s="1" t="s">
        <v>74</v>
      </c>
      <c r="Q53" s="1" t="s">
        <v>74</v>
      </c>
      <c r="R53" s="1" t="s">
        <v>74</v>
      </c>
      <c r="S53" s="1" t="s">
        <v>74</v>
      </c>
      <c r="T53" s="1" t="s">
        <v>74</v>
      </c>
      <c r="U53" s="1" t="s">
        <v>74</v>
      </c>
      <c r="V53" s="1" t="s">
        <v>641</v>
      </c>
      <c r="W53" s="1" t="s">
        <v>74</v>
      </c>
      <c r="X53" s="1" t="s">
        <v>74</v>
      </c>
      <c r="Y53" s="1" t="s">
        <v>74</v>
      </c>
      <c r="Z53" s="1" t="s">
        <v>74</v>
      </c>
      <c r="AA53" s="1" t="s">
        <v>74</v>
      </c>
      <c r="AB53" s="1" t="s">
        <v>74</v>
      </c>
      <c r="AC53" s="1" t="s">
        <v>74</v>
      </c>
      <c r="AD53" s="1" t="s">
        <v>74</v>
      </c>
      <c r="AE53" s="1" t="s">
        <v>74</v>
      </c>
      <c r="AF53" s="1" t="s">
        <v>74</v>
      </c>
      <c r="AG53" s="1" t="s">
        <v>74</v>
      </c>
      <c r="AH53" s="1" t="s">
        <v>74</v>
      </c>
      <c r="AI53" s="1" t="s">
        <v>74</v>
      </c>
      <c r="AJ53" s="1" t="s">
        <v>74</v>
      </c>
      <c r="AK53" s="1" t="s">
        <v>74</v>
      </c>
      <c r="AL53" s="1" t="s">
        <v>74</v>
      </c>
      <c r="AM53" s="1" t="s">
        <v>74</v>
      </c>
      <c r="AN53" s="1" t="s">
        <v>74</v>
      </c>
      <c r="AO53" s="1" t="s">
        <v>642</v>
      </c>
      <c r="AP53" s="1" t="s">
        <v>643</v>
      </c>
      <c r="AQ53" s="1" t="s">
        <v>74</v>
      </c>
      <c r="AR53" s="1" t="s">
        <v>74</v>
      </c>
      <c r="AS53" s="1" t="s">
        <v>74</v>
      </c>
      <c r="AT53" s="1" t="s">
        <v>142</v>
      </c>
      <c r="AU53" s="1">
        <v>2023.0</v>
      </c>
      <c r="AV53" s="1">
        <v>61.0</v>
      </c>
      <c r="AW53" s="1">
        <v>17.0</v>
      </c>
      <c r="AX53" s="1" t="s">
        <v>74</v>
      </c>
      <c r="AY53" s="1" t="s">
        <v>74</v>
      </c>
      <c r="AZ53" s="1" t="s">
        <v>74</v>
      </c>
      <c r="BA53" s="1" t="s">
        <v>74</v>
      </c>
      <c r="BB53" s="1">
        <v>5992.0</v>
      </c>
      <c r="BC53" s="1">
        <v>6012.0</v>
      </c>
      <c r="BD53" s="1" t="s">
        <v>74</v>
      </c>
      <c r="BE53" s="1" t="s">
        <v>644</v>
      </c>
      <c r="BF53" s="2" t="str">
        <f>HYPERLINK("http://dx.doi.org/10.1080/00207543.2022.2120924","http://dx.doi.org/10.1080/00207543.2022.2120924")</f>
        <v>http://dx.doi.org/10.1080/00207543.2022.2120924</v>
      </c>
      <c r="BG53" s="1" t="s">
        <v>74</v>
      </c>
      <c r="BH53" s="1" t="s">
        <v>645</v>
      </c>
      <c r="BI53" s="1" t="s">
        <v>74</v>
      </c>
      <c r="BJ53" s="1" t="s">
        <v>74</v>
      </c>
      <c r="BK53" s="1" t="s">
        <v>74</v>
      </c>
      <c r="BL53" s="1" t="s">
        <v>74</v>
      </c>
      <c r="BM53" s="1" t="s">
        <v>74</v>
      </c>
      <c r="BN53" s="1" t="s">
        <v>74</v>
      </c>
      <c r="BO53" s="1" t="s">
        <v>74</v>
      </c>
      <c r="BP53" s="1" t="s">
        <v>74</v>
      </c>
      <c r="BQ53" s="1" t="s">
        <v>74</v>
      </c>
      <c r="BR53" s="1" t="s">
        <v>74</v>
      </c>
      <c r="BS53" s="1" t="s">
        <v>646</v>
      </c>
      <c r="BT53" s="1" t="str">
        <f>HYPERLINK("https%3A%2F%2Fwww.webofscience.com%2Fwos%2Fwoscc%2Ffull-record%2FWOS:000855304100001","View Full Record in Web of Science")</f>
        <v>View Full Record in Web of Science</v>
      </c>
    </row>
    <row r="54" ht="12.75" customHeight="1">
      <c r="A54" s="1" t="s">
        <v>647</v>
      </c>
      <c r="B54" s="1" t="s">
        <v>648</v>
      </c>
      <c r="C54" s="1" t="s">
        <v>74</v>
      </c>
      <c r="D54" s="1" t="s">
        <v>74</v>
      </c>
      <c r="E54" s="1" t="s">
        <v>649</v>
      </c>
      <c r="F54" s="1" t="s">
        <v>650</v>
      </c>
      <c r="G54" s="1" t="s">
        <v>74</v>
      </c>
      <c r="H54" s="1" t="s">
        <v>74</v>
      </c>
      <c r="I54" s="1" t="s">
        <v>651</v>
      </c>
      <c r="J54" s="1" t="s">
        <v>652</v>
      </c>
      <c r="K54" s="1" t="s">
        <v>74</v>
      </c>
      <c r="L54" s="1" t="s">
        <v>74</v>
      </c>
      <c r="M54" s="1" t="s">
        <v>74</v>
      </c>
      <c r="N54" s="1" t="s">
        <v>74</v>
      </c>
      <c r="O54" s="1" t="s">
        <v>653</v>
      </c>
      <c r="P54" s="1" t="s">
        <v>654</v>
      </c>
      <c r="Q54" s="1" t="s">
        <v>655</v>
      </c>
      <c r="R54" s="1" t="s">
        <v>656</v>
      </c>
      <c r="S54" s="1" t="s">
        <v>74</v>
      </c>
      <c r="T54" s="1" t="s">
        <v>74</v>
      </c>
      <c r="U54" s="1" t="s">
        <v>74</v>
      </c>
      <c r="V54" s="1" t="s">
        <v>657</v>
      </c>
      <c r="W54" s="1" t="s">
        <v>74</v>
      </c>
      <c r="X54" s="1" t="s">
        <v>74</v>
      </c>
      <c r="Y54" s="1" t="s">
        <v>74</v>
      </c>
      <c r="Z54" s="1" t="s">
        <v>74</v>
      </c>
      <c r="AA54" s="1" t="s">
        <v>658</v>
      </c>
      <c r="AB54" s="1" t="s">
        <v>659</v>
      </c>
      <c r="AC54" s="1" t="s">
        <v>74</v>
      </c>
      <c r="AD54" s="1" t="s">
        <v>74</v>
      </c>
      <c r="AE54" s="1" t="s">
        <v>74</v>
      </c>
      <c r="AF54" s="1" t="s">
        <v>74</v>
      </c>
      <c r="AG54" s="1" t="s">
        <v>74</v>
      </c>
      <c r="AH54" s="1" t="s">
        <v>74</v>
      </c>
      <c r="AI54" s="1" t="s">
        <v>74</v>
      </c>
      <c r="AJ54" s="1" t="s">
        <v>74</v>
      </c>
      <c r="AK54" s="1" t="s">
        <v>74</v>
      </c>
      <c r="AL54" s="1" t="s">
        <v>74</v>
      </c>
      <c r="AM54" s="1" t="s">
        <v>74</v>
      </c>
      <c r="AN54" s="1" t="s">
        <v>74</v>
      </c>
      <c r="AO54" s="1" t="s">
        <v>74</v>
      </c>
      <c r="AP54" s="1" t="s">
        <v>74</v>
      </c>
      <c r="AQ54" s="1" t="s">
        <v>660</v>
      </c>
      <c r="AR54" s="1" t="s">
        <v>74</v>
      </c>
      <c r="AS54" s="1" t="s">
        <v>74</v>
      </c>
      <c r="AT54" s="1" t="s">
        <v>74</v>
      </c>
      <c r="AU54" s="1">
        <v>2020.0</v>
      </c>
      <c r="AV54" s="1" t="s">
        <v>74</v>
      </c>
      <c r="AW54" s="1" t="s">
        <v>74</v>
      </c>
      <c r="AX54" s="1" t="s">
        <v>74</v>
      </c>
      <c r="AY54" s="1" t="s">
        <v>74</v>
      </c>
      <c r="AZ54" s="1" t="s">
        <v>74</v>
      </c>
      <c r="BA54" s="1" t="s">
        <v>74</v>
      </c>
      <c r="BB54" s="1">
        <v>89.0</v>
      </c>
      <c r="BC54" s="1" t="s">
        <v>661</v>
      </c>
      <c r="BD54" s="1" t="s">
        <v>74</v>
      </c>
      <c r="BE54" s="1" t="s">
        <v>662</v>
      </c>
      <c r="BF54" s="2" t="str">
        <f>HYPERLINK("http://dx.doi.org/10.1109/sacvlc50805.2020.9129860","http://dx.doi.org/10.1109/sacvlc50805.2020.9129860")</f>
        <v>http://dx.doi.org/10.1109/sacvlc50805.2020.9129860</v>
      </c>
      <c r="BG54" s="1" t="s">
        <v>74</v>
      </c>
      <c r="BH54" s="1" t="s">
        <v>74</v>
      </c>
      <c r="BI54" s="1" t="s">
        <v>74</v>
      </c>
      <c r="BJ54" s="1" t="s">
        <v>74</v>
      </c>
      <c r="BK54" s="1" t="s">
        <v>74</v>
      </c>
      <c r="BL54" s="1" t="s">
        <v>74</v>
      </c>
      <c r="BM54" s="1" t="s">
        <v>74</v>
      </c>
      <c r="BN54" s="1" t="s">
        <v>74</v>
      </c>
      <c r="BO54" s="1" t="s">
        <v>74</v>
      </c>
      <c r="BP54" s="1" t="s">
        <v>74</v>
      </c>
      <c r="BQ54" s="1" t="s">
        <v>74</v>
      </c>
      <c r="BR54" s="1" t="s">
        <v>74</v>
      </c>
      <c r="BS54" s="1" t="s">
        <v>663</v>
      </c>
      <c r="BT54" s="1" t="str">
        <f>HYPERLINK("https%3A%2F%2Fwww.webofscience.com%2Fwos%2Fwoscc%2Ffull-record%2FWOS:000856038700017","View Full Record in Web of Science")</f>
        <v>View Full Record in Web of Science</v>
      </c>
    </row>
    <row r="55" ht="12.75" customHeight="1">
      <c r="A55" s="1" t="s">
        <v>72</v>
      </c>
      <c r="B55" s="1" t="s">
        <v>664</v>
      </c>
      <c r="C55" s="1" t="s">
        <v>74</v>
      </c>
      <c r="D55" s="1" t="s">
        <v>74</v>
      </c>
      <c r="E55" s="1" t="s">
        <v>74</v>
      </c>
      <c r="F55" s="1" t="s">
        <v>665</v>
      </c>
      <c r="G55" s="1" t="s">
        <v>74</v>
      </c>
      <c r="H55" s="1" t="s">
        <v>74</v>
      </c>
      <c r="I55" s="1" t="s">
        <v>666</v>
      </c>
      <c r="J55" s="1" t="s">
        <v>667</v>
      </c>
      <c r="K55" s="1" t="s">
        <v>74</v>
      </c>
      <c r="L55" s="1" t="s">
        <v>74</v>
      </c>
      <c r="M55" s="1" t="s">
        <v>74</v>
      </c>
      <c r="N55" s="1" t="s">
        <v>74</v>
      </c>
      <c r="O55" s="1" t="s">
        <v>74</v>
      </c>
      <c r="P55" s="1" t="s">
        <v>74</v>
      </c>
      <c r="Q55" s="1" t="s">
        <v>74</v>
      </c>
      <c r="R55" s="1" t="s">
        <v>74</v>
      </c>
      <c r="S55" s="1" t="s">
        <v>74</v>
      </c>
      <c r="T55" s="1" t="s">
        <v>74</v>
      </c>
      <c r="U55" s="1" t="s">
        <v>74</v>
      </c>
      <c r="V55" s="1" t="s">
        <v>668</v>
      </c>
      <c r="W55" s="1" t="s">
        <v>74</v>
      </c>
      <c r="X55" s="1" t="s">
        <v>74</v>
      </c>
      <c r="Y55" s="1" t="s">
        <v>74</v>
      </c>
      <c r="Z55" s="1" t="s">
        <v>74</v>
      </c>
      <c r="AA55" s="1" t="s">
        <v>669</v>
      </c>
      <c r="AB55" s="1" t="s">
        <v>670</v>
      </c>
      <c r="AC55" s="1" t="s">
        <v>74</v>
      </c>
      <c r="AD55" s="1" t="s">
        <v>74</v>
      </c>
      <c r="AE55" s="1" t="s">
        <v>74</v>
      </c>
      <c r="AF55" s="1" t="s">
        <v>74</v>
      </c>
      <c r="AG55" s="1" t="s">
        <v>74</v>
      </c>
      <c r="AH55" s="1" t="s">
        <v>74</v>
      </c>
      <c r="AI55" s="1" t="s">
        <v>74</v>
      </c>
      <c r="AJ55" s="1" t="s">
        <v>74</v>
      </c>
      <c r="AK55" s="1" t="s">
        <v>74</v>
      </c>
      <c r="AL55" s="1" t="s">
        <v>74</v>
      </c>
      <c r="AM55" s="1" t="s">
        <v>74</v>
      </c>
      <c r="AN55" s="1" t="s">
        <v>74</v>
      </c>
      <c r="AO55" s="1" t="s">
        <v>74</v>
      </c>
      <c r="AP55" s="1" t="s">
        <v>671</v>
      </c>
      <c r="AQ55" s="1" t="s">
        <v>74</v>
      </c>
      <c r="AR55" s="1" t="s">
        <v>74</v>
      </c>
      <c r="AS55" s="1" t="s">
        <v>74</v>
      </c>
      <c r="AT55" s="1" t="s">
        <v>250</v>
      </c>
      <c r="AU55" s="1">
        <v>2019.0</v>
      </c>
      <c r="AV55" s="1">
        <v>9.0</v>
      </c>
      <c r="AW55" s="1">
        <v>9.0</v>
      </c>
      <c r="AX55" s="1" t="s">
        <v>74</v>
      </c>
      <c r="AY55" s="1" t="s">
        <v>74</v>
      </c>
      <c r="AZ55" s="1" t="s">
        <v>74</v>
      </c>
      <c r="BA55" s="1" t="s">
        <v>74</v>
      </c>
      <c r="BB55" s="1" t="s">
        <v>74</v>
      </c>
      <c r="BC55" s="1" t="s">
        <v>74</v>
      </c>
      <c r="BD55" s="1">
        <v>458.0</v>
      </c>
      <c r="BE55" s="1" t="s">
        <v>672</v>
      </c>
      <c r="BF55" s="2" t="str">
        <f>HYPERLINK("http://dx.doi.org/10.3390/biom9090458","http://dx.doi.org/10.3390/biom9090458")</f>
        <v>http://dx.doi.org/10.3390/biom9090458</v>
      </c>
      <c r="BG55" s="1" t="s">
        <v>74</v>
      </c>
      <c r="BH55" s="1" t="s">
        <v>74</v>
      </c>
      <c r="BI55" s="1" t="s">
        <v>74</v>
      </c>
      <c r="BJ55" s="1" t="s">
        <v>74</v>
      </c>
      <c r="BK55" s="1" t="s">
        <v>74</v>
      </c>
      <c r="BL55" s="1" t="s">
        <v>74</v>
      </c>
      <c r="BM55" s="1" t="s">
        <v>74</v>
      </c>
      <c r="BN55" s="1">
        <v>3.1500281E7</v>
      </c>
      <c r="BO55" s="1" t="s">
        <v>74</v>
      </c>
      <c r="BP55" s="1" t="s">
        <v>74</v>
      </c>
      <c r="BQ55" s="1" t="s">
        <v>74</v>
      </c>
      <c r="BR55" s="1" t="s">
        <v>74</v>
      </c>
      <c r="BS55" s="1" t="s">
        <v>673</v>
      </c>
      <c r="BT55" s="1" t="str">
        <f>HYPERLINK("https%3A%2F%2Fwww.webofscience.com%2Fwos%2Fwoscc%2Ffull-record%2FWOS:000489102800070","View Full Record in Web of Science")</f>
        <v>View Full Record in Web of Science</v>
      </c>
    </row>
    <row r="56" ht="12.75" customHeight="1">
      <c r="A56" s="1" t="s">
        <v>72</v>
      </c>
      <c r="B56" s="1" t="s">
        <v>674</v>
      </c>
      <c r="C56" s="1" t="s">
        <v>74</v>
      </c>
      <c r="D56" s="1" t="s">
        <v>74</v>
      </c>
      <c r="E56" s="1" t="s">
        <v>74</v>
      </c>
      <c r="F56" s="1" t="s">
        <v>675</v>
      </c>
      <c r="G56" s="1" t="s">
        <v>74</v>
      </c>
      <c r="H56" s="1" t="s">
        <v>74</v>
      </c>
      <c r="I56" s="1" t="s">
        <v>676</v>
      </c>
      <c r="J56" s="1" t="s">
        <v>114</v>
      </c>
      <c r="K56" s="1" t="s">
        <v>74</v>
      </c>
      <c r="L56" s="1" t="s">
        <v>74</v>
      </c>
      <c r="M56" s="1" t="s">
        <v>74</v>
      </c>
      <c r="N56" s="1" t="s">
        <v>74</v>
      </c>
      <c r="O56" s="1" t="s">
        <v>74</v>
      </c>
      <c r="P56" s="1" t="s">
        <v>74</v>
      </c>
      <c r="Q56" s="1" t="s">
        <v>74</v>
      </c>
      <c r="R56" s="1" t="s">
        <v>74</v>
      </c>
      <c r="S56" s="1" t="s">
        <v>74</v>
      </c>
      <c r="T56" s="1" t="s">
        <v>74</v>
      </c>
      <c r="U56" s="1" t="s">
        <v>74</v>
      </c>
      <c r="V56" s="1" t="s">
        <v>677</v>
      </c>
      <c r="W56" s="1" t="s">
        <v>74</v>
      </c>
      <c r="X56" s="1" t="s">
        <v>74</v>
      </c>
      <c r="Y56" s="1" t="s">
        <v>74</v>
      </c>
      <c r="Z56" s="1" t="s">
        <v>74</v>
      </c>
      <c r="AA56" s="1" t="s">
        <v>678</v>
      </c>
      <c r="AB56" s="1" t="s">
        <v>679</v>
      </c>
      <c r="AC56" s="1" t="s">
        <v>74</v>
      </c>
      <c r="AD56" s="1" t="s">
        <v>74</v>
      </c>
      <c r="AE56" s="1" t="s">
        <v>74</v>
      </c>
      <c r="AF56" s="1" t="s">
        <v>74</v>
      </c>
      <c r="AG56" s="1" t="s">
        <v>74</v>
      </c>
      <c r="AH56" s="1" t="s">
        <v>74</v>
      </c>
      <c r="AI56" s="1" t="s">
        <v>74</v>
      </c>
      <c r="AJ56" s="1" t="s">
        <v>74</v>
      </c>
      <c r="AK56" s="1" t="s">
        <v>74</v>
      </c>
      <c r="AL56" s="1" t="s">
        <v>74</v>
      </c>
      <c r="AM56" s="1" t="s">
        <v>74</v>
      </c>
      <c r="AN56" s="1" t="s">
        <v>74</v>
      </c>
      <c r="AO56" s="1" t="s">
        <v>118</v>
      </c>
      <c r="AP56" s="1" t="s">
        <v>119</v>
      </c>
      <c r="AQ56" s="1" t="s">
        <v>74</v>
      </c>
      <c r="AR56" s="1" t="s">
        <v>74</v>
      </c>
      <c r="AS56" s="1" t="s">
        <v>74</v>
      </c>
      <c r="AT56" s="1" t="s">
        <v>680</v>
      </c>
      <c r="AU56" s="1">
        <v>2018.0</v>
      </c>
      <c r="AV56" s="1">
        <v>20.0</v>
      </c>
      <c r="AW56" s="1">
        <v>43.0</v>
      </c>
      <c r="AX56" s="1" t="s">
        <v>74</v>
      </c>
      <c r="AY56" s="1" t="s">
        <v>74</v>
      </c>
      <c r="AZ56" s="1" t="s">
        <v>74</v>
      </c>
      <c r="BA56" s="1" t="s">
        <v>74</v>
      </c>
      <c r="BB56" s="1">
        <v>27621.0</v>
      </c>
      <c r="BC56" s="1">
        <v>27629.0</v>
      </c>
      <c r="BD56" s="1" t="s">
        <v>74</v>
      </c>
      <c r="BE56" s="1" t="s">
        <v>681</v>
      </c>
      <c r="BF56" s="2" t="str">
        <f>HYPERLINK("http://dx.doi.org/10.1039/c8cp04963g","http://dx.doi.org/10.1039/c8cp04963g")</f>
        <v>http://dx.doi.org/10.1039/c8cp04963g</v>
      </c>
      <c r="BG56" s="1" t="s">
        <v>74</v>
      </c>
      <c r="BH56" s="1" t="s">
        <v>74</v>
      </c>
      <c r="BI56" s="1" t="s">
        <v>74</v>
      </c>
      <c r="BJ56" s="1" t="s">
        <v>74</v>
      </c>
      <c r="BK56" s="1" t="s">
        <v>74</v>
      </c>
      <c r="BL56" s="1" t="s">
        <v>74</v>
      </c>
      <c r="BM56" s="1" t="s">
        <v>74</v>
      </c>
      <c r="BN56" s="1">
        <v>3.0371697E7</v>
      </c>
      <c r="BO56" s="1" t="s">
        <v>74</v>
      </c>
      <c r="BP56" s="1" t="s">
        <v>74</v>
      </c>
      <c r="BQ56" s="1" t="s">
        <v>74</v>
      </c>
      <c r="BR56" s="1" t="s">
        <v>74</v>
      </c>
      <c r="BS56" s="1" t="s">
        <v>682</v>
      </c>
      <c r="BT56" s="1" t="str">
        <f>HYPERLINK("https%3A%2F%2Fwww.webofscience.com%2Fwos%2Fwoscc%2Ffull-record%2FWOS:000449499100035","View Full Record in Web of Science")</f>
        <v>View Full Record in Web of Science</v>
      </c>
    </row>
    <row r="57" ht="12.75" customHeight="1">
      <c r="A57" s="1" t="s">
        <v>72</v>
      </c>
      <c r="B57" s="1" t="s">
        <v>683</v>
      </c>
      <c r="C57" s="1" t="s">
        <v>74</v>
      </c>
      <c r="D57" s="1" t="s">
        <v>74</v>
      </c>
      <c r="E57" s="1" t="s">
        <v>74</v>
      </c>
      <c r="F57" s="1" t="s">
        <v>684</v>
      </c>
      <c r="G57" s="1" t="s">
        <v>74</v>
      </c>
      <c r="H57" s="1" t="s">
        <v>74</v>
      </c>
      <c r="I57" s="1" t="s">
        <v>685</v>
      </c>
      <c r="J57" s="1" t="s">
        <v>686</v>
      </c>
      <c r="K57" s="1" t="s">
        <v>74</v>
      </c>
      <c r="L57" s="1" t="s">
        <v>74</v>
      </c>
      <c r="M57" s="1" t="s">
        <v>74</v>
      </c>
      <c r="N57" s="1" t="s">
        <v>74</v>
      </c>
      <c r="O57" s="1" t="s">
        <v>687</v>
      </c>
      <c r="P57" s="1" t="s">
        <v>688</v>
      </c>
      <c r="Q57" s="1" t="s">
        <v>689</v>
      </c>
      <c r="R57" s="1" t="s">
        <v>690</v>
      </c>
      <c r="S57" s="1" t="s">
        <v>74</v>
      </c>
      <c r="T57" s="1" t="s">
        <v>74</v>
      </c>
      <c r="U57" s="1" t="s">
        <v>74</v>
      </c>
      <c r="V57" s="1" t="s">
        <v>74</v>
      </c>
      <c r="W57" s="1" t="s">
        <v>74</v>
      </c>
      <c r="X57" s="1" t="s">
        <v>74</v>
      </c>
      <c r="Y57" s="1" t="s">
        <v>74</v>
      </c>
      <c r="Z57" s="1" t="s">
        <v>74</v>
      </c>
      <c r="AA57" s="1" t="s">
        <v>691</v>
      </c>
      <c r="AB57" s="1" t="s">
        <v>692</v>
      </c>
      <c r="AC57" s="1" t="s">
        <v>74</v>
      </c>
      <c r="AD57" s="1" t="s">
        <v>74</v>
      </c>
      <c r="AE57" s="1" t="s">
        <v>74</v>
      </c>
      <c r="AF57" s="1" t="s">
        <v>74</v>
      </c>
      <c r="AG57" s="1" t="s">
        <v>74</v>
      </c>
      <c r="AH57" s="1" t="s">
        <v>74</v>
      </c>
      <c r="AI57" s="1" t="s">
        <v>74</v>
      </c>
      <c r="AJ57" s="1" t="s">
        <v>74</v>
      </c>
      <c r="AK57" s="1" t="s">
        <v>74</v>
      </c>
      <c r="AL57" s="1" t="s">
        <v>74</v>
      </c>
      <c r="AM57" s="1" t="s">
        <v>74</v>
      </c>
      <c r="AN57" s="1" t="s">
        <v>74</v>
      </c>
      <c r="AO57" s="1" t="s">
        <v>693</v>
      </c>
      <c r="AP57" s="1" t="s">
        <v>694</v>
      </c>
      <c r="AQ57" s="1" t="s">
        <v>74</v>
      </c>
      <c r="AR57" s="1" t="s">
        <v>74</v>
      </c>
      <c r="AS57" s="1" t="s">
        <v>74</v>
      </c>
      <c r="AT57" s="1" t="s">
        <v>695</v>
      </c>
      <c r="AU57" s="1">
        <v>2018.0</v>
      </c>
      <c r="AV57" s="1">
        <v>120.0</v>
      </c>
      <c r="AW57" s="1" t="s">
        <v>74</v>
      </c>
      <c r="AX57" s="1" t="s">
        <v>74</v>
      </c>
      <c r="AY57" s="1">
        <v>1.0</v>
      </c>
      <c r="AZ57" s="1" t="s">
        <v>74</v>
      </c>
      <c r="BA57" s="1" t="s">
        <v>696</v>
      </c>
      <c r="BB57" s="1" t="s">
        <v>697</v>
      </c>
      <c r="BC57" s="1" t="s">
        <v>697</v>
      </c>
      <c r="BD57" s="1" t="s">
        <v>74</v>
      </c>
      <c r="BE57" s="1" t="s">
        <v>698</v>
      </c>
      <c r="BF57" s="2" t="str">
        <f>HYPERLINK("http://dx.doi.org/10.1016/j.freeradbiomed.2018.04.197","http://dx.doi.org/10.1016/j.freeradbiomed.2018.04.197")</f>
        <v>http://dx.doi.org/10.1016/j.freeradbiomed.2018.04.197</v>
      </c>
      <c r="BG57" s="1" t="s">
        <v>74</v>
      </c>
      <c r="BH57" s="1" t="s">
        <v>74</v>
      </c>
      <c r="BI57" s="1" t="s">
        <v>74</v>
      </c>
      <c r="BJ57" s="1" t="s">
        <v>74</v>
      </c>
      <c r="BK57" s="1" t="s">
        <v>74</v>
      </c>
      <c r="BL57" s="1" t="s">
        <v>74</v>
      </c>
      <c r="BM57" s="1" t="s">
        <v>74</v>
      </c>
      <c r="BN57" s="1" t="s">
        <v>74</v>
      </c>
      <c r="BO57" s="1" t="s">
        <v>74</v>
      </c>
      <c r="BP57" s="1" t="s">
        <v>74</v>
      </c>
      <c r="BQ57" s="1" t="s">
        <v>74</v>
      </c>
      <c r="BR57" s="1" t="s">
        <v>74</v>
      </c>
      <c r="BS57" s="1" t="s">
        <v>699</v>
      </c>
      <c r="BT57" s="1" t="str">
        <f>HYPERLINK("https%3A%2F%2Fwww.webofscience.com%2Fwos%2Fwoscc%2Ffull-record%2FWOS:000432836500182","View Full Record in Web of Science")</f>
        <v>View Full Record in Web of Science</v>
      </c>
    </row>
    <row r="58" ht="12.75" customHeight="1">
      <c r="A58" s="1" t="s">
        <v>72</v>
      </c>
      <c r="B58" s="1" t="s">
        <v>700</v>
      </c>
      <c r="C58" s="1" t="s">
        <v>74</v>
      </c>
      <c r="D58" s="1" t="s">
        <v>74</v>
      </c>
      <c r="E58" s="1" t="s">
        <v>74</v>
      </c>
      <c r="F58" s="1" t="s">
        <v>701</v>
      </c>
      <c r="G58" s="1" t="s">
        <v>74</v>
      </c>
      <c r="H58" s="1" t="s">
        <v>74</v>
      </c>
      <c r="I58" s="1" t="s">
        <v>702</v>
      </c>
      <c r="J58" s="1" t="s">
        <v>703</v>
      </c>
      <c r="K58" s="1" t="s">
        <v>74</v>
      </c>
      <c r="L58" s="1" t="s">
        <v>74</v>
      </c>
      <c r="M58" s="1" t="s">
        <v>74</v>
      </c>
      <c r="N58" s="1" t="s">
        <v>74</v>
      </c>
      <c r="O58" s="1" t="s">
        <v>74</v>
      </c>
      <c r="P58" s="1" t="s">
        <v>74</v>
      </c>
      <c r="Q58" s="1" t="s">
        <v>74</v>
      </c>
      <c r="R58" s="1" t="s">
        <v>74</v>
      </c>
      <c r="S58" s="1" t="s">
        <v>74</v>
      </c>
      <c r="T58" s="1" t="s">
        <v>74</v>
      </c>
      <c r="U58" s="1" t="s">
        <v>74</v>
      </c>
      <c r="V58" s="1" t="s">
        <v>704</v>
      </c>
      <c r="W58" s="1" t="s">
        <v>74</v>
      </c>
      <c r="X58" s="1" t="s">
        <v>74</v>
      </c>
      <c r="Y58" s="1" t="s">
        <v>74</v>
      </c>
      <c r="Z58" s="1" t="s">
        <v>74</v>
      </c>
      <c r="AA58" s="1" t="s">
        <v>705</v>
      </c>
      <c r="AB58" s="1" t="s">
        <v>706</v>
      </c>
      <c r="AC58" s="1" t="s">
        <v>74</v>
      </c>
      <c r="AD58" s="1" t="s">
        <v>74</v>
      </c>
      <c r="AE58" s="1" t="s">
        <v>74</v>
      </c>
      <c r="AF58" s="1" t="s">
        <v>74</v>
      </c>
      <c r="AG58" s="1" t="s">
        <v>74</v>
      </c>
      <c r="AH58" s="1" t="s">
        <v>74</v>
      </c>
      <c r="AI58" s="1" t="s">
        <v>74</v>
      </c>
      <c r="AJ58" s="1" t="s">
        <v>74</v>
      </c>
      <c r="AK58" s="1" t="s">
        <v>74</v>
      </c>
      <c r="AL58" s="1" t="s">
        <v>74</v>
      </c>
      <c r="AM58" s="1" t="s">
        <v>74</v>
      </c>
      <c r="AN58" s="1" t="s">
        <v>74</v>
      </c>
      <c r="AO58" s="1" t="s">
        <v>74</v>
      </c>
      <c r="AP58" s="1" t="s">
        <v>707</v>
      </c>
      <c r="AQ58" s="1" t="s">
        <v>74</v>
      </c>
      <c r="AR58" s="1" t="s">
        <v>74</v>
      </c>
      <c r="AS58" s="1" t="s">
        <v>74</v>
      </c>
      <c r="AT58" s="1" t="s">
        <v>377</v>
      </c>
      <c r="AU58" s="1">
        <v>2015.0</v>
      </c>
      <c r="AV58" s="1">
        <v>12.0</v>
      </c>
      <c r="AW58" s="1">
        <v>5.0</v>
      </c>
      <c r="AX58" s="1" t="s">
        <v>74</v>
      </c>
      <c r="AY58" s="1" t="s">
        <v>74</v>
      </c>
      <c r="AZ58" s="1" t="s">
        <v>74</v>
      </c>
      <c r="BA58" s="1" t="s">
        <v>74</v>
      </c>
      <c r="BB58" s="1">
        <v>5614.0</v>
      </c>
      <c r="BC58" s="1">
        <v>5633.0</v>
      </c>
      <c r="BD58" s="1" t="s">
        <v>74</v>
      </c>
      <c r="BE58" s="1" t="s">
        <v>708</v>
      </c>
      <c r="BF58" s="2" t="str">
        <f>HYPERLINK("http://dx.doi.org/10.3390/ijerph120505614","http://dx.doi.org/10.3390/ijerph120505614")</f>
        <v>http://dx.doi.org/10.3390/ijerph120505614</v>
      </c>
      <c r="BG58" s="1" t="s">
        <v>74</v>
      </c>
      <c r="BH58" s="1" t="s">
        <v>74</v>
      </c>
      <c r="BI58" s="1" t="s">
        <v>74</v>
      </c>
      <c r="BJ58" s="1" t="s">
        <v>74</v>
      </c>
      <c r="BK58" s="1" t="s">
        <v>74</v>
      </c>
      <c r="BL58" s="1" t="s">
        <v>74</v>
      </c>
      <c r="BM58" s="1" t="s">
        <v>74</v>
      </c>
      <c r="BN58" s="1">
        <v>2.6006131E7</v>
      </c>
      <c r="BO58" s="1" t="s">
        <v>74</v>
      </c>
      <c r="BP58" s="1" t="s">
        <v>74</v>
      </c>
      <c r="BQ58" s="1" t="s">
        <v>74</v>
      </c>
      <c r="BR58" s="1" t="s">
        <v>74</v>
      </c>
      <c r="BS58" s="1" t="s">
        <v>709</v>
      </c>
      <c r="BT58" s="1" t="str">
        <f>HYPERLINK("https%3A%2F%2Fwww.webofscience.com%2Fwos%2Fwoscc%2Ffull-record%2FWOS:000359190300068","View Full Record in Web of Science")</f>
        <v>View Full Record in Web of Science</v>
      </c>
    </row>
    <row r="59" ht="12.75" customHeight="1">
      <c r="A59" s="1" t="s">
        <v>72</v>
      </c>
      <c r="B59" s="1" t="s">
        <v>710</v>
      </c>
      <c r="C59" s="1" t="s">
        <v>74</v>
      </c>
      <c r="D59" s="1" t="s">
        <v>74</v>
      </c>
      <c r="E59" s="1" t="s">
        <v>74</v>
      </c>
      <c r="F59" s="1" t="s">
        <v>711</v>
      </c>
      <c r="G59" s="1" t="s">
        <v>74</v>
      </c>
      <c r="H59" s="1" t="s">
        <v>74</v>
      </c>
      <c r="I59" s="1" t="s">
        <v>712</v>
      </c>
      <c r="J59" s="1" t="s">
        <v>713</v>
      </c>
      <c r="K59" s="1" t="s">
        <v>74</v>
      </c>
      <c r="L59" s="1" t="s">
        <v>74</v>
      </c>
      <c r="M59" s="1" t="s">
        <v>74</v>
      </c>
      <c r="N59" s="1" t="s">
        <v>74</v>
      </c>
      <c r="O59" s="1" t="s">
        <v>74</v>
      </c>
      <c r="P59" s="1" t="s">
        <v>74</v>
      </c>
      <c r="Q59" s="1" t="s">
        <v>74</v>
      </c>
      <c r="R59" s="1" t="s">
        <v>74</v>
      </c>
      <c r="S59" s="1" t="s">
        <v>74</v>
      </c>
      <c r="T59" s="1" t="s">
        <v>74</v>
      </c>
      <c r="U59" s="1" t="s">
        <v>74</v>
      </c>
      <c r="V59" s="1" t="s">
        <v>714</v>
      </c>
      <c r="W59" s="1" t="s">
        <v>74</v>
      </c>
      <c r="X59" s="1" t="s">
        <v>74</v>
      </c>
      <c r="Y59" s="1" t="s">
        <v>74</v>
      </c>
      <c r="Z59" s="1" t="s">
        <v>74</v>
      </c>
      <c r="AA59" s="1" t="s">
        <v>715</v>
      </c>
      <c r="AB59" s="1" t="s">
        <v>716</v>
      </c>
      <c r="AC59" s="1" t="s">
        <v>74</v>
      </c>
      <c r="AD59" s="1" t="s">
        <v>74</v>
      </c>
      <c r="AE59" s="1" t="s">
        <v>74</v>
      </c>
      <c r="AF59" s="1" t="s">
        <v>74</v>
      </c>
      <c r="AG59" s="1" t="s">
        <v>74</v>
      </c>
      <c r="AH59" s="1" t="s">
        <v>74</v>
      </c>
      <c r="AI59" s="1" t="s">
        <v>74</v>
      </c>
      <c r="AJ59" s="1" t="s">
        <v>74</v>
      </c>
      <c r="AK59" s="1" t="s">
        <v>74</v>
      </c>
      <c r="AL59" s="1" t="s">
        <v>74</v>
      </c>
      <c r="AM59" s="1" t="s">
        <v>74</v>
      </c>
      <c r="AN59" s="1" t="s">
        <v>74</v>
      </c>
      <c r="AO59" s="1" t="s">
        <v>717</v>
      </c>
      <c r="AP59" s="1" t="s">
        <v>718</v>
      </c>
      <c r="AQ59" s="1" t="s">
        <v>74</v>
      </c>
      <c r="AR59" s="1" t="s">
        <v>74</v>
      </c>
      <c r="AS59" s="1" t="s">
        <v>74</v>
      </c>
      <c r="AT59" s="1" t="s">
        <v>719</v>
      </c>
      <c r="AU59" s="1">
        <v>2013.0</v>
      </c>
      <c r="AV59" s="1">
        <v>99.0</v>
      </c>
      <c r="AW59" s="1" t="s">
        <v>74</v>
      </c>
      <c r="AX59" s="1" t="s">
        <v>74</v>
      </c>
      <c r="AY59" s="1" t="s">
        <v>74</v>
      </c>
      <c r="AZ59" s="1" t="s">
        <v>399</v>
      </c>
      <c r="BA59" s="1" t="s">
        <v>74</v>
      </c>
      <c r="BB59" s="1">
        <v>85.0</v>
      </c>
      <c r="BC59" s="1">
        <v>91.0</v>
      </c>
      <c r="BD59" s="1" t="s">
        <v>74</v>
      </c>
      <c r="BE59" s="1" t="s">
        <v>720</v>
      </c>
      <c r="BF59" s="2" t="str">
        <f>HYPERLINK("http://dx.doi.org/10.1016/j.jastp.2012.08.013","http://dx.doi.org/10.1016/j.jastp.2012.08.013")</f>
        <v>http://dx.doi.org/10.1016/j.jastp.2012.08.013</v>
      </c>
      <c r="BG59" s="1" t="s">
        <v>74</v>
      </c>
      <c r="BH59" s="1" t="s">
        <v>74</v>
      </c>
      <c r="BI59" s="1" t="s">
        <v>74</v>
      </c>
      <c r="BJ59" s="1" t="s">
        <v>74</v>
      </c>
      <c r="BK59" s="1" t="s">
        <v>74</v>
      </c>
      <c r="BL59" s="1" t="s">
        <v>74</v>
      </c>
      <c r="BM59" s="1" t="s">
        <v>74</v>
      </c>
      <c r="BN59" s="1" t="s">
        <v>74</v>
      </c>
      <c r="BO59" s="1" t="s">
        <v>74</v>
      </c>
      <c r="BP59" s="1" t="s">
        <v>74</v>
      </c>
      <c r="BQ59" s="1" t="s">
        <v>74</v>
      </c>
      <c r="BR59" s="1" t="s">
        <v>74</v>
      </c>
      <c r="BS59" s="1" t="s">
        <v>721</v>
      </c>
      <c r="BT59" s="1" t="str">
        <f>HYPERLINK("https%3A%2F%2Fwww.webofscience.com%2Fwos%2Fwoscc%2Ffull-record%2FWOS:000320493800013","View Full Record in Web of Science")</f>
        <v>View Full Record in Web of Science</v>
      </c>
    </row>
    <row r="60" ht="12.75" customHeight="1">
      <c r="A60" s="1" t="s">
        <v>72</v>
      </c>
      <c r="B60" s="1" t="s">
        <v>722</v>
      </c>
      <c r="C60" s="1" t="s">
        <v>74</v>
      </c>
      <c r="D60" s="1" t="s">
        <v>74</v>
      </c>
      <c r="E60" s="1" t="s">
        <v>74</v>
      </c>
      <c r="F60" s="1" t="s">
        <v>723</v>
      </c>
      <c r="G60" s="1" t="s">
        <v>74</v>
      </c>
      <c r="H60" s="1" t="s">
        <v>74</v>
      </c>
      <c r="I60" s="1" t="s">
        <v>724</v>
      </c>
      <c r="J60" s="1" t="s">
        <v>725</v>
      </c>
      <c r="K60" s="1" t="s">
        <v>74</v>
      </c>
      <c r="L60" s="1" t="s">
        <v>74</v>
      </c>
      <c r="M60" s="1" t="s">
        <v>74</v>
      </c>
      <c r="N60" s="1" t="s">
        <v>74</v>
      </c>
      <c r="O60" s="1" t="s">
        <v>74</v>
      </c>
      <c r="P60" s="1" t="s">
        <v>74</v>
      </c>
      <c r="Q60" s="1" t="s">
        <v>74</v>
      </c>
      <c r="R60" s="1" t="s">
        <v>74</v>
      </c>
      <c r="S60" s="1" t="s">
        <v>74</v>
      </c>
      <c r="T60" s="1" t="s">
        <v>74</v>
      </c>
      <c r="U60" s="1" t="s">
        <v>74</v>
      </c>
      <c r="V60" s="1" t="s">
        <v>726</v>
      </c>
      <c r="W60" s="1" t="s">
        <v>74</v>
      </c>
      <c r="X60" s="1" t="s">
        <v>74</v>
      </c>
      <c r="Y60" s="1" t="s">
        <v>74</v>
      </c>
      <c r="Z60" s="1" t="s">
        <v>74</v>
      </c>
      <c r="AA60" s="1" t="s">
        <v>727</v>
      </c>
      <c r="AB60" s="1" t="s">
        <v>728</v>
      </c>
      <c r="AC60" s="1" t="s">
        <v>74</v>
      </c>
      <c r="AD60" s="1" t="s">
        <v>74</v>
      </c>
      <c r="AE60" s="1" t="s">
        <v>74</v>
      </c>
      <c r="AF60" s="1" t="s">
        <v>74</v>
      </c>
      <c r="AG60" s="1" t="s">
        <v>74</v>
      </c>
      <c r="AH60" s="1" t="s">
        <v>74</v>
      </c>
      <c r="AI60" s="1" t="s">
        <v>74</v>
      </c>
      <c r="AJ60" s="1" t="s">
        <v>74</v>
      </c>
      <c r="AK60" s="1" t="s">
        <v>74</v>
      </c>
      <c r="AL60" s="1" t="s">
        <v>74</v>
      </c>
      <c r="AM60" s="1" t="s">
        <v>74</v>
      </c>
      <c r="AN60" s="1" t="s">
        <v>74</v>
      </c>
      <c r="AO60" s="1" t="s">
        <v>729</v>
      </c>
      <c r="AP60" s="1" t="s">
        <v>74</v>
      </c>
      <c r="AQ60" s="1" t="s">
        <v>74</v>
      </c>
      <c r="AR60" s="1" t="s">
        <v>74</v>
      </c>
      <c r="AS60" s="1" t="s">
        <v>74</v>
      </c>
      <c r="AT60" s="1" t="s">
        <v>730</v>
      </c>
      <c r="AU60" s="1">
        <v>2012.0</v>
      </c>
      <c r="AV60" s="1">
        <v>15.0</v>
      </c>
      <c r="AW60" s="1">
        <v>4.0</v>
      </c>
      <c r="AX60" s="1" t="s">
        <v>74</v>
      </c>
      <c r="AY60" s="1" t="s">
        <v>74</v>
      </c>
      <c r="AZ60" s="1" t="s">
        <v>74</v>
      </c>
      <c r="BA60" s="1" t="s">
        <v>74</v>
      </c>
      <c r="BB60" s="1" t="s">
        <v>74</v>
      </c>
      <c r="BC60" s="1" t="s">
        <v>74</v>
      </c>
      <c r="BD60" s="1">
        <v>2.0</v>
      </c>
      <c r="BE60" s="1" t="s">
        <v>731</v>
      </c>
      <c r="BF60" s="2" t="str">
        <f>HYPERLINK("http://dx.doi.org/10.2225/vol15-issue4-fulltext-2","http://dx.doi.org/10.2225/vol15-issue4-fulltext-2")</f>
        <v>http://dx.doi.org/10.2225/vol15-issue4-fulltext-2</v>
      </c>
      <c r="BG60" s="1" t="s">
        <v>74</v>
      </c>
      <c r="BH60" s="1" t="s">
        <v>74</v>
      </c>
      <c r="BI60" s="1" t="s">
        <v>74</v>
      </c>
      <c r="BJ60" s="1" t="s">
        <v>74</v>
      </c>
      <c r="BK60" s="1" t="s">
        <v>74</v>
      </c>
      <c r="BL60" s="1" t="s">
        <v>74</v>
      </c>
      <c r="BM60" s="1" t="s">
        <v>74</v>
      </c>
      <c r="BN60" s="1" t="s">
        <v>74</v>
      </c>
      <c r="BO60" s="1" t="s">
        <v>74</v>
      </c>
      <c r="BP60" s="1" t="s">
        <v>74</v>
      </c>
      <c r="BQ60" s="1" t="s">
        <v>74</v>
      </c>
      <c r="BR60" s="1" t="s">
        <v>74</v>
      </c>
      <c r="BS60" s="1" t="s">
        <v>732</v>
      </c>
      <c r="BT60" s="1" t="str">
        <f>HYPERLINK("https%3A%2F%2Fwww.webofscience.com%2Fwos%2Fwoscc%2Ffull-record%2FWOS:000307004700002","View Full Record in Web of Science")</f>
        <v>View Full Record in Web of Science</v>
      </c>
    </row>
    <row r="61" ht="12.75" customHeight="1">
      <c r="A61" s="1" t="s">
        <v>733</v>
      </c>
      <c r="B61" s="1" t="s">
        <v>734</v>
      </c>
      <c r="C61" s="1" t="s">
        <v>74</v>
      </c>
      <c r="D61" s="1" t="s">
        <v>735</v>
      </c>
      <c r="E61" s="1" t="s">
        <v>74</v>
      </c>
      <c r="F61" s="1" t="s">
        <v>736</v>
      </c>
      <c r="G61" s="1" t="s">
        <v>74</v>
      </c>
      <c r="H61" s="1" t="s">
        <v>74</v>
      </c>
      <c r="I61" s="1" t="s">
        <v>737</v>
      </c>
      <c r="J61" s="1" t="s">
        <v>738</v>
      </c>
      <c r="K61" s="1" t="s">
        <v>74</v>
      </c>
      <c r="L61" s="1" t="s">
        <v>74</v>
      </c>
      <c r="M61" s="1" t="s">
        <v>74</v>
      </c>
      <c r="N61" s="1" t="s">
        <v>74</v>
      </c>
      <c r="O61" s="1" t="s">
        <v>74</v>
      </c>
      <c r="P61" s="1" t="s">
        <v>74</v>
      </c>
      <c r="Q61" s="1" t="s">
        <v>74</v>
      </c>
      <c r="R61" s="1" t="s">
        <v>74</v>
      </c>
      <c r="S61" s="1" t="s">
        <v>74</v>
      </c>
      <c r="T61" s="1" t="s">
        <v>74</v>
      </c>
      <c r="U61" s="1" t="s">
        <v>74</v>
      </c>
      <c r="V61" s="1" t="s">
        <v>74</v>
      </c>
      <c r="W61" s="1" t="s">
        <v>74</v>
      </c>
      <c r="X61" s="1" t="s">
        <v>74</v>
      </c>
      <c r="Y61" s="1" t="s">
        <v>74</v>
      </c>
      <c r="Z61" s="1" t="s">
        <v>74</v>
      </c>
      <c r="AA61" s="1" t="s">
        <v>739</v>
      </c>
      <c r="AB61" s="1" t="s">
        <v>740</v>
      </c>
      <c r="AC61" s="1" t="s">
        <v>74</v>
      </c>
      <c r="AD61" s="1" t="s">
        <v>74</v>
      </c>
      <c r="AE61" s="1" t="s">
        <v>74</v>
      </c>
      <c r="AF61" s="1" t="s">
        <v>74</v>
      </c>
      <c r="AG61" s="1" t="s">
        <v>74</v>
      </c>
      <c r="AH61" s="1" t="s">
        <v>74</v>
      </c>
      <c r="AI61" s="1" t="s">
        <v>74</v>
      </c>
      <c r="AJ61" s="1" t="s">
        <v>74</v>
      </c>
      <c r="AK61" s="1" t="s">
        <v>74</v>
      </c>
      <c r="AL61" s="1" t="s">
        <v>74</v>
      </c>
      <c r="AM61" s="1" t="s">
        <v>74</v>
      </c>
      <c r="AN61" s="1" t="s">
        <v>74</v>
      </c>
      <c r="AO61" s="1" t="s">
        <v>74</v>
      </c>
      <c r="AP61" s="1" t="s">
        <v>74</v>
      </c>
      <c r="AQ61" s="1" t="s">
        <v>741</v>
      </c>
      <c r="AR61" s="1" t="s">
        <v>74</v>
      </c>
      <c r="AS61" s="1" t="s">
        <v>74</v>
      </c>
      <c r="AT61" s="1" t="s">
        <v>74</v>
      </c>
      <c r="AU61" s="1">
        <v>2012.0</v>
      </c>
      <c r="AV61" s="1" t="s">
        <v>74</v>
      </c>
      <c r="AW61" s="1" t="s">
        <v>74</v>
      </c>
      <c r="AX61" s="1" t="s">
        <v>74</v>
      </c>
      <c r="AY61" s="1" t="s">
        <v>74</v>
      </c>
      <c r="AZ61" s="1" t="s">
        <v>74</v>
      </c>
      <c r="BA61" s="1" t="s">
        <v>74</v>
      </c>
      <c r="BB61" s="1">
        <v>417.0</v>
      </c>
      <c r="BC61" s="1">
        <v>438.0</v>
      </c>
      <c r="BD61" s="1" t="s">
        <v>74</v>
      </c>
      <c r="BE61" s="1" t="s">
        <v>74</v>
      </c>
      <c r="BF61" s="1" t="s">
        <v>74</v>
      </c>
      <c r="BG61" s="1" t="s">
        <v>742</v>
      </c>
      <c r="BH61" s="1" t="s">
        <v>74</v>
      </c>
      <c r="BI61" s="1" t="s">
        <v>74</v>
      </c>
      <c r="BJ61" s="1" t="s">
        <v>74</v>
      </c>
      <c r="BK61" s="1" t="s">
        <v>74</v>
      </c>
      <c r="BL61" s="1" t="s">
        <v>74</v>
      </c>
      <c r="BM61" s="1" t="s">
        <v>74</v>
      </c>
      <c r="BN61" s="1" t="s">
        <v>74</v>
      </c>
      <c r="BO61" s="1" t="s">
        <v>74</v>
      </c>
      <c r="BP61" s="1" t="s">
        <v>74</v>
      </c>
      <c r="BQ61" s="1" t="s">
        <v>74</v>
      </c>
      <c r="BR61" s="1" t="s">
        <v>74</v>
      </c>
      <c r="BS61" s="1" t="s">
        <v>743</v>
      </c>
      <c r="BT61" s="1" t="str">
        <f>HYPERLINK("https%3A%2F%2Fwww.webofscience.com%2Fwos%2Fwoscc%2Ffull-record%2FWOS:000356532100019","View Full Record in Web of Science")</f>
        <v>View Full Record in Web of Science</v>
      </c>
    </row>
    <row r="62" ht="12.75" customHeight="1">
      <c r="A62" s="1" t="s">
        <v>72</v>
      </c>
      <c r="B62" s="1" t="s">
        <v>744</v>
      </c>
      <c r="C62" s="1" t="s">
        <v>74</v>
      </c>
      <c r="D62" s="1" t="s">
        <v>74</v>
      </c>
      <c r="E62" s="1" t="s">
        <v>74</v>
      </c>
      <c r="F62" s="1" t="s">
        <v>745</v>
      </c>
      <c r="G62" s="1" t="s">
        <v>74</v>
      </c>
      <c r="H62" s="1" t="s">
        <v>74</v>
      </c>
      <c r="I62" s="1" t="s">
        <v>746</v>
      </c>
      <c r="J62" s="1" t="s">
        <v>747</v>
      </c>
      <c r="K62" s="1" t="s">
        <v>74</v>
      </c>
      <c r="L62" s="1" t="s">
        <v>74</v>
      </c>
      <c r="M62" s="1" t="s">
        <v>74</v>
      </c>
      <c r="N62" s="1" t="s">
        <v>74</v>
      </c>
      <c r="O62" s="1" t="s">
        <v>74</v>
      </c>
      <c r="P62" s="1" t="s">
        <v>74</v>
      </c>
      <c r="Q62" s="1" t="s">
        <v>74</v>
      </c>
      <c r="R62" s="1" t="s">
        <v>74</v>
      </c>
      <c r="S62" s="1" t="s">
        <v>74</v>
      </c>
      <c r="T62" s="1" t="s">
        <v>74</v>
      </c>
      <c r="U62" s="1" t="s">
        <v>74</v>
      </c>
      <c r="V62" s="1" t="s">
        <v>748</v>
      </c>
      <c r="W62" s="1" t="s">
        <v>74</v>
      </c>
      <c r="X62" s="1" t="s">
        <v>74</v>
      </c>
      <c r="Y62" s="1" t="s">
        <v>74</v>
      </c>
      <c r="Z62" s="1" t="s">
        <v>74</v>
      </c>
      <c r="AA62" s="1" t="s">
        <v>749</v>
      </c>
      <c r="AB62" s="1" t="s">
        <v>750</v>
      </c>
      <c r="AC62" s="1" t="s">
        <v>74</v>
      </c>
      <c r="AD62" s="1" t="s">
        <v>74</v>
      </c>
      <c r="AE62" s="1" t="s">
        <v>74</v>
      </c>
      <c r="AF62" s="1" t="s">
        <v>74</v>
      </c>
      <c r="AG62" s="1" t="s">
        <v>74</v>
      </c>
      <c r="AH62" s="1" t="s">
        <v>74</v>
      </c>
      <c r="AI62" s="1" t="s">
        <v>74</v>
      </c>
      <c r="AJ62" s="1" t="s">
        <v>74</v>
      </c>
      <c r="AK62" s="1" t="s">
        <v>74</v>
      </c>
      <c r="AL62" s="1" t="s">
        <v>74</v>
      </c>
      <c r="AM62" s="1" t="s">
        <v>74</v>
      </c>
      <c r="AN62" s="1" t="s">
        <v>74</v>
      </c>
      <c r="AO62" s="1" t="s">
        <v>751</v>
      </c>
      <c r="AP62" s="1" t="s">
        <v>752</v>
      </c>
      <c r="AQ62" s="1" t="s">
        <v>74</v>
      </c>
      <c r="AR62" s="1" t="s">
        <v>74</v>
      </c>
      <c r="AS62" s="1" t="s">
        <v>74</v>
      </c>
      <c r="AT62" s="1" t="s">
        <v>348</v>
      </c>
      <c r="AU62" s="1">
        <v>2011.0</v>
      </c>
      <c r="AV62" s="1">
        <v>44.0</v>
      </c>
      <c r="AW62" s="1">
        <v>23.0</v>
      </c>
      <c r="AX62" s="1" t="s">
        <v>74</v>
      </c>
      <c r="AY62" s="1" t="s">
        <v>74</v>
      </c>
      <c r="AZ62" s="1" t="s">
        <v>74</v>
      </c>
      <c r="BA62" s="1" t="s">
        <v>74</v>
      </c>
      <c r="BB62" s="1" t="s">
        <v>74</v>
      </c>
      <c r="BC62" s="1" t="s">
        <v>74</v>
      </c>
      <c r="BD62" s="1">
        <v>232002.0</v>
      </c>
      <c r="BE62" s="1" t="s">
        <v>753</v>
      </c>
      <c r="BF62" s="2" t="str">
        <f>HYPERLINK("http://dx.doi.org/10.1088/0022-3727/44/23/232002","http://dx.doi.org/10.1088/0022-3727/44/23/232002")</f>
        <v>http://dx.doi.org/10.1088/0022-3727/44/23/232002</v>
      </c>
      <c r="BG62" s="1" t="s">
        <v>74</v>
      </c>
      <c r="BH62" s="1" t="s">
        <v>74</v>
      </c>
      <c r="BI62" s="1" t="s">
        <v>74</v>
      </c>
      <c r="BJ62" s="1" t="s">
        <v>74</v>
      </c>
      <c r="BK62" s="1" t="s">
        <v>74</v>
      </c>
      <c r="BL62" s="1" t="s">
        <v>74</v>
      </c>
      <c r="BM62" s="1" t="s">
        <v>74</v>
      </c>
      <c r="BN62" s="1" t="s">
        <v>74</v>
      </c>
      <c r="BO62" s="1" t="s">
        <v>74</v>
      </c>
      <c r="BP62" s="1" t="s">
        <v>74</v>
      </c>
      <c r="BQ62" s="1" t="s">
        <v>74</v>
      </c>
      <c r="BR62" s="1" t="s">
        <v>74</v>
      </c>
      <c r="BS62" s="1" t="s">
        <v>754</v>
      </c>
      <c r="BT62" s="1" t="str">
        <f>HYPERLINK("https%3A%2F%2Fwww.webofscience.com%2Fwos%2Fwoscc%2Ffull-record%2FWOS:000290911400002","View Full Record in Web of Science")</f>
        <v>View Full Record in Web of Science</v>
      </c>
    </row>
    <row r="63" ht="12.75" customHeight="1">
      <c r="A63" s="1" t="s">
        <v>72</v>
      </c>
      <c r="B63" s="1" t="s">
        <v>755</v>
      </c>
      <c r="C63" s="1" t="s">
        <v>74</v>
      </c>
      <c r="D63" s="1" t="s">
        <v>74</v>
      </c>
      <c r="E63" s="1" t="s">
        <v>74</v>
      </c>
      <c r="F63" s="1" t="s">
        <v>756</v>
      </c>
      <c r="G63" s="1" t="s">
        <v>74</v>
      </c>
      <c r="H63" s="1" t="s">
        <v>74</v>
      </c>
      <c r="I63" s="1" t="s">
        <v>757</v>
      </c>
      <c r="J63" s="1" t="s">
        <v>758</v>
      </c>
      <c r="K63" s="1" t="s">
        <v>74</v>
      </c>
      <c r="L63" s="1" t="s">
        <v>74</v>
      </c>
      <c r="M63" s="1" t="s">
        <v>74</v>
      </c>
      <c r="N63" s="1" t="s">
        <v>74</v>
      </c>
      <c r="O63" s="1" t="s">
        <v>74</v>
      </c>
      <c r="P63" s="1" t="s">
        <v>74</v>
      </c>
      <c r="Q63" s="1" t="s">
        <v>74</v>
      </c>
      <c r="R63" s="1" t="s">
        <v>74</v>
      </c>
      <c r="S63" s="1" t="s">
        <v>74</v>
      </c>
      <c r="T63" s="1" t="s">
        <v>74</v>
      </c>
      <c r="U63" s="1" t="s">
        <v>74</v>
      </c>
      <c r="V63" s="1" t="s">
        <v>759</v>
      </c>
      <c r="W63" s="1" t="s">
        <v>74</v>
      </c>
      <c r="X63" s="1" t="s">
        <v>74</v>
      </c>
      <c r="Y63" s="1" t="s">
        <v>74</v>
      </c>
      <c r="Z63" s="1" t="s">
        <v>74</v>
      </c>
      <c r="AA63" s="1" t="s">
        <v>760</v>
      </c>
      <c r="AB63" s="1" t="s">
        <v>761</v>
      </c>
      <c r="AC63" s="1" t="s">
        <v>74</v>
      </c>
      <c r="AD63" s="1" t="s">
        <v>74</v>
      </c>
      <c r="AE63" s="1" t="s">
        <v>74</v>
      </c>
      <c r="AF63" s="1" t="s">
        <v>74</v>
      </c>
      <c r="AG63" s="1" t="s">
        <v>74</v>
      </c>
      <c r="AH63" s="1" t="s">
        <v>74</v>
      </c>
      <c r="AI63" s="1" t="s">
        <v>74</v>
      </c>
      <c r="AJ63" s="1" t="s">
        <v>74</v>
      </c>
      <c r="AK63" s="1" t="s">
        <v>74</v>
      </c>
      <c r="AL63" s="1" t="s">
        <v>74</v>
      </c>
      <c r="AM63" s="1" t="s">
        <v>74</v>
      </c>
      <c r="AN63" s="1" t="s">
        <v>74</v>
      </c>
      <c r="AO63" s="1" t="s">
        <v>762</v>
      </c>
      <c r="AP63" s="1" t="s">
        <v>74</v>
      </c>
      <c r="AQ63" s="1" t="s">
        <v>74</v>
      </c>
      <c r="AR63" s="1" t="s">
        <v>74</v>
      </c>
      <c r="AS63" s="1" t="s">
        <v>74</v>
      </c>
      <c r="AT63" s="1" t="s">
        <v>96</v>
      </c>
      <c r="AU63" s="1">
        <v>2010.0</v>
      </c>
      <c r="AV63" s="1">
        <v>139.0</v>
      </c>
      <c r="AW63" s="1">
        <v>3.0</v>
      </c>
      <c r="AX63" s="1" t="s">
        <v>74</v>
      </c>
      <c r="AY63" s="1" t="s">
        <v>74</v>
      </c>
      <c r="AZ63" s="1" t="s">
        <v>74</v>
      </c>
      <c r="BA63" s="1" t="s">
        <v>74</v>
      </c>
      <c r="BB63" s="1">
        <v>631.0</v>
      </c>
      <c r="BC63" s="1">
        <v>644.0</v>
      </c>
      <c r="BD63" s="1" t="s">
        <v>74</v>
      </c>
      <c r="BE63" s="1" t="s">
        <v>763</v>
      </c>
      <c r="BF63" s="2" t="str">
        <f>HYPERLINK("http://dx.doi.org/10.1530/REP-09-0218","http://dx.doi.org/10.1530/REP-09-0218")</f>
        <v>http://dx.doi.org/10.1530/REP-09-0218</v>
      </c>
      <c r="BG63" s="1" t="s">
        <v>74</v>
      </c>
      <c r="BH63" s="1" t="s">
        <v>74</v>
      </c>
      <c r="BI63" s="1" t="s">
        <v>74</v>
      </c>
      <c r="BJ63" s="1" t="s">
        <v>74</v>
      </c>
      <c r="BK63" s="1" t="s">
        <v>74</v>
      </c>
      <c r="BL63" s="1" t="s">
        <v>74</v>
      </c>
      <c r="BM63" s="1" t="s">
        <v>74</v>
      </c>
      <c r="BN63" s="1">
        <v>2.0032209E7</v>
      </c>
      <c r="BO63" s="1" t="s">
        <v>74</v>
      </c>
      <c r="BP63" s="1" t="s">
        <v>74</v>
      </c>
      <c r="BQ63" s="1" t="s">
        <v>74</v>
      </c>
      <c r="BR63" s="1" t="s">
        <v>74</v>
      </c>
      <c r="BS63" s="1" t="s">
        <v>764</v>
      </c>
      <c r="BT63" s="1" t="str">
        <f>HYPERLINK("https%3A%2F%2Fwww.webofscience.com%2Fwos%2Fwoscc%2Ffull-record%2FWOS:000275144500015","View Full Record in Web of Science")</f>
        <v>View Full Record in Web of Science</v>
      </c>
    </row>
    <row r="64" ht="12.75" customHeight="1">
      <c r="A64" s="1" t="s">
        <v>72</v>
      </c>
      <c r="B64" s="1" t="s">
        <v>765</v>
      </c>
      <c r="C64" s="1" t="s">
        <v>74</v>
      </c>
      <c r="D64" s="1" t="s">
        <v>74</v>
      </c>
      <c r="E64" s="1" t="s">
        <v>74</v>
      </c>
      <c r="F64" s="1" t="s">
        <v>766</v>
      </c>
      <c r="G64" s="1" t="s">
        <v>74</v>
      </c>
      <c r="H64" s="1" t="s">
        <v>74</v>
      </c>
      <c r="I64" s="1" t="s">
        <v>767</v>
      </c>
      <c r="J64" s="1" t="s">
        <v>768</v>
      </c>
      <c r="K64" s="1" t="s">
        <v>74</v>
      </c>
      <c r="L64" s="1" t="s">
        <v>74</v>
      </c>
      <c r="M64" s="1" t="s">
        <v>74</v>
      </c>
      <c r="N64" s="1" t="s">
        <v>74</v>
      </c>
      <c r="O64" s="1" t="s">
        <v>74</v>
      </c>
      <c r="P64" s="1" t="s">
        <v>74</v>
      </c>
      <c r="Q64" s="1" t="s">
        <v>74</v>
      </c>
      <c r="R64" s="1" t="s">
        <v>74</v>
      </c>
      <c r="S64" s="1" t="s">
        <v>74</v>
      </c>
      <c r="T64" s="1" t="s">
        <v>74</v>
      </c>
      <c r="U64" s="1" t="s">
        <v>74</v>
      </c>
      <c r="V64" s="1" t="s">
        <v>769</v>
      </c>
      <c r="W64" s="1" t="s">
        <v>74</v>
      </c>
      <c r="X64" s="1" t="s">
        <v>74</v>
      </c>
      <c r="Y64" s="1" t="s">
        <v>74</v>
      </c>
      <c r="Z64" s="1" t="s">
        <v>74</v>
      </c>
      <c r="AA64" s="1" t="s">
        <v>74</v>
      </c>
      <c r="AB64" s="1" t="s">
        <v>770</v>
      </c>
      <c r="AC64" s="1" t="s">
        <v>74</v>
      </c>
      <c r="AD64" s="1" t="s">
        <v>74</v>
      </c>
      <c r="AE64" s="1" t="s">
        <v>74</v>
      </c>
      <c r="AF64" s="1" t="s">
        <v>74</v>
      </c>
      <c r="AG64" s="1" t="s">
        <v>74</v>
      </c>
      <c r="AH64" s="1" t="s">
        <v>74</v>
      </c>
      <c r="AI64" s="1" t="s">
        <v>74</v>
      </c>
      <c r="AJ64" s="1" t="s">
        <v>74</v>
      </c>
      <c r="AK64" s="1" t="s">
        <v>74</v>
      </c>
      <c r="AL64" s="1" t="s">
        <v>74</v>
      </c>
      <c r="AM64" s="1" t="s">
        <v>74</v>
      </c>
      <c r="AN64" s="1" t="s">
        <v>74</v>
      </c>
      <c r="AO64" s="1" t="s">
        <v>771</v>
      </c>
      <c r="AP64" s="1" t="s">
        <v>74</v>
      </c>
      <c r="AQ64" s="1" t="s">
        <v>74</v>
      </c>
      <c r="AR64" s="1" t="s">
        <v>74</v>
      </c>
      <c r="AS64" s="1" t="s">
        <v>74</v>
      </c>
      <c r="AT64" s="1" t="s">
        <v>74</v>
      </c>
      <c r="AU64" s="1">
        <v>2010.0</v>
      </c>
      <c r="AV64" s="1">
        <v>16.0</v>
      </c>
      <c r="AW64" s="1">
        <v>20.0</v>
      </c>
      <c r="AX64" s="1" t="s">
        <v>74</v>
      </c>
      <c r="AY64" s="1" t="s">
        <v>74</v>
      </c>
      <c r="AZ64" s="1" t="s">
        <v>74</v>
      </c>
      <c r="BA64" s="1" t="s">
        <v>74</v>
      </c>
      <c r="BB64" s="1">
        <v>2934.0</v>
      </c>
      <c r="BC64" s="1">
        <v>2955.0</v>
      </c>
      <c r="BD64" s="1" t="s">
        <v>74</v>
      </c>
      <c r="BE64" s="1" t="s">
        <v>74</v>
      </c>
      <c r="BF64" s="1" t="s">
        <v>74</v>
      </c>
      <c r="BG64" s="1" t="s">
        <v>74</v>
      </c>
      <c r="BH64" s="1" t="s">
        <v>74</v>
      </c>
      <c r="BI64" s="1" t="s">
        <v>74</v>
      </c>
      <c r="BJ64" s="1" t="s">
        <v>74</v>
      </c>
      <c r="BK64" s="1" t="s">
        <v>74</v>
      </c>
      <c r="BL64" s="1" t="s">
        <v>74</v>
      </c>
      <c r="BM64" s="1" t="s">
        <v>74</v>
      </c>
      <c r="BN64" s="1" t="s">
        <v>74</v>
      </c>
      <c r="BO64" s="1" t="s">
        <v>74</v>
      </c>
      <c r="BP64" s="1" t="s">
        <v>74</v>
      </c>
      <c r="BQ64" s="1" t="s">
        <v>74</v>
      </c>
      <c r="BR64" s="1" t="s">
        <v>74</v>
      </c>
      <c r="BS64" s="1" t="s">
        <v>772</v>
      </c>
      <c r="BT64" s="1" t="str">
        <f>HYPERLINK("https%3A%2F%2Fwww.webofscience.com%2Fwos%2Fwoscc%2Ffull-record%2FWOS:000289720600003","View Full Record in Web of Science")</f>
        <v>View Full Record in Web of Science</v>
      </c>
    </row>
    <row r="65" ht="12.75" customHeight="1">
      <c r="A65" s="1" t="s">
        <v>72</v>
      </c>
      <c r="B65" s="1" t="s">
        <v>773</v>
      </c>
      <c r="C65" s="1" t="s">
        <v>74</v>
      </c>
      <c r="D65" s="1" t="s">
        <v>74</v>
      </c>
      <c r="E65" s="1" t="s">
        <v>74</v>
      </c>
      <c r="F65" s="1" t="s">
        <v>774</v>
      </c>
      <c r="G65" s="1" t="s">
        <v>74</v>
      </c>
      <c r="H65" s="1" t="s">
        <v>74</v>
      </c>
      <c r="I65" s="1" t="s">
        <v>775</v>
      </c>
      <c r="J65" s="1" t="s">
        <v>776</v>
      </c>
      <c r="K65" s="1" t="s">
        <v>74</v>
      </c>
      <c r="L65" s="1" t="s">
        <v>74</v>
      </c>
      <c r="M65" s="1" t="s">
        <v>74</v>
      </c>
      <c r="N65" s="1" t="s">
        <v>74</v>
      </c>
      <c r="O65" s="1" t="s">
        <v>74</v>
      </c>
      <c r="P65" s="1" t="s">
        <v>74</v>
      </c>
      <c r="Q65" s="1" t="s">
        <v>74</v>
      </c>
      <c r="R65" s="1" t="s">
        <v>74</v>
      </c>
      <c r="S65" s="1" t="s">
        <v>74</v>
      </c>
      <c r="T65" s="1" t="s">
        <v>74</v>
      </c>
      <c r="U65" s="1" t="s">
        <v>74</v>
      </c>
      <c r="V65" s="1" t="s">
        <v>777</v>
      </c>
      <c r="W65" s="1" t="s">
        <v>74</v>
      </c>
      <c r="X65" s="1" t="s">
        <v>74</v>
      </c>
      <c r="Y65" s="1" t="s">
        <v>74</v>
      </c>
      <c r="Z65" s="1" t="s">
        <v>74</v>
      </c>
      <c r="AA65" s="1" t="s">
        <v>778</v>
      </c>
      <c r="AB65" s="1" t="s">
        <v>779</v>
      </c>
      <c r="AC65" s="1" t="s">
        <v>74</v>
      </c>
      <c r="AD65" s="1" t="s">
        <v>74</v>
      </c>
      <c r="AE65" s="1" t="s">
        <v>74</v>
      </c>
      <c r="AF65" s="1" t="s">
        <v>74</v>
      </c>
      <c r="AG65" s="1" t="s">
        <v>74</v>
      </c>
      <c r="AH65" s="1" t="s">
        <v>74</v>
      </c>
      <c r="AI65" s="1" t="s">
        <v>74</v>
      </c>
      <c r="AJ65" s="1" t="s">
        <v>74</v>
      </c>
      <c r="AK65" s="1" t="s">
        <v>74</v>
      </c>
      <c r="AL65" s="1" t="s">
        <v>74</v>
      </c>
      <c r="AM65" s="1" t="s">
        <v>74</v>
      </c>
      <c r="AN65" s="1" t="s">
        <v>74</v>
      </c>
      <c r="AO65" s="1" t="s">
        <v>780</v>
      </c>
      <c r="AP65" s="1" t="s">
        <v>74</v>
      </c>
      <c r="AQ65" s="1" t="s">
        <v>74</v>
      </c>
      <c r="AR65" s="1" t="s">
        <v>74</v>
      </c>
      <c r="AS65" s="1" t="s">
        <v>74</v>
      </c>
      <c r="AT65" s="1" t="s">
        <v>411</v>
      </c>
      <c r="AU65" s="1">
        <v>2009.0</v>
      </c>
      <c r="AV65" s="1">
        <v>54.0</v>
      </c>
      <c r="AW65" s="1">
        <v>6.0</v>
      </c>
      <c r="AX65" s="1" t="s">
        <v>74</v>
      </c>
      <c r="AY65" s="1" t="s">
        <v>74</v>
      </c>
      <c r="AZ65" s="1" t="s">
        <v>74</v>
      </c>
      <c r="BA65" s="1" t="s">
        <v>74</v>
      </c>
      <c r="BB65" s="1">
        <v>845.0</v>
      </c>
      <c r="BC65" s="1">
        <v>850.0</v>
      </c>
      <c r="BD65" s="1" t="s">
        <v>74</v>
      </c>
      <c r="BE65" s="1" t="s">
        <v>781</v>
      </c>
      <c r="BF65" s="2" t="str">
        <f>HYPERLINK("http://dx.doi.org/10.1016/j.toxicon.2009.06.017","http://dx.doi.org/10.1016/j.toxicon.2009.06.017")</f>
        <v>http://dx.doi.org/10.1016/j.toxicon.2009.06.017</v>
      </c>
      <c r="BG65" s="1" t="s">
        <v>74</v>
      </c>
      <c r="BH65" s="1" t="s">
        <v>74</v>
      </c>
      <c r="BI65" s="1" t="s">
        <v>74</v>
      </c>
      <c r="BJ65" s="1" t="s">
        <v>74</v>
      </c>
      <c r="BK65" s="1" t="s">
        <v>74</v>
      </c>
      <c r="BL65" s="1" t="s">
        <v>74</v>
      </c>
      <c r="BM65" s="1" t="s">
        <v>74</v>
      </c>
      <c r="BN65" s="1">
        <v>1.9559039E7</v>
      </c>
      <c r="BO65" s="1" t="s">
        <v>74</v>
      </c>
      <c r="BP65" s="1" t="s">
        <v>74</v>
      </c>
      <c r="BQ65" s="1" t="s">
        <v>74</v>
      </c>
      <c r="BR65" s="1" t="s">
        <v>74</v>
      </c>
      <c r="BS65" s="1" t="s">
        <v>782</v>
      </c>
      <c r="BT65" s="1" t="str">
        <f>HYPERLINK("https%3A%2F%2Fwww.webofscience.com%2Fwos%2Fwoscc%2Ffull-record%2FWOS:000270626900016","View Full Record in Web of Science")</f>
        <v>View Full Record in Web of Science</v>
      </c>
    </row>
    <row r="66" ht="12.75" customHeight="1">
      <c r="A66" s="1" t="s">
        <v>72</v>
      </c>
      <c r="B66" s="1" t="s">
        <v>783</v>
      </c>
      <c r="C66" s="1" t="s">
        <v>74</v>
      </c>
      <c r="D66" s="1" t="s">
        <v>74</v>
      </c>
      <c r="E66" s="1" t="s">
        <v>74</v>
      </c>
      <c r="F66" s="1" t="s">
        <v>784</v>
      </c>
      <c r="G66" s="1" t="s">
        <v>74</v>
      </c>
      <c r="H66" s="1" t="s">
        <v>74</v>
      </c>
      <c r="I66" s="1" t="s">
        <v>785</v>
      </c>
      <c r="J66" s="1" t="s">
        <v>786</v>
      </c>
      <c r="K66" s="1" t="s">
        <v>74</v>
      </c>
      <c r="L66" s="1" t="s">
        <v>74</v>
      </c>
      <c r="M66" s="1" t="s">
        <v>74</v>
      </c>
      <c r="N66" s="1" t="s">
        <v>74</v>
      </c>
      <c r="O66" s="1" t="s">
        <v>74</v>
      </c>
      <c r="P66" s="1" t="s">
        <v>74</v>
      </c>
      <c r="Q66" s="1" t="s">
        <v>74</v>
      </c>
      <c r="R66" s="1" t="s">
        <v>74</v>
      </c>
      <c r="S66" s="1" t="s">
        <v>74</v>
      </c>
      <c r="T66" s="1" t="s">
        <v>74</v>
      </c>
      <c r="U66" s="1" t="s">
        <v>74</v>
      </c>
      <c r="V66" s="1" t="s">
        <v>787</v>
      </c>
      <c r="W66" s="1" t="s">
        <v>74</v>
      </c>
      <c r="X66" s="1" t="s">
        <v>74</v>
      </c>
      <c r="Y66" s="1" t="s">
        <v>74</v>
      </c>
      <c r="Z66" s="1" t="s">
        <v>74</v>
      </c>
      <c r="AA66" s="1" t="s">
        <v>788</v>
      </c>
      <c r="AB66" s="1" t="s">
        <v>789</v>
      </c>
      <c r="AC66" s="1" t="s">
        <v>74</v>
      </c>
      <c r="AD66" s="1" t="s">
        <v>74</v>
      </c>
      <c r="AE66" s="1" t="s">
        <v>74</v>
      </c>
      <c r="AF66" s="1" t="s">
        <v>74</v>
      </c>
      <c r="AG66" s="1" t="s">
        <v>74</v>
      </c>
      <c r="AH66" s="1" t="s">
        <v>74</v>
      </c>
      <c r="AI66" s="1" t="s">
        <v>74</v>
      </c>
      <c r="AJ66" s="1" t="s">
        <v>74</v>
      </c>
      <c r="AK66" s="1" t="s">
        <v>74</v>
      </c>
      <c r="AL66" s="1" t="s">
        <v>74</v>
      </c>
      <c r="AM66" s="1" t="s">
        <v>74</v>
      </c>
      <c r="AN66" s="1" t="s">
        <v>74</v>
      </c>
      <c r="AO66" s="1" t="s">
        <v>790</v>
      </c>
      <c r="AP66" s="1" t="s">
        <v>74</v>
      </c>
      <c r="AQ66" s="1" t="s">
        <v>74</v>
      </c>
      <c r="AR66" s="1" t="s">
        <v>74</v>
      </c>
      <c r="AS66" s="1" t="s">
        <v>74</v>
      </c>
      <c r="AT66" s="1" t="s">
        <v>791</v>
      </c>
      <c r="AU66" s="1">
        <v>2009.0</v>
      </c>
      <c r="AV66" s="1">
        <v>28.0</v>
      </c>
      <c r="AW66" s="1">
        <v>12.0</v>
      </c>
      <c r="AX66" s="1" t="s">
        <v>74</v>
      </c>
      <c r="AY66" s="1" t="s">
        <v>74</v>
      </c>
      <c r="AZ66" s="1" t="s">
        <v>74</v>
      </c>
      <c r="BA66" s="1" t="s">
        <v>74</v>
      </c>
      <c r="BB66" s="1">
        <v>2335.0</v>
      </c>
      <c r="BC66" s="1">
        <v>2340.0</v>
      </c>
      <c r="BD66" s="1" t="s">
        <v>74</v>
      </c>
      <c r="BE66" s="1" t="s">
        <v>792</v>
      </c>
      <c r="BF66" s="2" t="str">
        <f>HYPERLINK("http://dx.doi.org/10.1016/j.poly.2009.04.027","http://dx.doi.org/10.1016/j.poly.2009.04.027")</f>
        <v>http://dx.doi.org/10.1016/j.poly.2009.04.027</v>
      </c>
      <c r="BG66" s="1" t="s">
        <v>74</v>
      </c>
      <c r="BH66" s="1" t="s">
        <v>74</v>
      </c>
      <c r="BI66" s="1" t="s">
        <v>74</v>
      </c>
      <c r="BJ66" s="1" t="s">
        <v>74</v>
      </c>
      <c r="BK66" s="1" t="s">
        <v>74</v>
      </c>
      <c r="BL66" s="1" t="s">
        <v>74</v>
      </c>
      <c r="BM66" s="1" t="s">
        <v>74</v>
      </c>
      <c r="BN66" s="1" t="s">
        <v>74</v>
      </c>
      <c r="BO66" s="1" t="s">
        <v>74</v>
      </c>
      <c r="BP66" s="1" t="s">
        <v>74</v>
      </c>
      <c r="BQ66" s="1" t="s">
        <v>74</v>
      </c>
      <c r="BR66" s="1" t="s">
        <v>74</v>
      </c>
      <c r="BS66" s="1" t="s">
        <v>793</v>
      </c>
      <c r="BT66" s="1" t="str">
        <f>HYPERLINK("https%3A%2F%2Fwww.webofscience.com%2Fwos%2Fwoscc%2Ffull-record%2FWOS:000268994200005","View Full Record in Web of Science")</f>
        <v>View Full Record in Web of Science</v>
      </c>
    </row>
    <row r="67" ht="12.75" customHeight="1">
      <c r="A67" s="1" t="s">
        <v>72</v>
      </c>
      <c r="B67" s="1" t="s">
        <v>794</v>
      </c>
      <c r="C67" s="1" t="s">
        <v>74</v>
      </c>
      <c r="D67" s="1" t="s">
        <v>74</v>
      </c>
      <c r="E67" s="1" t="s">
        <v>74</v>
      </c>
      <c r="F67" s="1" t="s">
        <v>795</v>
      </c>
      <c r="G67" s="1" t="s">
        <v>74</v>
      </c>
      <c r="H67" s="1" t="s">
        <v>74</v>
      </c>
      <c r="I67" s="1" t="s">
        <v>796</v>
      </c>
      <c r="J67" s="1" t="s">
        <v>797</v>
      </c>
      <c r="K67" s="1" t="s">
        <v>74</v>
      </c>
      <c r="L67" s="1" t="s">
        <v>74</v>
      </c>
      <c r="M67" s="1" t="s">
        <v>74</v>
      </c>
      <c r="N67" s="1" t="s">
        <v>74</v>
      </c>
      <c r="O67" s="1" t="s">
        <v>74</v>
      </c>
      <c r="P67" s="1" t="s">
        <v>74</v>
      </c>
      <c r="Q67" s="1" t="s">
        <v>74</v>
      </c>
      <c r="R67" s="1" t="s">
        <v>74</v>
      </c>
      <c r="S67" s="1" t="s">
        <v>74</v>
      </c>
      <c r="T67" s="1" t="s">
        <v>74</v>
      </c>
      <c r="U67" s="1" t="s">
        <v>74</v>
      </c>
      <c r="V67" s="1" t="s">
        <v>798</v>
      </c>
      <c r="W67" s="1" t="s">
        <v>74</v>
      </c>
      <c r="X67" s="1" t="s">
        <v>74</v>
      </c>
      <c r="Y67" s="1" t="s">
        <v>74</v>
      </c>
      <c r="Z67" s="1" t="s">
        <v>74</v>
      </c>
      <c r="AA67" s="1" t="s">
        <v>799</v>
      </c>
      <c r="AB67" s="1" t="s">
        <v>800</v>
      </c>
      <c r="AC67" s="1" t="s">
        <v>74</v>
      </c>
      <c r="AD67" s="1" t="s">
        <v>74</v>
      </c>
      <c r="AE67" s="1" t="s">
        <v>74</v>
      </c>
      <c r="AF67" s="1" t="s">
        <v>74</v>
      </c>
      <c r="AG67" s="1" t="s">
        <v>74</v>
      </c>
      <c r="AH67" s="1" t="s">
        <v>74</v>
      </c>
      <c r="AI67" s="1" t="s">
        <v>74</v>
      </c>
      <c r="AJ67" s="1" t="s">
        <v>74</v>
      </c>
      <c r="AK67" s="1" t="s">
        <v>74</v>
      </c>
      <c r="AL67" s="1" t="s">
        <v>74</v>
      </c>
      <c r="AM67" s="1" t="s">
        <v>74</v>
      </c>
      <c r="AN67" s="1" t="s">
        <v>74</v>
      </c>
      <c r="AO67" s="1" t="s">
        <v>801</v>
      </c>
      <c r="AP67" s="1" t="s">
        <v>802</v>
      </c>
      <c r="AQ67" s="1" t="s">
        <v>74</v>
      </c>
      <c r="AR67" s="1" t="s">
        <v>74</v>
      </c>
      <c r="AS67" s="1" t="s">
        <v>74</v>
      </c>
      <c r="AT67" s="1" t="s">
        <v>250</v>
      </c>
      <c r="AU67" s="1">
        <v>2007.0</v>
      </c>
      <c r="AV67" s="1">
        <v>322.0</v>
      </c>
      <c r="AW67" s="1">
        <v>3.0</v>
      </c>
      <c r="AX67" s="1" t="s">
        <v>74</v>
      </c>
      <c r="AY67" s="1" t="s">
        <v>74</v>
      </c>
      <c r="AZ67" s="1" t="s">
        <v>74</v>
      </c>
      <c r="BA67" s="1" t="s">
        <v>74</v>
      </c>
      <c r="BB67" s="1">
        <v>1237.0</v>
      </c>
      <c r="BC67" s="1">
        <v>1245.0</v>
      </c>
      <c r="BD67" s="1" t="s">
        <v>74</v>
      </c>
      <c r="BE67" s="1" t="s">
        <v>803</v>
      </c>
      <c r="BF67" s="2" t="str">
        <f>HYPERLINK("http://dx.doi.org/10.1124/jpet.107.123018","http://dx.doi.org/10.1124/jpet.107.123018")</f>
        <v>http://dx.doi.org/10.1124/jpet.107.123018</v>
      </c>
      <c r="BG67" s="1" t="s">
        <v>74</v>
      </c>
      <c r="BH67" s="1" t="s">
        <v>74</v>
      </c>
      <c r="BI67" s="1" t="s">
        <v>74</v>
      </c>
      <c r="BJ67" s="1" t="s">
        <v>74</v>
      </c>
      <c r="BK67" s="1" t="s">
        <v>74</v>
      </c>
      <c r="BL67" s="1" t="s">
        <v>74</v>
      </c>
      <c r="BM67" s="1" t="s">
        <v>74</v>
      </c>
      <c r="BN67" s="1">
        <v>1.7551093E7</v>
      </c>
      <c r="BO67" s="1" t="s">
        <v>74</v>
      </c>
      <c r="BP67" s="1" t="s">
        <v>74</v>
      </c>
      <c r="BQ67" s="1" t="s">
        <v>74</v>
      </c>
      <c r="BR67" s="1" t="s">
        <v>74</v>
      </c>
      <c r="BS67" s="1" t="s">
        <v>804</v>
      </c>
      <c r="BT67" s="1" t="str">
        <f>HYPERLINK("https%3A%2F%2Fwww.webofscience.com%2Fwos%2Fwoscc%2Ffull-record%2FWOS:000248887400039","View Full Record in Web of Science")</f>
        <v>View Full Record in Web of Science</v>
      </c>
    </row>
    <row r="68" ht="12.75" customHeight="1">
      <c r="A68" s="1" t="s">
        <v>72</v>
      </c>
      <c r="B68" s="1" t="s">
        <v>805</v>
      </c>
      <c r="C68" s="1" t="s">
        <v>74</v>
      </c>
      <c r="D68" s="1" t="s">
        <v>74</v>
      </c>
      <c r="E68" s="1" t="s">
        <v>74</v>
      </c>
      <c r="F68" s="1" t="s">
        <v>805</v>
      </c>
      <c r="G68" s="1" t="s">
        <v>74</v>
      </c>
      <c r="H68" s="1" t="s">
        <v>74</v>
      </c>
      <c r="I68" s="1" t="s">
        <v>806</v>
      </c>
      <c r="J68" s="1" t="s">
        <v>807</v>
      </c>
      <c r="K68" s="1" t="s">
        <v>74</v>
      </c>
      <c r="L68" s="1" t="s">
        <v>74</v>
      </c>
      <c r="M68" s="1" t="s">
        <v>74</v>
      </c>
      <c r="N68" s="1" t="s">
        <v>74</v>
      </c>
      <c r="O68" s="1" t="s">
        <v>74</v>
      </c>
      <c r="P68" s="1" t="s">
        <v>74</v>
      </c>
      <c r="Q68" s="1" t="s">
        <v>74</v>
      </c>
      <c r="R68" s="1" t="s">
        <v>74</v>
      </c>
      <c r="S68" s="1" t="s">
        <v>74</v>
      </c>
      <c r="T68" s="1" t="s">
        <v>74</v>
      </c>
      <c r="U68" s="1" t="s">
        <v>74</v>
      </c>
      <c r="V68" s="1" t="s">
        <v>808</v>
      </c>
      <c r="W68" s="1" t="s">
        <v>74</v>
      </c>
      <c r="X68" s="1" t="s">
        <v>74</v>
      </c>
      <c r="Y68" s="1" t="s">
        <v>74</v>
      </c>
      <c r="Z68" s="1" t="s">
        <v>74</v>
      </c>
      <c r="AA68" s="1" t="s">
        <v>809</v>
      </c>
      <c r="AB68" s="1" t="s">
        <v>810</v>
      </c>
      <c r="AC68" s="1" t="s">
        <v>74</v>
      </c>
      <c r="AD68" s="1" t="s">
        <v>74</v>
      </c>
      <c r="AE68" s="1" t="s">
        <v>74</v>
      </c>
      <c r="AF68" s="1" t="s">
        <v>74</v>
      </c>
      <c r="AG68" s="1" t="s">
        <v>74</v>
      </c>
      <c r="AH68" s="1" t="s">
        <v>74</v>
      </c>
      <c r="AI68" s="1" t="s">
        <v>74</v>
      </c>
      <c r="AJ68" s="1" t="s">
        <v>74</v>
      </c>
      <c r="AK68" s="1" t="s">
        <v>74</v>
      </c>
      <c r="AL68" s="1" t="s">
        <v>74</v>
      </c>
      <c r="AM68" s="1" t="s">
        <v>74</v>
      </c>
      <c r="AN68" s="1" t="s">
        <v>74</v>
      </c>
      <c r="AO68" s="1" t="s">
        <v>811</v>
      </c>
      <c r="AP68" s="1" t="s">
        <v>812</v>
      </c>
      <c r="AQ68" s="1" t="s">
        <v>74</v>
      </c>
      <c r="AR68" s="1" t="s">
        <v>74</v>
      </c>
      <c r="AS68" s="1" t="s">
        <v>74</v>
      </c>
      <c r="AT68" s="1" t="s">
        <v>96</v>
      </c>
      <c r="AU68" s="1">
        <v>2003.0</v>
      </c>
      <c r="AV68" s="1">
        <v>21.0</v>
      </c>
      <c r="AW68" s="1">
        <v>3.0</v>
      </c>
      <c r="AX68" s="1" t="s">
        <v>74</v>
      </c>
      <c r="AY68" s="1" t="s">
        <v>74</v>
      </c>
      <c r="AZ68" s="1" t="s">
        <v>74</v>
      </c>
      <c r="BA68" s="1" t="s">
        <v>74</v>
      </c>
      <c r="BB68" s="1">
        <v>292.0</v>
      </c>
      <c r="BC68" s="1">
        <v>296.0</v>
      </c>
      <c r="BD68" s="1" t="s">
        <v>74</v>
      </c>
      <c r="BE68" s="1" t="s">
        <v>813</v>
      </c>
      <c r="BF68" s="2" t="str">
        <f>HYPERLINK("http://dx.doi.org/10.1002/uog.69","http://dx.doi.org/10.1002/uog.69")</f>
        <v>http://dx.doi.org/10.1002/uog.69</v>
      </c>
      <c r="BG68" s="1" t="s">
        <v>74</v>
      </c>
      <c r="BH68" s="1" t="s">
        <v>74</v>
      </c>
      <c r="BI68" s="1" t="s">
        <v>74</v>
      </c>
      <c r="BJ68" s="1" t="s">
        <v>74</v>
      </c>
      <c r="BK68" s="1" t="s">
        <v>74</v>
      </c>
      <c r="BL68" s="1" t="s">
        <v>74</v>
      </c>
      <c r="BM68" s="1" t="s">
        <v>74</v>
      </c>
      <c r="BN68" s="1">
        <v>1.2666226E7</v>
      </c>
      <c r="BO68" s="1" t="s">
        <v>74</v>
      </c>
      <c r="BP68" s="1" t="s">
        <v>74</v>
      </c>
      <c r="BQ68" s="1" t="s">
        <v>74</v>
      </c>
      <c r="BR68" s="1" t="s">
        <v>74</v>
      </c>
      <c r="BS68" s="1" t="s">
        <v>814</v>
      </c>
      <c r="BT68" s="1" t="str">
        <f>HYPERLINK("https%3A%2F%2Fwww.webofscience.com%2Fwos%2Fwoscc%2Ffull-record%2FWOS:000182050500016","View Full Record in Web of Science")</f>
        <v>View Full Record in Web of Science</v>
      </c>
    </row>
    <row r="69" ht="12.75" customHeight="1">
      <c r="A69" s="1" t="s">
        <v>72</v>
      </c>
      <c r="B69" s="1" t="s">
        <v>815</v>
      </c>
      <c r="C69" s="1" t="s">
        <v>74</v>
      </c>
      <c r="D69" s="1" t="s">
        <v>74</v>
      </c>
      <c r="E69" s="1" t="s">
        <v>74</v>
      </c>
      <c r="F69" s="1" t="s">
        <v>815</v>
      </c>
      <c r="G69" s="1" t="s">
        <v>74</v>
      </c>
      <c r="H69" s="1" t="s">
        <v>74</v>
      </c>
      <c r="I69" s="1" t="s">
        <v>816</v>
      </c>
      <c r="J69" s="1" t="s">
        <v>817</v>
      </c>
      <c r="K69" s="1" t="s">
        <v>74</v>
      </c>
      <c r="L69" s="1" t="s">
        <v>74</v>
      </c>
      <c r="M69" s="1" t="s">
        <v>74</v>
      </c>
      <c r="N69" s="1" t="s">
        <v>74</v>
      </c>
      <c r="O69" s="1" t="s">
        <v>74</v>
      </c>
      <c r="P69" s="1" t="s">
        <v>74</v>
      </c>
      <c r="Q69" s="1" t="s">
        <v>74</v>
      </c>
      <c r="R69" s="1" t="s">
        <v>74</v>
      </c>
      <c r="S69" s="1" t="s">
        <v>74</v>
      </c>
      <c r="T69" s="1" t="s">
        <v>74</v>
      </c>
      <c r="U69" s="1" t="s">
        <v>74</v>
      </c>
      <c r="V69" s="1" t="s">
        <v>818</v>
      </c>
      <c r="W69" s="1" t="s">
        <v>74</v>
      </c>
      <c r="X69" s="1" t="s">
        <v>74</v>
      </c>
      <c r="Y69" s="1" t="s">
        <v>74</v>
      </c>
      <c r="Z69" s="1" t="s">
        <v>74</v>
      </c>
      <c r="AA69" s="1" t="s">
        <v>819</v>
      </c>
      <c r="AB69" s="1" t="s">
        <v>820</v>
      </c>
      <c r="AC69" s="1" t="s">
        <v>74</v>
      </c>
      <c r="AD69" s="1" t="s">
        <v>74</v>
      </c>
      <c r="AE69" s="1" t="s">
        <v>74</v>
      </c>
      <c r="AF69" s="1" t="s">
        <v>74</v>
      </c>
      <c r="AG69" s="1" t="s">
        <v>74</v>
      </c>
      <c r="AH69" s="1" t="s">
        <v>74</v>
      </c>
      <c r="AI69" s="1" t="s">
        <v>74</v>
      </c>
      <c r="AJ69" s="1" t="s">
        <v>74</v>
      </c>
      <c r="AK69" s="1" t="s">
        <v>74</v>
      </c>
      <c r="AL69" s="1" t="s">
        <v>74</v>
      </c>
      <c r="AM69" s="1" t="s">
        <v>74</v>
      </c>
      <c r="AN69" s="1" t="s">
        <v>74</v>
      </c>
      <c r="AO69" s="1" t="s">
        <v>821</v>
      </c>
      <c r="AP69" s="1" t="s">
        <v>74</v>
      </c>
      <c r="AQ69" s="1" t="s">
        <v>74</v>
      </c>
      <c r="AR69" s="1" t="s">
        <v>74</v>
      </c>
      <c r="AS69" s="1" t="s">
        <v>74</v>
      </c>
      <c r="AT69" s="1" t="s">
        <v>96</v>
      </c>
      <c r="AU69" s="1">
        <v>2003.0</v>
      </c>
      <c r="AV69" s="1">
        <v>33.0</v>
      </c>
      <c r="AW69" s="1" t="s">
        <v>822</v>
      </c>
      <c r="AX69" s="1" t="s">
        <v>74</v>
      </c>
      <c r="AY69" s="1" t="s">
        <v>74</v>
      </c>
      <c r="AZ69" s="1" t="s">
        <v>74</v>
      </c>
      <c r="BA69" s="1" t="s">
        <v>74</v>
      </c>
      <c r="BB69" s="1">
        <v>325.0</v>
      </c>
      <c r="BC69" s="1">
        <v>331.0</v>
      </c>
      <c r="BD69" s="1" t="s">
        <v>74</v>
      </c>
      <c r="BE69" s="1" t="s">
        <v>823</v>
      </c>
      <c r="BF69" s="2" t="str">
        <f>HYPERLINK("http://dx.doi.org/10.1023/A:1024120421181","http://dx.doi.org/10.1023/A:1024120421181")</f>
        <v>http://dx.doi.org/10.1023/A:1024120421181</v>
      </c>
      <c r="BG69" s="1" t="s">
        <v>74</v>
      </c>
      <c r="BH69" s="1" t="s">
        <v>74</v>
      </c>
      <c r="BI69" s="1" t="s">
        <v>74</v>
      </c>
      <c r="BJ69" s="1" t="s">
        <v>74</v>
      </c>
      <c r="BK69" s="1" t="s">
        <v>74</v>
      </c>
      <c r="BL69" s="1" t="s">
        <v>74</v>
      </c>
      <c r="BM69" s="1" t="s">
        <v>74</v>
      </c>
      <c r="BN69" s="1" t="s">
        <v>74</v>
      </c>
      <c r="BO69" s="1" t="s">
        <v>74</v>
      </c>
      <c r="BP69" s="1" t="s">
        <v>74</v>
      </c>
      <c r="BQ69" s="1" t="s">
        <v>74</v>
      </c>
      <c r="BR69" s="1" t="s">
        <v>74</v>
      </c>
      <c r="BS69" s="1" t="s">
        <v>824</v>
      </c>
      <c r="BT69" s="1" t="str">
        <f>HYPERLINK("https%3A%2F%2Fwww.webofscience.com%2Fwos%2Fwoscc%2Ffull-record%2FWOS:000183441100014","View Full Record in Web of Science")</f>
        <v>View Full Record in Web of Science</v>
      </c>
    </row>
    <row r="70" ht="12.75" customHeight="1">
      <c r="A70" s="1" t="s">
        <v>72</v>
      </c>
      <c r="B70" s="1" t="s">
        <v>825</v>
      </c>
      <c r="C70" s="1" t="s">
        <v>74</v>
      </c>
      <c r="D70" s="1" t="s">
        <v>74</v>
      </c>
      <c r="E70" s="1" t="s">
        <v>74</v>
      </c>
      <c r="F70" s="1" t="s">
        <v>825</v>
      </c>
      <c r="G70" s="1" t="s">
        <v>74</v>
      </c>
      <c r="H70" s="1" t="s">
        <v>74</v>
      </c>
      <c r="I70" s="1" t="s">
        <v>826</v>
      </c>
      <c r="J70" s="1" t="s">
        <v>593</v>
      </c>
      <c r="K70" s="1" t="s">
        <v>74</v>
      </c>
      <c r="L70" s="1" t="s">
        <v>74</v>
      </c>
      <c r="M70" s="1" t="s">
        <v>74</v>
      </c>
      <c r="N70" s="1" t="s">
        <v>74</v>
      </c>
      <c r="O70" s="1" t="s">
        <v>74</v>
      </c>
      <c r="P70" s="1" t="s">
        <v>74</v>
      </c>
      <c r="Q70" s="1" t="s">
        <v>74</v>
      </c>
      <c r="R70" s="1" t="s">
        <v>74</v>
      </c>
      <c r="S70" s="1" t="s">
        <v>74</v>
      </c>
      <c r="T70" s="1" t="s">
        <v>74</v>
      </c>
      <c r="U70" s="1" t="s">
        <v>74</v>
      </c>
      <c r="V70" s="1" t="s">
        <v>827</v>
      </c>
      <c r="W70" s="1" t="s">
        <v>74</v>
      </c>
      <c r="X70" s="1" t="s">
        <v>74</v>
      </c>
      <c r="Y70" s="1" t="s">
        <v>74</v>
      </c>
      <c r="Z70" s="1" t="s">
        <v>74</v>
      </c>
      <c r="AA70" s="1" t="s">
        <v>74</v>
      </c>
      <c r="AB70" s="1" t="s">
        <v>828</v>
      </c>
      <c r="AC70" s="1" t="s">
        <v>74</v>
      </c>
      <c r="AD70" s="1" t="s">
        <v>74</v>
      </c>
      <c r="AE70" s="1" t="s">
        <v>74</v>
      </c>
      <c r="AF70" s="1" t="s">
        <v>74</v>
      </c>
      <c r="AG70" s="1" t="s">
        <v>74</v>
      </c>
      <c r="AH70" s="1" t="s">
        <v>74</v>
      </c>
      <c r="AI70" s="1" t="s">
        <v>74</v>
      </c>
      <c r="AJ70" s="1" t="s">
        <v>74</v>
      </c>
      <c r="AK70" s="1" t="s">
        <v>74</v>
      </c>
      <c r="AL70" s="1" t="s">
        <v>74</v>
      </c>
      <c r="AM70" s="1" t="s">
        <v>74</v>
      </c>
      <c r="AN70" s="1" t="s">
        <v>74</v>
      </c>
      <c r="AO70" s="1" t="s">
        <v>595</v>
      </c>
      <c r="AP70" s="1" t="s">
        <v>74</v>
      </c>
      <c r="AQ70" s="1" t="s">
        <v>74</v>
      </c>
      <c r="AR70" s="1" t="s">
        <v>74</v>
      </c>
      <c r="AS70" s="1" t="s">
        <v>74</v>
      </c>
      <c r="AT70" s="1" t="s">
        <v>74</v>
      </c>
      <c r="AU70" s="1">
        <v>2000.0</v>
      </c>
      <c r="AV70" s="1">
        <v>215.0</v>
      </c>
      <c r="AW70" s="1">
        <v>3.0</v>
      </c>
      <c r="AX70" s="1" t="s">
        <v>74</v>
      </c>
      <c r="AY70" s="1" t="s">
        <v>74</v>
      </c>
      <c r="AZ70" s="1" t="s">
        <v>74</v>
      </c>
      <c r="BA70" s="1" t="s">
        <v>74</v>
      </c>
      <c r="BB70" s="1">
        <v>411.0</v>
      </c>
      <c r="BC70" s="1">
        <v>412.0</v>
      </c>
      <c r="BD70" s="1" t="s">
        <v>74</v>
      </c>
      <c r="BE70" s="1" t="s">
        <v>74</v>
      </c>
      <c r="BF70" s="1" t="s">
        <v>74</v>
      </c>
      <c r="BG70" s="1" t="s">
        <v>74</v>
      </c>
      <c r="BH70" s="1" t="s">
        <v>74</v>
      </c>
      <c r="BI70" s="1" t="s">
        <v>74</v>
      </c>
      <c r="BJ70" s="1" t="s">
        <v>74</v>
      </c>
      <c r="BK70" s="1" t="s">
        <v>74</v>
      </c>
      <c r="BL70" s="1" t="s">
        <v>74</v>
      </c>
      <c r="BM70" s="1" t="s">
        <v>74</v>
      </c>
      <c r="BN70" s="1" t="s">
        <v>74</v>
      </c>
      <c r="BO70" s="1" t="s">
        <v>74</v>
      </c>
      <c r="BP70" s="1" t="s">
        <v>74</v>
      </c>
      <c r="BQ70" s="1" t="s">
        <v>74</v>
      </c>
      <c r="BR70" s="1" t="s">
        <v>74</v>
      </c>
      <c r="BS70" s="1" t="s">
        <v>829</v>
      </c>
      <c r="BT70" s="1" t="str">
        <f>HYPERLINK("https%3A%2F%2Fwww.webofscience.com%2Fwos%2Fwoscc%2Ffull-record%2FWOS:000088244800051","View Full Record in Web of Science")</f>
        <v>View Full Record in Web of Science</v>
      </c>
    </row>
    <row r="71" ht="12.75" customHeight="1">
      <c r="A71" s="1" t="s">
        <v>72</v>
      </c>
      <c r="B71" s="1" t="s">
        <v>830</v>
      </c>
      <c r="C71" s="1" t="s">
        <v>74</v>
      </c>
      <c r="D71" s="1" t="s">
        <v>74</v>
      </c>
      <c r="E71" s="1" t="s">
        <v>74</v>
      </c>
      <c r="F71" s="1" t="s">
        <v>830</v>
      </c>
      <c r="G71" s="1" t="s">
        <v>74</v>
      </c>
      <c r="H71" s="1" t="s">
        <v>74</v>
      </c>
      <c r="I71" s="1" t="s">
        <v>831</v>
      </c>
      <c r="J71" s="1" t="s">
        <v>832</v>
      </c>
      <c r="K71" s="1" t="s">
        <v>74</v>
      </c>
      <c r="L71" s="1" t="s">
        <v>74</v>
      </c>
      <c r="M71" s="1" t="s">
        <v>74</v>
      </c>
      <c r="N71" s="1" t="s">
        <v>74</v>
      </c>
      <c r="O71" s="1" t="s">
        <v>74</v>
      </c>
      <c r="P71" s="1" t="s">
        <v>74</v>
      </c>
      <c r="Q71" s="1" t="s">
        <v>74</v>
      </c>
      <c r="R71" s="1" t="s">
        <v>74</v>
      </c>
      <c r="S71" s="1" t="s">
        <v>74</v>
      </c>
      <c r="T71" s="1" t="s">
        <v>74</v>
      </c>
      <c r="U71" s="1" t="s">
        <v>74</v>
      </c>
      <c r="V71" s="1" t="s">
        <v>833</v>
      </c>
      <c r="W71" s="1" t="s">
        <v>74</v>
      </c>
      <c r="X71" s="1" t="s">
        <v>74</v>
      </c>
      <c r="Y71" s="1" t="s">
        <v>74</v>
      </c>
      <c r="Z71" s="1" t="s">
        <v>74</v>
      </c>
      <c r="AA71" s="1" t="s">
        <v>834</v>
      </c>
      <c r="AB71" s="1" t="s">
        <v>835</v>
      </c>
      <c r="AC71" s="1" t="s">
        <v>74</v>
      </c>
      <c r="AD71" s="1" t="s">
        <v>74</v>
      </c>
      <c r="AE71" s="1" t="s">
        <v>74</v>
      </c>
      <c r="AF71" s="1" t="s">
        <v>74</v>
      </c>
      <c r="AG71" s="1" t="s">
        <v>74</v>
      </c>
      <c r="AH71" s="1" t="s">
        <v>74</v>
      </c>
      <c r="AI71" s="1" t="s">
        <v>74</v>
      </c>
      <c r="AJ71" s="1" t="s">
        <v>74</v>
      </c>
      <c r="AK71" s="1" t="s">
        <v>74</v>
      </c>
      <c r="AL71" s="1" t="s">
        <v>74</v>
      </c>
      <c r="AM71" s="1" t="s">
        <v>74</v>
      </c>
      <c r="AN71" s="1" t="s">
        <v>74</v>
      </c>
      <c r="AO71" s="1" t="s">
        <v>836</v>
      </c>
      <c r="AP71" s="1" t="s">
        <v>74</v>
      </c>
      <c r="AQ71" s="1" t="s">
        <v>74</v>
      </c>
      <c r="AR71" s="1" t="s">
        <v>74</v>
      </c>
      <c r="AS71" s="1" t="s">
        <v>74</v>
      </c>
      <c r="AT71" s="1" t="s">
        <v>438</v>
      </c>
      <c r="AU71" s="1">
        <v>1997.0</v>
      </c>
      <c r="AV71" s="1">
        <v>150.0</v>
      </c>
      <c r="AW71" s="1">
        <v>5.0</v>
      </c>
      <c r="AX71" s="1" t="s">
        <v>74</v>
      </c>
      <c r="AY71" s="1" t="s">
        <v>74</v>
      </c>
      <c r="AZ71" s="1" t="s">
        <v>74</v>
      </c>
      <c r="BA71" s="1" t="s">
        <v>74</v>
      </c>
      <c r="BB71" s="1">
        <v>611.0</v>
      </c>
      <c r="BC71" s="1">
        <v>614.0</v>
      </c>
      <c r="BD71" s="1" t="s">
        <v>74</v>
      </c>
      <c r="BE71" s="1" t="s">
        <v>837</v>
      </c>
      <c r="BF71" s="2" t="str">
        <f>HYPERLINK("http://dx.doi.org/10.1016/S0176-1617(97)80327-6","http://dx.doi.org/10.1016/S0176-1617(97)80327-6")</f>
        <v>http://dx.doi.org/10.1016/S0176-1617(97)80327-6</v>
      </c>
      <c r="BG71" s="1" t="s">
        <v>74</v>
      </c>
      <c r="BH71" s="1" t="s">
        <v>74</v>
      </c>
      <c r="BI71" s="1" t="s">
        <v>74</v>
      </c>
      <c r="BJ71" s="1" t="s">
        <v>74</v>
      </c>
      <c r="BK71" s="1" t="s">
        <v>74</v>
      </c>
      <c r="BL71" s="1" t="s">
        <v>74</v>
      </c>
      <c r="BM71" s="1" t="s">
        <v>74</v>
      </c>
      <c r="BN71" s="1" t="s">
        <v>74</v>
      </c>
      <c r="BO71" s="1" t="s">
        <v>74</v>
      </c>
      <c r="BP71" s="1" t="s">
        <v>74</v>
      </c>
      <c r="BQ71" s="1" t="s">
        <v>74</v>
      </c>
      <c r="BR71" s="1" t="s">
        <v>74</v>
      </c>
      <c r="BS71" s="1" t="s">
        <v>838</v>
      </c>
      <c r="BT71" s="1" t="str">
        <f>HYPERLINK("https%3A%2F%2Fwww.webofscience.com%2Fwos%2Fwoscc%2Ffull-record%2FWOS:A1997WZ36300018","View Full Record in Web of Science")</f>
        <v>View Full Record in Web of Science</v>
      </c>
    </row>
    <row r="72" ht="12.75" customHeight="1">
      <c r="A72" s="1" t="s">
        <v>72</v>
      </c>
      <c r="B72" s="1" t="s">
        <v>839</v>
      </c>
      <c r="C72" s="1" t="s">
        <v>74</v>
      </c>
      <c r="D72" s="1" t="s">
        <v>74</v>
      </c>
      <c r="E72" s="1" t="s">
        <v>74</v>
      </c>
      <c r="F72" s="1" t="s">
        <v>840</v>
      </c>
      <c r="G72" s="1" t="s">
        <v>74</v>
      </c>
      <c r="H72" s="1" t="s">
        <v>74</v>
      </c>
      <c r="I72" s="1" t="s">
        <v>841</v>
      </c>
      <c r="J72" s="1" t="s">
        <v>842</v>
      </c>
      <c r="K72" s="1" t="s">
        <v>74</v>
      </c>
      <c r="L72" s="1" t="s">
        <v>74</v>
      </c>
      <c r="M72" s="1" t="s">
        <v>74</v>
      </c>
      <c r="N72" s="1" t="s">
        <v>74</v>
      </c>
      <c r="O72" s="1" t="s">
        <v>74</v>
      </c>
      <c r="P72" s="1" t="s">
        <v>74</v>
      </c>
      <c r="Q72" s="1" t="s">
        <v>74</v>
      </c>
      <c r="R72" s="1" t="s">
        <v>74</v>
      </c>
      <c r="S72" s="1" t="s">
        <v>74</v>
      </c>
      <c r="T72" s="1" t="s">
        <v>74</v>
      </c>
      <c r="U72" s="1" t="s">
        <v>74</v>
      </c>
      <c r="V72" s="1" t="s">
        <v>843</v>
      </c>
      <c r="W72" s="1" t="s">
        <v>74</v>
      </c>
      <c r="X72" s="1" t="s">
        <v>74</v>
      </c>
      <c r="Y72" s="1" t="s">
        <v>74</v>
      </c>
      <c r="Z72" s="1" t="s">
        <v>74</v>
      </c>
      <c r="AA72" s="1" t="s">
        <v>844</v>
      </c>
      <c r="AB72" s="1" t="s">
        <v>845</v>
      </c>
      <c r="AC72" s="1" t="s">
        <v>74</v>
      </c>
      <c r="AD72" s="1" t="s">
        <v>74</v>
      </c>
      <c r="AE72" s="1" t="s">
        <v>74</v>
      </c>
      <c r="AF72" s="1" t="s">
        <v>74</v>
      </c>
      <c r="AG72" s="1" t="s">
        <v>74</v>
      </c>
      <c r="AH72" s="1" t="s">
        <v>74</v>
      </c>
      <c r="AI72" s="1" t="s">
        <v>74</v>
      </c>
      <c r="AJ72" s="1" t="s">
        <v>74</v>
      </c>
      <c r="AK72" s="1" t="s">
        <v>74</v>
      </c>
      <c r="AL72" s="1" t="s">
        <v>74</v>
      </c>
      <c r="AM72" s="1" t="s">
        <v>74</v>
      </c>
      <c r="AN72" s="1" t="s">
        <v>74</v>
      </c>
      <c r="AO72" s="1" t="s">
        <v>846</v>
      </c>
      <c r="AP72" s="1" t="s">
        <v>74</v>
      </c>
      <c r="AQ72" s="1" t="s">
        <v>74</v>
      </c>
      <c r="AR72" s="1" t="s">
        <v>74</v>
      </c>
      <c r="AS72" s="1" t="s">
        <v>74</v>
      </c>
      <c r="AT72" s="1" t="s">
        <v>847</v>
      </c>
      <c r="AU72" s="1">
        <v>2023.0</v>
      </c>
      <c r="AV72" s="1">
        <v>6.0</v>
      </c>
      <c r="AW72" s="1">
        <v>1.0</v>
      </c>
      <c r="AX72" s="1" t="s">
        <v>74</v>
      </c>
      <c r="AY72" s="1" t="s">
        <v>74</v>
      </c>
      <c r="AZ72" s="1" t="s">
        <v>74</v>
      </c>
      <c r="BA72" s="1" t="s">
        <v>74</v>
      </c>
      <c r="BB72" s="1" t="s">
        <v>74</v>
      </c>
      <c r="BC72" s="1" t="s">
        <v>74</v>
      </c>
      <c r="BD72" s="1">
        <v>63.0</v>
      </c>
      <c r="BE72" s="1" t="s">
        <v>848</v>
      </c>
      <c r="BF72" s="2" t="str">
        <f>HYPERLINK("http://dx.doi.org/10.1038/s42005-023-01170-8","http://dx.doi.org/10.1038/s42005-023-01170-8")</f>
        <v>http://dx.doi.org/10.1038/s42005-023-01170-8</v>
      </c>
      <c r="BG72" s="1" t="s">
        <v>74</v>
      </c>
      <c r="BH72" s="1" t="s">
        <v>74</v>
      </c>
      <c r="BI72" s="1" t="s">
        <v>74</v>
      </c>
      <c r="BJ72" s="1" t="s">
        <v>74</v>
      </c>
      <c r="BK72" s="1" t="s">
        <v>74</v>
      </c>
      <c r="BL72" s="1" t="s">
        <v>74</v>
      </c>
      <c r="BM72" s="1" t="s">
        <v>74</v>
      </c>
      <c r="BN72" s="1" t="s">
        <v>74</v>
      </c>
      <c r="BO72" s="1" t="s">
        <v>74</v>
      </c>
      <c r="BP72" s="1" t="s">
        <v>74</v>
      </c>
      <c r="BQ72" s="1" t="s">
        <v>74</v>
      </c>
      <c r="BR72" s="1" t="s">
        <v>74</v>
      </c>
      <c r="BS72" s="1" t="s">
        <v>849</v>
      </c>
      <c r="BT72" s="1" t="str">
        <f>HYPERLINK("https%3A%2F%2Fwww.webofscience.com%2Fwos%2Fwoscc%2Ffull-record%2FWOS:000964154700001","View Full Record in Web of Science")</f>
        <v>View Full Record in Web of Science</v>
      </c>
    </row>
    <row r="73" ht="12.75" customHeight="1">
      <c r="A73" s="1" t="s">
        <v>72</v>
      </c>
      <c r="B73" s="1" t="s">
        <v>850</v>
      </c>
      <c r="C73" s="1" t="s">
        <v>74</v>
      </c>
      <c r="D73" s="1" t="s">
        <v>74</v>
      </c>
      <c r="E73" s="1" t="s">
        <v>74</v>
      </c>
      <c r="F73" s="1" t="s">
        <v>851</v>
      </c>
      <c r="G73" s="1" t="s">
        <v>74</v>
      </c>
      <c r="H73" s="1" t="s">
        <v>74</v>
      </c>
      <c r="I73" s="1" t="s">
        <v>852</v>
      </c>
      <c r="J73" s="1" t="s">
        <v>853</v>
      </c>
      <c r="K73" s="1" t="s">
        <v>74</v>
      </c>
      <c r="L73" s="1" t="s">
        <v>74</v>
      </c>
      <c r="M73" s="1" t="s">
        <v>74</v>
      </c>
      <c r="N73" s="1" t="s">
        <v>74</v>
      </c>
      <c r="O73" s="1" t="s">
        <v>74</v>
      </c>
      <c r="P73" s="1" t="s">
        <v>74</v>
      </c>
      <c r="Q73" s="1" t="s">
        <v>74</v>
      </c>
      <c r="R73" s="1" t="s">
        <v>74</v>
      </c>
      <c r="S73" s="1" t="s">
        <v>74</v>
      </c>
      <c r="T73" s="1" t="s">
        <v>74</v>
      </c>
      <c r="U73" s="1" t="s">
        <v>74</v>
      </c>
      <c r="V73" s="1" t="s">
        <v>854</v>
      </c>
      <c r="W73" s="1" t="s">
        <v>74</v>
      </c>
      <c r="X73" s="1" t="s">
        <v>74</v>
      </c>
      <c r="Y73" s="1" t="s">
        <v>74</v>
      </c>
      <c r="Z73" s="1" t="s">
        <v>74</v>
      </c>
      <c r="AA73" s="1" t="s">
        <v>855</v>
      </c>
      <c r="AB73" s="1" t="s">
        <v>856</v>
      </c>
      <c r="AC73" s="1" t="s">
        <v>74</v>
      </c>
      <c r="AD73" s="1" t="s">
        <v>74</v>
      </c>
      <c r="AE73" s="1" t="s">
        <v>74</v>
      </c>
      <c r="AF73" s="1" t="s">
        <v>74</v>
      </c>
      <c r="AG73" s="1" t="s">
        <v>74</v>
      </c>
      <c r="AH73" s="1" t="s">
        <v>74</v>
      </c>
      <c r="AI73" s="1" t="s">
        <v>74</v>
      </c>
      <c r="AJ73" s="1" t="s">
        <v>74</v>
      </c>
      <c r="AK73" s="1" t="s">
        <v>74</v>
      </c>
      <c r="AL73" s="1" t="s">
        <v>74</v>
      </c>
      <c r="AM73" s="1" t="s">
        <v>74</v>
      </c>
      <c r="AN73" s="1" t="s">
        <v>74</v>
      </c>
      <c r="AO73" s="1" t="s">
        <v>857</v>
      </c>
      <c r="AP73" s="1" t="s">
        <v>74</v>
      </c>
      <c r="AQ73" s="1" t="s">
        <v>74</v>
      </c>
      <c r="AR73" s="1" t="s">
        <v>74</v>
      </c>
      <c r="AS73" s="1" t="s">
        <v>74</v>
      </c>
      <c r="AT73" s="1" t="s">
        <v>858</v>
      </c>
      <c r="AU73" s="1">
        <v>2022.0</v>
      </c>
      <c r="AV73" s="1">
        <v>9.0</v>
      </c>
      <c r="AW73" s="1" t="s">
        <v>74</v>
      </c>
      <c r="AX73" s="1" t="s">
        <v>74</v>
      </c>
      <c r="AY73" s="1" t="s">
        <v>74</v>
      </c>
      <c r="AZ73" s="1" t="s">
        <v>74</v>
      </c>
      <c r="BA73" s="1" t="s">
        <v>74</v>
      </c>
      <c r="BB73" s="1" t="s">
        <v>74</v>
      </c>
      <c r="BC73" s="1" t="s">
        <v>74</v>
      </c>
      <c r="BD73" s="1">
        <v>904831.0</v>
      </c>
      <c r="BE73" s="1" t="s">
        <v>859</v>
      </c>
      <c r="BF73" s="2" t="str">
        <f>HYPERLINK("http://dx.doi.org/10.3389/fnut.2022.904831","http://dx.doi.org/10.3389/fnut.2022.904831")</f>
        <v>http://dx.doi.org/10.3389/fnut.2022.904831</v>
      </c>
      <c r="BG73" s="1" t="s">
        <v>74</v>
      </c>
      <c r="BH73" s="1" t="s">
        <v>74</v>
      </c>
      <c r="BI73" s="1" t="s">
        <v>74</v>
      </c>
      <c r="BJ73" s="1" t="s">
        <v>74</v>
      </c>
      <c r="BK73" s="1" t="s">
        <v>74</v>
      </c>
      <c r="BL73" s="1" t="s">
        <v>74</v>
      </c>
      <c r="BM73" s="1" t="s">
        <v>74</v>
      </c>
      <c r="BN73" s="1">
        <v>3.6386944E7</v>
      </c>
      <c r="BO73" s="1" t="s">
        <v>74</v>
      </c>
      <c r="BP73" s="1" t="s">
        <v>74</v>
      </c>
      <c r="BQ73" s="1" t="s">
        <v>74</v>
      </c>
      <c r="BR73" s="1" t="s">
        <v>74</v>
      </c>
      <c r="BS73" s="1" t="s">
        <v>860</v>
      </c>
      <c r="BT73" s="1" t="str">
        <f>HYPERLINK("https%3A%2F%2Fwww.webofscience.com%2Fwos%2Fwoscc%2Ffull-record%2FWOS:000882386500001","View Full Record in Web of Science")</f>
        <v>View Full Record in Web of Science</v>
      </c>
    </row>
    <row r="74" ht="12.75" customHeight="1">
      <c r="A74" s="1" t="s">
        <v>72</v>
      </c>
      <c r="B74" s="1" t="s">
        <v>861</v>
      </c>
      <c r="C74" s="1" t="s">
        <v>74</v>
      </c>
      <c r="D74" s="1" t="s">
        <v>74</v>
      </c>
      <c r="E74" s="1" t="s">
        <v>74</v>
      </c>
      <c r="F74" s="1" t="s">
        <v>862</v>
      </c>
      <c r="G74" s="1" t="s">
        <v>74</v>
      </c>
      <c r="H74" s="1" t="s">
        <v>74</v>
      </c>
      <c r="I74" s="1" t="s">
        <v>863</v>
      </c>
      <c r="J74" s="1" t="s">
        <v>864</v>
      </c>
      <c r="K74" s="1" t="s">
        <v>74</v>
      </c>
      <c r="L74" s="1" t="s">
        <v>74</v>
      </c>
      <c r="M74" s="1" t="s">
        <v>74</v>
      </c>
      <c r="N74" s="1" t="s">
        <v>74</v>
      </c>
      <c r="O74" s="1" t="s">
        <v>74</v>
      </c>
      <c r="P74" s="1" t="s">
        <v>74</v>
      </c>
      <c r="Q74" s="1" t="s">
        <v>74</v>
      </c>
      <c r="R74" s="1" t="s">
        <v>74</v>
      </c>
      <c r="S74" s="1" t="s">
        <v>74</v>
      </c>
      <c r="T74" s="1" t="s">
        <v>74</v>
      </c>
      <c r="U74" s="1" t="s">
        <v>74</v>
      </c>
      <c r="V74" s="1" t="s">
        <v>865</v>
      </c>
      <c r="W74" s="1" t="s">
        <v>74</v>
      </c>
      <c r="X74" s="1" t="s">
        <v>74</v>
      </c>
      <c r="Y74" s="1" t="s">
        <v>74</v>
      </c>
      <c r="Z74" s="1" t="s">
        <v>74</v>
      </c>
      <c r="AA74" s="1" t="s">
        <v>866</v>
      </c>
      <c r="AB74" s="1" t="s">
        <v>867</v>
      </c>
      <c r="AC74" s="1" t="s">
        <v>74</v>
      </c>
      <c r="AD74" s="1" t="s">
        <v>74</v>
      </c>
      <c r="AE74" s="1" t="s">
        <v>74</v>
      </c>
      <c r="AF74" s="1" t="s">
        <v>74</v>
      </c>
      <c r="AG74" s="1" t="s">
        <v>74</v>
      </c>
      <c r="AH74" s="1" t="s">
        <v>74</v>
      </c>
      <c r="AI74" s="1" t="s">
        <v>74</v>
      </c>
      <c r="AJ74" s="1" t="s">
        <v>74</v>
      </c>
      <c r="AK74" s="1" t="s">
        <v>74</v>
      </c>
      <c r="AL74" s="1" t="s">
        <v>74</v>
      </c>
      <c r="AM74" s="1" t="s">
        <v>74</v>
      </c>
      <c r="AN74" s="1" t="s">
        <v>74</v>
      </c>
      <c r="AO74" s="1" t="s">
        <v>74</v>
      </c>
      <c r="AP74" s="1" t="s">
        <v>868</v>
      </c>
      <c r="AQ74" s="1" t="s">
        <v>74</v>
      </c>
      <c r="AR74" s="1" t="s">
        <v>74</v>
      </c>
      <c r="AS74" s="1" t="s">
        <v>74</v>
      </c>
      <c r="AT74" s="1" t="s">
        <v>155</v>
      </c>
      <c r="AU74" s="1">
        <v>2022.0</v>
      </c>
      <c r="AV74" s="1">
        <v>23.0</v>
      </c>
      <c r="AW74" s="1">
        <v>12.0</v>
      </c>
      <c r="AX74" s="1" t="s">
        <v>74</v>
      </c>
      <c r="AY74" s="1" t="s">
        <v>74</v>
      </c>
      <c r="AZ74" s="1" t="s">
        <v>74</v>
      </c>
      <c r="BA74" s="1" t="s">
        <v>74</v>
      </c>
      <c r="BB74" s="1" t="s">
        <v>74</v>
      </c>
      <c r="BC74" s="1" t="s">
        <v>74</v>
      </c>
      <c r="BD74" s="1">
        <v>6705.0</v>
      </c>
      <c r="BE74" s="1" t="s">
        <v>869</v>
      </c>
      <c r="BF74" s="2" t="str">
        <f>HYPERLINK("http://dx.doi.org/10.3390/ijms23126705","http://dx.doi.org/10.3390/ijms23126705")</f>
        <v>http://dx.doi.org/10.3390/ijms23126705</v>
      </c>
      <c r="BG74" s="1" t="s">
        <v>74</v>
      </c>
      <c r="BH74" s="1" t="s">
        <v>74</v>
      </c>
      <c r="BI74" s="1" t="s">
        <v>74</v>
      </c>
      <c r="BJ74" s="1" t="s">
        <v>74</v>
      </c>
      <c r="BK74" s="1" t="s">
        <v>74</v>
      </c>
      <c r="BL74" s="1" t="s">
        <v>74</v>
      </c>
      <c r="BM74" s="1" t="s">
        <v>74</v>
      </c>
      <c r="BN74" s="1">
        <v>3.5743148E7</v>
      </c>
      <c r="BO74" s="1" t="s">
        <v>74</v>
      </c>
      <c r="BP74" s="1" t="s">
        <v>74</v>
      </c>
      <c r="BQ74" s="1" t="s">
        <v>74</v>
      </c>
      <c r="BR74" s="1" t="s">
        <v>74</v>
      </c>
      <c r="BS74" s="1" t="s">
        <v>870</v>
      </c>
      <c r="BT74" s="1" t="str">
        <f>HYPERLINK("https%3A%2F%2Fwww.webofscience.com%2Fwos%2Fwoscc%2Ffull-record%2FWOS:000819626700001","View Full Record in Web of Science")</f>
        <v>View Full Record in Web of Science</v>
      </c>
    </row>
    <row r="75" ht="12.75" customHeight="1">
      <c r="A75" s="1" t="s">
        <v>72</v>
      </c>
      <c r="B75" s="1" t="s">
        <v>871</v>
      </c>
      <c r="C75" s="1" t="s">
        <v>74</v>
      </c>
      <c r="D75" s="1" t="s">
        <v>74</v>
      </c>
      <c r="E75" s="1" t="s">
        <v>74</v>
      </c>
      <c r="F75" s="1" t="s">
        <v>872</v>
      </c>
      <c r="G75" s="1" t="s">
        <v>74</v>
      </c>
      <c r="H75" s="1" t="s">
        <v>74</v>
      </c>
      <c r="I75" s="1" t="s">
        <v>873</v>
      </c>
      <c r="J75" s="1" t="s">
        <v>874</v>
      </c>
      <c r="K75" s="1" t="s">
        <v>74</v>
      </c>
      <c r="L75" s="1" t="s">
        <v>74</v>
      </c>
      <c r="M75" s="1" t="s">
        <v>74</v>
      </c>
      <c r="N75" s="1" t="s">
        <v>74</v>
      </c>
      <c r="O75" s="1" t="s">
        <v>74</v>
      </c>
      <c r="P75" s="1" t="s">
        <v>74</v>
      </c>
      <c r="Q75" s="1" t="s">
        <v>74</v>
      </c>
      <c r="R75" s="1" t="s">
        <v>74</v>
      </c>
      <c r="S75" s="1" t="s">
        <v>74</v>
      </c>
      <c r="T75" s="1" t="s">
        <v>74</v>
      </c>
      <c r="U75" s="1" t="s">
        <v>74</v>
      </c>
      <c r="V75" s="1" t="s">
        <v>875</v>
      </c>
      <c r="W75" s="1" t="s">
        <v>74</v>
      </c>
      <c r="X75" s="1" t="s">
        <v>74</v>
      </c>
      <c r="Y75" s="1" t="s">
        <v>74</v>
      </c>
      <c r="Z75" s="1" t="s">
        <v>74</v>
      </c>
      <c r="AA75" s="1" t="s">
        <v>876</v>
      </c>
      <c r="AB75" s="1" t="s">
        <v>877</v>
      </c>
      <c r="AC75" s="1" t="s">
        <v>74</v>
      </c>
      <c r="AD75" s="1" t="s">
        <v>74</v>
      </c>
      <c r="AE75" s="1" t="s">
        <v>74</v>
      </c>
      <c r="AF75" s="1" t="s">
        <v>74</v>
      </c>
      <c r="AG75" s="1" t="s">
        <v>74</v>
      </c>
      <c r="AH75" s="1" t="s">
        <v>74</v>
      </c>
      <c r="AI75" s="1" t="s">
        <v>74</v>
      </c>
      <c r="AJ75" s="1" t="s">
        <v>74</v>
      </c>
      <c r="AK75" s="1" t="s">
        <v>74</v>
      </c>
      <c r="AL75" s="1" t="s">
        <v>74</v>
      </c>
      <c r="AM75" s="1" t="s">
        <v>74</v>
      </c>
      <c r="AN75" s="1" t="s">
        <v>74</v>
      </c>
      <c r="AO75" s="1" t="s">
        <v>878</v>
      </c>
      <c r="AP75" s="1" t="s">
        <v>879</v>
      </c>
      <c r="AQ75" s="1" t="s">
        <v>74</v>
      </c>
      <c r="AR75" s="1" t="s">
        <v>74</v>
      </c>
      <c r="AS75" s="1" t="s">
        <v>74</v>
      </c>
      <c r="AT75" s="1" t="s">
        <v>880</v>
      </c>
      <c r="AU75" s="1">
        <v>2022.0</v>
      </c>
      <c r="AV75" s="1">
        <v>964.0</v>
      </c>
      <c r="AW75" s="1" t="s">
        <v>74</v>
      </c>
      <c r="AX75" s="1" t="s">
        <v>74</v>
      </c>
      <c r="AY75" s="1" t="s">
        <v>74</v>
      </c>
      <c r="AZ75" s="1" t="s">
        <v>74</v>
      </c>
      <c r="BA75" s="1" t="s">
        <v>74</v>
      </c>
      <c r="BB75" s="1" t="s">
        <v>74</v>
      </c>
      <c r="BC75" s="1" t="s">
        <v>74</v>
      </c>
      <c r="BD75" s="1">
        <v>122299.0</v>
      </c>
      <c r="BE75" s="1" t="s">
        <v>881</v>
      </c>
      <c r="BF75" s="2" t="str">
        <f>HYPERLINK("http://dx.doi.org/10.1016/j.jorganchem.2022.122299","http://dx.doi.org/10.1016/j.jorganchem.2022.122299")</f>
        <v>http://dx.doi.org/10.1016/j.jorganchem.2022.122299</v>
      </c>
      <c r="BG75" s="1" t="s">
        <v>74</v>
      </c>
      <c r="BH75" s="1" t="s">
        <v>882</v>
      </c>
      <c r="BI75" s="1" t="s">
        <v>74</v>
      </c>
      <c r="BJ75" s="1" t="s">
        <v>74</v>
      </c>
      <c r="BK75" s="1" t="s">
        <v>74</v>
      </c>
      <c r="BL75" s="1" t="s">
        <v>74</v>
      </c>
      <c r="BM75" s="1" t="s">
        <v>74</v>
      </c>
      <c r="BN75" s="1" t="s">
        <v>74</v>
      </c>
      <c r="BO75" s="1" t="s">
        <v>74</v>
      </c>
      <c r="BP75" s="1" t="s">
        <v>74</v>
      </c>
      <c r="BQ75" s="1" t="s">
        <v>74</v>
      </c>
      <c r="BR75" s="1" t="s">
        <v>74</v>
      </c>
      <c r="BS75" s="1" t="s">
        <v>883</v>
      </c>
      <c r="BT75" s="1" t="str">
        <f>HYPERLINK("https%3A%2F%2Fwww.webofscience.com%2Fwos%2Fwoscc%2Ffull-record%2FWOS:000790302300003","View Full Record in Web of Science")</f>
        <v>View Full Record in Web of Science</v>
      </c>
    </row>
    <row r="76" ht="12.75" customHeight="1">
      <c r="A76" s="1" t="s">
        <v>72</v>
      </c>
      <c r="B76" s="1" t="s">
        <v>884</v>
      </c>
      <c r="C76" s="1" t="s">
        <v>74</v>
      </c>
      <c r="D76" s="1" t="s">
        <v>74</v>
      </c>
      <c r="E76" s="1" t="s">
        <v>74</v>
      </c>
      <c r="F76" s="1" t="s">
        <v>885</v>
      </c>
      <c r="G76" s="1" t="s">
        <v>74</v>
      </c>
      <c r="H76" s="1" t="s">
        <v>74</v>
      </c>
      <c r="I76" s="1" t="s">
        <v>886</v>
      </c>
      <c r="J76" s="1" t="s">
        <v>887</v>
      </c>
      <c r="K76" s="1" t="s">
        <v>74</v>
      </c>
      <c r="L76" s="1" t="s">
        <v>74</v>
      </c>
      <c r="M76" s="1" t="s">
        <v>74</v>
      </c>
      <c r="N76" s="1" t="s">
        <v>74</v>
      </c>
      <c r="O76" s="1" t="s">
        <v>74</v>
      </c>
      <c r="P76" s="1" t="s">
        <v>74</v>
      </c>
      <c r="Q76" s="1" t="s">
        <v>74</v>
      </c>
      <c r="R76" s="1" t="s">
        <v>74</v>
      </c>
      <c r="S76" s="1" t="s">
        <v>74</v>
      </c>
      <c r="T76" s="1" t="s">
        <v>74</v>
      </c>
      <c r="U76" s="1" t="s">
        <v>74</v>
      </c>
      <c r="V76" s="1" t="s">
        <v>888</v>
      </c>
      <c r="W76" s="1" t="s">
        <v>74</v>
      </c>
      <c r="X76" s="1" t="s">
        <v>74</v>
      </c>
      <c r="Y76" s="1" t="s">
        <v>74</v>
      </c>
      <c r="Z76" s="1" t="s">
        <v>74</v>
      </c>
      <c r="AA76" s="1" t="s">
        <v>889</v>
      </c>
      <c r="AB76" s="1" t="s">
        <v>890</v>
      </c>
      <c r="AC76" s="1" t="s">
        <v>74</v>
      </c>
      <c r="AD76" s="1" t="s">
        <v>74</v>
      </c>
      <c r="AE76" s="1" t="s">
        <v>74</v>
      </c>
      <c r="AF76" s="1" t="s">
        <v>74</v>
      </c>
      <c r="AG76" s="1" t="s">
        <v>74</v>
      </c>
      <c r="AH76" s="1" t="s">
        <v>74</v>
      </c>
      <c r="AI76" s="1" t="s">
        <v>74</v>
      </c>
      <c r="AJ76" s="1" t="s">
        <v>74</v>
      </c>
      <c r="AK76" s="1" t="s">
        <v>74</v>
      </c>
      <c r="AL76" s="1" t="s">
        <v>74</v>
      </c>
      <c r="AM76" s="1" t="s">
        <v>74</v>
      </c>
      <c r="AN76" s="1" t="s">
        <v>74</v>
      </c>
      <c r="AO76" s="1" t="s">
        <v>891</v>
      </c>
      <c r="AP76" s="1" t="s">
        <v>892</v>
      </c>
      <c r="AQ76" s="1" t="s">
        <v>74</v>
      </c>
      <c r="AR76" s="1" t="s">
        <v>74</v>
      </c>
      <c r="AS76" s="1" t="s">
        <v>74</v>
      </c>
      <c r="AT76" s="1" t="s">
        <v>893</v>
      </c>
      <c r="AU76" s="1">
        <v>2022.0</v>
      </c>
      <c r="AV76" s="1">
        <v>611.0</v>
      </c>
      <c r="AW76" s="1" t="s">
        <v>74</v>
      </c>
      <c r="AX76" s="1" t="s">
        <v>74</v>
      </c>
      <c r="AY76" s="1" t="s">
        <v>74</v>
      </c>
      <c r="AZ76" s="1" t="s">
        <v>74</v>
      </c>
      <c r="BA76" s="1" t="s">
        <v>74</v>
      </c>
      <c r="BB76" s="1" t="s">
        <v>74</v>
      </c>
      <c r="BC76" s="1" t="s">
        <v>74</v>
      </c>
      <c r="BD76" s="1">
        <v>121292.0</v>
      </c>
      <c r="BE76" s="1" t="s">
        <v>894</v>
      </c>
      <c r="BF76" s="2" t="str">
        <f>HYPERLINK("http://dx.doi.org/10.1016/j.ijpharm.2021.121292","http://dx.doi.org/10.1016/j.ijpharm.2021.121292")</f>
        <v>http://dx.doi.org/10.1016/j.ijpharm.2021.121292</v>
      </c>
      <c r="BG76" s="1" t="s">
        <v>74</v>
      </c>
      <c r="BH76" s="1" t="s">
        <v>895</v>
      </c>
      <c r="BI76" s="1" t="s">
        <v>74</v>
      </c>
      <c r="BJ76" s="1" t="s">
        <v>74</v>
      </c>
      <c r="BK76" s="1" t="s">
        <v>74</v>
      </c>
      <c r="BL76" s="1" t="s">
        <v>74</v>
      </c>
      <c r="BM76" s="1" t="s">
        <v>74</v>
      </c>
      <c r="BN76" s="1">
        <v>3.4780927E7</v>
      </c>
      <c r="BO76" s="1" t="s">
        <v>74</v>
      </c>
      <c r="BP76" s="1" t="s">
        <v>74</v>
      </c>
      <c r="BQ76" s="1" t="s">
        <v>74</v>
      </c>
      <c r="BR76" s="1" t="s">
        <v>74</v>
      </c>
      <c r="BS76" s="1" t="s">
        <v>896</v>
      </c>
      <c r="BT76" s="1" t="str">
        <f>HYPERLINK("https%3A%2F%2Fwww.webofscience.com%2Fwos%2Fwoscc%2Ffull-record%2FWOS:000753422100001","View Full Record in Web of Science")</f>
        <v>View Full Record in Web of Science</v>
      </c>
    </row>
    <row r="77" ht="12.75" customHeight="1">
      <c r="A77" s="1" t="s">
        <v>733</v>
      </c>
      <c r="B77" s="1" t="s">
        <v>897</v>
      </c>
      <c r="C77" s="1" t="s">
        <v>74</v>
      </c>
      <c r="D77" s="1" t="s">
        <v>898</v>
      </c>
      <c r="E77" s="1" t="s">
        <v>74</v>
      </c>
      <c r="F77" s="1" t="s">
        <v>899</v>
      </c>
      <c r="G77" s="1" t="s">
        <v>74</v>
      </c>
      <c r="H77" s="1" t="s">
        <v>74</v>
      </c>
      <c r="I77" s="1" t="s">
        <v>900</v>
      </c>
      <c r="J77" s="1" t="s">
        <v>901</v>
      </c>
      <c r="K77" s="1" t="s">
        <v>902</v>
      </c>
      <c r="L77" s="1" t="s">
        <v>74</v>
      </c>
      <c r="M77" s="1" t="s">
        <v>74</v>
      </c>
      <c r="N77" s="1" t="s">
        <v>74</v>
      </c>
      <c r="O77" s="1" t="s">
        <v>74</v>
      </c>
      <c r="P77" s="1" t="s">
        <v>74</v>
      </c>
      <c r="Q77" s="1" t="s">
        <v>74</v>
      </c>
      <c r="R77" s="1" t="s">
        <v>74</v>
      </c>
      <c r="S77" s="1" t="s">
        <v>74</v>
      </c>
      <c r="T77" s="1" t="s">
        <v>74</v>
      </c>
      <c r="U77" s="1" t="s">
        <v>74</v>
      </c>
      <c r="V77" s="1" t="s">
        <v>74</v>
      </c>
      <c r="W77" s="1" t="s">
        <v>74</v>
      </c>
      <c r="X77" s="1" t="s">
        <v>74</v>
      </c>
      <c r="Y77" s="1" t="s">
        <v>74</v>
      </c>
      <c r="Z77" s="1" t="s">
        <v>74</v>
      </c>
      <c r="AA77" s="1" t="s">
        <v>74</v>
      </c>
      <c r="AB77" s="1" t="s">
        <v>74</v>
      </c>
      <c r="AC77" s="1" t="s">
        <v>74</v>
      </c>
      <c r="AD77" s="1" t="s">
        <v>74</v>
      </c>
      <c r="AE77" s="1" t="s">
        <v>74</v>
      </c>
      <c r="AF77" s="1" t="s">
        <v>74</v>
      </c>
      <c r="AG77" s="1" t="s">
        <v>74</v>
      </c>
      <c r="AH77" s="1" t="s">
        <v>74</v>
      </c>
      <c r="AI77" s="1" t="s">
        <v>74</v>
      </c>
      <c r="AJ77" s="1" t="s">
        <v>74</v>
      </c>
      <c r="AK77" s="1" t="s">
        <v>74</v>
      </c>
      <c r="AL77" s="1" t="s">
        <v>74</v>
      </c>
      <c r="AM77" s="1" t="s">
        <v>74</v>
      </c>
      <c r="AN77" s="1" t="s">
        <v>74</v>
      </c>
      <c r="AO77" s="1" t="s">
        <v>74</v>
      </c>
      <c r="AP77" s="1" t="s">
        <v>74</v>
      </c>
      <c r="AQ77" s="1" t="s">
        <v>903</v>
      </c>
      <c r="AR77" s="1" t="s">
        <v>74</v>
      </c>
      <c r="AS77" s="1" t="s">
        <v>74</v>
      </c>
      <c r="AT77" s="1" t="s">
        <v>74</v>
      </c>
      <c r="AU77" s="1">
        <v>2021.0</v>
      </c>
      <c r="AV77" s="1" t="s">
        <v>74</v>
      </c>
      <c r="AW77" s="1" t="s">
        <v>74</v>
      </c>
      <c r="AX77" s="1" t="s">
        <v>74</v>
      </c>
      <c r="AY77" s="1" t="s">
        <v>74</v>
      </c>
      <c r="AZ77" s="1" t="s">
        <v>74</v>
      </c>
      <c r="BA77" s="1" t="s">
        <v>74</v>
      </c>
      <c r="BB77" s="1">
        <v>127.0</v>
      </c>
      <c r="BC77" s="1">
        <v>148.0</v>
      </c>
      <c r="BD77" s="1" t="s">
        <v>74</v>
      </c>
      <c r="BE77" s="1" t="s">
        <v>904</v>
      </c>
      <c r="BF77" s="2" t="str">
        <f>HYPERLINK("http://dx.doi.org/10.1037/0000234-006","http://dx.doi.org/10.1037/0000234-006")</f>
        <v>http://dx.doi.org/10.1037/0000234-006</v>
      </c>
      <c r="BG77" s="1" t="s">
        <v>905</v>
      </c>
      <c r="BH77" s="1" t="s">
        <v>74</v>
      </c>
      <c r="BI77" s="1" t="s">
        <v>74</v>
      </c>
      <c r="BJ77" s="1" t="s">
        <v>74</v>
      </c>
      <c r="BK77" s="1" t="s">
        <v>74</v>
      </c>
      <c r="BL77" s="1" t="s">
        <v>74</v>
      </c>
      <c r="BM77" s="1" t="s">
        <v>74</v>
      </c>
      <c r="BN77" s="1" t="s">
        <v>74</v>
      </c>
      <c r="BO77" s="1" t="s">
        <v>74</v>
      </c>
      <c r="BP77" s="1" t="s">
        <v>74</v>
      </c>
      <c r="BQ77" s="1" t="s">
        <v>74</v>
      </c>
      <c r="BR77" s="1" t="s">
        <v>74</v>
      </c>
      <c r="BS77" s="1" t="s">
        <v>906</v>
      </c>
      <c r="BT77" s="1" t="str">
        <f>HYPERLINK("https%3A%2F%2Fwww.webofscience.com%2Fwos%2Fwoscc%2Ffull-record%2FWOS:000886265700007","View Full Record in Web of Science")</f>
        <v>View Full Record in Web of Science</v>
      </c>
    </row>
    <row r="78" ht="12.75" customHeight="1">
      <c r="A78" s="1" t="s">
        <v>72</v>
      </c>
      <c r="B78" s="1" t="s">
        <v>907</v>
      </c>
      <c r="C78" s="1" t="s">
        <v>74</v>
      </c>
      <c r="D78" s="1" t="s">
        <v>74</v>
      </c>
      <c r="E78" s="1" t="s">
        <v>74</v>
      </c>
      <c r="F78" s="1" t="s">
        <v>908</v>
      </c>
      <c r="G78" s="1" t="s">
        <v>74</v>
      </c>
      <c r="H78" s="1" t="s">
        <v>74</v>
      </c>
      <c r="I78" s="1" t="s">
        <v>909</v>
      </c>
      <c r="J78" s="1" t="s">
        <v>910</v>
      </c>
      <c r="K78" s="1" t="s">
        <v>74</v>
      </c>
      <c r="L78" s="1" t="s">
        <v>74</v>
      </c>
      <c r="M78" s="1" t="s">
        <v>74</v>
      </c>
      <c r="N78" s="1" t="s">
        <v>74</v>
      </c>
      <c r="O78" s="1" t="s">
        <v>74</v>
      </c>
      <c r="P78" s="1" t="s">
        <v>74</v>
      </c>
      <c r="Q78" s="1" t="s">
        <v>74</v>
      </c>
      <c r="R78" s="1" t="s">
        <v>74</v>
      </c>
      <c r="S78" s="1" t="s">
        <v>74</v>
      </c>
      <c r="T78" s="1" t="s">
        <v>74</v>
      </c>
      <c r="U78" s="1" t="s">
        <v>74</v>
      </c>
      <c r="V78" s="1" t="s">
        <v>911</v>
      </c>
      <c r="W78" s="1" t="s">
        <v>74</v>
      </c>
      <c r="X78" s="1" t="s">
        <v>74</v>
      </c>
      <c r="Y78" s="1" t="s">
        <v>74</v>
      </c>
      <c r="Z78" s="1" t="s">
        <v>74</v>
      </c>
      <c r="AA78" s="1" t="s">
        <v>912</v>
      </c>
      <c r="AB78" s="1" t="s">
        <v>913</v>
      </c>
      <c r="AC78" s="1" t="s">
        <v>74</v>
      </c>
      <c r="AD78" s="1" t="s">
        <v>74</v>
      </c>
      <c r="AE78" s="1" t="s">
        <v>74</v>
      </c>
      <c r="AF78" s="1" t="s">
        <v>74</v>
      </c>
      <c r="AG78" s="1" t="s">
        <v>74</v>
      </c>
      <c r="AH78" s="1" t="s">
        <v>74</v>
      </c>
      <c r="AI78" s="1" t="s">
        <v>74</v>
      </c>
      <c r="AJ78" s="1" t="s">
        <v>74</v>
      </c>
      <c r="AK78" s="1" t="s">
        <v>74</v>
      </c>
      <c r="AL78" s="1" t="s">
        <v>74</v>
      </c>
      <c r="AM78" s="1" t="s">
        <v>74</v>
      </c>
      <c r="AN78" s="1" t="s">
        <v>74</v>
      </c>
      <c r="AO78" s="1" t="s">
        <v>74</v>
      </c>
      <c r="AP78" s="1" t="s">
        <v>914</v>
      </c>
      <c r="AQ78" s="1" t="s">
        <v>74</v>
      </c>
      <c r="AR78" s="1" t="s">
        <v>74</v>
      </c>
      <c r="AS78" s="1" t="s">
        <v>74</v>
      </c>
      <c r="AT78" s="1" t="s">
        <v>398</v>
      </c>
      <c r="AU78" s="1">
        <v>2020.0</v>
      </c>
      <c r="AV78" s="1">
        <v>20.0</v>
      </c>
      <c r="AW78" s="1">
        <v>3.0</v>
      </c>
      <c r="AX78" s="1" t="s">
        <v>74</v>
      </c>
      <c r="AY78" s="1" t="s">
        <v>74</v>
      </c>
      <c r="AZ78" s="1" t="s">
        <v>74</v>
      </c>
      <c r="BA78" s="1" t="s">
        <v>74</v>
      </c>
      <c r="BB78" s="1" t="s">
        <v>74</v>
      </c>
      <c r="BC78" s="1" t="s">
        <v>74</v>
      </c>
      <c r="BD78" s="1">
        <v>790.0</v>
      </c>
      <c r="BE78" s="1" t="s">
        <v>915</v>
      </c>
      <c r="BF78" s="2" t="str">
        <f>HYPERLINK("http://dx.doi.org/10.3390/s20030790","http://dx.doi.org/10.3390/s20030790")</f>
        <v>http://dx.doi.org/10.3390/s20030790</v>
      </c>
      <c r="BG78" s="1" t="s">
        <v>74</v>
      </c>
      <c r="BH78" s="1" t="s">
        <v>74</v>
      </c>
      <c r="BI78" s="1" t="s">
        <v>74</v>
      </c>
      <c r="BJ78" s="1" t="s">
        <v>74</v>
      </c>
      <c r="BK78" s="1" t="s">
        <v>74</v>
      </c>
      <c r="BL78" s="1" t="s">
        <v>74</v>
      </c>
      <c r="BM78" s="1" t="s">
        <v>74</v>
      </c>
      <c r="BN78" s="1">
        <v>3.2023989E7</v>
      </c>
      <c r="BO78" s="1" t="s">
        <v>74</v>
      </c>
      <c r="BP78" s="1" t="s">
        <v>74</v>
      </c>
      <c r="BQ78" s="1" t="s">
        <v>74</v>
      </c>
      <c r="BR78" s="1" t="s">
        <v>74</v>
      </c>
      <c r="BS78" s="1" t="s">
        <v>916</v>
      </c>
      <c r="BT78" s="1" t="str">
        <f>HYPERLINK("https%3A%2F%2Fwww.webofscience.com%2Fwos%2Fwoscc%2Ffull-record%2FWOS:000517786200214","View Full Record in Web of Science")</f>
        <v>View Full Record in Web of Science</v>
      </c>
    </row>
    <row r="79" ht="12.75" customHeight="1">
      <c r="A79" s="1" t="s">
        <v>647</v>
      </c>
      <c r="B79" s="1" t="s">
        <v>917</v>
      </c>
      <c r="C79" s="1" t="s">
        <v>74</v>
      </c>
      <c r="D79" s="1" t="s">
        <v>74</v>
      </c>
      <c r="E79" s="1" t="s">
        <v>649</v>
      </c>
      <c r="F79" s="1" t="s">
        <v>918</v>
      </c>
      <c r="G79" s="1" t="s">
        <v>74</v>
      </c>
      <c r="H79" s="1" t="s">
        <v>74</v>
      </c>
      <c r="I79" s="1" t="s">
        <v>919</v>
      </c>
      <c r="J79" s="1" t="s">
        <v>920</v>
      </c>
      <c r="K79" s="1" t="s">
        <v>921</v>
      </c>
      <c r="L79" s="1" t="s">
        <v>74</v>
      </c>
      <c r="M79" s="1" t="s">
        <v>74</v>
      </c>
      <c r="N79" s="1" t="s">
        <v>74</v>
      </c>
      <c r="O79" s="1" t="s">
        <v>922</v>
      </c>
      <c r="P79" s="1" t="s">
        <v>923</v>
      </c>
      <c r="Q79" s="1" t="s">
        <v>924</v>
      </c>
      <c r="R79" s="1" t="s">
        <v>925</v>
      </c>
      <c r="S79" s="1" t="s">
        <v>926</v>
      </c>
      <c r="T79" s="1" t="s">
        <v>74</v>
      </c>
      <c r="U79" s="1" t="s">
        <v>74</v>
      </c>
      <c r="V79" s="1" t="s">
        <v>927</v>
      </c>
      <c r="W79" s="1" t="s">
        <v>74</v>
      </c>
      <c r="X79" s="1" t="s">
        <v>74</v>
      </c>
      <c r="Y79" s="1" t="s">
        <v>74</v>
      </c>
      <c r="Z79" s="1" t="s">
        <v>74</v>
      </c>
      <c r="AA79" s="1" t="s">
        <v>928</v>
      </c>
      <c r="AB79" s="1" t="s">
        <v>929</v>
      </c>
      <c r="AC79" s="1" t="s">
        <v>74</v>
      </c>
      <c r="AD79" s="1" t="s">
        <v>74</v>
      </c>
      <c r="AE79" s="1" t="s">
        <v>74</v>
      </c>
      <c r="AF79" s="1" t="s">
        <v>74</v>
      </c>
      <c r="AG79" s="1" t="s">
        <v>74</v>
      </c>
      <c r="AH79" s="1" t="s">
        <v>74</v>
      </c>
      <c r="AI79" s="1" t="s">
        <v>74</v>
      </c>
      <c r="AJ79" s="1" t="s">
        <v>74</v>
      </c>
      <c r="AK79" s="1" t="s">
        <v>74</v>
      </c>
      <c r="AL79" s="1" t="s">
        <v>74</v>
      </c>
      <c r="AM79" s="1" t="s">
        <v>74</v>
      </c>
      <c r="AN79" s="1" t="s">
        <v>74</v>
      </c>
      <c r="AO79" s="1" t="s">
        <v>930</v>
      </c>
      <c r="AP79" s="1" t="s">
        <v>74</v>
      </c>
      <c r="AQ79" s="1" t="s">
        <v>931</v>
      </c>
      <c r="AR79" s="1" t="s">
        <v>74</v>
      </c>
      <c r="AS79" s="1" t="s">
        <v>74</v>
      </c>
      <c r="AT79" s="1" t="s">
        <v>74</v>
      </c>
      <c r="AU79" s="1">
        <v>2019.0</v>
      </c>
      <c r="AV79" s="1" t="s">
        <v>74</v>
      </c>
      <c r="AW79" s="1" t="s">
        <v>74</v>
      </c>
      <c r="AX79" s="1" t="s">
        <v>74</v>
      </c>
      <c r="AY79" s="1" t="s">
        <v>74</v>
      </c>
      <c r="AZ79" s="1" t="s">
        <v>74</v>
      </c>
      <c r="BA79" s="1" t="s">
        <v>74</v>
      </c>
      <c r="BB79" s="1" t="s">
        <v>74</v>
      </c>
      <c r="BC79" s="1" t="s">
        <v>74</v>
      </c>
      <c r="BD79" s="1" t="s">
        <v>74</v>
      </c>
      <c r="BE79" s="1" t="s">
        <v>932</v>
      </c>
      <c r="BF79" s="2" t="str">
        <f>HYPERLINK("http://dx.doi.org/10.1109/sccc49216.2019.8966443","http://dx.doi.org/10.1109/sccc49216.2019.8966443")</f>
        <v>http://dx.doi.org/10.1109/sccc49216.2019.8966443</v>
      </c>
      <c r="BG79" s="1" t="s">
        <v>74</v>
      </c>
      <c r="BH79" s="1" t="s">
        <v>74</v>
      </c>
      <c r="BI79" s="1" t="s">
        <v>74</v>
      </c>
      <c r="BJ79" s="1" t="s">
        <v>74</v>
      </c>
      <c r="BK79" s="1" t="s">
        <v>74</v>
      </c>
      <c r="BL79" s="1" t="s">
        <v>74</v>
      </c>
      <c r="BM79" s="1" t="s">
        <v>74</v>
      </c>
      <c r="BN79" s="1" t="s">
        <v>74</v>
      </c>
      <c r="BO79" s="1" t="s">
        <v>74</v>
      </c>
      <c r="BP79" s="1" t="s">
        <v>74</v>
      </c>
      <c r="BQ79" s="1" t="s">
        <v>74</v>
      </c>
      <c r="BR79" s="1" t="s">
        <v>74</v>
      </c>
      <c r="BS79" s="1" t="s">
        <v>933</v>
      </c>
      <c r="BT79" s="1" t="str">
        <f>HYPERLINK("https%3A%2F%2Fwww.webofscience.com%2Fwos%2Fwoscc%2Ffull-record%2FWOS:000540055800051","View Full Record in Web of Science")</f>
        <v>View Full Record in Web of Science</v>
      </c>
    </row>
    <row r="80" ht="12.75" customHeight="1">
      <c r="A80" s="1" t="s">
        <v>72</v>
      </c>
      <c r="B80" s="1" t="s">
        <v>934</v>
      </c>
      <c r="C80" s="1" t="s">
        <v>74</v>
      </c>
      <c r="D80" s="1" t="s">
        <v>74</v>
      </c>
      <c r="E80" s="1" t="s">
        <v>74</v>
      </c>
      <c r="F80" s="1" t="s">
        <v>935</v>
      </c>
      <c r="G80" s="1" t="s">
        <v>74</v>
      </c>
      <c r="H80" s="1" t="s">
        <v>74</v>
      </c>
      <c r="I80" s="1" t="s">
        <v>936</v>
      </c>
      <c r="J80" s="1" t="s">
        <v>937</v>
      </c>
      <c r="K80" s="1" t="s">
        <v>74</v>
      </c>
      <c r="L80" s="1" t="s">
        <v>74</v>
      </c>
      <c r="M80" s="1" t="s">
        <v>74</v>
      </c>
      <c r="N80" s="1" t="s">
        <v>74</v>
      </c>
      <c r="O80" s="1" t="s">
        <v>74</v>
      </c>
      <c r="P80" s="1" t="s">
        <v>74</v>
      </c>
      <c r="Q80" s="1" t="s">
        <v>74</v>
      </c>
      <c r="R80" s="1" t="s">
        <v>74</v>
      </c>
      <c r="S80" s="1" t="s">
        <v>74</v>
      </c>
      <c r="T80" s="1" t="s">
        <v>74</v>
      </c>
      <c r="U80" s="1" t="s">
        <v>74</v>
      </c>
      <c r="V80" s="1" t="s">
        <v>938</v>
      </c>
      <c r="W80" s="1" t="s">
        <v>74</v>
      </c>
      <c r="X80" s="1" t="s">
        <v>74</v>
      </c>
      <c r="Y80" s="1" t="s">
        <v>74</v>
      </c>
      <c r="Z80" s="1" t="s">
        <v>74</v>
      </c>
      <c r="AA80" s="1" t="s">
        <v>939</v>
      </c>
      <c r="AB80" s="1" t="s">
        <v>940</v>
      </c>
      <c r="AC80" s="1" t="s">
        <v>74</v>
      </c>
      <c r="AD80" s="1" t="s">
        <v>74</v>
      </c>
      <c r="AE80" s="1" t="s">
        <v>74</v>
      </c>
      <c r="AF80" s="1" t="s">
        <v>74</v>
      </c>
      <c r="AG80" s="1" t="s">
        <v>74</v>
      </c>
      <c r="AH80" s="1" t="s">
        <v>74</v>
      </c>
      <c r="AI80" s="1" t="s">
        <v>74</v>
      </c>
      <c r="AJ80" s="1" t="s">
        <v>74</v>
      </c>
      <c r="AK80" s="1" t="s">
        <v>74</v>
      </c>
      <c r="AL80" s="1" t="s">
        <v>74</v>
      </c>
      <c r="AM80" s="1" t="s">
        <v>74</v>
      </c>
      <c r="AN80" s="1" t="s">
        <v>74</v>
      </c>
      <c r="AO80" s="1" t="s">
        <v>941</v>
      </c>
      <c r="AP80" s="1" t="s">
        <v>942</v>
      </c>
      <c r="AQ80" s="1" t="s">
        <v>74</v>
      </c>
      <c r="AR80" s="1" t="s">
        <v>74</v>
      </c>
      <c r="AS80" s="1" t="s">
        <v>74</v>
      </c>
      <c r="AT80" s="1" t="s">
        <v>259</v>
      </c>
      <c r="AU80" s="1">
        <v>2017.0</v>
      </c>
      <c r="AV80" s="1">
        <v>93.0</v>
      </c>
      <c r="AW80" s="1" t="s">
        <v>74</v>
      </c>
      <c r="AX80" s="1" t="s">
        <v>74</v>
      </c>
      <c r="AY80" s="1" t="s">
        <v>74</v>
      </c>
      <c r="AZ80" s="1" t="s">
        <v>74</v>
      </c>
      <c r="BA80" s="1" t="s">
        <v>74</v>
      </c>
      <c r="BB80" s="1">
        <v>507.0</v>
      </c>
      <c r="BC80" s="1">
        <v>520.0</v>
      </c>
      <c r="BD80" s="1" t="s">
        <v>74</v>
      </c>
      <c r="BE80" s="1" t="s">
        <v>943</v>
      </c>
      <c r="BF80" s="2" t="str">
        <f>HYPERLINK("http://dx.doi.org/10.1016/j.eurpolymj.2017.06.023","http://dx.doi.org/10.1016/j.eurpolymj.2017.06.023")</f>
        <v>http://dx.doi.org/10.1016/j.eurpolymj.2017.06.023</v>
      </c>
      <c r="BG80" s="1" t="s">
        <v>74</v>
      </c>
      <c r="BH80" s="1" t="s">
        <v>74</v>
      </c>
      <c r="BI80" s="1" t="s">
        <v>74</v>
      </c>
      <c r="BJ80" s="1" t="s">
        <v>74</v>
      </c>
      <c r="BK80" s="1" t="s">
        <v>74</v>
      </c>
      <c r="BL80" s="1" t="s">
        <v>74</v>
      </c>
      <c r="BM80" s="1" t="s">
        <v>74</v>
      </c>
      <c r="BN80" s="1" t="s">
        <v>74</v>
      </c>
      <c r="BO80" s="1" t="s">
        <v>74</v>
      </c>
      <c r="BP80" s="1" t="s">
        <v>74</v>
      </c>
      <c r="BQ80" s="1" t="s">
        <v>74</v>
      </c>
      <c r="BR80" s="1" t="s">
        <v>74</v>
      </c>
      <c r="BS80" s="1" t="s">
        <v>944</v>
      </c>
      <c r="BT80" s="1" t="str">
        <f>HYPERLINK("https%3A%2F%2Fwww.webofscience.com%2Fwos%2Fwoscc%2Ffull-record%2FWOS:000407186200047","View Full Record in Web of Science")</f>
        <v>View Full Record in Web of Science</v>
      </c>
    </row>
    <row r="81" ht="12.75" customHeight="1">
      <c r="A81" s="1" t="s">
        <v>647</v>
      </c>
      <c r="B81" s="1" t="s">
        <v>945</v>
      </c>
      <c r="C81" s="1" t="s">
        <v>74</v>
      </c>
      <c r="D81" s="1" t="s">
        <v>946</v>
      </c>
      <c r="E81" s="1" t="s">
        <v>74</v>
      </c>
      <c r="F81" s="1" t="s">
        <v>947</v>
      </c>
      <c r="G81" s="1" t="s">
        <v>74</v>
      </c>
      <c r="H81" s="1" t="s">
        <v>74</v>
      </c>
      <c r="I81" s="1" t="s">
        <v>948</v>
      </c>
      <c r="J81" s="1" t="s">
        <v>949</v>
      </c>
      <c r="K81" s="1" t="s">
        <v>74</v>
      </c>
      <c r="L81" s="1" t="s">
        <v>74</v>
      </c>
      <c r="M81" s="1" t="s">
        <v>74</v>
      </c>
      <c r="N81" s="1" t="s">
        <v>74</v>
      </c>
      <c r="O81" s="1" t="s">
        <v>950</v>
      </c>
      <c r="P81" s="1" t="s">
        <v>951</v>
      </c>
      <c r="Q81" s="1" t="s">
        <v>952</v>
      </c>
      <c r="R81" s="1" t="s">
        <v>74</v>
      </c>
      <c r="S81" s="1" t="s">
        <v>74</v>
      </c>
      <c r="T81" s="1" t="s">
        <v>74</v>
      </c>
      <c r="U81" s="1" t="s">
        <v>74</v>
      </c>
      <c r="V81" s="1" t="s">
        <v>953</v>
      </c>
      <c r="W81" s="1" t="s">
        <v>74</v>
      </c>
      <c r="X81" s="1" t="s">
        <v>74</v>
      </c>
      <c r="Y81" s="1" t="s">
        <v>74</v>
      </c>
      <c r="Z81" s="1" t="s">
        <v>74</v>
      </c>
      <c r="AA81" s="1" t="s">
        <v>954</v>
      </c>
      <c r="AB81" s="1" t="s">
        <v>955</v>
      </c>
      <c r="AC81" s="1" t="s">
        <v>74</v>
      </c>
      <c r="AD81" s="1" t="s">
        <v>74</v>
      </c>
      <c r="AE81" s="1" t="s">
        <v>74</v>
      </c>
      <c r="AF81" s="1" t="s">
        <v>74</v>
      </c>
      <c r="AG81" s="1" t="s">
        <v>74</v>
      </c>
      <c r="AH81" s="1" t="s">
        <v>74</v>
      </c>
      <c r="AI81" s="1" t="s">
        <v>74</v>
      </c>
      <c r="AJ81" s="1" t="s">
        <v>74</v>
      </c>
      <c r="AK81" s="1" t="s">
        <v>74</v>
      </c>
      <c r="AL81" s="1" t="s">
        <v>74</v>
      </c>
      <c r="AM81" s="1" t="s">
        <v>74</v>
      </c>
      <c r="AN81" s="1" t="s">
        <v>74</v>
      </c>
      <c r="AO81" s="1" t="s">
        <v>74</v>
      </c>
      <c r="AP81" s="1" t="s">
        <v>74</v>
      </c>
      <c r="AQ81" s="1" t="s">
        <v>956</v>
      </c>
      <c r="AR81" s="1" t="s">
        <v>74</v>
      </c>
      <c r="AS81" s="1" t="s">
        <v>74</v>
      </c>
      <c r="AT81" s="1" t="s">
        <v>74</v>
      </c>
      <c r="AU81" s="1">
        <v>2017.0</v>
      </c>
      <c r="AV81" s="1" t="s">
        <v>74</v>
      </c>
      <c r="AW81" s="1" t="s">
        <v>74</v>
      </c>
      <c r="AX81" s="1" t="s">
        <v>74</v>
      </c>
      <c r="AY81" s="1" t="s">
        <v>74</v>
      </c>
      <c r="AZ81" s="1" t="s">
        <v>74</v>
      </c>
      <c r="BA81" s="1" t="s">
        <v>74</v>
      </c>
      <c r="BB81" s="1">
        <v>329.0</v>
      </c>
      <c r="BC81" s="1">
        <v>336.0</v>
      </c>
      <c r="BD81" s="1" t="s">
        <v>74</v>
      </c>
      <c r="BE81" s="1" t="s">
        <v>957</v>
      </c>
      <c r="BF81" s="2" t="str">
        <f>HYPERLINK("http://dx.doi.org/10.5220/0006190503290336","http://dx.doi.org/10.5220/0006190503290336")</f>
        <v>http://dx.doi.org/10.5220/0006190503290336</v>
      </c>
      <c r="BG81" s="1" t="s">
        <v>74</v>
      </c>
      <c r="BH81" s="1" t="s">
        <v>74</v>
      </c>
      <c r="BI81" s="1" t="s">
        <v>74</v>
      </c>
      <c r="BJ81" s="1" t="s">
        <v>74</v>
      </c>
      <c r="BK81" s="1" t="s">
        <v>74</v>
      </c>
      <c r="BL81" s="1" t="s">
        <v>74</v>
      </c>
      <c r="BM81" s="1" t="s">
        <v>74</v>
      </c>
      <c r="BN81" s="1" t="s">
        <v>74</v>
      </c>
      <c r="BO81" s="1" t="s">
        <v>74</v>
      </c>
      <c r="BP81" s="1" t="s">
        <v>74</v>
      </c>
      <c r="BQ81" s="1" t="s">
        <v>74</v>
      </c>
      <c r="BR81" s="1" t="s">
        <v>74</v>
      </c>
      <c r="BS81" s="1" t="s">
        <v>958</v>
      </c>
      <c r="BT81" s="1" t="str">
        <f>HYPERLINK("https%3A%2F%2Fwww.webofscience.com%2Fwos%2Fwoscc%2Ffull-record%2FWOS:000413254200035","View Full Record in Web of Science")</f>
        <v>View Full Record in Web of Science</v>
      </c>
    </row>
    <row r="82" ht="12.75" customHeight="1">
      <c r="A82" s="1" t="s">
        <v>72</v>
      </c>
      <c r="B82" s="1" t="s">
        <v>959</v>
      </c>
      <c r="C82" s="1" t="s">
        <v>74</v>
      </c>
      <c r="D82" s="1" t="s">
        <v>74</v>
      </c>
      <c r="E82" s="1" t="s">
        <v>74</v>
      </c>
      <c r="F82" s="1" t="s">
        <v>960</v>
      </c>
      <c r="G82" s="1" t="s">
        <v>74</v>
      </c>
      <c r="H82" s="1" t="s">
        <v>74</v>
      </c>
      <c r="I82" s="1" t="s">
        <v>961</v>
      </c>
      <c r="J82" s="1" t="s">
        <v>962</v>
      </c>
      <c r="K82" s="1" t="s">
        <v>74</v>
      </c>
      <c r="L82" s="1" t="s">
        <v>74</v>
      </c>
      <c r="M82" s="1" t="s">
        <v>74</v>
      </c>
      <c r="N82" s="1" t="s">
        <v>74</v>
      </c>
      <c r="O82" s="1" t="s">
        <v>74</v>
      </c>
      <c r="P82" s="1" t="s">
        <v>74</v>
      </c>
      <c r="Q82" s="1" t="s">
        <v>74</v>
      </c>
      <c r="R82" s="1" t="s">
        <v>74</v>
      </c>
      <c r="S82" s="1" t="s">
        <v>74</v>
      </c>
      <c r="T82" s="1" t="s">
        <v>74</v>
      </c>
      <c r="U82" s="1" t="s">
        <v>74</v>
      </c>
      <c r="V82" s="1" t="s">
        <v>963</v>
      </c>
      <c r="W82" s="1" t="s">
        <v>74</v>
      </c>
      <c r="X82" s="1" t="s">
        <v>74</v>
      </c>
      <c r="Y82" s="1" t="s">
        <v>74</v>
      </c>
      <c r="Z82" s="1" t="s">
        <v>74</v>
      </c>
      <c r="AA82" s="1" t="s">
        <v>964</v>
      </c>
      <c r="AB82" s="1" t="s">
        <v>965</v>
      </c>
      <c r="AC82" s="1" t="s">
        <v>74</v>
      </c>
      <c r="AD82" s="1" t="s">
        <v>74</v>
      </c>
      <c r="AE82" s="1" t="s">
        <v>74</v>
      </c>
      <c r="AF82" s="1" t="s">
        <v>74</v>
      </c>
      <c r="AG82" s="1" t="s">
        <v>74</v>
      </c>
      <c r="AH82" s="1" t="s">
        <v>74</v>
      </c>
      <c r="AI82" s="1" t="s">
        <v>74</v>
      </c>
      <c r="AJ82" s="1" t="s">
        <v>74</v>
      </c>
      <c r="AK82" s="1" t="s">
        <v>74</v>
      </c>
      <c r="AL82" s="1" t="s">
        <v>74</v>
      </c>
      <c r="AM82" s="1" t="s">
        <v>74</v>
      </c>
      <c r="AN82" s="1" t="s">
        <v>74</v>
      </c>
      <c r="AO82" s="1" t="s">
        <v>966</v>
      </c>
      <c r="AP82" s="1" t="s">
        <v>967</v>
      </c>
      <c r="AQ82" s="1" t="s">
        <v>74</v>
      </c>
      <c r="AR82" s="1" t="s">
        <v>74</v>
      </c>
      <c r="AS82" s="1" t="s">
        <v>74</v>
      </c>
      <c r="AT82" s="1" t="s">
        <v>559</v>
      </c>
      <c r="AU82" s="1">
        <v>2014.0</v>
      </c>
      <c r="AV82" s="1">
        <v>21.0</v>
      </c>
      <c r="AW82" s="1">
        <v>12.0</v>
      </c>
      <c r="AX82" s="1" t="s">
        <v>74</v>
      </c>
      <c r="AY82" s="1" t="s">
        <v>74</v>
      </c>
      <c r="AZ82" s="1" t="s">
        <v>74</v>
      </c>
      <c r="BA82" s="1" t="s">
        <v>74</v>
      </c>
      <c r="BB82" s="1">
        <v>1437.0</v>
      </c>
      <c r="BC82" s="1">
        <v>1452.0</v>
      </c>
      <c r="BD82" s="1" t="s">
        <v>74</v>
      </c>
      <c r="BE82" s="1" t="s">
        <v>968</v>
      </c>
      <c r="BF82" s="2" t="str">
        <f>HYPERLINK("http://dx.doi.org/10.1002/stc.1654","http://dx.doi.org/10.1002/stc.1654")</f>
        <v>http://dx.doi.org/10.1002/stc.1654</v>
      </c>
      <c r="BG82" s="1" t="s">
        <v>74</v>
      </c>
      <c r="BH82" s="1" t="s">
        <v>74</v>
      </c>
      <c r="BI82" s="1" t="s">
        <v>74</v>
      </c>
      <c r="BJ82" s="1" t="s">
        <v>74</v>
      </c>
      <c r="BK82" s="1" t="s">
        <v>74</v>
      </c>
      <c r="BL82" s="1" t="s">
        <v>74</v>
      </c>
      <c r="BM82" s="1" t="s">
        <v>74</v>
      </c>
      <c r="BN82" s="1" t="s">
        <v>74</v>
      </c>
      <c r="BO82" s="1" t="s">
        <v>74</v>
      </c>
      <c r="BP82" s="1" t="s">
        <v>74</v>
      </c>
      <c r="BQ82" s="1" t="s">
        <v>74</v>
      </c>
      <c r="BR82" s="1" t="s">
        <v>74</v>
      </c>
      <c r="BS82" s="1" t="s">
        <v>969</v>
      </c>
      <c r="BT82" s="1" t="str">
        <f>HYPERLINK("https%3A%2F%2Fwww.webofscience.com%2Fwos%2Fwoscc%2Ffull-record%2FWOS:000343861800003","View Full Record in Web of Science")</f>
        <v>View Full Record in Web of Science</v>
      </c>
    </row>
    <row r="83" ht="12.75" customHeight="1">
      <c r="A83" s="1" t="s">
        <v>72</v>
      </c>
      <c r="B83" s="1" t="s">
        <v>970</v>
      </c>
      <c r="C83" s="1" t="s">
        <v>74</v>
      </c>
      <c r="D83" s="1" t="s">
        <v>74</v>
      </c>
      <c r="E83" s="1" t="s">
        <v>74</v>
      </c>
      <c r="F83" s="1" t="s">
        <v>971</v>
      </c>
      <c r="G83" s="1" t="s">
        <v>74</v>
      </c>
      <c r="H83" s="1" t="s">
        <v>74</v>
      </c>
      <c r="I83" s="1" t="s">
        <v>972</v>
      </c>
      <c r="J83" s="1" t="s">
        <v>973</v>
      </c>
      <c r="K83" s="1" t="s">
        <v>74</v>
      </c>
      <c r="L83" s="1" t="s">
        <v>74</v>
      </c>
      <c r="M83" s="1" t="s">
        <v>74</v>
      </c>
      <c r="N83" s="1" t="s">
        <v>74</v>
      </c>
      <c r="O83" s="1" t="s">
        <v>74</v>
      </c>
      <c r="P83" s="1" t="s">
        <v>74</v>
      </c>
      <c r="Q83" s="1" t="s">
        <v>74</v>
      </c>
      <c r="R83" s="1" t="s">
        <v>74</v>
      </c>
      <c r="S83" s="1" t="s">
        <v>74</v>
      </c>
      <c r="T83" s="1" t="s">
        <v>74</v>
      </c>
      <c r="U83" s="1" t="s">
        <v>74</v>
      </c>
      <c r="V83" s="1" t="s">
        <v>974</v>
      </c>
      <c r="W83" s="1" t="s">
        <v>74</v>
      </c>
      <c r="X83" s="1" t="s">
        <v>74</v>
      </c>
      <c r="Y83" s="1" t="s">
        <v>74</v>
      </c>
      <c r="Z83" s="1" t="s">
        <v>74</v>
      </c>
      <c r="AA83" s="1" t="s">
        <v>975</v>
      </c>
      <c r="AB83" s="1" t="s">
        <v>976</v>
      </c>
      <c r="AC83" s="1" t="s">
        <v>74</v>
      </c>
      <c r="AD83" s="1" t="s">
        <v>74</v>
      </c>
      <c r="AE83" s="1" t="s">
        <v>74</v>
      </c>
      <c r="AF83" s="1" t="s">
        <v>74</v>
      </c>
      <c r="AG83" s="1" t="s">
        <v>74</v>
      </c>
      <c r="AH83" s="1" t="s">
        <v>74</v>
      </c>
      <c r="AI83" s="1" t="s">
        <v>74</v>
      </c>
      <c r="AJ83" s="1" t="s">
        <v>74</v>
      </c>
      <c r="AK83" s="1" t="s">
        <v>74</v>
      </c>
      <c r="AL83" s="1" t="s">
        <v>74</v>
      </c>
      <c r="AM83" s="1" t="s">
        <v>74</v>
      </c>
      <c r="AN83" s="1" t="s">
        <v>74</v>
      </c>
      <c r="AO83" s="1" t="s">
        <v>977</v>
      </c>
      <c r="AP83" s="1" t="s">
        <v>978</v>
      </c>
      <c r="AQ83" s="1" t="s">
        <v>74</v>
      </c>
      <c r="AR83" s="1" t="s">
        <v>74</v>
      </c>
      <c r="AS83" s="1" t="s">
        <v>74</v>
      </c>
      <c r="AT83" s="1" t="s">
        <v>348</v>
      </c>
      <c r="AU83" s="1">
        <v>2012.0</v>
      </c>
      <c r="AV83" s="1">
        <v>49.0</v>
      </c>
      <c r="AW83" s="1">
        <v>12.0</v>
      </c>
      <c r="AX83" s="1" t="s">
        <v>74</v>
      </c>
      <c r="AY83" s="1" t="s">
        <v>74</v>
      </c>
      <c r="AZ83" s="1" t="s">
        <v>74</v>
      </c>
      <c r="BA83" s="1" t="s">
        <v>74</v>
      </c>
      <c r="BB83" s="1">
        <v>1670.0</v>
      </c>
      <c r="BC83" s="1">
        <v>1683.0</v>
      </c>
      <c r="BD83" s="1" t="s">
        <v>74</v>
      </c>
      <c r="BE83" s="1" t="s">
        <v>979</v>
      </c>
      <c r="BF83" s="2" t="str">
        <f>HYPERLINK("http://dx.doi.org/10.1016/j.asr.2012.03.015","http://dx.doi.org/10.1016/j.asr.2012.03.015")</f>
        <v>http://dx.doi.org/10.1016/j.asr.2012.03.015</v>
      </c>
      <c r="BG83" s="1" t="s">
        <v>74</v>
      </c>
      <c r="BH83" s="1" t="s">
        <v>74</v>
      </c>
      <c r="BI83" s="1" t="s">
        <v>74</v>
      </c>
      <c r="BJ83" s="1" t="s">
        <v>74</v>
      </c>
      <c r="BK83" s="1" t="s">
        <v>74</v>
      </c>
      <c r="BL83" s="1" t="s">
        <v>74</v>
      </c>
      <c r="BM83" s="1" t="s">
        <v>74</v>
      </c>
      <c r="BN83" s="1" t="s">
        <v>74</v>
      </c>
      <c r="BO83" s="1" t="s">
        <v>74</v>
      </c>
      <c r="BP83" s="1" t="s">
        <v>74</v>
      </c>
      <c r="BQ83" s="1" t="s">
        <v>74</v>
      </c>
      <c r="BR83" s="1" t="s">
        <v>74</v>
      </c>
      <c r="BS83" s="1" t="s">
        <v>980</v>
      </c>
      <c r="BT83" s="1" t="str">
        <f>HYPERLINK("https%3A%2F%2Fwww.webofscience.com%2Fwos%2Fwoscc%2Ffull-record%2FWOS:000304787900004","View Full Record in Web of Science")</f>
        <v>View Full Record in Web of Science</v>
      </c>
    </row>
    <row r="84" ht="12.75" customHeight="1">
      <c r="A84" s="1" t="s">
        <v>72</v>
      </c>
      <c r="B84" s="1" t="s">
        <v>981</v>
      </c>
      <c r="C84" s="1" t="s">
        <v>74</v>
      </c>
      <c r="D84" s="1" t="s">
        <v>74</v>
      </c>
      <c r="E84" s="1" t="s">
        <v>74</v>
      </c>
      <c r="F84" s="1" t="s">
        <v>982</v>
      </c>
      <c r="G84" s="1" t="s">
        <v>74</v>
      </c>
      <c r="H84" s="1" t="s">
        <v>74</v>
      </c>
      <c r="I84" s="1" t="s">
        <v>983</v>
      </c>
      <c r="J84" s="1" t="s">
        <v>984</v>
      </c>
      <c r="K84" s="1" t="s">
        <v>74</v>
      </c>
      <c r="L84" s="1" t="s">
        <v>74</v>
      </c>
      <c r="M84" s="1" t="s">
        <v>74</v>
      </c>
      <c r="N84" s="1" t="s">
        <v>74</v>
      </c>
      <c r="O84" s="1" t="s">
        <v>74</v>
      </c>
      <c r="P84" s="1" t="s">
        <v>74</v>
      </c>
      <c r="Q84" s="1" t="s">
        <v>74</v>
      </c>
      <c r="R84" s="1" t="s">
        <v>74</v>
      </c>
      <c r="S84" s="1" t="s">
        <v>74</v>
      </c>
      <c r="T84" s="1" t="s">
        <v>74</v>
      </c>
      <c r="U84" s="1" t="s">
        <v>74</v>
      </c>
      <c r="V84" s="1" t="s">
        <v>985</v>
      </c>
      <c r="W84" s="1" t="s">
        <v>74</v>
      </c>
      <c r="X84" s="1" t="s">
        <v>74</v>
      </c>
      <c r="Y84" s="1" t="s">
        <v>74</v>
      </c>
      <c r="Z84" s="1" t="s">
        <v>74</v>
      </c>
      <c r="AA84" s="1" t="s">
        <v>986</v>
      </c>
      <c r="AB84" s="1" t="s">
        <v>987</v>
      </c>
      <c r="AC84" s="1" t="s">
        <v>74</v>
      </c>
      <c r="AD84" s="1" t="s">
        <v>74</v>
      </c>
      <c r="AE84" s="1" t="s">
        <v>74</v>
      </c>
      <c r="AF84" s="1" t="s">
        <v>74</v>
      </c>
      <c r="AG84" s="1" t="s">
        <v>74</v>
      </c>
      <c r="AH84" s="1" t="s">
        <v>74</v>
      </c>
      <c r="AI84" s="1" t="s">
        <v>74</v>
      </c>
      <c r="AJ84" s="1" t="s">
        <v>74</v>
      </c>
      <c r="AK84" s="1" t="s">
        <v>74</v>
      </c>
      <c r="AL84" s="1" t="s">
        <v>74</v>
      </c>
      <c r="AM84" s="1" t="s">
        <v>74</v>
      </c>
      <c r="AN84" s="1" t="s">
        <v>74</v>
      </c>
      <c r="AO84" s="1" t="s">
        <v>988</v>
      </c>
      <c r="AP84" s="1" t="s">
        <v>74</v>
      </c>
      <c r="AQ84" s="1" t="s">
        <v>74</v>
      </c>
      <c r="AR84" s="1" t="s">
        <v>74</v>
      </c>
      <c r="AS84" s="1" t="s">
        <v>74</v>
      </c>
      <c r="AT84" s="1" t="s">
        <v>83</v>
      </c>
      <c r="AU84" s="1">
        <v>2011.0</v>
      </c>
      <c r="AV84" s="1">
        <v>45.0</v>
      </c>
      <c r="AW84" s="1">
        <v>2.0</v>
      </c>
      <c r="AX84" s="1" t="s">
        <v>74</v>
      </c>
      <c r="AY84" s="1" t="s">
        <v>74</v>
      </c>
      <c r="AZ84" s="1" t="s">
        <v>74</v>
      </c>
      <c r="BA84" s="1" t="s">
        <v>74</v>
      </c>
      <c r="BB84" s="1">
        <v>361.0</v>
      </c>
      <c r="BC84" s="1">
        <v>386.0</v>
      </c>
      <c r="BD84" s="1" t="s">
        <v>74</v>
      </c>
      <c r="BE84" s="1" t="s">
        <v>989</v>
      </c>
      <c r="BF84" s="2" t="str">
        <f>HYPERLINK("http://dx.doi.org/10.1051/m2an/2010058","http://dx.doi.org/10.1051/m2an/2010058")</f>
        <v>http://dx.doi.org/10.1051/m2an/2010058</v>
      </c>
      <c r="BG84" s="1" t="s">
        <v>74</v>
      </c>
      <c r="BH84" s="1" t="s">
        <v>74</v>
      </c>
      <c r="BI84" s="1" t="s">
        <v>74</v>
      </c>
      <c r="BJ84" s="1" t="s">
        <v>74</v>
      </c>
      <c r="BK84" s="1" t="s">
        <v>74</v>
      </c>
      <c r="BL84" s="1" t="s">
        <v>74</v>
      </c>
      <c r="BM84" s="1" t="s">
        <v>74</v>
      </c>
      <c r="BN84" s="1" t="s">
        <v>74</v>
      </c>
      <c r="BO84" s="1" t="s">
        <v>74</v>
      </c>
      <c r="BP84" s="1" t="s">
        <v>74</v>
      </c>
      <c r="BQ84" s="1" t="s">
        <v>74</v>
      </c>
      <c r="BR84" s="1" t="s">
        <v>74</v>
      </c>
      <c r="BS84" s="1" t="s">
        <v>990</v>
      </c>
      <c r="BT84" s="1" t="str">
        <f>HYPERLINK("https%3A%2F%2Fwww.webofscience.com%2Fwos%2Fwoscc%2Ffull-record%2FWOS:000289621800008","View Full Record in Web of Science")</f>
        <v>View Full Record in Web of Science</v>
      </c>
    </row>
    <row r="85" ht="12.75" customHeight="1">
      <c r="A85" s="1" t="s">
        <v>72</v>
      </c>
      <c r="B85" s="1" t="s">
        <v>991</v>
      </c>
      <c r="C85" s="1" t="s">
        <v>74</v>
      </c>
      <c r="D85" s="1" t="s">
        <v>74</v>
      </c>
      <c r="E85" s="1" t="s">
        <v>74</v>
      </c>
      <c r="F85" s="1" t="s">
        <v>992</v>
      </c>
      <c r="G85" s="1" t="s">
        <v>74</v>
      </c>
      <c r="H85" s="1" t="s">
        <v>74</v>
      </c>
      <c r="I85" s="1" t="s">
        <v>993</v>
      </c>
      <c r="J85" s="1" t="s">
        <v>994</v>
      </c>
      <c r="K85" s="1" t="s">
        <v>74</v>
      </c>
      <c r="L85" s="1" t="s">
        <v>74</v>
      </c>
      <c r="M85" s="1" t="s">
        <v>74</v>
      </c>
      <c r="N85" s="1" t="s">
        <v>74</v>
      </c>
      <c r="O85" s="1" t="s">
        <v>74</v>
      </c>
      <c r="P85" s="1" t="s">
        <v>74</v>
      </c>
      <c r="Q85" s="1" t="s">
        <v>74</v>
      </c>
      <c r="R85" s="1" t="s">
        <v>74</v>
      </c>
      <c r="S85" s="1" t="s">
        <v>74</v>
      </c>
      <c r="T85" s="1" t="s">
        <v>74</v>
      </c>
      <c r="U85" s="1" t="s">
        <v>74</v>
      </c>
      <c r="V85" s="1" t="s">
        <v>995</v>
      </c>
      <c r="W85" s="1" t="s">
        <v>74</v>
      </c>
      <c r="X85" s="1" t="s">
        <v>74</v>
      </c>
      <c r="Y85" s="1" t="s">
        <v>74</v>
      </c>
      <c r="Z85" s="1" t="s">
        <v>74</v>
      </c>
      <c r="AA85" s="1" t="s">
        <v>996</v>
      </c>
      <c r="AB85" s="1" t="s">
        <v>997</v>
      </c>
      <c r="AC85" s="1" t="s">
        <v>74</v>
      </c>
      <c r="AD85" s="1" t="s">
        <v>74</v>
      </c>
      <c r="AE85" s="1" t="s">
        <v>74</v>
      </c>
      <c r="AF85" s="1" t="s">
        <v>74</v>
      </c>
      <c r="AG85" s="1" t="s">
        <v>74</v>
      </c>
      <c r="AH85" s="1" t="s">
        <v>74</v>
      </c>
      <c r="AI85" s="1" t="s">
        <v>74</v>
      </c>
      <c r="AJ85" s="1" t="s">
        <v>74</v>
      </c>
      <c r="AK85" s="1" t="s">
        <v>74</v>
      </c>
      <c r="AL85" s="1" t="s">
        <v>74</v>
      </c>
      <c r="AM85" s="1" t="s">
        <v>74</v>
      </c>
      <c r="AN85" s="1" t="s">
        <v>74</v>
      </c>
      <c r="AO85" s="1" t="s">
        <v>998</v>
      </c>
      <c r="AP85" s="1" t="s">
        <v>74</v>
      </c>
      <c r="AQ85" s="1" t="s">
        <v>74</v>
      </c>
      <c r="AR85" s="1" t="s">
        <v>74</v>
      </c>
      <c r="AS85" s="1" t="s">
        <v>74</v>
      </c>
      <c r="AT85" s="1" t="s">
        <v>215</v>
      </c>
      <c r="AU85" s="1">
        <v>2010.0</v>
      </c>
      <c r="AV85" s="1">
        <v>356.0</v>
      </c>
      <c r="AW85" s="1">
        <v>2.0</v>
      </c>
      <c r="AX85" s="1" t="s">
        <v>74</v>
      </c>
      <c r="AY85" s="1" t="s">
        <v>74</v>
      </c>
      <c r="AZ85" s="1" t="s">
        <v>74</v>
      </c>
      <c r="BA85" s="1" t="s">
        <v>74</v>
      </c>
      <c r="BB85" s="1">
        <v>120.0</v>
      </c>
      <c r="BC85" s="1">
        <v>123.0</v>
      </c>
      <c r="BD85" s="1" t="s">
        <v>74</v>
      </c>
      <c r="BE85" s="1" t="s">
        <v>999</v>
      </c>
      <c r="BF85" s="2" t="str">
        <f>HYPERLINK("http://dx.doi.org/10.1016/j.jnoncrysol.2009.10.002","http://dx.doi.org/10.1016/j.jnoncrysol.2009.10.002")</f>
        <v>http://dx.doi.org/10.1016/j.jnoncrysol.2009.10.002</v>
      </c>
      <c r="BG85" s="1" t="s">
        <v>74</v>
      </c>
      <c r="BH85" s="1" t="s">
        <v>74</v>
      </c>
      <c r="BI85" s="1" t="s">
        <v>74</v>
      </c>
      <c r="BJ85" s="1" t="s">
        <v>74</v>
      </c>
      <c r="BK85" s="1" t="s">
        <v>74</v>
      </c>
      <c r="BL85" s="1" t="s">
        <v>74</v>
      </c>
      <c r="BM85" s="1" t="s">
        <v>74</v>
      </c>
      <c r="BN85" s="1" t="s">
        <v>74</v>
      </c>
      <c r="BO85" s="1" t="s">
        <v>74</v>
      </c>
      <c r="BP85" s="1" t="s">
        <v>74</v>
      </c>
      <c r="BQ85" s="1" t="s">
        <v>74</v>
      </c>
      <c r="BR85" s="1" t="s">
        <v>74</v>
      </c>
      <c r="BS85" s="1" t="s">
        <v>1000</v>
      </c>
      <c r="BT85" s="1" t="str">
        <f>HYPERLINK("https%3A%2F%2Fwww.webofscience.com%2Fwos%2Fwoscc%2Ffull-record%2FWOS:000273836300012","View Full Record in Web of Science")</f>
        <v>View Full Record in Web of Science</v>
      </c>
    </row>
    <row r="86" ht="12.75" customHeight="1">
      <c r="A86" s="1" t="s">
        <v>72</v>
      </c>
      <c r="B86" s="1" t="s">
        <v>1001</v>
      </c>
      <c r="C86" s="1" t="s">
        <v>74</v>
      </c>
      <c r="D86" s="1" t="s">
        <v>74</v>
      </c>
      <c r="E86" s="1" t="s">
        <v>74</v>
      </c>
      <c r="F86" s="1" t="s">
        <v>1002</v>
      </c>
      <c r="G86" s="1" t="s">
        <v>74</v>
      </c>
      <c r="H86" s="1" t="s">
        <v>74</v>
      </c>
      <c r="I86" s="1" t="s">
        <v>1003</v>
      </c>
      <c r="J86" s="1" t="s">
        <v>1004</v>
      </c>
      <c r="K86" s="1" t="s">
        <v>74</v>
      </c>
      <c r="L86" s="1" t="s">
        <v>74</v>
      </c>
      <c r="M86" s="1" t="s">
        <v>74</v>
      </c>
      <c r="N86" s="1" t="s">
        <v>74</v>
      </c>
      <c r="O86" s="1" t="s">
        <v>74</v>
      </c>
      <c r="P86" s="1" t="s">
        <v>74</v>
      </c>
      <c r="Q86" s="1" t="s">
        <v>74</v>
      </c>
      <c r="R86" s="1" t="s">
        <v>74</v>
      </c>
      <c r="S86" s="1" t="s">
        <v>74</v>
      </c>
      <c r="T86" s="1" t="s">
        <v>74</v>
      </c>
      <c r="U86" s="1" t="s">
        <v>74</v>
      </c>
      <c r="V86" s="1" t="s">
        <v>1005</v>
      </c>
      <c r="W86" s="1" t="s">
        <v>74</v>
      </c>
      <c r="X86" s="1" t="s">
        <v>74</v>
      </c>
      <c r="Y86" s="1" t="s">
        <v>74</v>
      </c>
      <c r="Z86" s="1" t="s">
        <v>74</v>
      </c>
      <c r="AA86" s="1" t="s">
        <v>1006</v>
      </c>
      <c r="AB86" s="1" t="s">
        <v>1007</v>
      </c>
      <c r="AC86" s="1" t="s">
        <v>74</v>
      </c>
      <c r="AD86" s="1" t="s">
        <v>74</v>
      </c>
      <c r="AE86" s="1" t="s">
        <v>74</v>
      </c>
      <c r="AF86" s="1" t="s">
        <v>74</v>
      </c>
      <c r="AG86" s="1" t="s">
        <v>74</v>
      </c>
      <c r="AH86" s="1" t="s">
        <v>74</v>
      </c>
      <c r="AI86" s="1" t="s">
        <v>74</v>
      </c>
      <c r="AJ86" s="1" t="s">
        <v>74</v>
      </c>
      <c r="AK86" s="1" t="s">
        <v>74</v>
      </c>
      <c r="AL86" s="1" t="s">
        <v>74</v>
      </c>
      <c r="AM86" s="1" t="s">
        <v>74</v>
      </c>
      <c r="AN86" s="1" t="s">
        <v>74</v>
      </c>
      <c r="AO86" s="1" t="s">
        <v>1008</v>
      </c>
      <c r="AP86" s="1" t="s">
        <v>74</v>
      </c>
      <c r="AQ86" s="1" t="s">
        <v>74</v>
      </c>
      <c r="AR86" s="1" t="s">
        <v>74</v>
      </c>
      <c r="AS86" s="1" t="s">
        <v>74</v>
      </c>
      <c r="AT86" s="1" t="s">
        <v>1009</v>
      </c>
      <c r="AU86" s="1">
        <v>2009.0</v>
      </c>
      <c r="AV86" s="1">
        <v>38.0</v>
      </c>
      <c r="AW86" s="1">
        <v>4.0</v>
      </c>
      <c r="AX86" s="1" t="s">
        <v>74</v>
      </c>
      <c r="AY86" s="1" t="s">
        <v>74</v>
      </c>
      <c r="AZ86" s="1" t="s">
        <v>74</v>
      </c>
      <c r="BA86" s="1" t="s">
        <v>74</v>
      </c>
      <c r="BB86" s="1">
        <v>1449.0</v>
      </c>
      <c r="BC86" s="1">
        <v>1457.0</v>
      </c>
      <c r="BD86" s="1" t="s">
        <v>74</v>
      </c>
      <c r="BE86" s="1" t="s">
        <v>1010</v>
      </c>
      <c r="BF86" s="2" t="str">
        <f>HYPERLINK("http://dx.doi.org/10.2134/jeq2008.0146","http://dx.doi.org/10.2134/jeq2008.0146")</f>
        <v>http://dx.doi.org/10.2134/jeq2008.0146</v>
      </c>
      <c r="BG86" s="1" t="s">
        <v>74</v>
      </c>
      <c r="BH86" s="1" t="s">
        <v>74</v>
      </c>
      <c r="BI86" s="1" t="s">
        <v>74</v>
      </c>
      <c r="BJ86" s="1" t="s">
        <v>74</v>
      </c>
      <c r="BK86" s="1" t="s">
        <v>74</v>
      </c>
      <c r="BL86" s="1" t="s">
        <v>74</v>
      </c>
      <c r="BM86" s="1" t="s">
        <v>74</v>
      </c>
      <c r="BN86" s="1">
        <v>1.946572E7</v>
      </c>
      <c r="BO86" s="1" t="s">
        <v>74</v>
      </c>
      <c r="BP86" s="1" t="s">
        <v>74</v>
      </c>
      <c r="BQ86" s="1" t="s">
        <v>74</v>
      </c>
      <c r="BR86" s="1" t="s">
        <v>74</v>
      </c>
      <c r="BS86" s="1" t="s">
        <v>1011</v>
      </c>
      <c r="BT86" s="1" t="str">
        <f>HYPERLINK("https%3A%2F%2Fwww.webofscience.com%2Fwos%2Fwoscc%2Ffull-record%2FWOS:000267719800011","View Full Record in Web of Science")</f>
        <v>View Full Record in Web of Science</v>
      </c>
    </row>
    <row r="87" ht="12.75" customHeight="1">
      <c r="A87" s="1" t="s">
        <v>72</v>
      </c>
      <c r="B87" s="1" t="s">
        <v>1012</v>
      </c>
      <c r="C87" s="1" t="s">
        <v>74</v>
      </c>
      <c r="D87" s="1" t="s">
        <v>74</v>
      </c>
      <c r="E87" s="1" t="s">
        <v>74</v>
      </c>
      <c r="F87" s="1" t="s">
        <v>1013</v>
      </c>
      <c r="G87" s="1" t="s">
        <v>74</v>
      </c>
      <c r="H87" s="1" t="s">
        <v>74</v>
      </c>
      <c r="I87" s="1" t="s">
        <v>1014</v>
      </c>
      <c r="J87" s="1" t="s">
        <v>1015</v>
      </c>
      <c r="K87" s="1" t="s">
        <v>74</v>
      </c>
      <c r="L87" s="1" t="s">
        <v>74</v>
      </c>
      <c r="M87" s="1" t="s">
        <v>74</v>
      </c>
      <c r="N87" s="1" t="s">
        <v>74</v>
      </c>
      <c r="O87" s="1" t="s">
        <v>74</v>
      </c>
      <c r="P87" s="1" t="s">
        <v>74</v>
      </c>
      <c r="Q87" s="1" t="s">
        <v>74</v>
      </c>
      <c r="R87" s="1" t="s">
        <v>74</v>
      </c>
      <c r="S87" s="1" t="s">
        <v>74</v>
      </c>
      <c r="T87" s="1" t="s">
        <v>74</v>
      </c>
      <c r="U87" s="1" t="s">
        <v>74</v>
      </c>
      <c r="V87" s="1" t="s">
        <v>1016</v>
      </c>
      <c r="W87" s="1" t="s">
        <v>74</v>
      </c>
      <c r="X87" s="1" t="s">
        <v>74</v>
      </c>
      <c r="Y87" s="1" t="s">
        <v>74</v>
      </c>
      <c r="Z87" s="1" t="s">
        <v>74</v>
      </c>
      <c r="AA87" s="1" t="s">
        <v>1017</v>
      </c>
      <c r="AB87" s="1" t="s">
        <v>1018</v>
      </c>
      <c r="AC87" s="1" t="s">
        <v>74</v>
      </c>
      <c r="AD87" s="1" t="s">
        <v>74</v>
      </c>
      <c r="AE87" s="1" t="s">
        <v>74</v>
      </c>
      <c r="AF87" s="1" t="s">
        <v>74</v>
      </c>
      <c r="AG87" s="1" t="s">
        <v>74</v>
      </c>
      <c r="AH87" s="1" t="s">
        <v>74</v>
      </c>
      <c r="AI87" s="1" t="s">
        <v>74</v>
      </c>
      <c r="AJ87" s="1" t="s">
        <v>74</v>
      </c>
      <c r="AK87" s="1" t="s">
        <v>74</v>
      </c>
      <c r="AL87" s="1" t="s">
        <v>74</v>
      </c>
      <c r="AM87" s="1" t="s">
        <v>74</v>
      </c>
      <c r="AN87" s="1" t="s">
        <v>74</v>
      </c>
      <c r="AO87" s="1" t="s">
        <v>1019</v>
      </c>
      <c r="AP87" s="1" t="s">
        <v>1020</v>
      </c>
      <c r="AQ87" s="1" t="s">
        <v>74</v>
      </c>
      <c r="AR87" s="1" t="s">
        <v>74</v>
      </c>
      <c r="AS87" s="1" t="s">
        <v>74</v>
      </c>
      <c r="AT87" s="1" t="s">
        <v>730</v>
      </c>
      <c r="AU87" s="1">
        <v>2008.0</v>
      </c>
      <c r="AV87" s="1">
        <v>109.0</v>
      </c>
      <c r="AW87" s="1">
        <v>2.0</v>
      </c>
      <c r="AX87" s="1" t="s">
        <v>74</v>
      </c>
      <c r="AY87" s="1" t="s">
        <v>74</v>
      </c>
      <c r="AZ87" s="1" t="s">
        <v>74</v>
      </c>
      <c r="BA87" s="1" t="s">
        <v>74</v>
      </c>
      <c r="BB87" s="1">
        <v>386.0</v>
      </c>
      <c r="BC87" s="1">
        <v>392.0</v>
      </c>
      <c r="BD87" s="1" t="s">
        <v>74</v>
      </c>
      <c r="BE87" s="1" t="s">
        <v>1021</v>
      </c>
      <c r="BF87" s="2" t="str">
        <f>HYPERLINK("http://dx.doi.org/10.1016/j.foodchem.2007.12.057","http://dx.doi.org/10.1016/j.foodchem.2007.12.057")</f>
        <v>http://dx.doi.org/10.1016/j.foodchem.2007.12.057</v>
      </c>
      <c r="BG87" s="1" t="s">
        <v>74</v>
      </c>
      <c r="BH87" s="1" t="s">
        <v>74</v>
      </c>
      <c r="BI87" s="1" t="s">
        <v>74</v>
      </c>
      <c r="BJ87" s="1" t="s">
        <v>74</v>
      </c>
      <c r="BK87" s="1" t="s">
        <v>74</v>
      </c>
      <c r="BL87" s="1" t="s">
        <v>74</v>
      </c>
      <c r="BM87" s="1" t="s">
        <v>74</v>
      </c>
      <c r="BN87" s="1">
        <v>2.6003362E7</v>
      </c>
      <c r="BO87" s="1" t="s">
        <v>74</v>
      </c>
      <c r="BP87" s="1" t="s">
        <v>74</v>
      </c>
      <c r="BQ87" s="1" t="s">
        <v>74</v>
      </c>
      <c r="BR87" s="1" t="s">
        <v>74</v>
      </c>
      <c r="BS87" s="1" t="s">
        <v>1022</v>
      </c>
      <c r="BT87" s="1" t="str">
        <f>HYPERLINK("https%3A%2F%2Fwww.webofscience.com%2Fwos%2Fwoscc%2Ffull-record%2FWOS:000254789700018","View Full Record in Web of Science")</f>
        <v>View Full Record in Web of Science</v>
      </c>
    </row>
    <row r="88" ht="12.75" customHeight="1">
      <c r="A88" s="1" t="s">
        <v>72</v>
      </c>
      <c r="B88" s="1" t="s">
        <v>1023</v>
      </c>
      <c r="C88" s="1" t="s">
        <v>74</v>
      </c>
      <c r="D88" s="1" t="s">
        <v>74</v>
      </c>
      <c r="E88" s="1" t="s">
        <v>74</v>
      </c>
      <c r="F88" s="1" t="s">
        <v>1024</v>
      </c>
      <c r="G88" s="1" t="s">
        <v>74</v>
      </c>
      <c r="H88" s="1" t="s">
        <v>74</v>
      </c>
      <c r="I88" s="1" t="s">
        <v>1025</v>
      </c>
      <c r="J88" s="1" t="s">
        <v>1026</v>
      </c>
      <c r="K88" s="1" t="s">
        <v>74</v>
      </c>
      <c r="L88" s="1" t="s">
        <v>74</v>
      </c>
      <c r="M88" s="1" t="s">
        <v>74</v>
      </c>
      <c r="N88" s="1" t="s">
        <v>74</v>
      </c>
      <c r="O88" s="1" t="s">
        <v>74</v>
      </c>
      <c r="P88" s="1" t="s">
        <v>74</v>
      </c>
      <c r="Q88" s="1" t="s">
        <v>74</v>
      </c>
      <c r="R88" s="1" t="s">
        <v>74</v>
      </c>
      <c r="S88" s="1" t="s">
        <v>74</v>
      </c>
      <c r="T88" s="1" t="s">
        <v>74</v>
      </c>
      <c r="U88" s="1" t="s">
        <v>74</v>
      </c>
      <c r="V88" s="1" t="s">
        <v>1027</v>
      </c>
      <c r="W88" s="1" t="s">
        <v>74</v>
      </c>
      <c r="X88" s="1" t="s">
        <v>74</v>
      </c>
      <c r="Y88" s="1" t="s">
        <v>74</v>
      </c>
      <c r="Z88" s="1" t="s">
        <v>74</v>
      </c>
      <c r="AA88" s="1" t="s">
        <v>1028</v>
      </c>
      <c r="AB88" s="1" t="s">
        <v>1029</v>
      </c>
      <c r="AC88" s="1" t="s">
        <v>74</v>
      </c>
      <c r="AD88" s="1" t="s">
        <v>74</v>
      </c>
      <c r="AE88" s="1" t="s">
        <v>74</v>
      </c>
      <c r="AF88" s="1" t="s">
        <v>74</v>
      </c>
      <c r="AG88" s="1" t="s">
        <v>74</v>
      </c>
      <c r="AH88" s="1" t="s">
        <v>74</v>
      </c>
      <c r="AI88" s="1" t="s">
        <v>74</v>
      </c>
      <c r="AJ88" s="1" t="s">
        <v>74</v>
      </c>
      <c r="AK88" s="1" t="s">
        <v>74</v>
      </c>
      <c r="AL88" s="1" t="s">
        <v>74</v>
      </c>
      <c r="AM88" s="1" t="s">
        <v>74</v>
      </c>
      <c r="AN88" s="1" t="s">
        <v>74</v>
      </c>
      <c r="AO88" s="1" t="s">
        <v>1030</v>
      </c>
      <c r="AP88" s="1" t="s">
        <v>1031</v>
      </c>
      <c r="AQ88" s="1" t="s">
        <v>74</v>
      </c>
      <c r="AR88" s="1" t="s">
        <v>74</v>
      </c>
      <c r="AS88" s="1" t="s">
        <v>74</v>
      </c>
      <c r="AT88" s="1" t="s">
        <v>129</v>
      </c>
      <c r="AU88" s="1">
        <v>2008.0</v>
      </c>
      <c r="AV88" s="1">
        <v>36.0</v>
      </c>
      <c r="AW88" s="1">
        <v>1.0</v>
      </c>
      <c r="AX88" s="1" t="s">
        <v>74</v>
      </c>
      <c r="AY88" s="1" t="s">
        <v>74</v>
      </c>
      <c r="AZ88" s="1" t="s">
        <v>74</v>
      </c>
      <c r="BA88" s="1" t="s">
        <v>74</v>
      </c>
      <c r="BB88" s="1">
        <v>3.0</v>
      </c>
      <c r="BC88" s="1">
        <v>8.0</v>
      </c>
      <c r="BD88" s="1" t="s">
        <v>74</v>
      </c>
      <c r="BE88" s="1" t="s">
        <v>1032</v>
      </c>
      <c r="BF88" s="2" t="str">
        <f>HYPERLINK("http://dx.doi.org/10.1157/13115664","http://dx.doi.org/10.1157/13115664")</f>
        <v>http://dx.doi.org/10.1157/13115664</v>
      </c>
      <c r="BG88" s="1" t="s">
        <v>74</v>
      </c>
      <c r="BH88" s="1" t="s">
        <v>74</v>
      </c>
      <c r="BI88" s="1" t="s">
        <v>74</v>
      </c>
      <c r="BJ88" s="1" t="s">
        <v>74</v>
      </c>
      <c r="BK88" s="1" t="s">
        <v>74</v>
      </c>
      <c r="BL88" s="1" t="s">
        <v>74</v>
      </c>
      <c r="BM88" s="1" t="s">
        <v>74</v>
      </c>
      <c r="BN88" s="1">
        <v>1.8261426E7</v>
      </c>
      <c r="BO88" s="1" t="s">
        <v>74</v>
      </c>
      <c r="BP88" s="1" t="s">
        <v>74</v>
      </c>
      <c r="BQ88" s="1" t="s">
        <v>74</v>
      </c>
      <c r="BR88" s="1" t="s">
        <v>74</v>
      </c>
      <c r="BS88" s="1" t="s">
        <v>1033</v>
      </c>
      <c r="BT88" s="1" t="str">
        <f>HYPERLINK("https%3A%2F%2Fwww.webofscience.com%2Fwos%2Fwoscc%2Ffull-record%2FWOS:000254251200002","View Full Record in Web of Science")</f>
        <v>View Full Record in Web of Science</v>
      </c>
    </row>
    <row r="89" ht="12.75" customHeight="1">
      <c r="A89" s="1" t="s">
        <v>72</v>
      </c>
      <c r="B89" s="1" t="s">
        <v>1034</v>
      </c>
      <c r="C89" s="1" t="s">
        <v>74</v>
      </c>
      <c r="D89" s="1" t="s">
        <v>74</v>
      </c>
      <c r="E89" s="1" t="s">
        <v>74</v>
      </c>
      <c r="F89" s="1" t="s">
        <v>1035</v>
      </c>
      <c r="G89" s="1" t="s">
        <v>74</v>
      </c>
      <c r="H89" s="1" t="s">
        <v>74</v>
      </c>
      <c r="I89" s="1" t="s">
        <v>1036</v>
      </c>
      <c r="J89" s="1" t="s">
        <v>1037</v>
      </c>
      <c r="K89" s="1" t="s">
        <v>74</v>
      </c>
      <c r="L89" s="1" t="s">
        <v>74</v>
      </c>
      <c r="M89" s="1" t="s">
        <v>74</v>
      </c>
      <c r="N89" s="1" t="s">
        <v>74</v>
      </c>
      <c r="O89" s="1" t="s">
        <v>74</v>
      </c>
      <c r="P89" s="1" t="s">
        <v>74</v>
      </c>
      <c r="Q89" s="1" t="s">
        <v>74</v>
      </c>
      <c r="R89" s="1" t="s">
        <v>74</v>
      </c>
      <c r="S89" s="1" t="s">
        <v>74</v>
      </c>
      <c r="T89" s="1" t="s">
        <v>74</v>
      </c>
      <c r="U89" s="1" t="s">
        <v>74</v>
      </c>
      <c r="V89" s="1" t="s">
        <v>1038</v>
      </c>
      <c r="W89" s="1" t="s">
        <v>74</v>
      </c>
      <c r="X89" s="1" t="s">
        <v>74</v>
      </c>
      <c r="Y89" s="1" t="s">
        <v>74</v>
      </c>
      <c r="Z89" s="1" t="s">
        <v>74</v>
      </c>
      <c r="AA89" s="1" t="s">
        <v>1039</v>
      </c>
      <c r="AB89" s="1" t="s">
        <v>1040</v>
      </c>
      <c r="AC89" s="1" t="s">
        <v>74</v>
      </c>
      <c r="AD89" s="1" t="s">
        <v>74</v>
      </c>
      <c r="AE89" s="1" t="s">
        <v>74</v>
      </c>
      <c r="AF89" s="1" t="s">
        <v>74</v>
      </c>
      <c r="AG89" s="1" t="s">
        <v>74</v>
      </c>
      <c r="AH89" s="1" t="s">
        <v>74</v>
      </c>
      <c r="AI89" s="1" t="s">
        <v>74</v>
      </c>
      <c r="AJ89" s="1" t="s">
        <v>74</v>
      </c>
      <c r="AK89" s="1" t="s">
        <v>74</v>
      </c>
      <c r="AL89" s="1" t="s">
        <v>74</v>
      </c>
      <c r="AM89" s="1" t="s">
        <v>74</v>
      </c>
      <c r="AN89" s="1" t="s">
        <v>74</v>
      </c>
      <c r="AO89" s="1" t="s">
        <v>1041</v>
      </c>
      <c r="AP89" s="1" t="s">
        <v>74</v>
      </c>
      <c r="AQ89" s="1" t="s">
        <v>74</v>
      </c>
      <c r="AR89" s="1" t="s">
        <v>74</v>
      </c>
      <c r="AS89" s="1" t="s">
        <v>74</v>
      </c>
      <c r="AT89" s="1" t="s">
        <v>559</v>
      </c>
      <c r="AU89" s="1">
        <v>2007.0</v>
      </c>
      <c r="AV89" s="1">
        <v>78.0</v>
      </c>
      <c r="AW89" s="1" t="s">
        <v>1042</v>
      </c>
      <c r="AX89" s="1" t="s">
        <v>74</v>
      </c>
      <c r="AY89" s="1" t="s">
        <v>74</v>
      </c>
      <c r="AZ89" s="1" t="s">
        <v>74</v>
      </c>
      <c r="BA89" s="1" t="s">
        <v>74</v>
      </c>
      <c r="BB89" s="1">
        <v>611.0</v>
      </c>
      <c r="BC89" s="1">
        <v>613.0</v>
      </c>
      <c r="BD89" s="1" t="s">
        <v>74</v>
      </c>
      <c r="BE89" s="1" t="s">
        <v>1043</v>
      </c>
      <c r="BF89" s="2" t="str">
        <f>HYPERLINK("http://dx.doi.org/10.1016/j.fitote.2007.06.006","http://dx.doi.org/10.1016/j.fitote.2007.06.006")</f>
        <v>http://dx.doi.org/10.1016/j.fitote.2007.06.006</v>
      </c>
      <c r="BG89" s="1" t="s">
        <v>74</v>
      </c>
      <c r="BH89" s="1" t="s">
        <v>74</v>
      </c>
      <c r="BI89" s="1" t="s">
        <v>74</v>
      </c>
      <c r="BJ89" s="1" t="s">
        <v>74</v>
      </c>
      <c r="BK89" s="1" t="s">
        <v>74</v>
      </c>
      <c r="BL89" s="1" t="s">
        <v>74</v>
      </c>
      <c r="BM89" s="1" t="s">
        <v>74</v>
      </c>
      <c r="BN89" s="1">
        <v>1.7656041E7</v>
      </c>
      <c r="BO89" s="1" t="s">
        <v>74</v>
      </c>
      <c r="BP89" s="1" t="s">
        <v>74</v>
      </c>
      <c r="BQ89" s="1" t="s">
        <v>74</v>
      </c>
      <c r="BR89" s="1" t="s">
        <v>74</v>
      </c>
      <c r="BS89" s="1" t="s">
        <v>1044</v>
      </c>
      <c r="BT89" s="1" t="str">
        <f>HYPERLINK("https%3A%2F%2Fwww.webofscience.com%2Fwos%2Fwoscc%2Ffull-record%2FWOS:000251302300039","View Full Record in Web of Science")</f>
        <v>View Full Record in Web of Science</v>
      </c>
    </row>
    <row r="90" ht="12.75" customHeight="1">
      <c r="A90" s="1" t="s">
        <v>72</v>
      </c>
      <c r="B90" s="1" t="s">
        <v>1045</v>
      </c>
      <c r="C90" s="1" t="s">
        <v>74</v>
      </c>
      <c r="D90" s="1" t="s">
        <v>74</v>
      </c>
      <c r="E90" s="1" t="s">
        <v>74</v>
      </c>
      <c r="F90" s="1" t="s">
        <v>1046</v>
      </c>
      <c r="G90" s="1" t="s">
        <v>74</v>
      </c>
      <c r="H90" s="1" t="s">
        <v>74</v>
      </c>
      <c r="I90" s="1" t="s">
        <v>1047</v>
      </c>
      <c r="J90" s="1" t="s">
        <v>1048</v>
      </c>
      <c r="K90" s="1" t="s">
        <v>74</v>
      </c>
      <c r="L90" s="1" t="s">
        <v>74</v>
      </c>
      <c r="M90" s="1" t="s">
        <v>74</v>
      </c>
      <c r="N90" s="1" t="s">
        <v>74</v>
      </c>
      <c r="O90" s="1" t="s">
        <v>74</v>
      </c>
      <c r="P90" s="1" t="s">
        <v>74</v>
      </c>
      <c r="Q90" s="1" t="s">
        <v>74</v>
      </c>
      <c r="R90" s="1" t="s">
        <v>74</v>
      </c>
      <c r="S90" s="1" t="s">
        <v>74</v>
      </c>
      <c r="T90" s="1" t="s">
        <v>74</v>
      </c>
      <c r="U90" s="1" t="s">
        <v>74</v>
      </c>
      <c r="V90" s="1" t="s">
        <v>74</v>
      </c>
      <c r="W90" s="1" t="s">
        <v>74</v>
      </c>
      <c r="X90" s="1" t="s">
        <v>74</v>
      </c>
      <c r="Y90" s="1" t="s">
        <v>74</v>
      </c>
      <c r="Z90" s="1" t="s">
        <v>74</v>
      </c>
      <c r="AA90" s="1" t="s">
        <v>1049</v>
      </c>
      <c r="AB90" s="1" t="s">
        <v>74</v>
      </c>
      <c r="AC90" s="1" t="s">
        <v>74</v>
      </c>
      <c r="AD90" s="1" t="s">
        <v>74</v>
      </c>
      <c r="AE90" s="1" t="s">
        <v>74</v>
      </c>
      <c r="AF90" s="1" t="s">
        <v>74</v>
      </c>
      <c r="AG90" s="1" t="s">
        <v>74</v>
      </c>
      <c r="AH90" s="1" t="s">
        <v>74</v>
      </c>
      <c r="AI90" s="1" t="s">
        <v>74</v>
      </c>
      <c r="AJ90" s="1" t="s">
        <v>74</v>
      </c>
      <c r="AK90" s="1" t="s">
        <v>74</v>
      </c>
      <c r="AL90" s="1" t="s">
        <v>74</v>
      </c>
      <c r="AM90" s="1" t="s">
        <v>74</v>
      </c>
      <c r="AN90" s="1" t="s">
        <v>74</v>
      </c>
      <c r="AO90" s="1" t="s">
        <v>1050</v>
      </c>
      <c r="AP90" s="1" t="s">
        <v>74</v>
      </c>
      <c r="AQ90" s="1" t="s">
        <v>74</v>
      </c>
      <c r="AR90" s="1" t="s">
        <v>74</v>
      </c>
      <c r="AS90" s="1" t="s">
        <v>74</v>
      </c>
      <c r="AT90" s="1" t="s">
        <v>719</v>
      </c>
      <c r="AU90" s="1">
        <v>2004.0</v>
      </c>
      <c r="AV90" s="1">
        <v>18.0</v>
      </c>
      <c r="AW90" s="1" t="s">
        <v>74</v>
      </c>
      <c r="AX90" s="1" t="s">
        <v>74</v>
      </c>
      <c r="AY90" s="1">
        <v>1.0</v>
      </c>
      <c r="AZ90" s="1" t="s">
        <v>74</v>
      </c>
      <c r="BA90" s="1" t="s">
        <v>74</v>
      </c>
      <c r="BB90" s="1">
        <v>145.0</v>
      </c>
      <c r="BC90" s="1">
        <v>145.0</v>
      </c>
      <c r="BD90" s="1" t="s">
        <v>74</v>
      </c>
      <c r="BE90" s="1" t="s">
        <v>74</v>
      </c>
      <c r="BF90" s="1" t="s">
        <v>74</v>
      </c>
      <c r="BG90" s="1" t="s">
        <v>74</v>
      </c>
      <c r="BH90" s="1" t="s">
        <v>74</v>
      </c>
      <c r="BI90" s="1" t="s">
        <v>74</v>
      </c>
      <c r="BJ90" s="1" t="s">
        <v>74</v>
      </c>
      <c r="BK90" s="1" t="s">
        <v>74</v>
      </c>
      <c r="BL90" s="1" t="s">
        <v>74</v>
      </c>
      <c r="BM90" s="1" t="s">
        <v>74</v>
      </c>
      <c r="BN90" s="1" t="s">
        <v>74</v>
      </c>
      <c r="BO90" s="1" t="s">
        <v>74</v>
      </c>
      <c r="BP90" s="1" t="s">
        <v>74</v>
      </c>
      <c r="BQ90" s="1" t="s">
        <v>74</v>
      </c>
      <c r="BR90" s="1" t="s">
        <v>74</v>
      </c>
      <c r="BS90" s="1" t="s">
        <v>1051</v>
      </c>
      <c r="BT90" s="1" t="str">
        <f>HYPERLINK("https%3A%2F%2Fwww.webofscience.com%2Fwos%2Fwoscc%2Ffull-record%2FWOS:000208663600823","View Full Record in Web of Science")</f>
        <v>View Full Record in Web of Science</v>
      </c>
    </row>
    <row r="91" ht="12.75" customHeight="1">
      <c r="A91" s="1" t="s">
        <v>72</v>
      </c>
      <c r="B91" s="1" t="s">
        <v>1052</v>
      </c>
      <c r="C91" s="1" t="s">
        <v>74</v>
      </c>
      <c r="D91" s="1" t="s">
        <v>74</v>
      </c>
      <c r="E91" s="1" t="s">
        <v>74</v>
      </c>
      <c r="F91" s="1" t="s">
        <v>1052</v>
      </c>
      <c r="G91" s="1" t="s">
        <v>74</v>
      </c>
      <c r="H91" s="1" t="s">
        <v>74</v>
      </c>
      <c r="I91" s="1" t="s">
        <v>1053</v>
      </c>
      <c r="J91" s="1" t="s">
        <v>373</v>
      </c>
      <c r="K91" s="1" t="s">
        <v>74</v>
      </c>
      <c r="L91" s="1" t="s">
        <v>74</v>
      </c>
      <c r="M91" s="1" t="s">
        <v>74</v>
      </c>
      <c r="N91" s="1" t="s">
        <v>74</v>
      </c>
      <c r="O91" s="1" t="s">
        <v>74</v>
      </c>
      <c r="P91" s="1" t="s">
        <v>74</v>
      </c>
      <c r="Q91" s="1" t="s">
        <v>74</v>
      </c>
      <c r="R91" s="1" t="s">
        <v>74</v>
      </c>
      <c r="S91" s="1" t="s">
        <v>74</v>
      </c>
      <c r="T91" s="1" t="s">
        <v>74</v>
      </c>
      <c r="U91" s="1" t="s">
        <v>74</v>
      </c>
      <c r="V91" s="1" t="s">
        <v>1054</v>
      </c>
      <c r="W91" s="1" t="s">
        <v>74</v>
      </c>
      <c r="X91" s="1" t="s">
        <v>74</v>
      </c>
      <c r="Y91" s="1" t="s">
        <v>74</v>
      </c>
      <c r="Z91" s="1" t="s">
        <v>74</v>
      </c>
      <c r="AA91" s="1" t="s">
        <v>1055</v>
      </c>
      <c r="AB91" s="1" t="s">
        <v>1056</v>
      </c>
      <c r="AC91" s="1" t="s">
        <v>74</v>
      </c>
      <c r="AD91" s="1" t="s">
        <v>74</v>
      </c>
      <c r="AE91" s="1" t="s">
        <v>74</v>
      </c>
      <c r="AF91" s="1" t="s">
        <v>74</v>
      </c>
      <c r="AG91" s="1" t="s">
        <v>74</v>
      </c>
      <c r="AH91" s="1" t="s">
        <v>74</v>
      </c>
      <c r="AI91" s="1" t="s">
        <v>74</v>
      </c>
      <c r="AJ91" s="1" t="s">
        <v>74</v>
      </c>
      <c r="AK91" s="1" t="s">
        <v>74</v>
      </c>
      <c r="AL91" s="1" t="s">
        <v>74</v>
      </c>
      <c r="AM91" s="1" t="s">
        <v>74</v>
      </c>
      <c r="AN91" s="1" t="s">
        <v>74</v>
      </c>
      <c r="AO91" s="1" t="s">
        <v>376</v>
      </c>
      <c r="AP91" s="1" t="s">
        <v>74</v>
      </c>
      <c r="AQ91" s="1" t="s">
        <v>74</v>
      </c>
      <c r="AR91" s="1" t="s">
        <v>74</v>
      </c>
      <c r="AS91" s="1" t="s">
        <v>74</v>
      </c>
      <c r="AT91" s="1" t="s">
        <v>316</v>
      </c>
      <c r="AU91" s="1">
        <v>1994.0</v>
      </c>
      <c r="AV91" s="1">
        <v>37.0</v>
      </c>
      <c r="AW91" s="1">
        <v>3.0</v>
      </c>
      <c r="AX91" s="1" t="s">
        <v>74</v>
      </c>
      <c r="AY91" s="1" t="s">
        <v>74</v>
      </c>
      <c r="AZ91" s="1" t="s">
        <v>74</v>
      </c>
      <c r="BA91" s="1" t="s">
        <v>74</v>
      </c>
      <c r="BB91" s="1">
        <v>669.0</v>
      </c>
      <c r="BC91" s="1">
        <v>672.0</v>
      </c>
      <c r="BD91" s="1" t="s">
        <v>74</v>
      </c>
      <c r="BE91" s="1" t="s">
        <v>1057</v>
      </c>
      <c r="BF91" s="2" t="str">
        <f>HYPERLINK("http://dx.doi.org/10.1016/S0031-9422(00)90335-2","http://dx.doi.org/10.1016/S0031-9422(00)90335-2")</f>
        <v>http://dx.doi.org/10.1016/S0031-9422(00)90335-2</v>
      </c>
      <c r="BG91" s="1" t="s">
        <v>74</v>
      </c>
      <c r="BH91" s="1" t="s">
        <v>74</v>
      </c>
      <c r="BI91" s="1" t="s">
        <v>74</v>
      </c>
      <c r="BJ91" s="1" t="s">
        <v>74</v>
      </c>
      <c r="BK91" s="1" t="s">
        <v>74</v>
      </c>
      <c r="BL91" s="1" t="s">
        <v>74</v>
      </c>
      <c r="BM91" s="1" t="s">
        <v>74</v>
      </c>
      <c r="BN91" s="1" t="s">
        <v>74</v>
      </c>
      <c r="BO91" s="1" t="s">
        <v>74</v>
      </c>
      <c r="BP91" s="1" t="s">
        <v>74</v>
      </c>
      <c r="BQ91" s="1" t="s">
        <v>74</v>
      </c>
      <c r="BR91" s="1" t="s">
        <v>74</v>
      </c>
      <c r="BS91" s="1" t="s">
        <v>1058</v>
      </c>
      <c r="BT91" s="1" t="str">
        <f>HYPERLINK("https%3A%2F%2Fwww.webofscience.com%2Fwos%2Fwoscc%2Ffull-record%2FWOS:A1994PQ58500010","View Full Record in Web of Science")</f>
        <v>View Full Record in Web of Science</v>
      </c>
    </row>
    <row r="92" ht="12.75" customHeight="1">
      <c r="A92" s="1" t="s">
        <v>72</v>
      </c>
      <c r="B92" s="1" t="s">
        <v>1059</v>
      </c>
      <c r="C92" s="1" t="s">
        <v>74</v>
      </c>
      <c r="D92" s="1" t="s">
        <v>74</v>
      </c>
      <c r="E92" s="1" t="s">
        <v>74</v>
      </c>
      <c r="F92" s="1" t="s">
        <v>1060</v>
      </c>
      <c r="G92" s="1" t="s">
        <v>74</v>
      </c>
      <c r="H92" s="1" t="s">
        <v>74</v>
      </c>
      <c r="I92" s="1" t="s">
        <v>1061</v>
      </c>
      <c r="J92" s="1" t="s">
        <v>1062</v>
      </c>
      <c r="K92" s="1" t="s">
        <v>74</v>
      </c>
      <c r="L92" s="1" t="s">
        <v>74</v>
      </c>
      <c r="M92" s="1" t="s">
        <v>74</v>
      </c>
      <c r="N92" s="1" t="s">
        <v>74</v>
      </c>
      <c r="O92" s="1" t="s">
        <v>74</v>
      </c>
      <c r="P92" s="1" t="s">
        <v>74</v>
      </c>
      <c r="Q92" s="1" t="s">
        <v>74</v>
      </c>
      <c r="R92" s="1" t="s">
        <v>74</v>
      </c>
      <c r="S92" s="1" t="s">
        <v>74</v>
      </c>
      <c r="T92" s="1" t="s">
        <v>74</v>
      </c>
      <c r="U92" s="1" t="s">
        <v>74</v>
      </c>
      <c r="V92" s="1" t="s">
        <v>1063</v>
      </c>
      <c r="W92" s="1" t="s">
        <v>74</v>
      </c>
      <c r="X92" s="1" t="s">
        <v>74</v>
      </c>
      <c r="Y92" s="1" t="s">
        <v>74</v>
      </c>
      <c r="Z92" s="1" t="s">
        <v>74</v>
      </c>
      <c r="AA92" s="1" t="s">
        <v>1064</v>
      </c>
      <c r="AB92" s="1" t="s">
        <v>1065</v>
      </c>
      <c r="AC92" s="1" t="s">
        <v>74</v>
      </c>
      <c r="AD92" s="1" t="s">
        <v>74</v>
      </c>
      <c r="AE92" s="1" t="s">
        <v>74</v>
      </c>
      <c r="AF92" s="1" t="s">
        <v>74</v>
      </c>
      <c r="AG92" s="1" t="s">
        <v>74</v>
      </c>
      <c r="AH92" s="1" t="s">
        <v>74</v>
      </c>
      <c r="AI92" s="1" t="s">
        <v>74</v>
      </c>
      <c r="AJ92" s="1" t="s">
        <v>74</v>
      </c>
      <c r="AK92" s="1" t="s">
        <v>74</v>
      </c>
      <c r="AL92" s="1" t="s">
        <v>74</v>
      </c>
      <c r="AM92" s="1" t="s">
        <v>74</v>
      </c>
      <c r="AN92" s="1" t="s">
        <v>74</v>
      </c>
      <c r="AO92" s="1" t="s">
        <v>1066</v>
      </c>
      <c r="AP92" s="1" t="s">
        <v>74</v>
      </c>
      <c r="AQ92" s="1" t="s">
        <v>74</v>
      </c>
      <c r="AR92" s="1" t="s">
        <v>74</v>
      </c>
      <c r="AS92" s="1" t="s">
        <v>74</v>
      </c>
      <c r="AT92" s="1" t="s">
        <v>203</v>
      </c>
      <c r="AU92" s="1">
        <v>2024.0</v>
      </c>
      <c r="AV92" s="1">
        <v>4.0</v>
      </c>
      <c r="AW92" s="1">
        <v>1.0</v>
      </c>
      <c r="AX92" s="1" t="s">
        <v>74</v>
      </c>
      <c r="AY92" s="1" t="s">
        <v>74</v>
      </c>
      <c r="AZ92" s="1" t="s">
        <v>74</v>
      </c>
      <c r="BA92" s="1" t="s">
        <v>74</v>
      </c>
      <c r="BB92" s="1" t="s">
        <v>74</v>
      </c>
      <c r="BC92" s="1" t="s">
        <v>74</v>
      </c>
      <c r="BD92" s="1">
        <v>15404.0</v>
      </c>
      <c r="BE92" s="1" t="s">
        <v>1067</v>
      </c>
      <c r="BF92" s="2" t="str">
        <f>HYPERLINK("http://dx.doi.org/10.1088/2633-4356/ad2c96","http://dx.doi.org/10.1088/2633-4356/ad2c96")</f>
        <v>http://dx.doi.org/10.1088/2633-4356/ad2c96</v>
      </c>
      <c r="BG92" s="1" t="s">
        <v>74</v>
      </c>
      <c r="BH92" s="1" t="s">
        <v>74</v>
      </c>
      <c r="BI92" s="1" t="s">
        <v>74</v>
      </c>
      <c r="BJ92" s="1" t="s">
        <v>74</v>
      </c>
      <c r="BK92" s="1" t="s">
        <v>74</v>
      </c>
      <c r="BL92" s="1" t="s">
        <v>74</v>
      </c>
      <c r="BM92" s="1" t="s">
        <v>74</v>
      </c>
      <c r="BN92" s="1" t="s">
        <v>74</v>
      </c>
      <c r="BO92" s="1" t="s">
        <v>74</v>
      </c>
      <c r="BP92" s="1" t="s">
        <v>74</v>
      </c>
      <c r="BQ92" s="1" t="s">
        <v>74</v>
      </c>
      <c r="BR92" s="1" t="s">
        <v>74</v>
      </c>
      <c r="BS92" s="1" t="s">
        <v>1068</v>
      </c>
      <c r="BT92" s="1" t="str">
        <f>HYPERLINK("https%3A%2F%2Fwww.webofscience.com%2Fwos%2Fwoscc%2Ffull-record%2FWOS:001183673200001","View Full Record in Web of Science")</f>
        <v>View Full Record in Web of Science</v>
      </c>
    </row>
    <row r="93" ht="12.75" customHeight="1">
      <c r="A93" s="1" t="s">
        <v>72</v>
      </c>
      <c r="B93" s="1" t="s">
        <v>1069</v>
      </c>
      <c r="C93" s="1" t="s">
        <v>74</v>
      </c>
      <c r="D93" s="1" t="s">
        <v>74</v>
      </c>
      <c r="E93" s="1" t="s">
        <v>74</v>
      </c>
      <c r="F93" s="1" t="s">
        <v>1070</v>
      </c>
      <c r="G93" s="1" t="s">
        <v>74</v>
      </c>
      <c r="H93" s="1" t="s">
        <v>74</v>
      </c>
      <c r="I93" s="1" t="s">
        <v>1071</v>
      </c>
      <c r="J93" s="1" t="s">
        <v>1072</v>
      </c>
      <c r="K93" s="1" t="s">
        <v>74</v>
      </c>
      <c r="L93" s="1" t="s">
        <v>74</v>
      </c>
      <c r="M93" s="1" t="s">
        <v>74</v>
      </c>
      <c r="N93" s="1" t="s">
        <v>74</v>
      </c>
      <c r="O93" s="1" t="s">
        <v>74</v>
      </c>
      <c r="P93" s="1" t="s">
        <v>74</v>
      </c>
      <c r="Q93" s="1" t="s">
        <v>74</v>
      </c>
      <c r="R93" s="1" t="s">
        <v>74</v>
      </c>
      <c r="S93" s="1" t="s">
        <v>74</v>
      </c>
      <c r="T93" s="1" t="s">
        <v>74</v>
      </c>
      <c r="U93" s="1" t="s">
        <v>74</v>
      </c>
      <c r="V93" s="1" t="s">
        <v>1073</v>
      </c>
      <c r="W93" s="1" t="s">
        <v>74</v>
      </c>
      <c r="X93" s="1" t="s">
        <v>74</v>
      </c>
      <c r="Y93" s="1" t="s">
        <v>74</v>
      </c>
      <c r="Z93" s="1" t="s">
        <v>74</v>
      </c>
      <c r="AA93" s="1" t="s">
        <v>1074</v>
      </c>
      <c r="AB93" s="1" t="s">
        <v>74</v>
      </c>
      <c r="AC93" s="1" t="s">
        <v>74</v>
      </c>
      <c r="AD93" s="1" t="s">
        <v>74</v>
      </c>
      <c r="AE93" s="1" t="s">
        <v>74</v>
      </c>
      <c r="AF93" s="1" t="s">
        <v>74</v>
      </c>
      <c r="AG93" s="1" t="s">
        <v>74</v>
      </c>
      <c r="AH93" s="1" t="s">
        <v>74</v>
      </c>
      <c r="AI93" s="1" t="s">
        <v>74</v>
      </c>
      <c r="AJ93" s="1" t="s">
        <v>74</v>
      </c>
      <c r="AK93" s="1" t="s">
        <v>74</v>
      </c>
      <c r="AL93" s="1" t="s">
        <v>74</v>
      </c>
      <c r="AM93" s="1" t="s">
        <v>74</v>
      </c>
      <c r="AN93" s="1" t="s">
        <v>74</v>
      </c>
      <c r="AO93" s="1" t="s">
        <v>1075</v>
      </c>
      <c r="AP93" s="1" t="s">
        <v>1076</v>
      </c>
      <c r="AQ93" s="1" t="s">
        <v>74</v>
      </c>
      <c r="AR93" s="1" t="s">
        <v>74</v>
      </c>
      <c r="AS93" s="1" t="s">
        <v>74</v>
      </c>
      <c r="AT93" s="1" t="s">
        <v>74</v>
      </c>
      <c r="AU93" s="1">
        <v>2024.0</v>
      </c>
      <c r="AV93" s="1" t="s">
        <v>74</v>
      </c>
      <c r="AW93" s="1">
        <v>60.0</v>
      </c>
      <c r="AX93" s="1" t="s">
        <v>74</v>
      </c>
      <c r="AY93" s="1" t="s">
        <v>74</v>
      </c>
      <c r="AZ93" s="1" t="s">
        <v>74</v>
      </c>
      <c r="BA93" s="1" t="s">
        <v>74</v>
      </c>
      <c r="BB93" s="1">
        <v>612.0</v>
      </c>
      <c r="BC93" s="1">
        <v>621.0</v>
      </c>
      <c r="BD93" s="1" t="s">
        <v>74</v>
      </c>
      <c r="BE93" s="1" t="s">
        <v>74</v>
      </c>
      <c r="BF93" s="1" t="s">
        <v>74</v>
      </c>
      <c r="BG93" s="1" t="s">
        <v>74</v>
      </c>
      <c r="BH93" s="1" t="s">
        <v>74</v>
      </c>
      <c r="BI93" s="1" t="s">
        <v>74</v>
      </c>
      <c r="BJ93" s="1" t="s">
        <v>74</v>
      </c>
      <c r="BK93" s="1" t="s">
        <v>74</v>
      </c>
      <c r="BL93" s="1" t="s">
        <v>74</v>
      </c>
      <c r="BM93" s="1" t="s">
        <v>74</v>
      </c>
      <c r="BN93" s="1" t="s">
        <v>74</v>
      </c>
      <c r="BO93" s="1" t="s">
        <v>74</v>
      </c>
      <c r="BP93" s="1" t="s">
        <v>74</v>
      </c>
      <c r="BQ93" s="1" t="s">
        <v>74</v>
      </c>
      <c r="BR93" s="1" t="s">
        <v>74</v>
      </c>
      <c r="BS93" s="1" t="s">
        <v>1077</v>
      </c>
      <c r="BT93" s="1" t="str">
        <f>HYPERLINK("https%3A%2F%2Fwww.webofscience.com%2Fwos%2Fwoscc%2Ffull-record%2FWOS:001330535000001","View Full Record in Web of Science")</f>
        <v>View Full Record in Web of Science</v>
      </c>
    </row>
    <row r="94" ht="12.75" customHeight="1">
      <c r="A94" s="1" t="s">
        <v>72</v>
      </c>
      <c r="B94" s="1" t="s">
        <v>1078</v>
      </c>
      <c r="C94" s="1" t="s">
        <v>74</v>
      </c>
      <c r="D94" s="1" t="s">
        <v>74</v>
      </c>
      <c r="E94" s="1" t="s">
        <v>74</v>
      </c>
      <c r="F94" s="1" t="s">
        <v>1079</v>
      </c>
      <c r="G94" s="1" t="s">
        <v>74</v>
      </c>
      <c r="H94" s="1" t="s">
        <v>74</v>
      </c>
      <c r="I94" s="1" t="s">
        <v>1080</v>
      </c>
      <c r="J94" s="1" t="s">
        <v>1081</v>
      </c>
      <c r="K94" s="1" t="s">
        <v>74</v>
      </c>
      <c r="L94" s="1" t="s">
        <v>74</v>
      </c>
      <c r="M94" s="1" t="s">
        <v>74</v>
      </c>
      <c r="N94" s="1" t="s">
        <v>74</v>
      </c>
      <c r="O94" s="1" t="s">
        <v>74</v>
      </c>
      <c r="P94" s="1" t="s">
        <v>74</v>
      </c>
      <c r="Q94" s="1" t="s">
        <v>74</v>
      </c>
      <c r="R94" s="1" t="s">
        <v>74</v>
      </c>
      <c r="S94" s="1" t="s">
        <v>74</v>
      </c>
      <c r="T94" s="1" t="s">
        <v>74</v>
      </c>
      <c r="U94" s="1" t="s">
        <v>74</v>
      </c>
      <c r="V94" s="1" t="s">
        <v>1082</v>
      </c>
      <c r="W94" s="1" t="s">
        <v>74</v>
      </c>
      <c r="X94" s="1" t="s">
        <v>74</v>
      </c>
      <c r="Y94" s="1" t="s">
        <v>74</v>
      </c>
      <c r="Z94" s="1" t="s">
        <v>74</v>
      </c>
      <c r="AA94" s="1" t="s">
        <v>1083</v>
      </c>
      <c r="AB94" s="1" t="s">
        <v>1084</v>
      </c>
      <c r="AC94" s="1" t="s">
        <v>74</v>
      </c>
      <c r="AD94" s="1" t="s">
        <v>74</v>
      </c>
      <c r="AE94" s="1" t="s">
        <v>74</v>
      </c>
      <c r="AF94" s="1" t="s">
        <v>74</v>
      </c>
      <c r="AG94" s="1" t="s">
        <v>74</v>
      </c>
      <c r="AH94" s="1" t="s">
        <v>74</v>
      </c>
      <c r="AI94" s="1" t="s">
        <v>74</v>
      </c>
      <c r="AJ94" s="1" t="s">
        <v>74</v>
      </c>
      <c r="AK94" s="1" t="s">
        <v>74</v>
      </c>
      <c r="AL94" s="1" t="s">
        <v>74</v>
      </c>
      <c r="AM94" s="1" t="s">
        <v>74</v>
      </c>
      <c r="AN94" s="1" t="s">
        <v>74</v>
      </c>
      <c r="AO94" s="1" t="s">
        <v>1085</v>
      </c>
      <c r="AP94" s="1" t="s">
        <v>1086</v>
      </c>
      <c r="AQ94" s="1" t="s">
        <v>74</v>
      </c>
      <c r="AR94" s="1" t="s">
        <v>74</v>
      </c>
      <c r="AS94" s="1" t="s">
        <v>74</v>
      </c>
      <c r="AT94" s="1" t="s">
        <v>1087</v>
      </c>
      <c r="AU94" s="1">
        <v>2023.0</v>
      </c>
      <c r="AV94" s="1">
        <v>43.0</v>
      </c>
      <c r="AW94" s="1">
        <v>1.0</v>
      </c>
      <c r="AX94" s="1" t="s">
        <v>74</v>
      </c>
      <c r="AY94" s="1" t="s">
        <v>74</v>
      </c>
      <c r="AZ94" s="1" t="s">
        <v>74</v>
      </c>
      <c r="BA94" s="1" t="s">
        <v>74</v>
      </c>
      <c r="BB94" s="1">
        <v>1.0</v>
      </c>
      <c r="BC94" s="1">
        <v>7.0</v>
      </c>
      <c r="BD94" s="1" t="s">
        <v>74</v>
      </c>
      <c r="BE94" s="1" t="s">
        <v>1088</v>
      </c>
      <c r="BF94" s="2" t="str">
        <f>HYPERLINK("http://dx.doi.org/10.1080/01652176.2022.2149879","http://dx.doi.org/10.1080/01652176.2022.2149879")</f>
        <v>http://dx.doi.org/10.1080/01652176.2022.2149879</v>
      </c>
      <c r="BG94" s="1" t="s">
        <v>74</v>
      </c>
      <c r="BH94" s="1" t="s">
        <v>74</v>
      </c>
      <c r="BI94" s="1" t="s">
        <v>74</v>
      </c>
      <c r="BJ94" s="1" t="s">
        <v>74</v>
      </c>
      <c r="BK94" s="1" t="s">
        <v>74</v>
      </c>
      <c r="BL94" s="1" t="s">
        <v>74</v>
      </c>
      <c r="BM94" s="1" t="s">
        <v>74</v>
      </c>
      <c r="BN94" s="1">
        <v>3.6409461E7</v>
      </c>
      <c r="BO94" s="1" t="s">
        <v>74</v>
      </c>
      <c r="BP94" s="1" t="s">
        <v>74</v>
      </c>
      <c r="BQ94" s="1" t="s">
        <v>74</v>
      </c>
      <c r="BR94" s="1" t="s">
        <v>74</v>
      </c>
      <c r="BS94" s="1" t="s">
        <v>1089</v>
      </c>
      <c r="BT94" s="1" t="str">
        <f>HYPERLINK("https%3A%2F%2Fwww.webofscience.com%2Fwos%2Fwoscc%2Ffull-record%2FWOS:000905318300001","View Full Record in Web of Science")</f>
        <v>View Full Record in Web of Science</v>
      </c>
    </row>
    <row r="95" ht="12.75" customHeight="1">
      <c r="A95" s="1" t="s">
        <v>72</v>
      </c>
      <c r="B95" s="1" t="s">
        <v>1090</v>
      </c>
      <c r="C95" s="1" t="s">
        <v>74</v>
      </c>
      <c r="D95" s="1" t="s">
        <v>74</v>
      </c>
      <c r="E95" s="1" t="s">
        <v>74</v>
      </c>
      <c r="F95" s="1" t="s">
        <v>1091</v>
      </c>
      <c r="G95" s="1" t="s">
        <v>74</v>
      </c>
      <c r="H95" s="1" t="s">
        <v>74</v>
      </c>
      <c r="I95" s="1" t="s">
        <v>1092</v>
      </c>
      <c r="J95" s="1" t="s">
        <v>1093</v>
      </c>
      <c r="K95" s="1" t="s">
        <v>74</v>
      </c>
      <c r="L95" s="1" t="s">
        <v>74</v>
      </c>
      <c r="M95" s="1" t="s">
        <v>74</v>
      </c>
      <c r="N95" s="1" t="s">
        <v>74</v>
      </c>
      <c r="O95" s="1" t="s">
        <v>74</v>
      </c>
      <c r="P95" s="1" t="s">
        <v>74</v>
      </c>
      <c r="Q95" s="1" t="s">
        <v>74</v>
      </c>
      <c r="R95" s="1" t="s">
        <v>74</v>
      </c>
      <c r="S95" s="1" t="s">
        <v>74</v>
      </c>
      <c r="T95" s="1" t="s">
        <v>74</v>
      </c>
      <c r="U95" s="1" t="s">
        <v>74</v>
      </c>
      <c r="V95" s="1" t="s">
        <v>1094</v>
      </c>
      <c r="W95" s="1" t="s">
        <v>74</v>
      </c>
      <c r="X95" s="1" t="s">
        <v>74</v>
      </c>
      <c r="Y95" s="1" t="s">
        <v>74</v>
      </c>
      <c r="Z95" s="1" t="s">
        <v>74</v>
      </c>
      <c r="AA95" s="1" t="s">
        <v>1095</v>
      </c>
      <c r="AB95" s="1" t="s">
        <v>1096</v>
      </c>
      <c r="AC95" s="1" t="s">
        <v>74</v>
      </c>
      <c r="AD95" s="1" t="s">
        <v>74</v>
      </c>
      <c r="AE95" s="1" t="s">
        <v>74</v>
      </c>
      <c r="AF95" s="1" t="s">
        <v>74</v>
      </c>
      <c r="AG95" s="1" t="s">
        <v>74</v>
      </c>
      <c r="AH95" s="1" t="s">
        <v>74</v>
      </c>
      <c r="AI95" s="1" t="s">
        <v>74</v>
      </c>
      <c r="AJ95" s="1" t="s">
        <v>74</v>
      </c>
      <c r="AK95" s="1" t="s">
        <v>74</v>
      </c>
      <c r="AL95" s="1" t="s">
        <v>74</v>
      </c>
      <c r="AM95" s="1" t="s">
        <v>74</v>
      </c>
      <c r="AN95" s="1" t="s">
        <v>74</v>
      </c>
      <c r="AO95" s="1" t="s">
        <v>74</v>
      </c>
      <c r="AP95" s="1" t="s">
        <v>1097</v>
      </c>
      <c r="AQ95" s="1" t="s">
        <v>74</v>
      </c>
      <c r="AR95" s="1" t="s">
        <v>74</v>
      </c>
      <c r="AS95" s="1" t="s">
        <v>74</v>
      </c>
      <c r="AT95" s="1" t="s">
        <v>1098</v>
      </c>
      <c r="AU95" s="1">
        <v>2023.0</v>
      </c>
      <c r="AV95" s="1">
        <v>9.0</v>
      </c>
      <c r="AW95" s="1" t="s">
        <v>74</v>
      </c>
      <c r="AX95" s="1" t="s">
        <v>74</v>
      </c>
      <c r="AY95" s="1" t="s">
        <v>74</v>
      </c>
      <c r="AZ95" s="1" t="s">
        <v>74</v>
      </c>
      <c r="BA95" s="1" t="s">
        <v>74</v>
      </c>
      <c r="BB95" s="1" t="s">
        <v>74</v>
      </c>
      <c r="BC95" s="1" t="s">
        <v>74</v>
      </c>
      <c r="BD95" s="1">
        <v>1095249.0</v>
      </c>
      <c r="BE95" s="1" t="s">
        <v>1099</v>
      </c>
      <c r="BF95" s="2" t="str">
        <f>HYPERLINK("http://dx.doi.org/10.3389/fmed.2022.1095249","http://dx.doi.org/10.3389/fmed.2022.1095249")</f>
        <v>http://dx.doi.org/10.3389/fmed.2022.1095249</v>
      </c>
      <c r="BG95" s="1" t="s">
        <v>74</v>
      </c>
      <c r="BH95" s="1" t="s">
        <v>74</v>
      </c>
      <c r="BI95" s="1" t="s">
        <v>74</v>
      </c>
      <c r="BJ95" s="1" t="s">
        <v>74</v>
      </c>
      <c r="BK95" s="1" t="s">
        <v>74</v>
      </c>
      <c r="BL95" s="1" t="s">
        <v>74</v>
      </c>
      <c r="BM95" s="1" t="s">
        <v>74</v>
      </c>
      <c r="BN95" s="1">
        <v>3.6743679E7</v>
      </c>
      <c r="BO95" s="1" t="s">
        <v>74</v>
      </c>
      <c r="BP95" s="1" t="s">
        <v>74</v>
      </c>
      <c r="BQ95" s="1" t="s">
        <v>74</v>
      </c>
      <c r="BR95" s="1" t="s">
        <v>74</v>
      </c>
      <c r="BS95" s="1" t="s">
        <v>1100</v>
      </c>
      <c r="BT95" s="1" t="str">
        <f>HYPERLINK("https%3A%2F%2Fwww.webofscience.com%2Fwos%2Fwoscc%2Ffull-record%2FWOS:000921909900001","View Full Record in Web of Science")</f>
        <v>View Full Record in Web of Science</v>
      </c>
    </row>
    <row r="96" ht="12.75" customHeight="1">
      <c r="A96" s="1" t="s">
        <v>72</v>
      </c>
      <c r="B96" s="1" t="s">
        <v>1101</v>
      </c>
      <c r="C96" s="1" t="s">
        <v>74</v>
      </c>
      <c r="D96" s="1" t="s">
        <v>74</v>
      </c>
      <c r="E96" s="1" t="s">
        <v>74</v>
      </c>
      <c r="F96" s="1" t="s">
        <v>1102</v>
      </c>
      <c r="G96" s="1" t="s">
        <v>74</v>
      </c>
      <c r="H96" s="1" t="s">
        <v>74</v>
      </c>
      <c r="I96" s="1" t="s">
        <v>1103</v>
      </c>
      <c r="J96" s="1" t="s">
        <v>853</v>
      </c>
      <c r="K96" s="1" t="s">
        <v>74</v>
      </c>
      <c r="L96" s="1" t="s">
        <v>74</v>
      </c>
      <c r="M96" s="1" t="s">
        <v>74</v>
      </c>
      <c r="N96" s="1" t="s">
        <v>74</v>
      </c>
      <c r="O96" s="1" t="s">
        <v>74</v>
      </c>
      <c r="P96" s="1" t="s">
        <v>74</v>
      </c>
      <c r="Q96" s="1" t="s">
        <v>74</v>
      </c>
      <c r="R96" s="1" t="s">
        <v>74</v>
      </c>
      <c r="S96" s="1" t="s">
        <v>74</v>
      </c>
      <c r="T96" s="1" t="s">
        <v>74</v>
      </c>
      <c r="U96" s="1" t="s">
        <v>74</v>
      </c>
      <c r="V96" s="1" t="s">
        <v>1104</v>
      </c>
      <c r="W96" s="1" t="s">
        <v>74</v>
      </c>
      <c r="X96" s="1" t="s">
        <v>74</v>
      </c>
      <c r="Y96" s="1" t="s">
        <v>74</v>
      </c>
      <c r="Z96" s="1" t="s">
        <v>74</v>
      </c>
      <c r="AA96" s="1" t="s">
        <v>1105</v>
      </c>
      <c r="AB96" s="1" t="s">
        <v>1106</v>
      </c>
      <c r="AC96" s="1" t="s">
        <v>74</v>
      </c>
      <c r="AD96" s="1" t="s">
        <v>74</v>
      </c>
      <c r="AE96" s="1" t="s">
        <v>74</v>
      </c>
      <c r="AF96" s="1" t="s">
        <v>74</v>
      </c>
      <c r="AG96" s="1" t="s">
        <v>74</v>
      </c>
      <c r="AH96" s="1" t="s">
        <v>74</v>
      </c>
      <c r="AI96" s="1" t="s">
        <v>74</v>
      </c>
      <c r="AJ96" s="1" t="s">
        <v>74</v>
      </c>
      <c r="AK96" s="1" t="s">
        <v>74</v>
      </c>
      <c r="AL96" s="1" t="s">
        <v>74</v>
      </c>
      <c r="AM96" s="1" t="s">
        <v>74</v>
      </c>
      <c r="AN96" s="1" t="s">
        <v>74</v>
      </c>
      <c r="AO96" s="1" t="s">
        <v>857</v>
      </c>
      <c r="AP96" s="1" t="s">
        <v>74</v>
      </c>
      <c r="AQ96" s="1" t="s">
        <v>74</v>
      </c>
      <c r="AR96" s="1" t="s">
        <v>74</v>
      </c>
      <c r="AS96" s="1" t="s">
        <v>74</v>
      </c>
      <c r="AT96" s="1" t="s">
        <v>1107</v>
      </c>
      <c r="AU96" s="1">
        <v>2022.0</v>
      </c>
      <c r="AV96" s="1">
        <v>9.0</v>
      </c>
      <c r="AW96" s="1" t="s">
        <v>74</v>
      </c>
      <c r="AX96" s="1" t="s">
        <v>74</v>
      </c>
      <c r="AY96" s="1" t="s">
        <v>74</v>
      </c>
      <c r="AZ96" s="1" t="s">
        <v>74</v>
      </c>
      <c r="BA96" s="1" t="s">
        <v>74</v>
      </c>
      <c r="BB96" s="1" t="s">
        <v>74</v>
      </c>
      <c r="BC96" s="1" t="s">
        <v>74</v>
      </c>
      <c r="BD96" s="1">
        <v>1043620.0</v>
      </c>
      <c r="BE96" s="1" t="s">
        <v>1108</v>
      </c>
      <c r="BF96" s="2" t="str">
        <f>HYPERLINK("http://dx.doi.org/10.3389/fnut.2022.1043620","http://dx.doi.org/10.3389/fnut.2022.1043620")</f>
        <v>http://dx.doi.org/10.3389/fnut.2022.1043620</v>
      </c>
      <c r="BG96" s="1" t="s">
        <v>74</v>
      </c>
      <c r="BH96" s="1" t="s">
        <v>74</v>
      </c>
      <c r="BI96" s="1" t="s">
        <v>74</v>
      </c>
      <c r="BJ96" s="1" t="s">
        <v>74</v>
      </c>
      <c r="BK96" s="1" t="s">
        <v>74</v>
      </c>
      <c r="BL96" s="1" t="s">
        <v>74</v>
      </c>
      <c r="BM96" s="1" t="s">
        <v>74</v>
      </c>
      <c r="BN96" s="1">
        <v>3.6466395E7</v>
      </c>
      <c r="BO96" s="1" t="s">
        <v>74</v>
      </c>
      <c r="BP96" s="1" t="s">
        <v>74</v>
      </c>
      <c r="BQ96" s="1" t="s">
        <v>74</v>
      </c>
      <c r="BR96" s="1" t="s">
        <v>74</v>
      </c>
      <c r="BS96" s="1" t="s">
        <v>1109</v>
      </c>
      <c r="BT96" s="1" t="str">
        <f>HYPERLINK("https%3A%2F%2Fwww.webofscience.com%2Fwos%2Fwoscc%2Ffull-record%2FWOS:000986601300001","View Full Record in Web of Science")</f>
        <v>View Full Record in Web of Science</v>
      </c>
    </row>
    <row r="97" ht="12.75" customHeight="1">
      <c r="A97" s="1" t="s">
        <v>72</v>
      </c>
      <c r="B97" s="1" t="s">
        <v>1110</v>
      </c>
      <c r="C97" s="1" t="s">
        <v>74</v>
      </c>
      <c r="D97" s="1" t="s">
        <v>74</v>
      </c>
      <c r="E97" s="1" t="s">
        <v>74</v>
      </c>
      <c r="F97" s="1" t="s">
        <v>1111</v>
      </c>
      <c r="G97" s="1" t="s">
        <v>74</v>
      </c>
      <c r="H97" s="1" t="s">
        <v>74</v>
      </c>
      <c r="I97" s="1" t="s">
        <v>1112</v>
      </c>
      <c r="J97" s="1" t="s">
        <v>1113</v>
      </c>
      <c r="K97" s="1" t="s">
        <v>74</v>
      </c>
      <c r="L97" s="1" t="s">
        <v>74</v>
      </c>
      <c r="M97" s="1" t="s">
        <v>74</v>
      </c>
      <c r="N97" s="1" t="s">
        <v>74</v>
      </c>
      <c r="O97" s="1" t="s">
        <v>74</v>
      </c>
      <c r="P97" s="1" t="s">
        <v>74</v>
      </c>
      <c r="Q97" s="1" t="s">
        <v>74</v>
      </c>
      <c r="R97" s="1" t="s">
        <v>74</v>
      </c>
      <c r="S97" s="1" t="s">
        <v>74</v>
      </c>
      <c r="T97" s="1" t="s">
        <v>74</v>
      </c>
      <c r="U97" s="1" t="s">
        <v>74</v>
      </c>
      <c r="V97" s="1" t="s">
        <v>1114</v>
      </c>
      <c r="W97" s="1" t="s">
        <v>74</v>
      </c>
      <c r="X97" s="1" t="s">
        <v>74</v>
      </c>
      <c r="Y97" s="1" t="s">
        <v>74</v>
      </c>
      <c r="Z97" s="1" t="s">
        <v>74</v>
      </c>
      <c r="AA97" s="1" t="s">
        <v>1115</v>
      </c>
      <c r="AB97" s="1" t="s">
        <v>1116</v>
      </c>
      <c r="AC97" s="1" t="s">
        <v>74</v>
      </c>
      <c r="AD97" s="1" t="s">
        <v>74</v>
      </c>
      <c r="AE97" s="1" t="s">
        <v>74</v>
      </c>
      <c r="AF97" s="1" t="s">
        <v>74</v>
      </c>
      <c r="AG97" s="1" t="s">
        <v>74</v>
      </c>
      <c r="AH97" s="1" t="s">
        <v>74</v>
      </c>
      <c r="AI97" s="1" t="s">
        <v>74</v>
      </c>
      <c r="AJ97" s="1" t="s">
        <v>74</v>
      </c>
      <c r="AK97" s="1" t="s">
        <v>74</v>
      </c>
      <c r="AL97" s="1" t="s">
        <v>74</v>
      </c>
      <c r="AM97" s="1" t="s">
        <v>74</v>
      </c>
      <c r="AN97" s="1" t="s">
        <v>74</v>
      </c>
      <c r="AO97" s="1" t="s">
        <v>1117</v>
      </c>
      <c r="AP97" s="1" t="s">
        <v>1118</v>
      </c>
      <c r="AQ97" s="1" t="s">
        <v>74</v>
      </c>
      <c r="AR97" s="1" t="s">
        <v>74</v>
      </c>
      <c r="AS97" s="1" t="s">
        <v>74</v>
      </c>
      <c r="AT97" s="1" t="s">
        <v>464</v>
      </c>
      <c r="AU97" s="1">
        <v>2023.0</v>
      </c>
      <c r="AV97" s="1">
        <v>85.0</v>
      </c>
      <c r="AW97" s="1">
        <v>1.0</v>
      </c>
      <c r="AX97" s="1" t="s">
        <v>74</v>
      </c>
      <c r="AY97" s="1" t="s">
        <v>74</v>
      </c>
      <c r="AZ97" s="1" t="s">
        <v>74</v>
      </c>
      <c r="BA97" s="1" t="s">
        <v>74</v>
      </c>
      <c r="BB97" s="1">
        <v>111.0</v>
      </c>
      <c r="BC97" s="1">
        <v>128.0</v>
      </c>
      <c r="BD97" s="1" t="s">
        <v>74</v>
      </c>
      <c r="BE97" s="1" t="s">
        <v>1119</v>
      </c>
      <c r="BF97" s="2" t="str">
        <f>HYPERLINK("http://dx.doi.org/10.1007/s10898-022-01199-z","http://dx.doi.org/10.1007/s10898-022-01199-z")</f>
        <v>http://dx.doi.org/10.1007/s10898-022-01199-z</v>
      </c>
      <c r="BG97" s="1" t="s">
        <v>74</v>
      </c>
      <c r="BH97" s="1" t="s">
        <v>1120</v>
      </c>
      <c r="BI97" s="1" t="s">
        <v>74</v>
      </c>
      <c r="BJ97" s="1" t="s">
        <v>74</v>
      </c>
      <c r="BK97" s="1" t="s">
        <v>74</v>
      </c>
      <c r="BL97" s="1" t="s">
        <v>74</v>
      </c>
      <c r="BM97" s="1" t="s">
        <v>74</v>
      </c>
      <c r="BN97" s="1" t="s">
        <v>74</v>
      </c>
      <c r="BO97" s="1" t="s">
        <v>74</v>
      </c>
      <c r="BP97" s="1" t="s">
        <v>74</v>
      </c>
      <c r="BQ97" s="1" t="s">
        <v>74</v>
      </c>
      <c r="BR97" s="1" t="s">
        <v>74</v>
      </c>
      <c r="BS97" s="1" t="s">
        <v>1121</v>
      </c>
      <c r="BT97" s="1" t="str">
        <f>HYPERLINK("https%3A%2F%2Fwww.webofscience.com%2Fwos%2Fwoscc%2Ffull-record%2FWOS:000813763200001","View Full Record in Web of Science")</f>
        <v>View Full Record in Web of Science</v>
      </c>
    </row>
    <row r="98" ht="12.75" customHeight="1">
      <c r="A98" s="1" t="s">
        <v>72</v>
      </c>
      <c r="B98" s="1" t="s">
        <v>1122</v>
      </c>
      <c r="C98" s="1" t="s">
        <v>74</v>
      </c>
      <c r="D98" s="1" t="s">
        <v>74</v>
      </c>
      <c r="E98" s="1" t="s">
        <v>74</v>
      </c>
      <c r="F98" s="1" t="s">
        <v>1123</v>
      </c>
      <c r="G98" s="1" t="s">
        <v>74</v>
      </c>
      <c r="H98" s="1" t="s">
        <v>74</v>
      </c>
      <c r="I98" s="1" t="s">
        <v>1124</v>
      </c>
      <c r="J98" s="1" t="s">
        <v>1125</v>
      </c>
      <c r="K98" s="1" t="s">
        <v>74</v>
      </c>
      <c r="L98" s="1" t="s">
        <v>74</v>
      </c>
      <c r="M98" s="1" t="s">
        <v>74</v>
      </c>
      <c r="N98" s="1" t="s">
        <v>74</v>
      </c>
      <c r="O98" s="1" t="s">
        <v>74</v>
      </c>
      <c r="P98" s="1" t="s">
        <v>74</v>
      </c>
      <c r="Q98" s="1" t="s">
        <v>74</v>
      </c>
      <c r="R98" s="1" t="s">
        <v>74</v>
      </c>
      <c r="S98" s="1" t="s">
        <v>74</v>
      </c>
      <c r="T98" s="1" t="s">
        <v>74</v>
      </c>
      <c r="U98" s="1" t="s">
        <v>74</v>
      </c>
      <c r="V98" s="1" t="s">
        <v>1126</v>
      </c>
      <c r="W98" s="1" t="s">
        <v>74</v>
      </c>
      <c r="X98" s="1" t="s">
        <v>74</v>
      </c>
      <c r="Y98" s="1" t="s">
        <v>74</v>
      </c>
      <c r="Z98" s="1" t="s">
        <v>74</v>
      </c>
      <c r="AA98" s="1" t="s">
        <v>1127</v>
      </c>
      <c r="AB98" s="1" t="s">
        <v>1128</v>
      </c>
      <c r="AC98" s="1" t="s">
        <v>74</v>
      </c>
      <c r="AD98" s="1" t="s">
        <v>74</v>
      </c>
      <c r="AE98" s="1" t="s">
        <v>74</v>
      </c>
      <c r="AF98" s="1" t="s">
        <v>74</v>
      </c>
      <c r="AG98" s="1" t="s">
        <v>74</v>
      </c>
      <c r="AH98" s="1" t="s">
        <v>74</v>
      </c>
      <c r="AI98" s="1" t="s">
        <v>74</v>
      </c>
      <c r="AJ98" s="1" t="s">
        <v>74</v>
      </c>
      <c r="AK98" s="1" t="s">
        <v>74</v>
      </c>
      <c r="AL98" s="1" t="s">
        <v>74</v>
      </c>
      <c r="AM98" s="1" t="s">
        <v>74</v>
      </c>
      <c r="AN98" s="1" t="s">
        <v>74</v>
      </c>
      <c r="AO98" s="1" t="s">
        <v>1129</v>
      </c>
      <c r="AP98" s="1" t="s">
        <v>1130</v>
      </c>
      <c r="AQ98" s="1" t="s">
        <v>74</v>
      </c>
      <c r="AR98" s="1" t="s">
        <v>74</v>
      </c>
      <c r="AS98" s="1" t="s">
        <v>74</v>
      </c>
      <c r="AT98" s="1" t="s">
        <v>96</v>
      </c>
      <c r="AU98" s="1">
        <v>2022.0</v>
      </c>
      <c r="AV98" s="1">
        <v>37.0</v>
      </c>
      <c r="AW98" s="1">
        <v>1.0</v>
      </c>
      <c r="AX98" s="1" t="s">
        <v>74</v>
      </c>
      <c r="AY98" s="1" t="s">
        <v>74</v>
      </c>
      <c r="AZ98" s="1" t="s">
        <v>74</v>
      </c>
      <c r="BA98" s="1" t="s">
        <v>74</v>
      </c>
      <c r="BB98" s="1">
        <v>729.0</v>
      </c>
      <c r="BC98" s="1">
        <v>736.0</v>
      </c>
      <c r="BD98" s="1" t="s">
        <v>74</v>
      </c>
      <c r="BE98" s="1" t="s">
        <v>1131</v>
      </c>
      <c r="BF98" s="2" t="str">
        <f>HYPERLINK("http://dx.doi.org/10.1109/TEC.2021.3108664","http://dx.doi.org/10.1109/TEC.2021.3108664")</f>
        <v>http://dx.doi.org/10.1109/TEC.2021.3108664</v>
      </c>
      <c r="BG98" s="1" t="s">
        <v>74</v>
      </c>
      <c r="BH98" s="1" t="s">
        <v>74</v>
      </c>
      <c r="BI98" s="1" t="s">
        <v>74</v>
      </c>
      <c r="BJ98" s="1" t="s">
        <v>74</v>
      </c>
      <c r="BK98" s="1" t="s">
        <v>74</v>
      </c>
      <c r="BL98" s="1" t="s">
        <v>74</v>
      </c>
      <c r="BM98" s="1" t="s">
        <v>74</v>
      </c>
      <c r="BN98" s="1" t="s">
        <v>74</v>
      </c>
      <c r="BO98" s="1" t="s">
        <v>74</v>
      </c>
      <c r="BP98" s="1" t="s">
        <v>74</v>
      </c>
      <c r="BQ98" s="1" t="s">
        <v>74</v>
      </c>
      <c r="BR98" s="1" t="s">
        <v>74</v>
      </c>
      <c r="BS98" s="1" t="s">
        <v>1132</v>
      </c>
      <c r="BT98" s="1" t="str">
        <f>HYPERLINK("https%3A%2F%2Fwww.webofscience.com%2Fwos%2Fwoscc%2Ffull-record%2FWOS:000761234400071","View Full Record in Web of Science")</f>
        <v>View Full Record in Web of Science</v>
      </c>
    </row>
    <row r="99" ht="12.75" customHeight="1">
      <c r="A99" s="1" t="s">
        <v>72</v>
      </c>
      <c r="B99" s="1" t="s">
        <v>1133</v>
      </c>
      <c r="C99" s="1" t="s">
        <v>74</v>
      </c>
      <c r="D99" s="1" t="s">
        <v>74</v>
      </c>
      <c r="E99" s="1" t="s">
        <v>74</v>
      </c>
      <c r="F99" s="1" t="s">
        <v>1134</v>
      </c>
      <c r="G99" s="1" t="s">
        <v>74</v>
      </c>
      <c r="H99" s="1" t="s">
        <v>74</v>
      </c>
      <c r="I99" s="1" t="s">
        <v>1135</v>
      </c>
      <c r="J99" s="1" t="s">
        <v>1136</v>
      </c>
      <c r="K99" s="1" t="s">
        <v>74</v>
      </c>
      <c r="L99" s="1" t="s">
        <v>74</v>
      </c>
      <c r="M99" s="1" t="s">
        <v>74</v>
      </c>
      <c r="N99" s="1" t="s">
        <v>74</v>
      </c>
      <c r="O99" s="1" t="s">
        <v>74</v>
      </c>
      <c r="P99" s="1" t="s">
        <v>74</v>
      </c>
      <c r="Q99" s="1" t="s">
        <v>74</v>
      </c>
      <c r="R99" s="1" t="s">
        <v>74</v>
      </c>
      <c r="S99" s="1" t="s">
        <v>74</v>
      </c>
      <c r="T99" s="1" t="s">
        <v>74</v>
      </c>
      <c r="U99" s="1" t="s">
        <v>74</v>
      </c>
      <c r="V99" s="1" t="s">
        <v>1137</v>
      </c>
      <c r="W99" s="1" t="s">
        <v>74</v>
      </c>
      <c r="X99" s="1" t="s">
        <v>74</v>
      </c>
      <c r="Y99" s="1" t="s">
        <v>74</v>
      </c>
      <c r="Z99" s="1" t="s">
        <v>74</v>
      </c>
      <c r="AA99" s="1" t="s">
        <v>1138</v>
      </c>
      <c r="AB99" s="1" t="s">
        <v>1139</v>
      </c>
      <c r="AC99" s="1" t="s">
        <v>74</v>
      </c>
      <c r="AD99" s="1" t="s">
        <v>74</v>
      </c>
      <c r="AE99" s="1" t="s">
        <v>74</v>
      </c>
      <c r="AF99" s="1" t="s">
        <v>74</v>
      </c>
      <c r="AG99" s="1" t="s">
        <v>74</v>
      </c>
      <c r="AH99" s="1" t="s">
        <v>74</v>
      </c>
      <c r="AI99" s="1" t="s">
        <v>74</v>
      </c>
      <c r="AJ99" s="1" t="s">
        <v>74</v>
      </c>
      <c r="AK99" s="1" t="s">
        <v>74</v>
      </c>
      <c r="AL99" s="1" t="s">
        <v>74</v>
      </c>
      <c r="AM99" s="1" t="s">
        <v>74</v>
      </c>
      <c r="AN99" s="1" t="s">
        <v>74</v>
      </c>
      <c r="AO99" s="1" t="s">
        <v>1140</v>
      </c>
      <c r="AP99" s="1" t="s">
        <v>74</v>
      </c>
      <c r="AQ99" s="1" t="s">
        <v>74</v>
      </c>
      <c r="AR99" s="1" t="s">
        <v>74</v>
      </c>
      <c r="AS99" s="1" t="s">
        <v>74</v>
      </c>
      <c r="AT99" s="1" t="s">
        <v>1141</v>
      </c>
      <c r="AU99" s="1">
        <v>2022.0</v>
      </c>
      <c r="AV99" s="1">
        <v>7.0</v>
      </c>
      <c r="AW99" s="1">
        <v>3.0</v>
      </c>
      <c r="AX99" s="1" t="s">
        <v>74</v>
      </c>
      <c r="AY99" s="1" t="s">
        <v>74</v>
      </c>
      <c r="AZ99" s="1" t="s">
        <v>74</v>
      </c>
      <c r="BA99" s="1" t="s">
        <v>74</v>
      </c>
      <c r="BB99" s="1">
        <v>2583.0</v>
      </c>
      <c r="BC99" s="1">
        <v>2590.0</v>
      </c>
      <c r="BD99" s="1" t="s">
        <v>74</v>
      </c>
      <c r="BE99" s="1" t="s">
        <v>1142</v>
      </c>
      <c r="BF99" s="2" t="str">
        <f>HYPERLINK("http://dx.doi.org/10.1021/acsomega.1c04589","http://dx.doi.org/10.1021/acsomega.1c04589")</f>
        <v>http://dx.doi.org/10.1021/acsomega.1c04589</v>
      </c>
      <c r="BG99" s="1" t="s">
        <v>74</v>
      </c>
      <c r="BH99" s="1" t="s">
        <v>1143</v>
      </c>
      <c r="BI99" s="1" t="s">
        <v>74</v>
      </c>
      <c r="BJ99" s="1" t="s">
        <v>74</v>
      </c>
      <c r="BK99" s="1" t="s">
        <v>74</v>
      </c>
      <c r="BL99" s="1" t="s">
        <v>74</v>
      </c>
      <c r="BM99" s="1" t="s">
        <v>74</v>
      </c>
      <c r="BN99" s="1">
        <v>3.5252636E7</v>
      </c>
      <c r="BO99" s="1" t="s">
        <v>74</v>
      </c>
      <c r="BP99" s="1" t="s">
        <v>74</v>
      </c>
      <c r="BQ99" s="1" t="s">
        <v>74</v>
      </c>
      <c r="BR99" s="1" t="s">
        <v>74</v>
      </c>
      <c r="BS99" s="1" t="s">
        <v>1144</v>
      </c>
      <c r="BT99" s="1" t="str">
        <f>HYPERLINK("https%3A%2F%2Fwww.webofscience.com%2Fwos%2Fwoscc%2Ffull-record%2FWOS:000743615700001","View Full Record in Web of Science")</f>
        <v>View Full Record in Web of Science</v>
      </c>
    </row>
    <row r="100" ht="12.75" customHeight="1">
      <c r="A100" s="1" t="s">
        <v>647</v>
      </c>
      <c r="B100" s="1" t="s">
        <v>1145</v>
      </c>
      <c r="C100" s="1" t="s">
        <v>74</v>
      </c>
      <c r="D100" s="1" t="s">
        <v>74</v>
      </c>
      <c r="E100" s="1" t="s">
        <v>649</v>
      </c>
      <c r="F100" s="1" t="s">
        <v>1146</v>
      </c>
      <c r="G100" s="1" t="s">
        <v>74</v>
      </c>
      <c r="H100" s="1" t="s">
        <v>74</v>
      </c>
      <c r="I100" s="1" t="s">
        <v>1147</v>
      </c>
      <c r="J100" s="1" t="s">
        <v>1148</v>
      </c>
      <c r="K100" s="1" t="s">
        <v>1149</v>
      </c>
      <c r="L100" s="1" t="s">
        <v>74</v>
      </c>
      <c r="M100" s="1" t="s">
        <v>74</v>
      </c>
      <c r="N100" s="1" t="s">
        <v>74</v>
      </c>
      <c r="O100" s="1" t="s">
        <v>1150</v>
      </c>
      <c r="P100" s="1" t="s">
        <v>1151</v>
      </c>
      <c r="Q100" s="1" t="s">
        <v>1152</v>
      </c>
      <c r="R100" s="1" t="s">
        <v>649</v>
      </c>
      <c r="S100" s="1" t="s">
        <v>74</v>
      </c>
      <c r="T100" s="1" t="s">
        <v>74</v>
      </c>
      <c r="U100" s="1" t="s">
        <v>74</v>
      </c>
      <c r="V100" s="1" t="s">
        <v>1153</v>
      </c>
      <c r="W100" s="1" t="s">
        <v>74</v>
      </c>
      <c r="X100" s="1" t="s">
        <v>74</v>
      </c>
      <c r="Y100" s="1" t="s">
        <v>74</v>
      </c>
      <c r="Z100" s="1" t="s">
        <v>74</v>
      </c>
      <c r="AA100" s="1" t="s">
        <v>1154</v>
      </c>
      <c r="AB100" s="1" t="s">
        <v>1155</v>
      </c>
      <c r="AC100" s="1" t="s">
        <v>74</v>
      </c>
      <c r="AD100" s="1" t="s">
        <v>74</v>
      </c>
      <c r="AE100" s="1" t="s">
        <v>74</v>
      </c>
      <c r="AF100" s="1" t="s">
        <v>74</v>
      </c>
      <c r="AG100" s="1" t="s">
        <v>74</v>
      </c>
      <c r="AH100" s="1" t="s">
        <v>74</v>
      </c>
      <c r="AI100" s="1" t="s">
        <v>74</v>
      </c>
      <c r="AJ100" s="1" t="s">
        <v>74</v>
      </c>
      <c r="AK100" s="1" t="s">
        <v>74</v>
      </c>
      <c r="AL100" s="1" t="s">
        <v>74</v>
      </c>
      <c r="AM100" s="1" t="s">
        <v>74</v>
      </c>
      <c r="AN100" s="1" t="s">
        <v>74</v>
      </c>
      <c r="AO100" s="1" t="s">
        <v>1156</v>
      </c>
      <c r="AP100" s="1" t="s">
        <v>74</v>
      </c>
      <c r="AQ100" s="1" t="s">
        <v>1157</v>
      </c>
      <c r="AR100" s="1" t="s">
        <v>74</v>
      </c>
      <c r="AS100" s="1" t="s">
        <v>74</v>
      </c>
      <c r="AT100" s="1" t="s">
        <v>74</v>
      </c>
      <c r="AU100" s="1">
        <v>2022.0</v>
      </c>
      <c r="AV100" s="1" t="s">
        <v>74</v>
      </c>
      <c r="AW100" s="1" t="s">
        <v>74</v>
      </c>
      <c r="AX100" s="1" t="s">
        <v>74</v>
      </c>
      <c r="AY100" s="1" t="s">
        <v>74</v>
      </c>
      <c r="AZ100" s="1" t="s">
        <v>74</v>
      </c>
      <c r="BA100" s="1" t="s">
        <v>74</v>
      </c>
      <c r="BB100" s="1" t="s">
        <v>74</v>
      </c>
      <c r="BC100" s="1" t="s">
        <v>74</v>
      </c>
      <c r="BD100" s="1" t="s">
        <v>74</v>
      </c>
      <c r="BE100" s="1" t="s">
        <v>1158</v>
      </c>
      <c r="BF100" s="2" t="str">
        <f>HYPERLINK("http://dx.doi.org/10.1109/Colcom56784.2022.10107839","http://dx.doi.org/10.1109/Colcom56784.2022.10107839")</f>
        <v>http://dx.doi.org/10.1109/Colcom56784.2022.10107839</v>
      </c>
      <c r="BG100" s="1" t="s">
        <v>74</v>
      </c>
      <c r="BH100" s="1" t="s">
        <v>74</v>
      </c>
      <c r="BI100" s="1" t="s">
        <v>74</v>
      </c>
      <c r="BJ100" s="1" t="s">
        <v>74</v>
      </c>
      <c r="BK100" s="1" t="s">
        <v>74</v>
      </c>
      <c r="BL100" s="1" t="s">
        <v>74</v>
      </c>
      <c r="BM100" s="1" t="s">
        <v>74</v>
      </c>
      <c r="BN100" s="1" t="s">
        <v>74</v>
      </c>
      <c r="BO100" s="1" t="s">
        <v>74</v>
      </c>
      <c r="BP100" s="1" t="s">
        <v>74</v>
      </c>
      <c r="BQ100" s="1" t="s">
        <v>74</v>
      </c>
      <c r="BR100" s="1" t="s">
        <v>74</v>
      </c>
      <c r="BS100" s="1" t="s">
        <v>1159</v>
      </c>
      <c r="BT100" s="1" t="str">
        <f>HYPERLINK("https%3A%2F%2Fwww.webofscience.com%2Fwos%2Fwoscc%2Ffull-record%2FWOS:000990508100002","View Full Record in Web of Science")</f>
        <v>View Full Record in Web of Science</v>
      </c>
    </row>
    <row r="101" ht="12.75" customHeight="1">
      <c r="A101" s="1" t="s">
        <v>72</v>
      </c>
      <c r="B101" s="1" t="s">
        <v>1160</v>
      </c>
      <c r="C101" s="1" t="s">
        <v>74</v>
      </c>
      <c r="D101" s="1" t="s">
        <v>74</v>
      </c>
      <c r="E101" s="1" t="s">
        <v>74</v>
      </c>
      <c r="F101" s="1" t="s">
        <v>1161</v>
      </c>
      <c r="G101" s="1" t="s">
        <v>74</v>
      </c>
      <c r="H101" s="1" t="s">
        <v>74</v>
      </c>
      <c r="I101" s="1" t="s">
        <v>1162</v>
      </c>
      <c r="J101" s="1" t="s">
        <v>1163</v>
      </c>
      <c r="K101" s="1" t="s">
        <v>74</v>
      </c>
      <c r="L101" s="1" t="s">
        <v>74</v>
      </c>
      <c r="M101" s="1" t="s">
        <v>74</v>
      </c>
      <c r="N101" s="1" t="s">
        <v>74</v>
      </c>
      <c r="O101" s="1" t="s">
        <v>74</v>
      </c>
      <c r="P101" s="1" t="s">
        <v>74</v>
      </c>
      <c r="Q101" s="1" t="s">
        <v>74</v>
      </c>
      <c r="R101" s="1" t="s">
        <v>74</v>
      </c>
      <c r="S101" s="1" t="s">
        <v>74</v>
      </c>
      <c r="T101" s="1" t="s">
        <v>74</v>
      </c>
      <c r="U101" s="1" t="s">
        <v>74</v>
      </c>
      <c r="V101" s="1" t="s">
        <v>1164</v>
      </c>
      <c r="W101" s="1" t="s">
        <v>74</v>
      </c>
      <c r="X101" s="1" t="s">
        <v>74</v>
      </c>
      <c r="Y101" s="1" t="s">
        <v>74</v>
      </c>
      <c r="Z101" s="1" t="s">
        <v>74</v>
      </c>
      <c r="AA101" s="1" t="s">
        <v>1165</v>
      </c>
      <c r="AB101" s="1" t="s">
        <v>1166</v>
      </c>
      <c r="AC101" s="1" t="s">
        <v>74</v>
      </c>
      <c r="AD101" s="1" t="s">
        <v>74</v>
      </c>
      <c r="AE101" s="1" t="s">
        <v>74</v>
      </c>
      <c r="AF101" s="1" t="s">
        <v>74</v>
      </c>
      <c r="AG101" s="1" t="s">
        <v>74</v>
      </c>
      <c r="AH101" s="1" t="s">
        <v>74</v>
      </c>
      <c r="AI101" s="1" t="s">
        <v>74</v>
      </c>
      <c r="AJ101" s="1" t="s">
        <v>74</v>
      </c>
      <c r="AK101" s="1" t="s">
        <v>74</v>
      </c>
      <c r="AL101" s="1" t="s">
        <v>74</v>
      </c>
      <c r="AM101" s="1" t="s">
        <v>74</v>
      </c>
      <c r="AN101" s="1" t="s">
        <v>74</v>
      </c>
      <c r="AO101" s="1" t="s">
        <v>74</v>
      </c>
      <c r="AP101" s="1" t="s">
        <v>1167</v>
      </c>
      <c r="AQ101" s="1" t="s">
        <v>74</v>
      </c>
      <c r="AR101" s="1" t="s">
        <v>74</v>
      </c>
      <c r="AS101" s="1" t="s">
        <v>74</v>
      </c>
      <c r="AT101" s="1" t="s">
        <v>438</v>
      </c>
      <c r="AU101" s="1">
        <v>2021.0</v>
      </c>
      <c r="AV101" s="1">
        <v>13.0</v>
      </c>
      <c r="AW101" s="1">
        <v>4.0</v>
      </c>
      <c r="AX101" s="1" t="s">
        <v>74</v>
      </c>
      <c r="AY101" s="1" t="s">
        <v>74</v>
      </c>
      <c r="AZ101" s="1" t="s">
        <v>74</v>
      </c>
      <c r="BA101" s="1" t="s">
        <v>74</v>
      </c>
      <c r="BB101" s="1" t="s">
        <v>74</v>
      </c>
      <c r="BC101" s="1" t="s">
        <v>74</v>
      </c>
      <c r="BD101" s="1">
        <v>1320.0</v>
      </c>
      <c r="BE101" s="1" t="s">
        <v>1168</v>
      </c>
      <c r="BF101" s="2" t="str">
        <f>HYPERLINK("http://dx.doi.org/10.3390/nu13041320","http://dx.doi.org/10.3390/nu13041320")</f>
        <v>http://dx.doi.org/10.3390/nu13041320</v>
      </c>
      <c r="BG101" s="1" t="s">
        <v>74</v>
      </c>
      <c r="BH101" s="1" t="s">
        <v>74</v>
      </c>
      <c r="BI101" s="1" t="s">
        <v>74</v>
      </c>
      <c r="BJ101" s="1" t="s">
        <v>74</v>
      </c>
      <c r="BK101" s="1" t="s">
        <v>74</v>
      </c>
      <c r="BL101" s="1" t="s">
        <v>74</v>
      </c>
      <c r="BM101" s="1" t="s">
        <v>74</v>
      </c>
      <c r="BN101" s="1">
        <v>3.3923639E7</v>
      </c>
      <c r="BO101" s="1" t="s">
        <v>74</v>
      </c>
      <c r="BP101" s="1" t="s">
        <v>74</v>
      </c>
      <c r="BQ101" s="1" t="s">
        <v>74</v>
      </c>
      <c r="BR101" s="1" t="s">
        <v>74</v>
      </c>
      <c r="BS101" s="1" t="s">
        <v>1169</v>
      </c>
      <c r="BT101" s="1" t="str">
        <f>HYPERLINK("https%3A%2F%2Fwww.webofscience.com%2Fwos%2Fwoscc%2Ffull-record%2FWOS:000643359500001","View Full Record in Web of Science")</f>
        <v>View Full Record in Web of Science</v>
      </c>
    </row>
    <row r="102" ht="12.75" customHeight="1">
      <c r="A102" s="1" t="s">
        <v>72</v>
      </c>
      <c r="B102" s="1" t="s">
        <v>1170</v>
      </c>
      <c r="C102" s="1" t="s">
        <v>74</v>
      </c>
      <c r="D102" s="1" t="s">
        <v>74</v>
      </c>
      <c r="E102" s="1" t="s">
        <v>74</v>
      </c>
      <c r="F102" s="1" t="s">
        <v>1171</v>
      </c>
      <c r="G102" s="1" t="s">
        <v>74</v>
      </c>
      <c r="H102" s="1" t="s">
        <v>74</v>
      </c>
      <c r="I102" s="1" t="s">
        <v>1172</v>
      </c>
      <c r="J102" s="1" t="s">
        <v>1173</v>
      </c>
      <c r="K102" s="1" t="s">
        <v>74</v>
      </c>
      <c r="L102" s="1" t="s">
        <v>74</v>
      </c>
      <c r="M102" s="1" t="s">
        <v>74</v>
      </c>
      <c r="N102" s="1" t="s">
        <v>74</v>
      </c>
      <c r="O102" s="1" t="s">
        <v>74</v>
      </c>
      <c r="P102" s="1" t="s">
        <v>74</v>
      </c>
      <c r="Q102" s="1" t="s">
        <v>74</v>
      </c>
      <c r="R102" s="1" t="s">
        <v>74</v>
      </c>
      <c r="S102" s="1" t="s">
        <v>74</v>
      </c>
      <c r="T102" s="1" t="s">
        <v>74</v>
      </c>
      <c r="U102" s="1" t="s">
        <v>74</v>
      </c>
      <c r="V102" s="1" t="s">
        <v>1174</v>
      </c>
      <c r="W102" s="1" t="s">
        <v>74</v>
      </c>
      <c r="X102" s="1" t="s">
        <v>74</v>
      </c>
      <c r="Y102" s="1" t="s">
        <v>74</v>
      </c>
      <c r="Z102" s="1" t="s">
        <v>74</v>
      </c>
      <c r="AA102" s="1" t="s">
        <v>1175</v>
      </c>
      <c r="AB102" s="1" t="s">
        <v>1176</v>
      </c>
      <c r="AC102" s="1" t="s">
        <v>74</v>
      </c>
      <c r="AD102" s="1" t="s">
        <v>74</v>
      </c>
      <c r="AE102" s="1" t="s">
        <v>74</v>
      </c>
      <c r="AF102" s="1" t="s">
        <v>74</v>
      </c>
      <c r="AG102" s="1" t="s">
        <v>74</v>
      </c>
      <c r="AH102" s="1" t="s">
        <v>74</v>
      </c>
      <c r="AI102" s="1" t="s">
        <v>74</v>
      </c>
      <c r="AJ102" s="1" t="s">
        <v>74</v>
      </c>
      <c r="AK102" s="1" t="s">
        <v>74</v>
      </c>
      <c r="AL102" s="1" t="s">
        <v>74</v>
      </c>
      <c r="AM102" s="1" t="s">
        <v>74</v>
      </c>
      <c r="AN102" s="1" t="s">
        <v>74</v>
      </c>
      <c r="AO102" s="1" t="s">
        <v>1177</v>
      </c>
      <c r="AP102" s="1" t="s">
        <v>1178</v>
      </c>
      <c r="AQ102" s="1" t="s">
        <v>74</v>
      </c>
      <c r="AR102" s="1" t="s">
        <v>74</v>
      </c>
      <c r="AS102" s="1" t="s">
        <v>74</v>
      </c>
      <c r="AT102" s="1" t="s">
        <v>259</v>
      </c>
      <c r="AU102" s="1">
        <v>2020.0</v>
      </c>
      <c r="AV102" s="1">
        <v>51.0</v>
      </c>
      <c r="AW102" s="1">
        <v>4.0</v>
      </c>
      <c r="AX102" s="1" t="s">
        <v>74</v>
      </c>
      <c r="AY102" s="1" t="s">
        <v>74</v>
      </c>
      <c r="AZ102" s="1" t="s">
        <v>74</v>
      </c>
      <c r="BA102" s="1" t="s">
        <v>74</v>
      </c>
      <c r="BB102" s="1">
        <v>585.0</v>
      </c>
      <c r="BC102" s="1">
        <v>592.0</v>
      </c>
      <c r="BD102" s="1" t="s">
        <v>74</v>
      </c>
      <c r="BE102" s="1" t="s">
        <v>1179</v>
      </c>
      <c r="BF102" s="2" t="str">
        <f>HYPERLINK("http://dx.doi.org/10.1111/jtxs.12518","http://dx.doi.org/10.1111/jtxs.12518")</f>
        <v>http://dx.doi.org/10.1111/jtxs.12518</v>
      </c>
      <c r="BG102" s="1" t="s">
        <v>74</v>
      </c>
      <c r="BH102" s="1" t="s">
        <v>74</v>
      </c>
      <c r="BI102" s="1" t="s">
        <v>74</v>
      </c>
      <c r="BJ102" s="1" t="s">
        <v>74</v>
      </c>
      <c r="BK102" s="1" t="s">
        <v>74</v>
      </c>
      <c r="BL102" s="1" t="s">
        <v>74</v>
      </c>
      <c r="BM102" s="1" t="s">
        <v>74</v>
      </c>
      <c r="BN102" s="1">
        <v>3.2110834E7</v>
      </c>
      <c r="BO102" s="1" t="s">
        <v>74</v>
      </c>
      <c r="BP102" s="1" t="s">
        <v>74</v>
      </c>
      <c r="BQ102" s="1" t="s">
        <v>74</v>
      </c>
      <c r="BR102" s="1" t="s">
        <v>74</v>
      </c>
      <c r="BS102" s="1" t="s">
        <v>1180</v>
      </c>
      <c r="BT102" s="1" t="str">
        <f>HYPERLINK("https%3A%2F%2Fwww.webofscience.com%2Fwos%2Fwoscc%2Ffull-record%2FWOS:000554663000004","View Full Record in Web of Science")</f>
        <v>View Full Record in Web of Science</v>
      </c>
    </row>
    <row r="103" ht="12.75" customHeight="1">
      <c r="A103" s="1" t="s">
        <v>72</v>
      </c>
      <c r="B103" s="1" t="s">
        <v>1181</v>
      </c>
      <c r="C103" s="1" t="s">
        <v>74</v>
      </c>
      <c r="D103" s="1" t="s">
        <v>74</v>
      </c>
      <c r="E103" s="1" t="s">
        <v>74</v>
      </c>
      <c r="F103" s="1" t="s">
        <v>1182</v>
      </c>
      <c r="G103" s="1" t="s">
        <v>74</v>
      </c>
      <c r="H103" s="1" t="s">
        <v>74</v>
      </c>
      <c r="I103" s="1" t="s">
        <v>1183</v>
      </c>
      <c r="J103" s="1" t="s">
        <v>1184</v>
      </c>
      <c r="K103" s="1" t="s">
        <v>74</v>
      </c>
      <c r="L103" s="1" t="s">
        <v>74</v>
      </c>
      <c r="M103" s="1" t="s">
        <v>74</v>
      </c>
      <c r="N103" s="1" t="s">
        <v>74</v>
      </c>
      <c r="O103" s="1" t="s">
        <v>74</v>
      </c>
      <c r="P103" s="1" t="s">
        <v>74</v>
      </c>
      <c r="Q103" s="1" t="s">
        <v>74</v>
      </c>
      <c r="R103" s="1" t="s">
        <v>74</v>
      </c>
      <c r="S103" s="1" t="s">
        <v>74</v>
      </c>
      <c r="T103" s="1" t="s">
        <v>74</v>
      </c>
      <c r="U103" s="1" t="s">
        <v>74</v>
      </c>
      <c r="V103" s="1" t="s">
        <v>1185</v>
      </c>
      <c r="W103" s="1" t="s">
        <v>74</v>
      </c>
      <c r="X103" s="1" t="s">
        <v>74</v>
      </c>
      <c r="Y103" s="1" t="s">
        <v>74</v>
      </c>
      <c r="Z103" s="1" t="s">
        <v>74</v>
      </c>
      <c r="AA103" s="1" t="s">
        <v>1186</v>
      </c>
      <c r="AB103" s="1" t="s">
        <v>1187</v>
      </c>
      <c r="AC103" s="1" t="s">
        <v>74</v>
      </c>
      <c r="AD103" s="1" t="s">
        <v>74</v>
      </c>
      <c r="AE103" s="1" t="s">
        <v>74</v>
      </c>
      <c r="AF103" s="1" t="s">
        <v>74</v>
      </c>
      <c r="AG103" s="1" t="s">
        <v>74</v>
      </c>
      <c r="AH103" s="1" t="s">
        <v>74</v>
      </c>
      <c r="AI103" s="1" t="s">
        <v>74</v>
      </c>
      <c r="AJ103" s="1" t="s">
        <v>74</v>
      </c>
      <c r="AK103" s="1" t="s">
        <v>74</v>
      </c>
      <c r="AL103" s="1" t="s">
        <v>74</v>
      </c>
      <c r="AM103" s="1" t="s">
        <v>74</v>
      </c>
      <c r="AN103" s="1" t="s">
        <v>74</v>
      </c>
      <c r="AO103" s="1" t="s">
        <v>1188</v>
      </c>
      <c r="AP103" s="1" t="s">
        <v>1189</v>
      </c>
      <c r="AQ103" s="1" t="s">
        <v>74</v>
      </c>
      <c r="AR103" s="1" t="s">
        <v>74</v>
      </c>
      <c r="AS103" s="1" t="s">
        <v>74</v>
      </c>
      <c r="AT103" s="1" t="s">
        <v>155</v>
      </c>
      <c r="AU103" s="1">
        <v>2020.0</v>
      </c>
      <c r="AV103" s="1">
        <v>30.0</v>
      </c>
      <c r="AW103" s="1">
        <v>6.0</v>
      </c>
      <c r="AX103" s="1" t="s">
        <v>74</v>
      </c>
      <c r="AY103" s="1" t="s">
        <v>74</v>
      </c>
      <c r="AZ103" s="1" t="s">
        <v>74</v>
      </c>
      <c r="BA103" s="1" t="s">
        <v>74</v>
      </c>
      <c r="BB103" s="1" t="s">
        <v>74</v>
      </c>
      <c r="BC103" s="1" t="s">
        <v>74</v>
      </c>
      <c r="BD103" s="1" t="s">
        <v>74</v>
      </c>
      <c r="BE103" s="1" t="s">
        <v>1190</v>
      </c>
      <c r="BF103" s="2" t="str">
        <f>HYPERLINK("http://dx.doi.org/10.1063/5.0006226","http://dx.doi.org/10.1063/5.0006226")</f>
        <v>http://dx.doi.org/10.1063/5.0006226</v>
      </c>
      <c r="BG103" s="1" t="s">
        <v>74</v>
      </c>
      <c r="BH103" s="1" t="s">
        <v>74</v>
      </c>
      <c r="BI103" s="1" t="s">
        <v>74</v>
      </c>
      <c r="BJ103" s="1" t="s">
        <v>74</v>
      </c>
      <c r="BK103" s="1" t="s">
        <v>74</v>
      </c>
      <c r="BL103" s="1" t="s">
        <v>74</v>
      </c>
      <c r="BM103" s="1" t="s">
        <v>74</v>
      </c>
      <c r="BN103" s="1">
        <v>3.2611091E7</v>
      </c>
      <c r="BO103" s="1" t="s">
        <v>74</v>
      </c>
      <c r="BP103" s="1" t="s">
        <v>74</v>
      </c>
      <c r="BQ103" s="1" t="s">
        <v>74</v>
      </c>
      <c r="BR103" s="1" t="s">
        <v>74</v>
      </c>
      <c r="BS103" s="1" t="s">
        <v>1191</v>
      </c>
      <c r="BT103" s="1" t="str">
        <f>HYPERLINK("https%3A%2F%2Fwww.webofscience.com%2Fwos%2Fwoscc%2Ffull-record%2FWOS:000542727700001","View Full Record in Web of Science")</f>
        <v>View Full Record in Web of Science</v>
      </c>
    </row>
    <row r="104" ht="12.75" customHeight="1">
      <c r="A104" s="1" t="s">
        <v>72</v>
      </c>
      <c r="B104" s="1" t="s">
        <v>1192</v>
      </c>
      <c r="C104" s="1" t="s">
        <v>74</v>
      </c>
      <c r="D104" s="1" t="s">
        <v>74</v>
      </c>
      <c r="E104" s="1" t="s">
        <v>74</v>
      </c>
      <c r="F104" s="1" t="s">
        <v>1193</v>
      </c>
      <c r="G104" s="1" t="s">
        <v>74</v>
      </c>
      <c r="H104" s="1" t="s">
        <v>74</v>
      </c>
      <c r="I104" s="1" t="s">
        <v>1194</v>
      </c>
      <c r="J104" s="1" t="s">
        <v>332</v>
      </c>
      <c r="K104" s="1" t="s">
        <v>74</v>
      </c>
      <c r="L104" s="1" t="s">
        <v>74</v>
      </c>
      <c r="M104" s="1" t="s">
        <v>74</v>
      </c>
      <c r="N104" s="1" t="s">
        <v>74</v>
      </c>
      <c r="O104" s="1" t="s">
        <v>74</v>
      </c>
      <c r="P104" s="1" t="s">
        <v>74</v>
      </c>
      <c r="Q104" s="1" t="s">
        <v>74</v>
      </c>
      <c r="R104" s="1" t="s">
        <v>74</v>
      </c>
      <c r="S104" s="1" t="s">
        <v>74</v>
      </c>
      <c r="T104" s="1" t="s">
        <v>74</v>
      </c>
      <c r="U104" s="1" t="s">
        <v>74</v>
      </c>
      <c r="V104" s="1" t="s">
        <v>1195</v>
      </c>
      <c r="W104" s="1" t="s">
        <v>74</v>
      </c>
      <c r="X104" s="1" t="s">
        <v>74</v>
      </c>
      <c r="Y104" s="1" t="s">
        <v>74</v>
      </c>
      <c r="Z104" s="1" t="s">
        <v>74</v>
      </c>
      <c r="AA104" s="1" t="s">
        <v>1196</v>
      </c>
      <c r="AB104" s="1" t="s">
        <v>1197</v>
      </c>
      <c r="AC104" s="1" t="s">
        <v>74</v>
      </c>
      <c r="AD104" s="1" t="s">
        <v>74</v>
      </c>
      <c r="AE104" s="1" t="s">
        <v>74</v>
      </c>
      <c r="AF104" s="1" t="s">
        <v>74</v>
      </c>
      <c r="AG104" s="1" t="s">
        <v>74</v>
      </c>
      <c r="AH104" s="1" t="s">
        <v>74</v>
      </c>
      <c r="AI104" s="1" t="s">
        <v>74</v>
      </c>
      <c r="AJ104" s="1" t="s">
        <v>74</v>
      </c>
      <c r="AK104" s="1" t="s">
        <v>74</v>
      </c>
      <c r="AL104" s="1" t="s">
        <v>74</v>
      </c>
      <c r="AM104" s="1" t="s">
        <v>74</v>
      </c>
      <c r="AN104" s="1" t="s">
        <v>74</v>
      </c>
      <c r="AO104" s="1" t="s">
        <v>336</v>
      </c>
      <c r="AP104" s="1" t="s">
        <v>337</v>
      </c>
      <c r="AQ104" s="1" t="s">
        <v>74</v>
      </c>
      <c r="AR104" s="1" t="s">
        <v>74</v>
      </c>
      <c r="AS104" s="1" t="s">
        <v>74</v>
      </c>
      <c r="AT104" s="1" t="s">
        <v>1198</v>
      </c>
      <c r="AU104" s="1">
        <v>2020.0</v>
      </c>
      <c r="AV104" s="1">
        <v>338.0</v>
      </c>
      <c r="AW104" s="1" t="s">
        <v>74</v>
      </c>
      <c r="AX104" s="1" t="s">
        <v>74</v>
      </c>
      <c r="AY104" s="1" t="s">
        <v>74</v>
      </c>
      <c r="AZ104" s="1" t="s">
        <v>74</v>
      </c>
      <c r="BA104" s="1" t="s">
        <v>74</v>
      </c>
      <c r="BB104" s="1" t="s">
        <v>74</v>
      </c>
      <c r="BC104" s="1" t="s">
        <v>74</v>
      </c>
      <c r="BD104" s="1">
        <v>135858.0</v>
      </c>
      <c r="BE104" s="1" t="s">
        <v>1199</v>
      </c>
      <c r="BF104" s="2" t="str">
        <f>HYPERLINK("http://dx.doi.org/10.1016/j.electacta.2020.135858","http://dx.doi.org/10.1016/j.electacta.2020.135858")</f>
        <v>http://dx.doi.org/10.1016/j.electacta.2020.135858</v>
      </c>
      <c r="BG104" s="1" t="s">
        <v>74</v>
      </c>
      <c r="BH104" s="1" t="s">
        <v>74</v>
      </c>
      <c r="BI104" s="1" t="s">
        <v>74</v>
      </c>
      <c r="BJ104" s="1" t="s">
        <v>74</v>
      </c>
      <c r="BK104" s="1" t="s">
        <v>74</v>
      </c>
      <c r="BL104" s="1" t="s">
        <v>74</v>
      </c>
      <c r="BM104" s="1" t="s">
        <v>74</v>
      </c>
      <c r="BN104" s="1" t="s">
        <v>74</v>
      </c>
      <c r="BO104" s="1" t="s">
        <v>74</v>
      </c>
      <c r="BP104" s="1" t="s">
        <v>74</v>
      </c>
      <c r="BQ104" s="1" t="s">
        <v>74</v>
      </c>
      <c r="BR104" s="1" t="s">
        <v>74</v>
      </c>
      <c r="BS104" s="1" t="s">
        <v>1200</v>
      </c>
      <c r="BT104" s="1" t="str">
        <f>HYPERLINK("https%3A%2F%2Fwww.webofscience.com%2Fwos%2Fwoscc%2Ffull-record%2FWOS:000517758800051","View Full Record in Web of Science")</f>
        <v>View Full Record in Web of Science</v>
      </c>
    </row>
    <row r="105" ht="12.75" customHeight="1">
      <c r="A105" s="1" t="s">
        <v>72</v>
      </c>
      <c r="B105" s="1" t="s">
        <v>1201</v>
      </c>
      <c r="C105" s="1" t="s">
        <v>74</v>
      </c>
      <c r="D105" s="1" t="s">
        <v>74</v>
      </c>
      <c r="E105" s="1" t="s">
        <v>74</v>
      </c>
      <c r="F105" s="1" t="s">
        <v>1202</v>
      </c>
      <c r="G105" s="1" t="s">
        <v>74</v>
      </c>
      <c r="H105" s="1" t="s">
        <v>74</v>
      </c>
      <c r="I105" s="1" t="s">
        <v>1203</v>
      </c>
      <c r="J105" s="1" t="s">
        <v>1204</v>
      </c>
      <c r="K105" s="1" t="s">
        <v>74</v>
      </c>
      <c r="L105" s="1" t="s">
        <v>74</v>
      </c>
      <c r="M105" s="1" t="s">
        <v>74</v>
      </c>
      <c r="N105" s="1" t="s">
        <v>74</v>
      </c>
      <c r="O105" s="1" t="s">
        <v>74</v>
      </c>
      <c r="P105" s="1" t="s">
        <v>74</v>
      </c>
      <c r="Q105" s="1" t="s">
        <v>74</v>
      </c>
      <c r="R105" s="1" t="s">
        <v>74</v>
      </c>
      <c r="S105" s="1" t="s">
        <v>74</v>
      </c>
      <c r="T105" s="1" t="s">
        <v>74</v>
      </c>
      <c r="U105" s="1" t="s">
        <v>74</v>
      </c>
      <c r="V105" s="1" t="s">
        <v>1205</v>
      </c>
      <c r="W105" s="1" t="s">
        <v>74</v>
      </c>
      <c r="X105" s="1" t="s">
        <v>74</v>
      </c>
      <c r="Y105" s="1" t="s">
        <v>74</v>
      </c>
      <c r="Z105" s="1" t="s">
        <v>74</v>
      </c>
      <c r="AA105" s="1" t="s">
        <v>1206</v>
      </c>
      <c r="AB105" s="1" t="s">
        <v>1207</v>
      </c>
      <c r="AC105" s="1" t="s">
        <v>74</v>
      </c>
      <c r="AD105" s="1" t="s">
        <v>74</v>
      </c>
      <c r="AE105" s="1" t="s">
        <v>74</v>
      </c>
      <c r="AF105" s="1" t="s">
        <v>74</v>
      </c>
      <c r="AG105" s="1" t="s">
        <v>74</v>
      </c>
      <c r="AH105" s="1" t="s">
        <v>74</v>
      </c>
      <c r="AI105" s="1" t="s">
        <v>74</v>
      </c>
      <c r="AJ105" s="1" t="s">
        <v>74</v>
      </c>
      <c r="AK105" s="1" t="s">
        <v>74</v>
      </c>
      <c r="AL105" s="1" t="s">
        <v>74</v>
      </c>
      <c r="AM105" s="1" t="s">
        <v>74</v>
      </c>
      <c r="AN105" s="1" t="s">
        <v>74</v>
      </c>
      <c r="AO105" s="1" t="s">
        <v>1208</v>
      </c>
      <c r="AP105" s="1" t="s">
        <v>1209</v>
      </c>
      <c r="AQ105" s="1" t="s">
        <v>74</v>
      </c>
      <c r="AR105" s="1" t="s">
        <v>74</v>
      </c>
      <c r="AS105" s="1" t="s">
        <v>74</v>
      </c>
      <c r="AT105" s="1" t="s">
        <v>1210</v>
      </c>
      <c r="AU105" s="1">
        <v>2020.0</v>
      </c>
      <c r="AV105" s="1">
        <v>29.0</v>
      </c>
      <c r="AW105" s="1">
        <v>3.0</v>
      </c>
      <c r="AX105" s="1" t="s">
        <v>74</v>
      </c>
      <c r="AY105" s="1" t="s">
        <v>74</v>
      </c>
      <c r="AZ105" s="1" t="s">
        <v>74</v>
      </c>
      <c r="BA105" s="1" t="s">
        <v>74</v>
      </c>
      <c r="BB105" s="1">
        <v>503.0</v>
      </c>
      <c r="BC105" s="1">
        <v>512.0</v>
      </c>
      <c r="BD105" s="1" t="s">
        <v>74</v>
      </c>
      <c r="BE105" s="1" t="s">
        <v>1211</v>
      </c>
      <c r="BF105" s="2" t="str">
        <f>HYPERLINK("http://dx.doi.org/10.1080/10618600.2020.1724544","http://dx.doi.org/10.1080/10618600.2020.1724544")</f>
        <v>http://dx.doi.org/10.1080/10618600.2020.1724544</v>
      </c>
      <c r="BG105" s="1" t="s">
        <v>74</v>
      </c>
      <c r="BH105" s="1" t="s">
        <v>1212</v>
      </c>
      <c r="BI105" s="1" t="s">
        <v>74</v>
      </c>
      <c r="BJ105" s="1" t="s">
        <v>74</v>
      </c>
      <c r="BK105" s="1" t="s">
        <v>74</v>
      </c>
      <c r="BL105" s="1" t="s">
        <v>74</v>
      </c>
      <c r="BM105" s="1" t="s">
        <v>74</v>
      </c>
      <c r="BN105" s="1" t="s">
        <v>74</v>
      </c>
      <c r="BO105" s="1" t="s">
        <v>74</v>
      </c>
      <c r="BP105" s="1" t="s">
        <v>74</v>
      </c>
      <c r="BQ105" s="1" t="s">
        <v>74</v>
      </c>
      <c r="BR105" s="1" t="s">
        <v>74</v>
      </c>
      <c r="BS105" s="1" t="s">
        <v>1213</v>
      </c>
      <c r="BT105" s="1" t="str">
        <f>HYPERLINK("https%3A%2F%2Fwww.webofscience.com%2Fwos%2Fwoscc%2Ffull-record%2FWOS:000519484200001","View Full Record in Web of Science")</f>
        <v>View Full Record in Web of Science</v>
      </c>
    </row>
    <row r="106" ht="12.75" customHeight="1">
      <c r="A106" s="1" t="s">
        <v>647</v>
      </c>
      <c r="B106" s="1" t="s">
        <v>1214</v>
      </c>
      <c r="C106" s="1" t="s">
        <v>74</v>
      </c>
      <c r="D106" s="1" t="s">
        <v>74</v>
      </c>
      <c r="E106" s="1" t="s">
        <v>649</v>
      </c>
      <c r="F106" s="1" t="s">
        <v>1215</v>
      </c>
      <c r="G106" s="1" t="s">
        <v>74</v>
      </c>
      <c r="H106" s="1" t="s">
        <v>74</v>
      </c>
      <c r="I106" s="1" t="s">
        <v>1216</v>
      </c>
      <c r="J106" s="1" t="s">
        <v>1217</v>
      </c>
      <c r="K106" s="1" t="s">
        <v>74</v>
      </c>
      <c r="L106" s="1" t="s">
        <v>74</v>
      </c>
      <c r="M106" s="1" t="s">
        <v>74</v>
      </c>
      <c r="N106" s="1" t="s">
        <v>74</v>
      </c>
      <c r="O106" s="1" t="s">
        <v>1218</v>
      </c>
      <c r="P106" s="1" t="s">
        <v>1219</v>
      </c>
      <c r="Q106" s="1" t="s">
        <v>952</v>
      </c>
      <c r="R106" s="1" t="s">
        <v>74</v>
      </c>
      <c r="S106" s="1" t="s">
        <v>74</v>
      </c>
      <c r="T106" s="1" t="s">
        <v>74</v>
      </c>
      <c r="U106" s="1" t="s">
        <v>74</v>
      </c>
      <c r="V106" s="1" t="s">
        <v>1220</v>
      </c>
      <c r="W106" s="1" t="s">
        <v>74</v>
      </c>
      <c r="X106" s="1" t="s">
        <v>74</v>
      </c>
      <c r="Y106" s="1" t="s">
        <v>74</v>
      </c>
      <c r="Z106" s="1" t="s">
        <v>74</v>
      </c>
      <c r="AA106" s="1" t="s">
        <v>1221</v>
      </c>
      <c r="AB106" s="1" t="s">
        <v>74</v>
      </c>
      <c r="AC106" s="1" t="s">
        <v>74</v>
      </c>
      <c r="AD106" s="1" t="s">
        <v>74</v>
      </c>
      <c r="AE106" s="1" t="s">
        <v>74</v>
      </c>
      <c r="AF106" s="1" t="s">
        <v>74</v>
      </c>
      <c r="AG106" s="1" t="s">
        <v>74</v>
      </c>
      <c r="AH106" s="1" t="s">
        <v>74</v>
      </c>
      <c r="AI106" s="1" t="s">
        <v>74</v>
      </c>
      <c r="AJ106" s="1" t="s">
        <v>74</v>
      </c>
      <c r="AK106" s="1" t="s">
        <v>74</v>
      </c>
      <c r="AL106" s="1" t="s">
        <v>74</v>
      </c>
      <c r="AM106" s="1" t="s">
        <v>74</v>
      </c>
      <c r="AN106" s="1" t="s">
        <v>74</v>
      </c>
      <c r="AO106" s="1" t="s">
        <v>74</v>
      </c>
      <c r="AP106" s="1" t="s">
        <v>74</v>
      </c>
      <c r="AQ106" s="1" t="s">
        <v>1222</v>
      </c>
      <c r="AR106" s="1" t="s">
        <v>74</v>
      </c>
      <c r="AS106" s="1" t="s">
        <v>74</v>
      </c>
      <c r="AT106" s="1" t="s">
        <v>74</v>
      </c>
      <c r="AU106" s="1">
        <v>2020.0</v>
      </c>
      <c r="AV106" s="1" t="s">
        <v>74</v>
      </c>
      <c r="AW106" s="1" t="s">
        <v>74</v>
      </c>
      <c r="AX106" s="1" t="s">
        <v>74</v>
      </c>
      <c r="AY106" s="1" t="s">
        <v>74</v>
      </c>
      <c r="AZ106" s="1" t="s">
        <v>74</v>
      </c>
      <c r="BA106" s="1" t="s">
        <v>74</v>
      </c>
      <c r="BB106" s="1" t="s">
        <v>74</v>
      </c>
      <c r="BC106" s="1" t="s">
        <v>74</v>
      </c>
      <c r="BD106" s="1" t="s">
        <v>74</v>
      </c>
      <c r="BE106" s="1" t="s">
        <v>74</v>
      </c>
      <c r="BF106" s="1" t="s">
        <v>74</v>
      </c>
      <c r="BG106" s="1" t="s">
        <v>74</v>
      </c>
      <c r="BH106" s="1" t="s">
        <v>74</v>
      </c>
      <c r="BI106" s="1" t="s">
        <v>74</v>
      </c>
      <c r="BJ106" s="1" t="s">
        <v>74</v>
      </c>
      <c r="BK106" s="1" t="s">
        <v>74</v>
      </c>
      <c r="BL106" s="1" t="s">
        <v>74</v>
      </c>
      <c r="BM106" s="1" t="s">
        <v>74</v>
      </c>
      <c r="BN106" s="1" t="s">
        <v>74</v>
      </c>
      <c r="BO106" s="1" t="s">
        <v>74</v>
      </c>
      <c r="BP106" s="1" t="s">
        <v>74</v>
      </c>
      <c r="BQ106" s="1" t="s">
        <v>74</v>
      </c>
      <c r="BR106" s="1" t="s">
        <v>74</v>
      </c>
      <c r="BS106" s="1" t="s">
        <v>1223</v>
      </c>
      <c r="BT106" s="1" t="str">
        <f>HYPERLINK("https%3A%2F%2Fwww.webofscience.com%2Fwos%2Fwoscc%2Ffull-record%2FWOS:001331796100072","View Full Record in Web of Science")</f>
        <v>View Full Record in Web of Science</v>
      </c>
    </row>
    <row r="107" ht="12.75" customHeight="1">
      <c r="A107" s="1" t="s">
        <v>72</v>
      </c>
      <c r="B107" s="1" t="s">
        <v>1224</v>
      </c>
      <c r="C107" s="1" t="s">
        <v>74</v>
      </c>
      <c r="D107" s="1" t="s">
        <v>74</v>
      </c>
      <c r="E107" s="1" t="s">
        <v>74</v>
      </c>
      <c r="F107" s="1" t="s">
        <v>1225</v>
      </c>
      <c r="G107" s="1" t="s">
        <v>74</v>
      </c>
      <c r="H107" s="1" t="s">
        <v>74</v>
      </c>
      <c r="I107" s="1" t="s">
        <v>1226</v>
      </c>
      <c r="J107" s="1" t="s">
        <v>1227</v>
      </c>
      <c r="K107" s="1" t="s">
        <v>74</v>
      </c>
      <c r="L107" s="1" t="s">
        <v>74</v>
      </c>
      <c r="M107" s="1" t="s">
        <v>74</v>
      </c>
      <c r="N107" s="1" t="s">
        <v>74</v>
      </c>
      <c r="O107" s="1" t="s">
        <v>74</v>
      </c>
      <c r="P107" s="1" t="s">
        <v>74</v>
      </c>
      <c r="Q107" s="1" t="s">
        <v>74</v>
      </c>
      <c r="R107" s="1" t="s">
        <v>74</v>
      </c>
      <c r="S107" s="1" t="s">
        <v>74</v>
      </c>
      <c r="T107" s="1" t="s">
        <v>74</v>
      </c>
      <c r="U107" s="1" t="s">
        <v>74</v>
      </c>
      <c r="V107" s="1" t="s">
        <v>1228</v>
      </c>
      <c r="W107" s="1" t="s">
        <v>74</v>
      </c>
      <c r="X107" s="1" t="s">
        <v>74</v>
      </c>
      <c r="Y107" s="1" t="s">
        <v>74</v>
      </c>
      <c r="Z107" s="1" t="s">
        <v>74</v>
      </c>
      <c r="AA107" s="1" t="s">
        <v>74</v>
      </c>
      <c r="AB107" s="1" t="s">
        <v>1229</v>
      </c>
      <c r="AC107" s="1" t="s">
        <v>74</v>
      </c>
      <c r="AD107" s="1" t="s">
        <v>74</v>
      </c>
      <c r="AE107" s="1" t="s">
        <v>74</v>
      </c>
      <c r="AF107" s="1" t="s">
        <v>74</v>
      </c>
      <c r="AG107" s="1" t="s">
        <v>74</v>
      </c>
      <c r="AH107" s="1" t="s">
        <v>74</v>
      </c>
      <c r="AI107" s="1" t="s">
        <v>74</v>
      </c>
      <c r="AJ107" s="1" t="s">
        <v>74</v>
      </c>
      <c r="AK107" s="1" t="s">
        <v>74</v>
      </c>
      <c r="AL107" s="1" t="s">
        <v>74</v>
      </c>
      <c r="AM107" s="1" t="s">
        <v>74</v>
      </c>
      <c r="AN107" s="1" t="s">
        <v>74</v>
      </c>
      <c r="AO107" s="1" t="s">
        <v>1230</v>
      </c>
      <c r="AP107" s="1" t="s">
        <v>1231</v>
      </c>
      <c r="AQ107" s="1" t="s">
        <v>74</v>
      </c>
      <c r="AR107" s="1" t="s">
        <v>74</v>
      </c>
      <c r="AS107" s="1" t="s">
        <v>74</v>
      </c>
      <c r="AT107" s="1" t="s">
        <v>559</v>
      </c>
      <c r="AU107" s="1">
        <v>2019.0</v>
      </c>
      <c r="AV107" s="1">
        <v>19.0</v>
      </c>
      <c r="AW107" s="1">
        <v>12.0</v>
      </c>
      <c r="AX107" s="1" t="s">
        <v>74</v>
      </c>
      <c r="AY107" s="1" t="s">
        <v>74</v>
      </c>
      <c r="AZ107" s="1" t="s">
        <v>74</v>
      </c>
      <c r="BA107" s="1" t="s">
        <v>74</v>
      </c>
      <c r="BB107" s="1">
        <v>8112.0</v>
      </c>
      <c r="BC107" s="1">
        <v>8119.0</v>
      </c>
      <c r="BD107" s="1" t="s">
        <v>74</v>
      </c>
      <c r="BE107" s="1" t="s">
        <v>1232</v>
      </c>
      <c r="BF107" s="2" t="str">
        <f>HYPERLINK("http://dx.doi.org/10.1166/jnn.2019.16766","http://dx.doi.org/10.1166/jnn.2019.16766")</f>
        <v>http://dx.doi.org/10.1166/jnn.2019.16766</v>
      </c>
      <c r="BG107" s="1" t="s">
        <v>74</v>
      </c>
      <c r="BH107" s="1" t="s">
        <v>74</v>
      </c>
      <c r="BI107" s="1" t="s">
        <v>74</v>
      </c>
      <c r="BJ107" s="1" t="s">
        <v>74</v>
      </c>
      <c r="BK107" s="1" t="s">
        <v>74</v>
      </c>
      <c r="BL107" s="1" t="s">
        <v>74</v>
      </c>
      <c r="BM107" s="1" t="s">
        <v>74</v>
      </c>
      <c r="BN107" s="1">
        <v>3.1196333E7</v>
      </c>
      <c r="BO107" s="1" t="s">
        <v>74</v>
      </c>
      <c r="BP107" s="1" t="s">
        <v>74</v>
      </c>
      <c r="BQ107" s="1" t="s">
        <v>74</v>
      </c>
      <c r="BR107" s="1" t="s">
        <v>74</v>
      </c>
      <c r="BS107" s="1" t="s">
        <v>1233</v>
      </c>
      <c r="BT107" s="1" t="str">
        <f>HYPERLINK("https%3A%2F%2Fwww.webofscience.com%2Fwos%2Fwoscc%2Ffull-record%2FWOS:000473105800080","View Full Record in Web of Science")</f>
        <v>View Full Record in Web of Science</v>
      </c>
    </row>
    <row r="108" ht="12.75" customHeight="1">
      <c r="A108" s="1" t="s">
        <v>72</v>
      </c>
      <c r="B108" s="1" t="s">
        <v>1234</v>
      </c>
      <c r="C108" s="1" t="s">
        <v>74</v>
      </c>
      <c r="D108" s="1" t="s">
        <v>74</v>
      </c>
      <c r="E108" s="1" t="s">
        <v>74</v>
      </c>
      <c r="F108" s="1" t="s">
        <v>1235</v>
      </c>
      <c r="G108" s="1" t="s">
        <v>74</v>
      </c>
      <c r="H108" s="1" t="s">
        <v>74</v>
      </c>
      <c r="I108" s="1" t="s">
        <v>1236</v>
      </c>
      <c r="J108" s="1" t="s">
        <v>1237</v>
      </c>
      <c r="K108" s="1" t="s">
        <v>74</v>
      </c>
      <c r="L108" s="1" t="s">
        <v>74</v>
      </c>
      <c r="M108" s="1" t="s">
        <v>74</v>
      </c>
      <c r="N108" s="1" t="s">
        <v>74</v>
      </c>
      <c r="O108" s="1" t="s">
        <v>74</v>
      </c>
      <c r="P108" s="1" t="s">
        <v>74</v>
      </c>
      <c r="Q108" s="1" t="s">
        <v>74</v>
      </c>
      <c r="R108" s="1" t="s">
        <v>74</v>
      </c>
      <c r="S108" s="1" t="s">
        <v>74</v>
      </c>
      <c r="T108" s="1" t="s">
        <v>74</v>
      </c>
      <c r="U108" s="1" t="s">
        <v>74</v>
      </c>
      <c r="V108" s="1" t="s">
        <v>1238</v>
      </c>
      <c r="W108" s="1" t="s">
        <v>74</v>
      </c>
      <c r="X108" s="1" t="s">
        <v>74</v>
      </c>
      <c r="Y108" s="1" t="s">
        <v>74</v>
      </c>
      <c r="Z108" s="1" t="s">
        <v>74</v>
      </c>
      <c r="AA108" s="1" t="s">
        <v>1239</v>
      </c>
      <c r="AB108" s="1" t="s">
        <v>1240</v>
      </c>
      <c r="AC108" s="1" t="s">
        <v>74</v>
      </c>
      <c r="AD108" s="1" t="s">
        <v>74</v>
      </c>
      <c r="AE108" s="1" t="s">
        <v>74</v>
      </c>
      <c r="AF108" s="1" t="s">
        <v>74</v>
      </c>
      <c r="AG108" s="1" t="s">
        <v>74</v>
      </c>
      <c r="AH108" s="1" t="s">
        <v>74</v>
      </c>
      <c r="AI108" s="1" t="s">
        <v>74</v>
      </c>
      <c r="AJ108" s="1" t="s">
        <v>74</v>
      </c>
      <c r="AK108" s="1" t="s">
        <v>74</v>
      </c>
      <c r="AL108" s="1" t="s">
        <v>74</v>
      </c>
      <c r="AM108" s="1" t="s">
        <v>74</v>
      </c>
      <c r="AN108" s="1" t="s">
        <v>74</v>
      </c>
      <c r="AO108" s="1" t="s">
        <v>74</v>
      </c>
      <c r="AP108" s="1" t="s">
        <v>1241</v>
      </c>
      <c r="AQ108" s="1" t="s">
        <v>74</v>
      </c>
      <c r="AR108" s="1" t="s">
        <v>74</v>
      </c>
      <c r="AS108" s="1" t="s">
        <v>74</v>
      </c>
      <c r="AT108" s="1" t="s">
        <v>1242</v>
      </c>
      <c r="AU108" s="1">
        <v>2019.0</v>
      </c>
      <c r="AV108" s="1">
        <v>18.0</v>
      </c>
      <c r="AW108" s="1" t="s">
        <v>74</v>
      </c>
      <c r="AX108" s="1" t="s">
        <v>74</v>
      </c>
      <c r="AY108" s="1" t="s">
        <v>74</v>
      </c>
      <c r="AZ108" s="1" t="s">
        <v>74</v>
      </c>
      <c r="BA108" s="1" t="s">
        <v>74</v>
      </c>
      <c r="BB108" s="1" t="s">
        <v>74</v>
      </c>
      <c r="BC108" s="1" t="s">
        <v>74</v>
      </c>
      <c r="BD108" s="1">
        <v>23.0</v>
      </c>
      <c r="BE108" s="1" t="s">
        <v>1243</v>
      </c>
      <c r="BF108" s="2" t="str">
        <f>HYPERLINK("http://dx.doi.org/10.1186/s12944-019-0962-2","http://dx.doi.org/10.1186/s12944-019-0962-2")</f>
        <v>http://dx.doi.org/10.1186/s12944-019-0962-2</v>
      </c>
      <c r="BG108" s="1" t="s">
        <v>74</v>
      </c>
      <c r="BH108" s="1" t="s">
        <v>74</v>
      </c>
      <c r="BI108" s="1" t="s">
        <v>74</v>
      </c>
      <c r="BJ108" s="1" t="s">
        <v>74</v>
      </c>
      <c r="BK108" s="1" t="s">
        <v>74</v>
      </c>
      <c r="BL108" s="1" t="s">
        <v>74</v>
      </c>
      <c r="BM108" s="1" t="s">
        <v>74</v>
      </c>
      <c r="BN108" s="1">
        <v>3.0670052E7</v>
      </c>
      <c r="BO108" s="1" t="s">
        <v>74</v>
      </c>
      <c r="BP108" s="1" t="s">
        <v>74</v>
      </c>
      <c r="BQ108" s="1" t="s">
        <v>74</v>
      </c>
      <c r="BR108" s="1" t="s">
        <v>74</v>
      </c>
      <c r="BS108" s="1" t="s">
        <v>1244</v>
      </c>
      <c r="BT108" s="1" t="str">
        <f>HYPERLINK("https%3A%2F%2Fwww.webofscience.com%2Fwos%2Fwoscc%2Ffull-record%2FWOS:000456450500001","View Full Record in Web of Science")</f>
        <v>View Full Record in Web of Science</v>
      </c>
    </row>
    <row r="109" ht="12.75" customHeight="1">
      <c r="A109" s="1" t="s">
        <v>72</v>
      </c>
      <c r="B109" s="1" t="s">
        <v>1245</v>
      </c>
      <c r="C109" s="1" t="s">
        <v>74</v>
      </c>
      <c r="D109" s="1" t="s">
        <v>74</v>
      </c>
      <c r="E109" s="1" t="s">
        <v>74</v>
      </c>
      <c r="F109" s="1" t="s">
        <v>1246</v>
      </c>
      <c r="G109" s="1" t="s">
        <v>74</v>
      </c>
      <c r="H109" s="1" t="s">
        <v>74</v>
      </c>
      <c r="I109" s="1" t="s">
        <v>1247</v>
      </c>
      <c r="J109" s="1" t="s">
        <v>1248</v>
      </c>
      <c r="K109" s="1" t="s">
        <v>74</v>
      </c>
      <c r="L109" s="1" t="s">
        <v>74</v>
      </c>
      <c r="M109" s="1" t="s">
        <v>74</v>
      </c>
      <c r="N109" s="1" t="s">
        <v>74</v>
      </c>
      <c r="O109" s="1" t="s">
        <v>1249</v>
      </c>
      <c r="P109" s="1" t="s">
        <v>1250</v>
      </c>
      <c r="Q109" s="1" t="s">
        <v>1251</v>
      </c>
      <c r="R109" s="1" t="s">
        <v>1252</v>
      </c>
      <c r="S109" s="1" t="s">
        <v>74</v>
      </c>
      <c r="T109" s="1" t="s">
        <v>74</v>
      </c>
      <c r="U109" s="1" t="s">
        <v>74</v>
      </c>
      <c r="V109" s="1" t="s">
        <v>1253</v>
      </c>
      <c r="W109" s="1" t="s">
        <v>74</v>
      </c>
      <c r="X109" s="1" t="s">
        <v>74</v>
      </c>
      <c r="Y109" s="1" t="s">
        <v>74</v>
      </c>
      <c r="Z109" s="1" t="s">
        <v>74</v>
      </c>
      <c r="AA109" s="1" t="s">
        <v>1254</v>
      </c>
      <c r="AB109" s="1" t="s">
        <v>1255</v>
      </c>
      <c r="AC109" s="1" t="s">
        <v>74</v>
      </c>
      <c r="AD109" s="1" t="s">
        <v>74</v>
      </c>
      <c r="AE109" s="1" t="s">
        <v>74</v>
      </c>
      <c r="AF109" s="1" t="s">
        <v>74</v>
      </c>
      <c r="AG109" s="1" t="s">
        <v>74</v>
      </c>
      <c r="AH109" s="1" t="s">
        <v>74</v>
      </c>
      <c r="AI109" s="1" t="s">
        <v>74</v>
      </c>
      <c r="AJ109" s="1" t="s">
        <v>74</v>
      </c>
      <c r="AK109" s="1" t="s">
        <v>74</v>
      </c>
      <c r="AL109" s="1" t="s">
        <v>74</v>
      </c>
      <c r="AM109" s="1" t="s">
        <v>74</v>
      </c>
      <c r="AN109" s="1" t="s">
        <v>74</v>
      </c>
      <c r="AO109" s="1" t="s">
        <v>1256</v>
      </c>
      <c r="AP109" s="1" t="s">
        <v>1257</v>
      </c>
      <c r="AQ109" s="1" t="s">
        <v>74</v>
      </c>
      <c r="AR109" s="1" t="s">
        <v>74</v>
      </c>
      <c r="AS109" s="1" t="s">
        <v>74</v>
      </c>
      <c r="AT109" s="1" t="s">
        <v>559</v>
      </c>
      <c r="AU109" s="1">
        <v>2018.0</v>
      </c>
      <c r="AV109" s="1">
        <v>98.0</v>
      </c>
      <c r="AW109" s="1">
        <v>8.0</v>
      </c>
      <c r="AX109" s="1" t="s">
        <v>74</v>
      </c>
      <c r="AY109" s="1" t="s">
        <v>74</v>
      </c>
      <c r="AZ109" s="1" t="s">
        <v>399</v>
      </c>
      <c r="BA109" s="1" t="s">
        <v>74</v>
      </c>
      <c r="BB109" s="1">
        <v>1977.0</v>
      </c>
      <c r="BC109" s="1">
        <v>1990.0</v>
      </c>
      <c r="BD109" s="1" t="s">
        <v>74</v>
      </c>
      <c r="BE109" s="1" t="s">
        <v>1258</v>
      </c>
      <c r="BF109" s="2" t="str">
        <f>HYPERLINK("http://dx.doi.org/10.1017/S002531541700145X","http://dx.doi.org/10.1017/S002531541700145X")</f>
        <v>http://dx.doi.org/10.1017/S002531541700145X</v>
      </c>
      <c r="BG109" s="1" t="s">
        <v>74</v>
      </c>
      <c r="BH109" s="1" t="s">
        <v>74</v>
      </c>
      <c r="BI109" s="1" t="s">
        <v>74</v>
      </c>
      <c r="BJ109" s="1" t="s">
        <v>74</v>
      </c>
      <c r="BK109" s="1" t="s">
        <v>74</v>
      </c>
      <c r="BL109" s="1" t="s">
        <v>74</v>
      </c>
      <c r="BM109" s="1" t="s">
        <v>74</v>
      </c>
      <c r="BN109" s="1" t="s">
        <v>74</v>
      </c>
      <c r="BO109" s="1" t="s">
        <v>74</v>
      </c>
      <c r="BP109" s="1" t="s">
        <v>74</v>
      </c>
      <c r="BQ109" s="1" t="s">
        <v>74</v>
      </c>
      <c r="BR109" s="1" t="s">
        <v>74</v>
      </c>
      <c r="BS109" s="1" t="s">
        <v>1259</v>
      </c>
      <c r="BT109" s="1" t="str">
        <f>HYPERLINK("https%3A%2F%2Fwww.webofscience.com%2Fwos%2Fwoscc%2Ffull-record%2FWOS:000454077300013","View Full Record in Web of Science")</f>
        <v>View Full Record in Web of Science</v>
      </c>
    </row>
    <row r="110" ht="12.75" customHeight="1">
      <c r="A110" s="1" t="s">
        <v>72</v>
      </c>
      <c r="B110" s="1" t="s">
        <v>1260</v>
      </c>
      <c r="C110" s="1" t="s">
        <v>74</v>
      </c>
      <c r="D110" s="1" t="s">
        <v>74</v>
      </c>
      <c r="E110" s="1" t="s">
        <v>74</v>
      </c>
      <c r="F110" s="1" t="s">
        <v>1261</v>
      </c>
      <c r="G110" s="1" t="s">
        <v>74</v>
      </c>
      <c r="H110" s="1" t="s">
        <v>74</v>
      </c>
      <c r="I110" s="1" t="s">
        <v>1262</v>
      </c>
      <c r="J110" s="1" t="s">
        <v>1263</v>
      </c>
      <c r="K110" s="1" t="s">
        <v>74</v>
      </c>
      <c r="L110" s="1" t="s">
        <v>74</v>
      </c>
      <c r="M110" s="1" t="s">
        <v>74</v>
      </c>
      <c r="N110" s="1" t="s">
        <v>74</v>
      </c>
      <c r="O110" s="1" t="s">
        <v>74</v>
      </c>
      <c r="P110" s="1" t="s">
        <v>74</v>
      </c>
      <c r="Q110" s="1" t="s">
        <v>74</v>
      </c>
      <c r="R110" s="1" t="s">
        <v>74</v>
      </c>
      <c r="S110" s="1" t="s">
        <v>74</v>
      </c>
      <c r="T110" s="1" t="s">
        <v>74</v>
      </c>
      <c r="U110" s="1" t="s">
        <v>74</v>
      </c>
      <c r="V110" s="1" t="s">
        <v>1264</v>
      </c>
      <c r="W110" s="1" t="s">
        <v>74</v>
      </c>
      <c r="X110" s="1" t="s">
        <v>74</v>
      </c>
      <c r="Y110" s="1" t="s">
        <v>74</v>
      </c>
      <c r="Z110" s="1" t="s">
        <v>74</v>
      </c>
      <c r="AA110" s="1" t="s">
        <v>1265</v>
      </c>
      <c r="AB110" s="1" t="s">
        <v>1266</v>
      </c>
      <c r="AC110" s="1" t="s">
        <v>74</v>
      </c>
      <c r="AD110" s="1" t="s">
        <v>74</v>
      </c>
      <c r="AE110" s="1" t="s">
        <v>74</v>
      </c>
      <c r="AF110" s="1" t="s">
        <v>74</v>
      </c>
      <c r="AG110" s="1" t="s">
        <v>74</v>
      </c>
      <c r="AH110" s="1" t="s">
        <v>74</v>
      </c>
      <c r="AI110" s="1" t="s">
        <v>74</v>
      </c>
      <c r="AJ110" s="1" t="s">
        <v>74</v>
      </c>
      <c r="AK110" s="1" t="s">
        <v>74</v>
      </c>
      <c r="AL110" s="1" t="s">
        <v>74</v>
      </c>
      <c r="AM110" s="1" t="s">
        <v>74</v>
      </c>
      <c r="AN110" s="1" t="s">
        <v>74</v>
      </c>
      <c r="AO110" s="1" t="s">
        <v>1267</v>
      </c>
      <c r="AP110" s="1" t="s">
        <v>1268</v>
      </c>
      <c r="AQ110" s="1" t="s">
        <v>74</v>
      </c>
      <c r="AR110" s="1" t="s">
        <v>74</v>
      </c>
      <c r="AS110" s="1" t="s">
        <v>74</v>
      </c>
      <c r="AT110" s="1" t="s">
        <v>464</v>
      </c>
      <c r="AU110" s="1">
        <v>2018.0</v>
      </c>
      <c r="AV110" s="1">
        <v>473.0</v>
      </c>
      <c r="AW110" s="1">
        <v>2.0</v>
      </c>
      <c r="AX110" s="1" t="s">
        <v>74</v>
      </c>
      <c r="AY110" s="1" t="s">
        <v>74</v>
      </c>
      <c r="AZ110" s="1" t="s">
        <v>74</v>
      </c>
      <c r="BA110" s="1" t="s">
        <v>74</v>
      </c>
      <c r="BB110" s="1">
        <v>1644.0</v>
      </c>
      <c r="BC110" s="1">
        <v>1655.0</v>
      </c>
      <c r="BD110" s="1" t="s">
        <v>74</v>
      </c>
      <c r="BE110" s="1" t="s">
        <v>1269</v>
      </c>
      <c r="BF110" s="2" t="str">
        <f>HYPERLINK("http://dx.doi.org/10.1093/mnras/stx2429","http://dx.doi.org/10.1093/mnras/stx2429")</f>
        <v>http://dx.doi.org/10.1093/mnras/stx2429</v>
      </c>
      <c r="BG110" s="1" t="s">
        <v>74</v>
      </c>
      <c r="BH110" s="1" t="s">
        <v>74</v>
      </c>
      <c r="BI110" s="1" t="s">
        <v>74</v>
      </c>
      <c r="BJ110" s="1" t="s">
        <v>74</v>
      </c>
      <c r="BK110" s="1" t="s">
        <v>74</v>
      </c>
      <c r="BL110" s="1" t="s">
        <v>74</v>
      </c>
      <c r="BM110" s="1" t="s">
        <v>74</v>
      </c>
      <c r="BN110" s="1" t="s">
        <v>74</v>
      </c>
      <c r="BO110" s="1" t="s">
        <v>74</v>
      </c>
      <c r="BP110" s="1" t="s">
        <v>74</v>
      </c>
      <c r="BQ110" s="1" t="s">
        <v>74</v>
      </c>
      <c r="BR110" s="1" t="s">
        <v>74</v>
      </c>
      <c r="BS110" s="1" t="s">
        <v>1270</v>
      </c>
      <c r="BT110" s="1" t="str">
        <f>HYPERLINK("https%3A%2F%2Fwww.webofscience.com%2Fwos%2Fwoscc%2Ffull-record%2FWOS:000423731200017","View Full Record in Web of Science")</f>
        <v>View Full Record in Web of Science</v>
      </c>
    </row>
    <row r="111" ht="12.75" customHeight="1">
      <c r="A111" s="1" t="s">
        <v>72</v>
      </c>
      <c r="B111" s="1" t="s">
        <v>1271</v>
      </c>
      <c r="C111" s="1" t="s">
        <v>74</v>
      </c>
      <c r="D111" s="1" t="s">
        <v>74</v>
      </c>
      <c r="E111" s="1" t="s">
        <v>74</v>
      </c>
      <c r="F111" s="1" t="s">
        <v>1272</v>
      </c>
      <c r="G111" s="1" t="s">
        <v>74</v>
      </c>
      <c r="H111" s="1" t="s">
        <v>74</v>
      </c>
      <c r="I111" s="1" t="s">
        <v>1273</v>
      </c>
      <c r="J111" s="1" t="s">
        <v>1274</v>
      </c>
      <c r="K111" s="1" t="s">
        <v>74</v>
      </c>
      <c r="L111" s="1" t="s">
        <v>74</v>
      </c>
      <c r="M111" s="1" t="s">
        <v>74</v>
      </c>
      <c r="N111" s="1" t="s">
        <v>74</v>
      </c>
      <c r="O111" s="1" t="s">
        <v>74</v>
      </c>
      <c r="P111" s="1" t="s">
        <v>74</v>
      </c>
      <c r="Q111" s="1" t="s">
        <v>74</v>
      </c>
      <c r="R111" s="1" t="s">
        <v>74</v>
      </c>
      <c r="S111" s="1" t="s">
        <v>74</v>
      </c>
      <c r="T111" s="1" t="s">
        <v>74</v>
      </c>
      <c r="U111" s="1" t="s">
        <v>74</v>
      </c>
      <c r="V111" s="1" t="s">
        <v>1275</v>
      </c>
      <c r="W111" s="1" t="s">
        <v>74</v>
      </c>
      <c r="X111" s="1" t="s">
        <v>74</v>
      </c>
      <c r="Y111" s="1" t="s">
        <v>74</v>
      </c>
      <c r="Z111" s="1" t="s">
        <v>74</v>
      </c>
      <c r="AA111" s="1" t="s">
        <v>1276</v>
      </c>
      <c r="AB111" s="1" t="s">
        <v>1277</v>
      </c>
      <c r="AC111" s="1" t="s">
        <v>74</v>
      </c>
      <c r="AD111" s="1" t="s">
        <v>74</v>
      </c>
      <c r="AE111" s="1" t="s">
        <v>74</v>
      </c>
      <c r="AF111" s="1" t="s">
        <v>74</v>
      </c>
      <c r="AG111" s="1" t="s">
        <v>74</v>
      </c>
      <c r="AH111" s="1" t="s">
        <v>74</v>
      </c>
      <c r="AI111" s="1" t="s">
        <v>74</v>
      </c>
      <c r="AJ111" s="1" t="s">
        <v>74</v>
      </c>
      <c r="AK111" s="1" t="s">
        <v>74</v>
      </c>
      <c r="AL111" s="1" t="s">
        <v>74</v>
      </c>
      <c r="AM111" s="1" t="s">
        <v>74</v>
      </c>
      <c r="AN111" s="1" t="s">
        <v>74</v>
      </c>
      <c r="AO111" s="1" t="s">
        <v>74</v>
      </c>
      <c r="AP111" s="1" t="s">
        <v>1278</v>
      </c>
      <c r="AQ111" s="1" t="s">
        <v>74</v>
      </c>
      <c r="AR111" s="1" t="s">
        <v>74</v>
      </c>
      <c r="AS111" s="1" t="s">
        <v>74</v>
      </c>
      <c r="AT111" s="1" t="s">
        <v>559</v>
      </c>
      <c r="AU111" s="1">
        <v>2017.0</v>
      </c>
      <c r="AV111" s="1">
        <v>13.0</v>
      </c>
      <c r="AW111" s="1">
        <v>12.0</v>
      </c>
      <c r="AX111" s="1" t="s">
        <v>74</v>
      </c>
      <c r="AY111" s="1" t="s">
        <v>74</v>
      </c>
      <c r="AZ111" s="1" t="s">
        <v>74</v>
      </c>
      <c r="BA111" s="1" t="s">
        <v>74</v>
      </c>
      <c r="BB111" s="1" t="s">
        <v>74</v>
      </c>
      <c r="BC111" s="1" t="s">
        <v>74</v>
      </c>
      <c r="BD111" s="1" t="s">
        <v>1279</v>
      </c>
      <c r="BE111" s="1" t="s">
        <v>1280</v>
      </c>
      <c r="BF111" s="2" t="str">
        <f>HYPERLINK("http://dx.doi.org/10.1371/journal.pcbi.1005891","http://dx.doi.org/10.1371/journal.pcbi.1005891")</f>
        <v>http://dx.doi.org/10.1371/journal.pcbi.1005891</v>
      </c>
      <c r="BG111" s="1" t="s">
        <v>74</v>
      </c>
      <c r="BH111" s="1" t="s">
        <v>74</v>
      </c>
      <c r="BI111" s="1" t="s">
        <v>74</v>
      </c>
      <c r="BJ111" s="1" t="s">
        <v>74</v>
      </c>
      <c r="BK111" s="1" t="s">
        <v>74</v>
      </c>
      <c r="BL111" s="1" t="s">
        <v>74</v>
      </c>
      <c r="BM111" s="1" t="s">
        <v>74</v>
      </c>
      <c r="BN111" s="1">
        <v>2.9253874E7</v>
      </c>
      <c r="BO111" s="1" t="s">
        <v>74</v>
      </c>
      <c r="BP111" s="1" t="s">
        <v>74</v>
      </c>
      <c r="BQ111" s="1" t="s">
        <v>74</v>
      </c>
      <c r="BR111" s="1" t="s">
        <v>74</v>
      </c>
      <c r="BS111" s="1" t="s">
        <v>1281</v>
      </c>
      <c r="BT111" s="1" t="str">
        <f>HYPERLINK("https%3A%2F%2Fwww.webofscience.com%2Fwos%2Fwoscc%2Ffull-record%2FWOS:000418951400025","View Full Record in Web of Science")</f>
        <v>View Full Record in Web of Science</v>
      </c>
    </row>
    <row r="112" ht="12.75" customHeight="1">
      <c r="A112" s="1" t="s">
        <v>72</v>
      </c>
      <c r="B112" s="1" t="s">
        <v>1282</v>
      </c>
      <c r="C112" s="1" t="s">
        <v>74</v>
      </c>
      <c r="D112" s="1" t="s">
        <v>74</v>
      </c>
      <c r="E112" s="1" t="s">
        <v>74</v>
      </c>
      <c r="F112" s="1" t="s">
        <v>1283</v>
      </c>
      <c r="G112" s="1" t="s">
        <v>74</v>
      </c>
      <c r="H112" s="1" t="s">
        <v>74</v>
      </c>
      <c r="I112" s="1" t="s">
        <v>1284</v>
      </c>
      <c r="J112" s="1" t="s">
        <v>1285</v>
      </c>
      <c r="K112" s="1" t="s">
        <v>74</v>
      </c>
      <c r="L112" s="1" t="s">
        <v>74</v>
      </c>
      <c r="M112" s="1" t="s">
        <v>74</v>
      </c>
      <c r="N112" s="1" t="s">
        <v>74</v>
      </c>
      <c r="O112" s="1" t="s">
        <v>1286</v>
      </c>
      <c r="P112" s="1" t="s">
        <v>1287</v>
      </c>
      <c r="Q112" s="1" t="s">
        <v>1288</v>
      </c>
      <c r="R112" s="1" t="s">
        <v>1289</v>
      </c>
      <c r="S112" s="1" t="s">
        <v>74</v>
      </c>
      <c r="T112" s="1" t="s">
        <v>74</v>
      </c>
      <c r="U112" s="1" t="s">
        <v>74</v>
      </c>
      <c r="V112" s="1" t="s">
        <v>74</v>
      </c>
      <c r="W112" s="1" t="s">
        <v>74</v>
      </c>
      <c r="X112" s="1" t="s">
        <v>74</v>
      </c>
      <c r="Y112" s="1" t="s">
        <v>74</v>
      </c>
      <c r="Z112" s="1" t="s">
        <v>74</v>
      </c>
      <c r="AA112" s="1" t="s">
        <v>1290</v>
      </c>
      <c r="AB112" s="1" t="s">
        <v>1291</v>
      </c>
      <c r="AC112" s="1" t="s">
        <v>74</v>
      </c>
      <c r="AD112" s="1" t="s">
        <v>74</v>
      </c>
      <c r="AE112" s="1" t="s">
        <v>74</v>
      </c>
      <c r="AF112" s="1" t="s">
        <v>74</v>
      </c>
      <c r="AG112" s="1" t="s">
        <v>74</v>
      </c>
      <c r="AH112" s="1" t="s">
        <v>74</v>
      </c>
      <c r="AI112" s="1" t="s">
        <v>74</v>
      </c>
      <c r="AJ112" s="1" t="s">
        <v>74</v>
      </c>
      <c r="AK112" s="1" t="s">
        <v>74</v>
      </c>
      <c r="AL112" s="1" t="s">
        <v>74</v>
      </c>
      <c r="AM112" s="1" t="s">
        <v>74</v>
      </c>
      <c r="AN112" s="1" t="s">
        <v>74</v>
      </c>
      <c r="AO112" s="1" t="s">
        <v>1292</v>
      </c>
      <c r="AP112" s="1" t="s">
        <v>1293</v>
      </c>
      <c r="AQ112" s="1" t="s">
        <v>74</v>
      </c>
      <c r="AR112" s="1" t="s">
        <v>74</v>
      </c>
      <c r="AS112" s="1" t="s">
        <v>74</v>
      </c>
      <c r="AT112" s="1" t="s">
        <v>377</v>
      </c>
      <c r="AU112" s="1">
        <v>2017.0</v>
      </c>
      <c r="AV112" s="1">
        <v>49.0</v>
      </c>
      <c r="AW112" s="1">
        <v>5.0</v>
      </c>
      <c r="AX112" s="1" t="s">
        <v>74</v>
      </c>
      <c r="AY112" s="1">
        <v>1.0</v>
      </c>
      <c r="AZ112" s="1" t="s">
        <v>74</v>
      </c>
      <c r="BA112" s="1">
        <v>2796.0</v>
      </c>
      <c r="BB112" s="1">
        <v>804.0</v>
      </c>
      <c r="BC112" s="1">
        <v>805.0</v>
      </c>
      <c r="BD112" s="1" t="s">
        <v>74</v>
      </c>
      <c r="BE112" s="1" t="s">
        <v>1294</v>
      </c>
      <c r="BF112" s="2" t="str">
        <f>HYPERLINK("http://dx.doi.org/10.1249/01.mss.0000519153.99171.a8","http://dx.doi.org/10.1249/01.mss.0000519153.99171.a8")</f>
        <v>http://dx.doi.org/10.1249/01.mss.0000519153.99171.a8</v>
      </c>
      <c r="BG112" s="1" t="s">
        <v>74</v>
      </c>
      <c r="BH112" s="1" t="s">
        <v>74</v>
      </c>
      <c r="BI112" s="1" t="s">
        <v>74</v>
      </c>
      <c r="BJ112" s="1" t="s">
        <v>74</v>
      </c>
      <c r="BK112" s="1" t="s">
        <v>74</v>
      </c>
      <c r="BL112" s="1" t="s">
        <v>74</v>
      </c>
      <c r="BM112" s="1" t="s">
        <v>74</v>
      </c>
      <c r="BN112" s="1" t="s">
        <v>74</v>
      </c>
      <c r="BO112" s="1" t="s">
        <v>74</v>
      </c>
      <c r="BP112" s="1" t="s">
        <v>74</v>
      </c>
      <c r="BQ112" s="1" t="s">
        <v>74</v>
      </c>
      <c r="BR112" s="1" t="s">
        <v>74</v>
      </c>
      <c r="BS112" s="1" t="s">
        <v>1295</v>
      </c>
      <c r="BT112" s="1" t="str">
        <f>HYPERLINK("https%3A%2F%2Fwww.webofscience.com%2Fwos%2Fwoscc%2Ffull-record%2FWOS:000415215700739","View Full Record in Web of Science")</f>
        <v>View Full Record in Web of Science</v>
      </c>
    </row>
    <row r="113" ht="12.75" customHeight="1">
      <c r="A113" s="1" t="s">
        <v>72</v>
      </c>
      <c r="B113" s="1" t="s">
        <v>1296</v>
      </c>
      <c r="C113" s="1" t="s">
        <v>74</v>
      </c>
      <c r="D113" s="1" t="s">
        <v>74</v>
      </c>
      <c r="E113" s="1" t="s">
        <v>74</v>
      </c>
      <c r="F113" s="1" t="s">
        <v>1297</v>
      </c>
      <c r="G113" s="1" t="s">
        <v>74</v>
      </c>
      <c r="H113" s="1" t="s">
        <v>74</v>
      </c>
      <c r="I113" s="1" t="s">
        <v>1298</v>
      </c>
      <c r="J113" s="1" t="s">
        <v>1299</v>
      </c>
      <c r="K113" s="1" t="s">
        <v>74</v>
      </c>
      <c r="L113" s="1" t="s">
        <v>74</v>
      </c>
      <c r="M113" s="1" t="s">
        <v>74</v>
      </c>
      <c r="N113" s="1" t="s">
        <v>74</v>
      </c>
      <c r="O113" s="1" t="s">
        <v>74</v>
      </c>
      <c r="P113" s="1" t="s">
        <v>74</v>
      </c>
      <c r="Q113" s="1" t="s">
        <v>74</v>
      </c>
      <c r="R113" s="1" t="s">
        <v>74</v>
      </c>
      <c r="S113" s="1" t="s">
        <v>74</v>
      </c>
      <c r="T113" s="1" t="s">
        <v>74</v>
      </c>
      <c r="U113" s="1" t="s">
        <v>74</v>
      </c>
      <c r="V113" s="1" t="s">
        <v>1300</v>
      </c>
      <c r="W113" s="1" t="s">
        <v>74</v>
      </c>
      <c r="X113" s="1" t="s">
        <v>74</v>
      </c>
      <c r="Y113" s="1" t="s">
        <v>74</v>
      </c>
      <c r="Z113" s="1" t="s">
        <v>74</v>
      </c>
      <c r="AA113" s="1" t="s">
        <v>1301</v>
      </c>
      <c r="AB113" s="1" t="s">
        <v>1302</v>
      </c>
      <c r="AC113" s="1" t="s">
        <v>74</v>
      </c>
      <c r="AD113" s="1" t="s">
        <v>74</v>
      </c>
      <c r="AE113" s="1" t="s">
        <v>74</v>
      </c>
      <c r="AF113" s="1" t="s">
        <v>74</v>
      </c>
      <c r="AG113" s="1" t="s">
        <v>74</v>
      </c>
      <c r="AH113" s="1" t="s">
        <v>74</v>
      </c>
      <c r="AI113" s="1" t="s">
        <v>74</v>
      </c>
      <c r="AJ113" s="1" t="s">
        <v>74</v>
      </c>
      <c r="AK113" s="1" t="s">
        <v>74</v>
      </c>
      <c r="AL113" s="1" t="s">
        <v>74</v>
      </c>
      <c r="AM113" s="1" t="s">
        <v>74</v>
      </c>
      <c r="AN113" s="1" t="s">
        <v>74</v>
      </c>
      <c r="AO113" s="1" t="s">
        <v>1303</v>
      </c>
      <c r="AP113" s="1" t="s">
        <v>74</v>
      </c>
      <c r="AQ113" s="1" t="s">
        <v>74</v>
      </c>
      <c r="AR113" s="1" t="s">
        <v>74</v>
      </c>
      <c r="AS113" s="1" t="s">
        <v>74</v>
      </c>
      <c r="AT113" s="1" t="s">
        <v>1304</v>
      </c>
      <c r="AU113" s="1">
        <v>2015.0</v>
      </c>
      <c r="AV113" s="1">
        <v>17.0</v>
      </c>
      <c r="AW113" s="1" t="s">
        <v>74</v>
      </c>
      <c r="AX113" s="1" t="s">
        <v>74</v>
      </c>
      <c r="AY113" s="1" t="s">
        <v>74</v>
      </c>
      <c r="AZ113" s="1" t="s">
        <v>74</v>
      </c>
      <c r="BA113" s="1" t="s">
        <v>74</v>
      </c>
      <c r="BB113" s="1" t="s">
        <v>74</v>
      </c>
      <c r="BC113" s="1" t="s">
        <v>74</v>
      </c>
      <c r="BD113" s="1">
        <v>83063.0</v>
      </c>
      <c r="BE113" s="1" t="s">
        <v>1305</v>
      </c>
      <c r="BF113" s="2" t="str">
        <f>HYPERLINK("http://dx.doi.org/10.1088/1367-2630/17/8/083063","http://dx.doi.org/10.1088/1367-2630/17/8/083063")</f>
        <v>http://dx.doi.org/10.1088/1367-2630/17/8/083063</v>
      </c>
      <c r="BG113" s="1" t="s">
        <v>74</v>
      </c>
      <c r="BH113" s="1" t="s">
        <v>74</v>
      </c>
      <c r="BI113" s="1" t="s">
        <v>74</v>
      </c>
      <c r="BJ113" s="1" t="s">
        <v>74</v>
      </c>
      <c r="BK113" s="1" t="s">
        <v>74</v>
      </c>
      <c r="BL113" s="1" t="s">
        <v>74</v>
      </c>
      <c r="BM113" s="1" t="s">
        <v>74</v>
      </c>
      <c r="BN113" s="1" t="s">
        <v>74</v>
      </c>
      <c r="BO113" s="1" t="s">
        <v>74</v>
      </c>
      <c r="BP113" s="1" t="s">
        <v>74</v>
      </c>
      <c r="BQ113" s="1" t="s">
        <v>74</v>
      </c>
      <c r="BR113" s="1" t="s">
        <v>74</v>
      </c>
      <c r="BS113" s="1" t="s">
        <v>1306</v>
      </c>
      <c r="BT113" s="1" t="str">
        <f>HYPERLINK("https%3A%2F%2Fwww.webofscience.com%2Fwos%2Fwoscc%2Ffull-record%2FWOS:000360957900003","View Full Record in Web of Science")</f>
        <v>View Full Record in Web of Science</v>
      </c>
    </row>
    <row r="114" ht="12.75" customHeight="1">
      <c r="A114" s="1" t="s">
        <v>72</v>
      </c>
      <c r="B114" s="1" t="s">
        <v>1307</v>
      </c>
      <c r="C114" s="1" t="s">
        <v>74</v>
      </c>
      <c r="D114" s="1" t="s">
        <v>74</v>
      </c>
      <c r="E114" s="1" t="s">
        <v>74</v>
      </c>
      <c r="F114" s="1" t="s">
        <v>1308</v>
      </c>
      <c r="G114" s="1" t="s">
        <v>74</v>
      </c>
      <c r="H114" s="1" t="s">
        <v>74</v>
      </c>
      <c r="I114" s="1" t="s">
        <v>1309</v>
      </c>
      <c r="J114" s="1" t="s">
        <v>1310</v>
      </c>
      <c r="K114" s="1" t="s">
        <v>74</v>
      </c>
      <c r="L114" s="1" t="s">
        <v>74</v>
      </c>
      <c r="M114" s="1" t="s">
        <v>74</v>
      </c>
      <c r="N114" s="1" t="s">
        <v>74</v>
      </c>
      <c r="O114" s="1" t="s">
        <v>74</v>
      </c>
      <c r="P114" s="1" t="s">
        <v>74</v>
      </c>
      <c r="Q114" s="1" t="s">
        <v>74</v>
      </c>
      <c r="R114" s="1" t="s">
        <v>74</v>
      </c>
      <c r="S114" s="1" t="s">
        <v>74</v>
      </c>
      <c r="T114" s="1" t="s">
        <v>74</v>
      </c>
      <c r="U114" s="1" t="s">
        <v>74</v>
      </c>
      <c r="V114" s="1" t="s">
        <v>1311</v>
      </c>
      <c r="W114" s="1" t="s">
        <v>74</v>
      </c>
      <c r="X114" s="1" t="s">
        <v>74</v>
      </c>
      <c r="Y114" s="1" t="s">
        <v>74</v>
      </c>
      <c r="Z114" s="1" t="s">
        <v>74</v>
      </c>
      <c r="AA114" s="1" t="s">
        <v>1312</v>
      </c>
      <c r="AB114" s="1" t="s">
        <v>1313</v>
      </c>
      <c r="AC114" s="1" t="s">
        <v>74</v>
      </c>
      <c r="AD114" s="1" t="s">
        <v>74</v>
      </c>
      <c r="AE114" s="1" t="s">
        <v>74</v>
      </c>
      <c r="AF114" s="1" t="s">
        <v>74</v>
      </c>
      <c r="AG114" s="1" t="s">
        <v>74</v>
      </c>
      <c r="AH114" s="1" t="s">
        <v>74</v>
      </c>
      <c r="AI114" s="1" t="s">
        <v>74</v>
      </c>
      <c r="AJ114" s="1" t="s">
        <v>74</v>
      </c>
      <c r="AK114" s="1" t="s">
        <v>74</v>
      </c>
      <c r="AL114" s="1" t="s">
        <v>74</v>
      </c>
      <c r="AM114" s="1" t="s">
        <v>74</v>
      </c>
      <c r="AN114" s="1" t="s">
        <v>74</v>
      </c>
      <c r="AO114" s="1" t="s">
        <v>1314</v>
      </c>
      <c r="AP114" s="1" t="s">
        <v>1315</v>
      </c>
      <c r="AQ114" s="1" t="s">
        <v>74</v>
      </c>
      <c r="AR114" s="1" t="s">
        <v>74</v>
      </c>
      <c r="AS114" s="1" t="s">
        <v>74</v>
      </c>
      <c r="AT114" s="1" t="s">
        <v>1316</v>
      </c>
      <c r="AU114" s="1">
        <v>2015.0</v>
      </c>
      <c r="AV114" s="1">
        <v>119.0</v>
      </c>
      <c r="AW114" s="1">
        <v>17.0</v>
      </c>
      <c r="AX114" s="1" t="s">
        <v>74</v>
      </c>
      <c r="AY114" s="1" t="s">
        <v>74</v>
      </c>
      <c r="AZ114" s="1" t="s">
        <v>74</v>
      </c>
      <c r="BA114" s="1" t="s">
        <v>74</v>
      </c>
      <c r="BB114" s="1">
        <v>3929.0</v>
      </c>
      <c r="BC114" s="1">
        <v>3935.0</v>
      </c>
      <c r="BD114" s="1" t="s">
        <v>74</v>
      </c>
      <c r="BE114" s="1" t="s">
        <v>1317</v>
      </c>
      <c r="BF114" s="2" t="str">
        <f>HYPERLINK("http://dx.doi.org/10.1021/jp512614w","http://dx.doi.org/10.1021/jp512614w")</f>
        <v>http://dx.doi.org/10.1021/jp512614w</v>
      </c>
      <c r="BG114" s="1" t="s">
        <v>74</v>
      </c>
      <c r="BH114" s="1" t="s">
        <v>74</v>
      </c>
      <c r="BI114" s="1" t="s">
        <v>74</v>
      </c>
      <c r="BJ114" s="1" t="s">
        <v>74</v>
      </c>
      <c r="BK114" s="1" t="s">
        <v>74</v>
      </c>
      <c r="BL114" s="1" t="s">
        <v>74</v>
      </c>
      <c r="BM114" s="1" t="s">
        <v>74</v>
      </c>
      <c r="BN114" s="1">
        <v>2.5853537E7</v>
      </c>
      <c r="BO114" s="1" t="s">
        <v>74</v>
      </c>
      <c r="BP114" s="1" t="s">
        <v>74</v>
      </c>
      <c r="BQ114" s="1" t="s">
        <v>74</v>
      </c>
      <c r="BR114" s="1" t="s">
        <v>74</v>
      </c>
      <c r="BS114" s="1" t="s">
        <v>1318</v>
      </c>
      <c r="BT114" s="1" t="str">
        <f>HYPERLINK("https%3A%2F%2Fwww.webofscience.com%2Fwos%2Fwoscc%2Ffull-record%2FWOS:000353930800007","View Full Record in Web of Science")</f>
        <v>View Full Record in Web of Science</v>
      </c>
    </row>
    <row r="115" ht="12.75" customHeight="1">
      <c r="A115" s="1" t="s">
        <v>72</v>
      </c>
      <c r="B115" s="1" t="s">
        <v>1319</v>
      </c>
      <c r="C115" s="1" t="s">
        <v>74</v>
      </c>
      <c r="D115" s="1" t="s">
        <v>74</v>
      </c>
      <c r="E115" s="1" t="s">
        <v>74</v>
      </c>
      <c r="F115" s="1" t="s">
        <v>1320</v>
      </c>
      <c r="G115" s="1" t="s">
        <v>74</v>
      </c>
      <c r="H115" s="1" t="s">
        <v>74</v>
      </c>
      <c r="I115" s="1" t="s">
        <v>1321</v>
      </c>
      <c r="J115" s="1" t="s">
        <v>1322</v>
      </c>
      <c r="K115" s="1" t="s">
        <v>74</v>
      </c>
      <c r="L115" s="1" t="s">
        <v>74</v>
      </c>
      <c r="M115" s="1" t="s">
        <v>74</v>
      </c>
      <c r="N115" s="1" t="s">
        <v>74</v>
      </c>
      <c r="O115" s="1" t="s">
        <v>74</v>
      </c>
      <c r="P115" s="1" t="s">
        <v>74</v>
      </c>
      <c r="Q115" s="1" t="s">
        <v>74</v>
      </c>
      <c r="R115" s="1" t="s">
        <v>74</v>
      </c>
      <c r="S115" s="1" t="s">
        <v>74</v>
      </c>
      <c r="T115" s="1" t="s">
        <v>74</v>
      </c>
      <c r="U115" s="1" t="s">
        <v>74</v>
      </c>
      <c r="V115" s="1" t="s">
        <v>1323</v>
      </c>
      <c r="W115" s="1" t="s">
        <v>74</v>
      </c>
      <c r="X115" s="1" t="s">
        <v>74</v>
      </c>
      <c r="Y115" s="1" t="s">
        <v>74</v>
      </c>
      <c r="Z115" s="1" t="s">
        <v>74</v>
      </c>
      <c r="AA115" s="1" t="s">
        <v>1324</v>
      </c>
      <c r="AB115" s="1" t="s">
        <v>1325</v>
      </c>
      <c r="AC115" s="1" t="s">
        <v>74</v>
      </c>
      <c r="AD115" s="1" t="s">
        <v>74</v>
      </c>
      <c r="AE115" s="1" t="s">
        <v>74</v>
      </c>
      <c r="AF115" s="1" t="s">
        <v>74</v>
      </c>
      <c r="AG115" s="1" t="s">
        <v>74</v>
      </c>
      <c r="AH115" s="1" t="s">
        <v>74</v>
      </c>
      <c r="AI115" s="1" t="s">
        <v>74</v>
      </c>
      <c r="AJ115" s="1" t="s">
        <v>74</v>
      </c>
      <c r="AK115" s="1" t="s">
        <v>74</v>
      </c>
      <c r="AL115" s="1" t="s">
        <v>74</v>
      </c>
      <c r="AM115" s="1" t="s">
        <v>74</v>
      </c>
      <c r="AN115" s="1" t="s">
        <v>74</v>
      </c>
      <c r="AO115" s="1" t="s">
        <v>74</v>
      </c>
      <c r="AP115" s="1" t="s">
        <v>1326</v>
      </c>
      <c r="AQ115" s="1" t="s">
        <v>74</v>
      </c>
      <c r="AR115" s="1" t="s">
        <v>74</v>
      </c>
      <c r="AS115" s="1" t="s">
        <v>74</v>
      </c>
      <c r="AT115" s="1" t="s">
        <v>237</v>
      </c>
      <c r="AU115" s="1">
        <v>2014.0</v>
      </c>
      <c r="AV115" s="1">
        <v>9.0</v>
      </c>
      <c r="AW115" s="1" t="s">
        <v>74</v>
      </c>
      <c r="AX115" s="1" t="s">
        <v>74</v>
      </c>
      <c r="AY115" s="1" t="s">
        <v>74</v>
      </c>
      <c r="AZ115" s="1" t="s">
        <v>74</v>
      </c>
      <c r="BA115" s="1" t="s">
        <v>74</v>
      </c>
      <c r="BB115" s="1" t="s">
        <v>74</v>
      </c>
      <c r="BC115" s="1" t="s">
        <v>74</v>
      </c>
      <c r="BD115" s="1">
        <v>1.0</v>
      </c>
      <c r="BE115" s="1" t="s">
        <v>1327</v>
      </c>
      <c r="BF115" s="2" t="str">
        <f>HYPERLINK("http://dx.doi.org/10.1186/1747-597X-9-1","http://dx.doi.org/10.1186/1747-597X-9-1")</f>
        <v>http://dx.doi.org/10.1186/1747-597X-9-1</v>
      </c>
      <c r="BG115" s="1" t="s">
        <v>74</v>
      </c>
      <c r="BH115" s="1" t="s">
        <v>74</v>
      </c>
      <c r="BI115" s="1" t="s">
        <v>74</v>
      </c>
      <c r="BJ115" s="1" t="s">
        <v>74</v>
      </c>
      <c r="BK115" s="1" t="s">
        <v>74</v>
      </c>
      <c r="BL115" s="1" t="s">
        <v>74</v>
      </c>
      <c r="BM115" s="1" t="s">
        <v>74</v>
      </c>
      <c r="BN115" s="1">
        <v>2.4383608E7</v>
      </c>
      <c r="BO115" s="1" t="s">
        <v>74</v>
      </c>
      <c r="BP115" s="1" t="s">
        <v>74</v>
      </c>
      <c r="BQ115" s="1" t="s">
        <v>74</v>
      </c>
      <c r="BR115" s="1" t="s">
        <v>74</v>
      </c>
      <c r="BS115" s="1" t="s">
        <v>1328</v>
      </c>
      <c r="BT115" s="1" t="str">
        <f>HYPERLINK("https%3A%2F%2Fwww.webofscience.com%2Fwos%2Fwoscc%2Ffull-record%2FWOS:000331730000001","View Full Record in Web of Science")</f>
        <v>View Full Record in Web of Science</v>
      </c>
    </row>
    <row r="116" ht="12.75" customHeight="1">
      <c r="A116" s="1" t="s">
        <v>72</v>
      </c>
      <c r="B116" s="1" t="s">
        <v>1329</v>
      </c>
      <c r="C116" s="1" t="s">
        <v>74</v>
      </c>
      <c r="D116" s="1" t="s">
        <v>74</v>
      </c>
      <c r="E116" s="1" t="s">
        <v>74</v>
      </c>
      <c r="F116" s="1" t="s">
        <v>1330</v>
      </c>
      <c r="G116" s="1" t="s">
        <v>74</v>
      </c>
      <c r="H116" s="1" t="s">
        <v>74</v>
      </c>
      <c r="I116" s="1" t="s">
        <v>1331</v>
      </c>
      <c r="J116" s="1" t="s">
        <v>1332</v>
      </c>
      <c r="K116" s="1" t="s">
        <v>74</v>
      </c>
      <c r="L116" s="1" t="s">
        <v>74</v>
      </c>
      <c r="M116" s="1" t="s">
        <v>74</v>
      </c>
      <c r="N116" s="1" t="s">
        <v>74</v>
      </c>
      <c r="O116" s="1" t="s">
        <v>1333</v>
      </c>
      <c r="P116" s="1" t="s">
        <v>1334</v>
      </c>
      <c r="Q116" s="1" t="s">
        <v>1335</v>
      </c>
      <c r="R116" s="1" t="s">
        <v>1336</v>
      </c>
      <c r="S116" s="1" t="s">
        <v>74</v>
      </c>
      <c r="T116" s="1" t="s">
        <v>74</v>
      </c>
      <c r="U116" s="1" t="s">
        <v>74</v>
      </c>
      <c r="V116" s="1" t="s">
        <v>74</v>
      </c>
      <c r="W116" s="1" t="s">
        <v>74</v>
      </c>
      <c r="X116" s="1" t="s">
        <v>74</v>
      </c>
      <c r="Y116" s="1" t="s">
        <v>74</v>
      </c>
      <c r="Z116" s="1" t="s">
        <v>74</v>
      </c>
      <c r="AA116" s="1" t="s">
        <v>1337</v>
      </c>
      <c r="AB116" s="1" t="s">
        <v>74</v>
      </c>
      <c r="AC116" s="1" t="s">
        <v>74</v>
      </c>
      <c r="AD116" s="1" t="s">
        <v>74</v>
      </c>
      <c r="AE116" s="1" t="s">
        <v>74</v>
      </c>
      <c r="AF116" s="1" t="s">
        <v>74</v>
      </c>
      <c r="AG116" s="1" t="s">
        <v>74</v>
      </c>
      <c r="AH116" s="1" t="s">
        <v>74</v>
      </c>
      <c r="AI116" s="1" t="s">
        <v>74</v>
      </c>
      <c r="AJ116" s="1" t="s">
        <v>74</v>
      </c>
      <c r="AK116" s="1" t="s">
        <v>74</v>
      </c>
      <c r="AL116" s="1" t="s">
        <v>74</v>
      </c>
      <c r="AM116" s="1" t="s">
        <v>74</v>
      </c>
      <c r="AN116" s="1" t="s">
        <v>74</v>
      </c>
      <c r="AO116" s="1" t="s">
        <v>1338</v>
      </c>
      <c r="AP116" s="1" t="s">
        <v>1339</v>
      </c>
      <c r="AQ116" s="1" t="s">
        <v>74</v>
      </c>
      <c r="AR116" s="1" t="s">
        <v>74</v>
      </c>
      <c r="AS116" s="1" t="s">
        <v>74</v>
      </c>
      <c r="AT116" s="1" t="s">
        <v>316</v>
      </c>
      <c r="AU116" s="1">
        <v>2013.0</v>
      </c>
      <c r="AV116" s="1">
        <v>40.0</v>
      </c>
      <c r="AW116" s="1" t="s">
        <v>74</v>
      </c>
      <c r="AX116" s="1" t="s">
        <v>74</v>
      </c>
      <c r="AY116" s="1">
        <v>2.0</v>
      </c>
      <c r="AZ116" s="1" t="s">
        <v>74</v>
      </c>
      <c r="BA116" s="1" t="s">
        <v>74</v>
      </c>
      <c r="BB116" s="1" t="s">
        <v>1340</v>
      </c>
      <c r="BC116" s="1" t="s">
        <v>1340</v>
      </c>
      <c r="BD116" s="1" t="s">
        <v>74</v>
      </c>
      <c r="BE116" s="1" t="s">
        <v>74</v>
      </c>
      <c r="BF116" s="1" t="s">
        <v>74</v>
      </c>
      <c r="BG116" s="1" t="s">
        <v>74</v>
      </c>
      <c r="BH116" s="1" t="s">
        <v>74</v>
      </c>
      <c r="BI116" s="1" t="s">
        <v>74</v>
      </c>
      <c r="BJ116" s="1" t="s">
        <v>74</v>
      </c>
      <c r="BK116" s="1" t="s">
        <v>74</v>
      </c>
      <c r="BL116" s="1" t="s">
        <v>74</v>
      </c>
      <c r="BM116" s="1" t="s">
        <v>74</v>
      </c>
      <c r="BN116" s="1" t="s">
        <v>74</v>
      </c>
      <c r="BO116" s="1" t="s">
        <v>74</v>
      </c>
      <c r="BP116" s="1" t="s">
        <v>74</v>
      </c>
      <c r="BQ116" s="1" t="s">
        <v>74</v>
      </c>
      <c r="BR116" s="1" t="s">
        <v>74</v>
      </c>
      <c r="BS116" s="1" t="s">
        <v>1341</v>
      </c>
      <c r="BT116" s="1" t="str">
        <f>HYPERLINK("https%3A%2F%2Fwww.webofscience.com%2Fwos%2Fwoscc%2Ffull-record%2FWOS:000325853400459","View Full Record in Web of Science")</f>
        <v>View Full Record in Web of Science</v>
      </c>
    </row>
    <row r="117" ht="12.75" customHeight="1">
      <c r="A117" s="1" t="s">
        <v>72</v>
      </c>
      <c r="B117" s="1" t="s">
        <v>1342</v>
      </c>
      <c r="C117" s="1" t="s">
        <v>74</v>
      </c>
      <c r="D117" s="1" t="s">
        <v>74</v>
      </c>
      <c r="E117" s="1" t="s">
        <v>74</v>
      </c>
      <c r="F117" s="1" t="s">
        <v>1343</v>
      </c>
      <c r="G117" s="1" t="s">
        <v>74</v>
      </c>
      <c r="H117" s="1" t="s">
        <v>74</v>
      </c>
      <c r="I117" s="1" t="s">
        <v>1344</v>
      </c>
      <c r="J117" s="1" t="s">
        <v>521</v>
      </c>
      <c r="K117" s="1" t="s">
        <v>74</v>
      </c>
      <c r="L117" s="1" t="s">
        <v>74</v>
      </c>
      <c r="M117" s="1" t="s">
        <v>74</v>
      </c>
      <c r="N117" s="1" t="s">
        <v>74</v>
      </c>
      <c r="O117" s="1" t="s">
        <v>74</v>
      </c>
      <c r="P117" s="1" t="s">
        <v>74</v>
      </c>
      <c r="Q117" s="1" t="s">
        <v>74</v>
      </c>
      <c r="R117" s="1" t="s">
        <v>74</v>
      </c>
      <c r="S117" s="1" t="s">
        <v>74</v>
      </c>
      <c r="T117" s="1" t="s">
        <v>74</v>
      </c>
      <c r="U117" s="1" t="s">
        <v>74</v>
      </c>
      <c r="V117" s="1" t="s">
        <v>1345</v>
      </c>
      <c r="W117" s="1" t="s">
        <v>74</v>
      </c>
      <c r="X117" s="1" t="s">
        <v>74</v>
      </c>
      <c r="Y117" s="1" t="s">
        <v>74</v>
      </c>
      <c r="Z117" s="1" t="s">
        <v>74</v>
      </c>
      <c r="AA117" s="1" t="s">
        <v>1346</v>
      </c>
      <c r="AB117" s="1" t="s">
        <v>1347</v>
      </c>
      <c r="AC117" s="1" t="s">
        <v>74</v>
      </c>
      <c r="AD117" s="1" t="s">
        <v>74</v>
      </c>
      <c r="AE117" s="1" t="s">
        <v>74</v>
      </c>
      <c r="AF117" s="1" t="s">
        <v>74</v>
      </c>
      <c r="AG117" s="1" t="s">
        <v>74</v>
      </c>
      <c r="AH117" s="1" t="s">
        <v>74</v>
      </c>
      <c r="AI117" s="1" t="s">
        <v>74</v>
      </c>
      <c r="AJ117" s="1" t="s">
        <v>74</v>
      </c>
      <c r="AK117" s="1" t="s">
        <v>74</v>
      </c>
      <c r="AL117" s="1" t="s">
        <v>74</v>
      </c>
      <c r="AM117" s="1" t="s">
        <v>74</v>
      </c>
      <c r="AN117" s="1" t="s">
        <v>74</v>
      </c>
      <c r="AO117" s="1" t="s">
        <v>525</v>
      </c>
      <c r="AP117" s="1" t="s">
        <v>526</v>
      </c>
      <c r="AQ117" s="1" t="s">
        <v>74</v>
      </c>
      <c r="AR117" s="1" t="s">
        <v>74</v>
      </c>
      <c r="AS117" s="1" t="s">
        <v>74</v>
      </c>
      <c r="AT117" s="1" t="s">
        <v>719</v>
      </c>
      <c r="AU117" s="1">
        <v>2013.0</v>
      </c>
      <c r="AV117" s="1">
        <v>22.0</v>
      </c>
      <c r="AW117" s="1">
        <v>7.0</v>
      </c>
      <c r="AX117" s="1" t="s">
        <v>74</v>
      </c>
      <c r="AY117" s="1" t="s">
        <v>74</v>
      </c>
      <c r="AZ117" s="1" t="s">
        <v>399</v>
      </c>
      <c r="BA117" s="1" t="s">
        <v>74</v>
      </c>
      <c r="BB117" s="1">
        <v>2073.0</v>
      </c>
      <c r="BC117" s="1">
        <v>2079.0</v>
      </c>
      <c r="BD117" s="1" t="s">
        <v>74</v>
      </c>
      <c r="BE117" s="1" t="s">
        <v>1348</v>
      </c>
      <c r="BF117" s="2" t="str">
        <f>HYPERLINK("http://dx.doi.org/10.1007/s11665-013-0480-8","http://dx.doi.org/10.1007/s11665-013-0480-8")</f>
        <v>http://dx.doi.org/10.1007/s11665-013-0480-8</v>
      </c>
      <c r="BG117" s="1" t="s">
        <v>74</v>
      </c>
      <c r="BH117" s="1" t="s">
        <v>74</v>
      </c>
      <c r="BI117" s="1" t="s">
        <v>74</v>
      </c>
      <c r="BJ117" s="1" t="s">
        <v>74</v>
      </c>
      <c r="BK117" s="1" t="s">
        <v>74</v>
      </c>
      <c r="BL117" s="1" t="s">
        <v>74</v>
      </c>
      <c r="BM117" s="1" t="s">
        <v>74</v>
      </c>
      <c r="BN117" s="1" t="s">
        <v>74</v>
      </c>
      <c r="BO117" s="1" t="s">
        <v>74</v>
      </c>
      <c r="BP117" s="1" t="s">
        <v>74</v>
      </c>
      <c r="BQ117" s="1" t="s">
        <v>74</v>
      </c>
      <c r="BR117" s="1" t="s">
        <v>74</v>
      </c>
      <c r="BS117" s="1" t="s">
        <v>1349</v>
      </c>
      <c r="BT117" s="1" t="str">
        <f>HYPERLINK("https%3A%2F%2Fwww.webofscience.com%2Fwos%2Fwoscc%2Ffull-record%2FWOS:000320671400032","View Full Record in Web of Science")</f>
        <v>View Full Record in Web of Science</v>
      </c>
    </row>
    <row r="118" ht="12.75" customHeight="1">
      <c r="A118" s="1" t="s">
        <v>72</v>
      </c>
      <c r="B118" s="1" t="s">
        <v>1350</v>
      </c>
      <c r="C118" s="1" t="s">
        <v>74</v>
      </c>
      <c r="D118" s="1" t="s">
        <v>74</v>
      </c>
      <c r="E118" s="1" t="s">
        <v>74</v>
      </c>
      <c r="F118" s="1" t="s">
        <v>1351</v>
      </c>
      <c r="G118" s="1" t="s">
        <v>74</v>
      </c>
      <c r="H118" s="1" t="s">
        <v>74</v>
      </c>
      <c r="I118" s="1" t="s">
        <v>1352</v>
      </c>
      <c r="J118" s="1" t="s">
        <v>1353</v>
      </c>
      <c r="K118" s="1" t="s">
        <v>74</v>
      </c>
      <c r="L118" s="1" t="s">
        <v>74</v>
      </c>
      <c r="M118" s="1" t="s">
        <v>74</v>
      </c>
      <c r="N118" s="1" t="s">
        <v>74</v>
      </c>
      <c r="O118" s="1" t="s">
        <v>74</v>
      </c>
      <c r="P118" s="1" t="s">
        <v>74</v>
      </c>
      <c r="Q118" s="1" t="s">
        <v>74</v>
      </c>
      <c r="R118" s="1" t="s">
        <v>74</v>
      </c>
      <c r="S118" s="1" t="s">
        <v>74</v>
      </c>
      <c r="T118" s="1" t="s">
        <v>74</v>
      </c>
      <c r="U118" s="1" t="s">
        <v>74</v>
      </c>
      <c r="V118" s="1" t="s">
        <v>1354</v>
      </c>
      <c r="W118" s="1" t="s">
        <v>74</v>
      </c>
      <c r="X118" s="1" t="s">
        <v>74</v>
      </c>
      <c r="Y118" s="1" t="s">
        <v>74</v>
      </c>
      <c r="Z118" s="1" t="s">
        <v>74</v>
      </c>
      <c r="AA118" s="1" t="s">
        <v>74</v>
      </c>
      <c r="AB118" s="1" t="s">
        <v>74</v>
      </c>
      <c r="AC118" s="1" t="s">
        <v>74</v>
      </c>
      <c r="AD118" s="1" t="s">
        <v>74</v>
      </c>
      <c r="AE118" s="1" t="s">
        <v>74</v>
      </c>
      <c r="AF118" s="1" t="s">
        <v>74</v>
      </c>
      <c r="AG118" s="1" t="s">
        <v>74</v>
      </c>
      <c r="AH118" s="1" t="s">
        <v>74</v>
      </c>
      <c r="AI118" s="1" t="s">
        <v>74</v>
      </c>
      <c r="AJ118" s="1" t="s">
        <v>74</v>
      </c>
      <c r="AK118" s="1" t="s">
        <v>74</v>
      </c>
      <c r="AL118" s="1" t="s">
        <v>74</v>
      </c>
      <c r="AM118" s="1" t="s">
        <v>74</v>
      </c>
      <c r="AN118" s="1" t="s">
        <v>74</v>
      </c>
      <c r="AO118" s="1" t="s">
        <v>1355</v>
      </c>
      <c r="AP118" s="1" t="s">
        <v>1356</v>
      </c>
      <c r="AQ118" s="1" t="s">
        <v>74</v>
      </c>
      <c r="AR118" s="1" t="s">
        <v>74</v>
      </c>
      <c r="AS118" s="1" t="s">
        <v>74</v>
      </c>
      <c r="AT118" s="1" t="s">
        <v>411</v>
      </c>
      <c r="AU118" s="1">
        <v>2012.0</v>
      </c>
      <c r="AV118" s="1">
        <v>38.0</v>
      </c>
      <c r="AW118" s="1">
        <v>11.0</v>
      </c>
      <c r="AX118" s="1" t="s">
        <v>74</v>
      </c>
      <c r="AY118" s="1" t="s">
        <v>74</v>
      </c>
      <c r="AZ118" s="1" t="s">
        <v>74</v>
      </c>
      <c r="BA118" s="1" t="s">
        <v>74</v>
      </c>
      <c r="BB118" s="1">
        <v>2031.0</v>
      </c>
      <c r="BC118" s="1">
        <v>2037.0</v>
      </c>
      <c r="BD118" s="1" t="s">
        <v>74</v>
      </c>
      <c r="BE118" s="1" t="s">
        <v>1357</v>
      </c>
      <c r="BF118" s="2" t="str">
        <f>HYPERLINK("http://dx.doi.org/10.1016/j.ultrasmedbio.2012.06.011","http://dx.doi.org/10.1016/j.ultrasmedbio.2012.06.011")</f>
        <v>http://dx.doi.org/10.1016/j.ultrasmedbio.2012.06.011</v>
      </c>
      <c r="BG118" s="1" t="s">
        <v>74</v>
      </c>
      <c r="BH118" s="1" t="s">
        <v>74</v>
      </c>
      <c r="BI118" s="1" t="s">
        <v>74</v>
      </c>
      <c r="BJ118" s="1" t="s">
        <v>74</v>
      </c>
      <c r="BK118" s="1" t="s">
        <v>74</v>
      </c>
      <c r="BL118" s="1" t="s">
        <v>74</v>
      </c>
      <c r="BM118" s="1" t="s">
        <v>74</v>
      </c>
      <c r="BN118" s="1">
        <v>2.2975036E7</v>
      </c>
      <c r="BO118" s="1" t="s">
        <v>74</v>
      </c>
      <c r="BP118" s="1" t="s">
        <v>74</v>
      </c>
      <c r="BQ118" s="1" t="s">
        <v>74</v>
      </c>
      <c r="BR118" s="1" t="s">
        <v>74</v>
      </c>
      <c r="BS118" s="1" t="s">
        <v>1358</v>
      </c>
      <c r="BT118" s="1" t="str">
        <f>HYPERLINK("https%3A%2F%2Fwww.webofscience.com%2Fwos%2Fwoscc%2Ffull-record%2FWOS:000309507600020","View Full Record in Web of Science")</f>
        <v>View Full Record in Web of Science</v>
      </c>
    </row>
    <row r="119" ht="12.75" customHeight="1">
      <c r="A119" s="1" t="s">
        <v>72</v>
      </c>
      <c r="B119" s="1" t="s">
        <v>1359</v>
      </c>
      <c r="C119" s="1" t="s">
        <v>74</v>
      </c>
      <c r="D119" s="1" t="s">
        <v>74</v>
      </c>
      <c r="E119" s="1" t="s">
        <v>74</v>
      </c>
      <c r="F119" s="1" t="s">
        <v>1360</v>
      </c>
      <c r="G119" s="1" t="s">
        <v>74</v>
      </c>
      <c r="H119" s="1" t="s">
        <v>74</v>
      </c>
      <c r="I119" s="1" t="s">
        <v>1361</v>
      </c>
      <c r="J119" s="1" t="s">
        <v>321</v>
      </c>
      <c r="K119" s="1" t="s">
        <v>74</v>
      </c>
      <c r="L119" s="1" t="s">
        <v>74</v>
      </c>
      <c r="M119" s="1" t="s">
        <v>74</v>
      </c>
      <c r="N119" s="1" t="s">
        <v>74</v>
      </c>
      <c r="O119" s="1" t="s">
        <v>74</v>
      </c>
      <c r="P119" s="1" t="s">
        <v>74</v>
      </c>
      <c r="Q119" s="1" t="s">
        <v>74</v>
      </c>
      <c r="R119" s="1" t="s">
        <v>74</v>
      </c>
      <c r="S119" s="1" t="s">
        <v>74</v>
      </c>
      <c r="T119" s="1" t="s">
        <v>74</v>
      </c>
      <c r="U119" s="1" t="s">
        <v>74</v>
      </c>
      <c r="V119" s="1" t="s">
        <v>1362</v>
      </c>
      <c r="W119" s="1" t="s">
        <v>74</v>
      </c>
      <c r="X119" s="1" t="s">
        <v>74</v>
      </c>
      <c r="Y119" s="1" t="s">
        <v>74</v>
      </c>
      <c r="Z119" s="1" t="s">
        <v>74</v>
      </c>
      <c r="AA119" s="1" t="s">
        <v>1363</v>
      </c>
      <c r="AB119" s="1" t="s">
        <v>1364</v>
      </c>
      <c r="AC119" s="1" t="s">
        <v>74</v>
      </c>
      <c r="AD119" s="1" t="s">
        <v>74</v>
      </c>
      <c r="AE119" s="1" t="s">
        <v>74</v>
      </c>
      <c r="AF119" s="1" t="s">
        <v>74</v>
      </c>
      <c r="AG119" s="1" t="s">
        <v>74</v>
      </c>
      <c r="AH119" s="1" t="s">
        <v>74</v>
      </c>
      <c r="AI119" s="1" t="s">
        <v>74</v>
      </c>
      <c r="AJ119" s="1" t="s">
        <v>74</v>
      </c>
      <c r="AK119" s="1" t="s">
        <v>74</v>
      </c>
      <c r="AL119" s="1" t="s">
        <v>74</v>
      </c>
      <c r="AM119" s="1" t="s">
        <v>74</v>
      </c>
      <c r="AN119" s="1" t="s">
        <v>74</v>
      </c>
      <c r="AO119" s="1" t="s">
        <v>1365</v>
      </c>
      <c r="AP119" s="1" t="s">
        <v>1366</v>
      </c>
      <c r="AQ119" s="1" t="s">
        <v>74</v>
      </c>
      <c r="AR119" s="1" t="s">
        <v>74</v>
      </c>
      <c r="AS119" s="1" t="s">
        <v>74</v>
      </c>
      <c r="AT119" s="1" t="s">
        <v>316</v>
      </c>
      <c r="AU119" s="1">
        <v>2006.0</v>
      </c>
      <c r="AV119" s="1">
        <v>74.0</v>
      </c>
      <c r="AW119" s="1">
        <v>8.0</v>
      </c>
      <c r="AX119" s="1" t="s">
        <v>74</v>
      </c>
      <c r="AY119" s="1" t="s">
        <v>74</v>
      </c>
      <c r="AZ119" s="1" t="s">
        <v>74</v>
      </c>
      <c r="BA119" s="1" t="s">
        <v>74</v>
      </c>
      <c r="BB119" s="1" t="s">
        <v>74</v>
      </c>
      <c r="BC119" s="1" t="s">
        <v>74</v>
      </c>
      <c r="BD119" s="1">
        <v>85017.0</v>
      </c>
      <c r="BE119" s="1" t="s">
        <v>1367</v>
      </c>
      <c r="BF119" s="2" t="str">
        <f>HYPERLINK("http://dx.doi.org/10.1103/PhysRevD.74.085017","http://dx.doi.org/10.1103/PhysRevD.74.085017")</f>
        <v>http://dx.doi.org/10.1103/PhysRevD.74.085017</v>
      </c>
      <c r="BG119" s="1" t="s">
        <v>74</v>
      </c>
      <c r="BH119" s="1" t="s">
        <v>74</v>
      </c>
      <c r="BI119" s="1" t="s">
        <v>74</v>
      </c>
      <c r="BJ119" s="1" t="s">
        <v>74</v>
      </c>
      <c r="BK119" s="1" t="s">
        <v>74</v>
      </c>
      <c r="BL119" s="1" t="s">
        <v>74</v>
      </c>
      <c r="BM119" s="1" t="s">
        <v>74</v>
      </c>
      <c r="BN119" s="1" t="s">
        <v>74</v>
      </c>
      <c r="BO119" s="1" t="s">
        <v>74</v>
      </c>
      <c r="BP119" s="1" t="s">
        <v>74</v>
      </c>
      <c r="BQ119" s="1" t="s">
        <v>74</v>
      </c>
      <c r="BR119" s="1" t="s">
        <v>74</v>
      </c>
      <c r="BS119" s="1" t="s">
        <v>1368</v>
      </c>
      <c r="BT119" s="1" t="str">
        <f>HYPERLINK("https%3A%2F%2Fwww.webofscience.com%2Fwos%2Fwoscc%2Ffull-record%2FWOS:000241724000092","View Full Record in Web of Science")</f>
        <v>View Full Record in Web of Science</v>
      </c>
    </row>
    <row r="120" ht="12.75" customHeight="1">
      <c r="A120" s="1" t="s">
        <v>72</v>
      </c>
      <c r="B120" s="1" t="s">
        <v>1369</v>
      </c>
      <c r="C120" s="1" t="s">
        <v>74</v>
      </c>
      <c r="D120" s="1" t="s">
        <v>74</v>
      </c>
      <c r="E120" s="1" t="s">
        <v>74</v>
      </c>
      <c r="F120" s="1" t="s">
        <v>1369</v>
      </c>
      <c r="G120" s="1" t="s">
        <v>74</v>
      </c>
      <c r="H120" s="1" t="s">
        <v>74</v>
      </c>
      <c r="I120" s="1" t="s">
        <v>1370</v>
      </c>
      <c r="J120" s="1" t="s">
        <v>593</v>
      </c>
      <c r="K120" s="1" t="s">
        <v>74</v>
      </c>
      <c r="L120" s="1" t="s">
        <v>74</v>
      </c>
      <c r="M120" s="1" t="s">
        <v>74</v>
      </c>
      <c r="N120" s="1" t="s">
        <v>74</v>
      </c>
      <c r="O120" s="1" t="s">
        <v>74</v>
      </c>
      <c r="P120" s="1" t="s">
        <v>74</v>
      </c>
      <c r="Q120" s="1" t="s">
        <v>74</v>
      </c>
      <c r="R120" s="1" t="s">
        <v>74</v>
      </c>
      <c r="S120" s="1" t="s">
        <v>74</v>
      </c>
      <c r="T120" s="1" t="s">
        <v>74</v>
      </c>
      <c r="U120" s="1" t="s">
        <v>74</v>
      </c>
      <c r="V120" s="1" t="s">
        <v>1371</v>
      </c>
      <c r="W120" s="1" t="s">
        <v>74</v>
      </c>
      <c r="X120" s="1" t="s">
        <v>74</v>
      </c>
      <c r="Y120" s="1" t="s">
        <v>74</v>
      </c>
      <c r="Z120" s="1" t="s">
        <v>74</v>
      </c>
      <c r="AA120" s="1" t="s">
        <v>1039</v>
      </c>
      <c r="AB120" s="1" t="s">
        <v>1040</v>
      </c>
      <c r="AC120" s="1" t="s">
        <v>74</v>
      </c>
      <c r="AD120" s="1" t="s">
        <v>74</v>
      </c>
      <c r="AE120" s="1" t="s">
        <v>74</v>
      </c>
      <c r="AF120" s="1" t="s">
        <v>74</v>
      </c>
      <c r="AG120" s="1" t="s">
        <v>74</v>
      </c>
      <c r="AH120" s="1" t="s">
        <v>74</v>
      </c>
      <c r="AI120" s="1" t="s">
        <v>74</v>
      </c>
      <c r="AJ120" s="1" t="s">
        <v>74</v>
      </c>
      <c r="AK120" s="1" t="s">
        <v>74</v>
      </c>
      <c r="AL120" s="1" t="s">
        <v>74</v>
      </c>
      <c r="AM120" s="1" t="s">
        <v>74</v>
      </c>
      <c r="AN120" s="1" t="s">
        <v>74</v>
      </c>
      <c r="AO120" s="1" t="s">
        <v>595</v>
      </c>
      <c r="AP120" s="1" t="s">
        <v>74</v>
      </c>
      <c r="AQ120" s="1" t="s">
        <v>74</v>
      </c>
      <c r="AR120" s="1" t="s">
        <v>74</v>
      </c>
      <c r="AS120" s="1" t="s">
        <v>74</v>
      </c>
      <c r="AT120" s="1" t="s">
        <v>74</v>
      </c>
      <c r="AU120" s="1">
        <v>2005.0</v>
      </c>
      <c r="AV120" s="1">
        <v>220.0</v>
      </c>
      <c r="AW120" s="1">
        <v>4.0</v>
      </c>
      <c r="AX120" s="1" t="s">
        <v>74</v>
      </c>
      <c r="AY120" s="1" t="s">
        <v>74</v>
      </c>
      <c r="AZ120" s="1" t="s">
        <v>74</v>
      </c>
      <c r="BA120" s="1" t="s">
        <v>74</v>
      </c>
      <c r="BB120" s="1">
        <v>537.0</v>
      </c>
      <c r="BC120" s="1">
        <v>538.0</v>
      </c>
      <c r="BD120" s="1" t="s">
        <v>74</v>
      </c>
      <c r="BE120" s="1" t="s">
        <v>74</v>
      </c>
      <c r="BF120" s="1" t="s">
        <v>74</v>
      </c>
      <c r="BG120" s="1" t="s">
        <v>74</v>
      </c>
      <c r="BH120" s="1" t="s">
        <v>74</v>
      </c>
      <c r="BI120" s="1" t="s">
        <v>74</v>
      </c>
      <c r="BJ120" s="1" t="s">
        <v>74</v>
      </c>
      <c r="BK120" s="1" t="s">
        <v>74</v>
      </c>
      <c r="BL120" s="1" t="s">
        <v>74</v>
      </c>
      <c r="BM120" s="1" t="s">
        <v>74</v>
      </c>
      <c r="BN120" s="1" t="s">
        <v>74</v>
      </c>
      <c r="BO120" s="1" t="s">
        <v>74</v>
      </c>
      <c r="BP120" s="1" t="s">
        <v>74</v>
      </c>
      <c r="BQ120" s="1" t="s">
        <v>74</v>
      </c>
      <c r="BR120" s="1" t="s">
        <v>74</v>
      </c>
      <c r="BS120" s="1" t="s">
        <v>1372</v>
      </c>
      <c r="BT120" s="1" t="str">
        <f>HYPERLINK("https%3A%2F%2Fwww.webofscience.com%2Fwos%2Fwoscc%2Ffull-record%2FWOS:000235926700011","View Full Record in Web of Science")</f>
        <v>View Full Record in Web of Science</v>
      </c>
    </row>
    <row r="121" ht="12.75" customHeight="1">
      <c r="A121" s="1" t="s">
        <v>72</v>
      </c>
      <c r="B121" s="1" t="s">
        <v>1373</v>
      </c>
      <c r="C121" s="1" t="s">
        <v>74</v>
      </c>
      <c r="D121" s="1" t="s">
        <v>74</v>
      </c>
      <c r="E121" s="1" t="s">
        <v>74</v>
      </c>
      <c r="F121" s="1" t="s">
        <v>1373</v>
      </c>
      <c r="G121" s="1" t="s">
        <v>74</v>
      </c>
      <c r="H121" s="1" t="s">
        <v>74</v>
      </c>
      <c r="I121" s="1" t="s">
        <v>1374</v>
      </c>
      <c r="J121" s="1" t="s">
        <v>1375</v>
      </c>
      <c r="K121" s="1" t="s">
        <v>74</v>
      </c>
      <c r="L121" s="1" t="s">
        <v>74</v>
      </c>
      <c r="M121" s="1" t="s">
        <v>74</v>
      </c>
      <c r="N121" s="1" t="s">
        <v>74</v>
      </c>
      <c r="O121" s="1" t="s">
        <v>1376</v>
      </c>
      <c r="P121" s="1" t="s">
        <v>1377</v>
      </c>
      <c r="Q121" s="1" t="s">
        <v>1378</v>
      </c>
      <c r="R121" s="1" t="s">
        <v>74</v>
      </c>
      <c r="S121" s="1" t="s">
        <v>74</v>
      </c>
      <c r="T121" s="1" t="s">
        <v>74</v>
      </c>
      <c r="U121" s="1" t="s">
        <v>74</v>
      </c>
      <c r="V121" s="1" t="s">
        <v>1379</v>
      </c>
      <c r="W121" s="1" t="s">
        <v>74</v>
      </c>
      <c r="X121" s="1" t="s">
        <v>74</v>
      </c>
      <c r="Y121" s="1" t="s">
        <v>74</v>
      </c>
      <c r="Z121" s="1" t="s">
        <v>74</v>
      </c>
      <c r="AA121" s="1" t="s">
        <v>74</v>
      </c>
      <c r="AB121" s="1" t="s">
        <v>74</v>
      </c>
      <c r="AC121" s="1" t="s">
        <v>74</v>
      </c>
      <c r="AD121" s="1" t="s">
        <v>74</v>
      </c>
      <c r="AE121" s="1" t="s">
        <v>74</v>
      </c>
      <c r="AF121" s="1" t="s">
        <v>74</v>
      </c>
      <c r="AG121" s="1" t="s">
        <v>74</v>
      </c>
      <c r="AH121" s="1" t="s">
        <v>74</v>
      </c>
      <c r="AI121" s="1" t="s">
        <v>74</v>
      </c>
      <c r="AJ121" s="1" t="s">
        <v>74</v>
      </c>
      <c r="AK121" s="1" t="s">
        <v>74</v>
      </c>
      <c r="AL121" s="1" t="s">
        <v>74</v>
      </c>
      <c r="AM121" s="1" t="s">
        <v>74</v>
      </c>
      <c r="AN121" s="1" t="s">
        <v>74</v>
      </c>
      <c r="AO121" s="1" t="s">
        <v>1380</v>
      </c>
      <c r="AP121" s="1" t="s">
        <v>74</v>
      </c>
      <c r="AQ121" s="1" t="s">
        <v>74</v>
      </c>
      <c r="AR121" s="1" t="s">
        <v>74</v>
      </c>
      <c r="AS121" s="1" t="s">
        <v>74</v>
      </c>
      <c r="AT121" s="1" t="s">
        <v>316</v>
      </c>
      <c r="AU121" s="1">
        <v>2004.0</v>
      </c>
      <c r="AV121" s="1">
        <v>12.0</v>
      </c>
      <c r="AW121" s="1">
        <v>5.0</v>
      </c>
      <c r="AX121" s="1" t="s">
        <v>74</v>
      </c>
      <c r="AY121" s="1" t="s">
        <v>74</v>
      </c>
      <c r="AZ121" s="1" t="s">
        <v>74</v>
      </c>
      <c r="BA121" s="1" t="s">
        <v>74</v>
      </c>
      <c r="BB121" s="1">
        <v>485.0</v>
      </c>
      <c r="BC121" s="1">
        <v>499.0</v>
      </c>
      <c r="BD121" s="1" t="s">
        <v>74</v>
      </c>
      <c r="BE121" s="1" t="s">
        <v>1381</v>
      </c>
      <c r="BF121" s="2" t="str">
        <f>HYPERLINK("http://dx.doi.org/10.1080/1068276042000219895","http://dx.doi.org/10.1080/1068276042000219895")</f>
        <v>http://dx.doi.org/10.1080/1068276042000219895</v>
      </c>
      <c r="BG121" s="1" t="s">
        <v>74</v>
      </c>
      <c r="BH121" s="1" t="s">
        <v>74</v>
      </c>
      <c r="BI121" s="1" t="s">
        <v>74</v>
      </c>
      <c r="BJ121" s="1" t="s">
        <v>74</v>
      </c>
      <c r="BK121" s="1" t="s">
        <v>74</v>
      </c>
      <c r="BL121" s="1" t="s">
        <v>74</v>
      </c>
      <c r="BM121" s="1" t="s">
        <v>74</v>
      </c>
      <c r="BN121" s="1" t="s">
        <v>74</v>
      </c>
      <c r="BO121" s="1" t="s">
        <v>74</v>
      </c>
      <c r="BP121" s="1" t="s">
        <v>74</v>
      </c>
      <c r="BQ121" s="1" t="s">
        <v>74</v>
      </c>
      <c r="BR121" s="1" t="s">
        <v>74</v>
      </c>
      <c r="BS121" s="1" t="s">
        <v>1382</v>
      </c>
      <c r="BT121" s="1" t="str">
        <f>HYPERLINK("https%3A%2F%2Fwww.webofscience.com%2Fwos%2Fwoscc%2Ffull-record%2FWOS:000224113500003","View Full Record in Web of Science")</f>
        <v>View Full Record in Web of Science</v>
      </c>
    </row>
    <row r="122" ht="12.75" customHeight="1">
      <c r="A122" s="1" t="s">
        <v>72</v>
      </c>
      <c r="B122" s="1" t="s">
        <v>1383</v>
      </c>
      <c r="C122" s="1" t="s">
        <v>74</v>
      </c>
      <c r="D122" s="1" t="s">
        <v>74</v>
      </c>
      <c r="E122" s="1" t="s">
        <v>74</v>
      </c>
      <c r="F122" s="1" t="s">
        <v>1383</v>
      </c>
      <c r="G122" s="1" t="s">
        <v>74</v>
      </c>
      <c r="H122" s="1" t="s">
        <v>74</v>
      </c>
      <c r="I122" s="1" t="s">
        <v>1384</v>
      </c>
      <c r="J122" s="1" t="s">
        <v>1385</v>
      </c>
      <c r="K122" s="1" t="s">
        <v>74</v>
      </c>
      <c r="L122" s="1" t="s">
        <v>74</v>
      </c>
      <c r="M122" s="1" t="s">
        <v>74</v>
      </c>
      <c r="N122" s="1" t="s">
        <v>74</v>
      </c>
      <c r="O122" s="1" t="s">
        <v>74</v>
      </c>
      <c r="P122" s="1" t="s">
        <v>74</v>
      </c>
      <c r="Q122" s="1" t="s">
        <v>74</v>
      </c>
      <c r="R122" s="1" t="s">
        <v>74</v>
      </c>
      <c r="S122" s="1" t="s">
        <v>74</v>
      </c>
      <c r="T122" s="1" t="s">
        <v>74</v>
      </c>
      <c r="U122" s="1" t="s">
        <v>74</v>
      </c>
      <c r="V122" s="1" t="s">
        <v>1386</v>
      </c>
      <c r="W122" s="1" t="s">
        <v>74</v>
      </c>
      <c r="X122" s="1" t="s">
        <v>74</v>
      </c>
      <c r="Y122" s="1" t="s">
        <v>74</v>
      </c>
      <c r="Z122" s="1" t="s">
        <v>74</v>
      </c>
      <c r="AA122" s="1" t="s">
        <v>1387</v>
      </c>
      <c r="AB122" s="1" t="s">
        <v>1388</v>
      </c>
      <c r="AC122" s="1" t="s">
        <v>74</v>
      </c>
      <c r="AD122" s="1" t="s">
        <v>74</v>
      </c>
      <c r="AE122" s="1" t="s">
        <v>74</v>
      </c>
      <c r="AF122" s="1" t="s">
        <v>74</v>
      </c>
      <c r="AG122" s="1" t="s">
        <v>74</v>
      </c>
      <c r="AH122" s="1" t="s">
        <v>74</v>
      </c>
      <c r="AI122" s="1" t="s">
        <v>74</v>
      </c>
      <c r="AJ122" s="1" t="s">
        <v>74</v>
      </c>
      <c r="AK122" s="1" t="s">
        <v>74</v>
      </c>
      <c r="AL122" s="1" t="s">
        <v>74</v>
      </c>
      <c r="AM122" s="1" t="s">
        <v>74</v>
      </c>
      <c r="AN122" s="1" t="s">
        <v>74</v>
      </c>
      <c r="AO122" s="1" t="s">
        <v>1389</v>
      </c>
      <c r="AP122" s="1" t="s">
        <v>74</v>
      </c>
      <c r="AQ122" s="1" t="s">
        <v>74</v>
      </c>
      <c r="AR122" s="1" t="s">
        <v>74</v>
      </c>
      <c r="AS122" s="1" t="s">
        <v>74</v>
      </c>
      <c r="AT122" s="1" t="s">
        <v>250</v>
      </c>
      <c r="AU122" s="1">
        <v>2003.0</v>
      </c>
      <c r="AV122" s="1">
        <v>48.0</v>
      </c>
      <c r="AW122" s="1">
        <v>3.0</v>
      </c>
      <c r="AX122" s="1" t="s">
        <v>74</v>
      </c>
      <c r="AY122" s="1" t="s">
        <v>74</v>
      </c>
      <c r="AZ122" s="1" t="s">
        <v>74</v>
      </c>
      <c r="BA122" s="1" t="s">
        <v>74</v>
      </c>
      <c r="BB122" s="1">
        <v>79.0</v>
      </c>
      <c r="BC122" s="1">
        <v>83.0</v>
      </c>
      <c r="BD122" s="1" t="s">
        <v>74</v>
      </c>
      <c r="BE122" s="1" t="s">
        <v>74</v>
      </c>
      <c r="BF122" s="1" t="s">
        <v>74</v>
      </c>
      <c r="BG122" s="1" t="s">
        <v>74</v>
      </c>
      <c r="BH122" s="1" t="s">
        <v>74</v>
      </c>
      <c r="BI122" s="1" t="s">
        <v>74</v>
      </c>
      <c r="BJ122" s="1" t="s">
        <v>74</v>
      </c>
      <c r="BK122" s="1" t="s">
        <v>74</v>
      </c>
      <c r="BL122" s="1" t="s">
        <v>74</v>
      </c>
      <c r="BM122" s="1" t="s">
        <v>74</v>
      </c>
      <c r="BN122" s="1" t="s">
        <v>74</v>
      </c>
      <c r="BO122" s="1" t="s">
        <v>74</v>
      </c>
      <c r="BP122" s="1" t="s">
        <v>74</v>
      </c>
      <c r="BQ122" s="1" t="s">
        <v>74</v>
      </c>
      <c r="BR122" s="1" t="s">
        <v>74</v>
      </c>
      <c r="BS122" s="1" t="s">
        <v>1390</v>
      </c>
      <c r="BT122" s="1" t="str">
        <f>HYPERLINK("https%3A%2F%2Fwww.webofscience.com%2Fwos%2Fwoscc%2Ffull-record%2FWOS:000185071000016","View Full Record in Web of Science")</f>
        <v>View Full Record in Web of Science</v>
      </c>
    </row>
    <row r="123" ht="12.75" customHeight="1">
      <c r="A123" s="1" t="s">
        <v>72</v>
      </c>
      <c r="B123" s="1" t="s">
        <v>1391</v>
      </c>
      <c r="C123" s="1" t="s">
        <v>74</v>
      </c>
      <c r="D123" s="1" t="s">
        <v>74</v>
      </c>
      <c r="E123" s="1" t="s">
        <v>74</v>
      </c>
      <c r="F123" s="1" t="s">
        <v>1391</v>
      </c>
      <c r="G123" s="1" t="s">
        <v>74</v>
      </c>
      <c r="H123" s="1" t="s">
        <v>74</v>
      </c>
      <c r="I123" s="1" t="s">
        <v>1392</v>
      </c>
      <c r="J123" s="1" t="s">
        <v>1393</v>
      </c>
      <c r="K123" s="1" t="s">
        <v>74</v>
      </c>
      <c r="L123" s="1" t="s">
        <v>74</v>
      </c>
      <c r="M123" s="1" t="s">
        <v>74</v>
      </c>
      <c r="N123" s="1" t="s">
        <v>74</v>
      </c>
      <c r="O123" s="1" t="s">
        <v>74</v>
      </c>
      <c r="P123" s="1" t="s">
        <v>74</v>
      </c>
      <c r="Q123" s="1" t="s">
        <v>74</v>
      </c>
      <c r="R123" s="1" t="s">
        <v>74</v>
      </c>
      <c r="S123" s="1" t="s">
        <v>74</v>
      </c>
      <c r="T123" s="1" t="s">
        <v>74</v>
      </c>
      <c r="U123" s="1" t="s">
        <v>74</v>
      </c>
      <c r="V123" s="1" t="s">
        <v>74</v>
      </c>
      <c r="W123" s="1" t="s">
        <v>74</v>
      </c>
      <c r="X123" s="1" t="s">
        <v>74</v>
      </c>
      <c r="Y123" s="1" t="s">
        <v>74</v>
      </c>
      <c r="Z123" s="1" t="s">
        <v>74</v>
      </c>
      <c r="AA123" s="1" t="s">
        <v>74</v>
      </c>
      <c r="AB123" s="1" t="s">
        <v>74</v>
      </c>
      <c r="AC123" s="1" t="s">
        <v>74</v>
      </c>
      <c r="AD123" s="1" t="s">
        <v>74</v>
      </c>
      <c r="AE123" s="1" t="s">
        <v>74</v>
      </c>
      <c r="AF123" s="1" t="s">
        <v>74</v>
      </c>
      <c r="AG123" s="1" t="s">
        <v>74</v>
      </c>
      <c r="AH123" s="1" t="s">
        <v>74</v>
      </c>
      <c r="AI123" s="1" t="s">
        <v>74</v>
      </c>
      <c r="AJ123" s="1" t="s">
        <v>74</v>
      </c>
      <c r="AK123" s="1" t="s">
        <v>74</v>
      </c>
      <c r="AL123" s="1" t="s">
        <v>74</v>
      </c>
      <c r="AM123" s="1" t="s">
        <v>74</v>
      </c>
      <c r="AN123" s="1" t="s">
        <v>74</v>
      </c>
      <c r="AO123" s="1" t="s">
        <v>1394</v>
      </c>
      <c r="AP123" s="1" t="s">
        <v>74</v>
      </c>
      <c r="AQ123" s="1" t="s">
        <v>74</v>
      </c>
      <c r="AR123" s="1" t="s">
        <v>74</v>
      </c>
      <c r="AS123" s="1" t="s">
        <v>74</v>
      </c>
      <c r="AT123" s="1" t="s">
        <v>1395</v>
      </c>
      <c r="AU123" s="1">
        <v>1999.0</v>
      </c>
      <c r="AV123" s="1">
        <v>218.0</v>
      </c>
      <c r="AW123" s="1" t="s">
        <v>74</v>
      </c>
      <c r="AX123" s="1">
        <v>1.0</v>
      </c>
      <c r="AY123" s="1" t="s">
        <v>74</v>
      </c>
      <c r="AZ123" s="1" t="s">
        <v>74</v>
      </c>
      <c r="BA123" s="1" t="s">
        <v>1396</v>
      </c>
      <c r="BB123" s="1" t="s">
        <v>1397</v>
      </c>
      <c r="BC123" s="1" t="s">
        <v>1397</v>
      </c>
      <c r="BD123" s="1" t="s">
        <v>74</v>
      </c>
      <c r="BE123" s="1" t="s">
        <v>74</v>
      </c>
      <c r="BF123" s="1" t="s">
        <v>74</v>
      </c>
      <c r="BG123" s="1" t="s">
        <v>74</v>
      </c>
      <c r="BH123" s="1" t="s">
        <v>74</v>
      </c>
      <c r="BI123" s="1" t="s">
        <v>74</v>
      </c>
      <c r="BJ123" s="1" t="s">
        <v>74</v>
      </c>
      <c r="BK123" s="1" t="s">
        <v>74</v>
      </c>
      <c r="BL123" s="1" t="s">
        <v>74</v>
      </c>
      <c r="BM123" s="1" t="s">
        <v>74</v>
      </c>
      <c r="BN123" s="1" t="s">
        <v>74</v>
      </c>
      <c r="BO123" s="1" t="s">
        <v>74</v>
      </c>
      <c r="BP123" s="1" t="s">
        <v>74</v>
      </c>
      <c r="BQ123" s="1" t="s">
        <v>74</v>
      </c>
      <c r="BR123" s="1" t="s">
        <v>74</v>
      </c>
      <c r="BS123" s="1" t="s">
        <v>1398</v>
      </c>
      <c r="BT123" s="1" t="str">
        <f>HYPERLINK("https%3A%2F%2Fwww.webofscience.com%2Fwos%2Fwoscc%2Ffull-record%2FWOS:000082033902798","View Full Record in Web of Science")</f>
        <v>View Full Record in Web of Science</v>
      </c>
    </row>
    <row r="124" ht="12.75" customHeight="1">
      <c r="A124" s="1" t="s">
        <v>72</v>
      </c>
      <c r="B124" s="1" t="s">
        <v>1399</v>
      </c>
      <c r="C124" s="1" t="s">
        <v>74</v>
      </c>
      <c r="D124" s="1" t="s">
        <v>74</v>
      </c>
      <c r="E124" s="1" t="s">
        <v>74</v>
      </c>
      <c r="F124" s="1" t="s">
        <v>1399</v>
      </c>
      <c r="G124" s="1" t="s">
        <v>74</v>
      </c>
      <c r="H124" s="1" t="s">
        <v>74</v>
      </c>
      <c r="I124" s="1" t="s">
        <v>1400</v>
      </c>
      <c r="J124" s="1" t="s">
        <v>1401</v>
      </c>
      <c r="K124" s="1" t="s">
        <v>74</v>
      </c>
      <c r="L124" s="1" t="s">
        <v>74</v>
      </c>
      <c r="M124" s="1" t="s">
        <v>74</v>
      </c>
      <c r="N124" s="1" t="s">
        <v>74</v>
      </c>
      <c r="O124" s="1" t="s">
        <v>74</v>
      </c>
      <c r="P124" s="1" t="s">
        <v>74</v>
      </c>
      <c r="Q124" s="1" t="s">
        <v>74</v>
      </c>
      <c r="R124" s="1" t="s">
        <v>74</v>
      </c>
      <c r="S124" s="1" t="s">
        <v>74</v>
      </c>
      <c r="T124" s="1" t="s">
        <v>74</v>
      </c>
      <c r="U124" s="1" t="s">
        <v>74</v>
      </c>
      <c r="V124" s="1" t="s">
        <v>1402</v>
      </c>
      <c r="W124" s="1" t="s">
        <v>74</v>
      </c>
      <c r="X124" s="1" t="s">
        <v>74</v>
      </c>
      <c r="Y124" s="1" t="s">
        <v>74</v>
      </c>
      <c r="Z124" s="1" t="s">
        <v>74</v>
      </c>
      <c r="AA124" s="1" t="s">
        <v>74</v>
      </c>
      <c r="AB124" s="1" t="s">
        <v>1403</v>
      </c>
      <c r="AC124" s="1" t="s">
        <v>74</v>
      </c>
      <c r="AD124" s="1" t="s">
        <v>74</v>
      </c>
      <c r="AE124" s="1" t="s">
        <v>74</v>
      </c>
      <c r="AF124" s="1" t="s">
        <v>74</v>
      </c>
      <c r="AG124" s="1" t="s">
        <v>74</v>
      </c>
      <c r="AH124" s="1" t="s">
        <v>74</v>
      </c>
      <c r="AI124" s="1" t="s">
        <v>74</v>
      </c>
      <c r="AJ124" s="1" t="s">
        <v>74</v>
      </c>
      <c r="AK124" s="1" t="s">
        <v>74</v>
      </c>
      <c r="AL124" s="1" t="s">
        <v>74</v>
      </c>
      <c r="AM124" s="1" t="s">
        <v>74</v>
      </c>
      <c r="AN124" s="1" t="s">
        <v>74</v>
      </c>
      <c r="AO124" s="1" t="s">
        <v>1404</v>
      </c>
      <c r="AP124" s="1" t="s">
        <v>74</v>
      </c>
      <c r="AQ124" s="1" t="s">
        <v>74</v>
      </c>
      <c r="AR124" s="1" t="s">
        <v>74</v>
      </c>
      <c r="AS124" s="1" t="s">
        <v>74</v>
      </c>
      <c r="AT124" s="1" t="s">
        <v>250</v>
      </c>
      <c r="AU124" s="1">
        <v>1997.0</v>
      </c>
      <c r="AV124" s="1">
        <v>14.0</v>
      </c>
      <c r="AW124" s="1">
        <v>9.0</v>
      </c>
      <c r="AX124" s="1" t="s">
        <v>74</v>
      </c>
      <c r="AY124" s="1" t="s">
        <v>74</v>
      </c>
      <c r="AZ124" s="1" t="s">
        <v>74</v>
      </c>
      <c r="BA124" s="1" t="s">
        <v>74</v>
      </c>
      <c r="BB124" s="1">
        <v>2455.0</v>
      </c>
      <c r="BC124" s="1">
        <v>2468.0</v>
      </c>
      <c r="BD124" s="1" t="s">
        <v>74</v>
      </c>
      <c r="BE124" s="1" t="s">
        <v>1405</v>
      </c>
      <c r="BF124" s="2" t="str">
        <f>HYPERLINK("http://dx.doi.org/10.1088/0264-9381/14/9/006","http://dx.doi.org/10.1088/0264-9381/14/9/006")</f>
        <v>http://dx.doi.org/10.1088/0264-9381/14/9/006</v>
      </c>
      <c r="BG124" s="1" t="s">
        <v>74</v>
      </c>
      <c r="BH124" s="1" t="s">
        <v>74</v>
      </c>
      <c r="BI124" s="1" t="s">
        <v>74</v>
      </c>
      <c r="BJ124" s="1" t="s">
        <v>74</v>
      </c>
      <c r="BK124" s="1" t="s">
        <v>74</v>
      </c>
      <c r="BL124" s="1" t="s">
        <v>74</v>
      </c>
      <c r="BM124" s="1" t="s">
        <v>74</v>
      </c>
      <c r="BN124" s="1" t="s">
        <v>74</v>
      </c>
      <c r="BO124" s="1" t="s">
        <v>74</v>
      </c>
      <c r="BP124" s="1" t="s">
        <v>74</v>
      </c>
      <c r="BQ124" s="1" t="s">
        <v>74</v>
      </c>
      <c r="BR124" s="1" t="s">
        <v>74</v>
      </c>
      <c r="BS124" s="1" t="s">
        <v>1406</v>
      </c>
      <c r="BT124" s="1" t="str">
        <f>HYPERLINK("https%3A%2F%2Fwww.webofscience.com%2Fwos%2Fwoscc%2Ffull-record%2FWOS:A1997XY76900005","View Full Record in Web of Science")</f>
        <v>View Full Record in Web of Science</v>
      </c>
    </row>
    <row r="125" ht="12.75" customHeight="1">
      <c r="A125" s="1" t="s">
        <v>72</v>
      </c>
      <c r="B125" s="1" t="s">
        <v>1407</v>
      </c>
      <c r="C125" s="1" t="s">
        <v>74</v>
      </c>
      <c r="D125" s="1" t="s">
        <v>74</v>
      </c>
      <c r="E125" s="1" t="s">
        <v>74</v>
      </c>
      <c r="F125" s="1" t="s">
        <v>1408</v>
      </c>
      <c r="G125" s="1" t="s">
        <v>74</v>
      </c>
      <c r="H125" s="1" t="s">
        <v>74</v>
      </c>
      <c r="I125" s="1" t="s">
        <v>1409</v>
      </c>
      <c r="J125" s="1" t="s">
        <v>1410</v>
      </c>
      <c r="K125" s="1" t="s">
        <v>74</v>
      </c>
      <c r="L125" s="1" t="s">
        <v>74</v>
      </c>
      <c r="M125" s="1" t="s">
        <v>74</v>
      </c>
      <c r="N125" s="1" t="s">
        <v>74</v>
      </c>
      <c r="O125" s="1" t="s">
        <v>74</v>
      </c>
      <c r="P125" s="1" t="s">
        <v>74</v>
      </c>
      <c r="Q125" s="1" t="s">
        <v>74</v>
      </c>
      <c r="R125" s="1" t="s">
        <v>74</v>
      </c>
      <c r="S125" s="1" t="s">
        <v>74</v>
      </c>
      <c r="T125" s="1" t="s">
        <v>74</v>
      </c>
      <c r="U125" s="1" t="s">
        <v>74</v>
      </c>
      <c r="V125" s="1" t="s">
        <v>1411</v>
      </c>
      <c r="W125" s="1" t="s">
        <v>74</v>
      </c>
      <c r="X125" s="1" t="s">
        <v>74</v>
      </c>
      <c r="Y125" s="1" t="s">
        <v>74</v>
      </c>
      <c r="Z125" s="1" t="s">
        <v>74</v>
      </c>
      <c r="AA125" s="1" t="s">
        <v>1412</v>
      </c>
      <c r="AB125" s="1" t="s">
        <v>74</v>
      </c>
      <c r="AC125" s="1" t="s">
        <v>74</v>
      </c>
      <c r="AD125" s="1" t="s">
        <v>74</v>
      </c>
      <c r="AE125" s="1" t="s">
        <v>74</v>
      </c>
      <c r="AF125" s="1" t="s">
        <v>74</v>
      </c>
      <c r="AG125" s="1" t="s">
        <v>74</v>
      </c>
      <c r="AH125" s="1" t="s">
        <v>74</v>
      </c>
      <c r="AI125" s="1" t="s">
        <v>74</v>
      </c>
      <c r="AJ125" s="1" t="s">
        <v>74</v>
      </c>
      <c r="AK125" s="1" t="s">
        <v>74</v>
      </c>
      <c r="AL125" s="1" t="s">
        <v>74</v>
      </c>
      <c r="AM125" s="1" t="s">
        <v>74</v>
      </c>
      <c r="AN125" s="1" t="s">
        <v>74</v>
      </c>
      <c r="AO125" s="1" t="s">
        <v>1413</v>
      </c>
      <c r="AP125" s="1" t="s">
        <v>74</v>
      </c>
      <c r="AQ125" s="1" t="s">
        <v>74</v>
      </c>
      <c r="AR125" s="1" t="s">
        <v>74</v>
      </c>
      <c r="AS125" s="1" t="s">
        <v>74</v>
      </c>
      <c r="AT125" s="1" t="s">
        <v>559</v>
      </c>
      <c r="AU125" s="1">
        <v>2024.0</v>
      </c>
      <c r="AV125" s="1">
        <v>24.0</v>
      </c>
      <c r="AW125" s="1" t="s">
        <v>74</v>
      </c>
      <c r="AX125" s="1" t="s">
        <v>74</v>
      </c>
      <c r="AY125" s="1" t="s">
        <v>74</v>
      </c>
      <c r="AZ125" s="1" t="s">
        <v>74</v>
      </c>
      <c r="BA125" s="1" t="s">
        <v>74</v>
      </c>
      <c r="BB125" s="1" t="s">
        <v>74</v>
      </c>
      <c r="BC125" s="1" t="s">
        <v>74</v>
      </c>
      <c r="BD125" s="1">
        <v>103026.0</v>
      </c>
      <c r="BE125" s="1" t="s">
        <v>1414</v>
      </c>
      <c r="BF125" s="2" t="str">
        <f>HYPERLINK("http://dx.doi.org/10.1016/j.rineng.2024.103026","http://dx.doi.org/10.1016/j.rineng.2024.103026")</f>
        <v>http://dx.doi.org/10.1016/j.rineng.2024.103026</v>
      </c>
      <c r="BG125" s="1" t="s">
        <v>74</v>
      </c>
      <c r="BH125" s="1" t="s">
        <v>1415</v>
      </c>
      <c r="BI125" s="1" t="s">
        <v>74</v>
      </c>
      <c r="BJ125" s="1" t="s">
        <v>74</v>
      </c>
      <c r="BK125" s="1" t="s">
        <v>74</v>
      </c>
      <c r="BL125" s="1" t="s">
        <v>74</v>
      </c>
      <c r="BM125" s="1" t="s">
        <v>74</v>
      </c>
      <c r="BN125" s="1" t="s">
        <v>74</v>
      </c>
      <c r="BO125" s="1" t="s">
        <v>74</v>
      </c>
      <c r="BP125" s="1" t="s">
        <v>74</v>
      </c>
      <c r="BQ125" s="1" t="s">
        <v>74</v>
      </c>
      <c r="BR125" s="1" t="s">
        <v>74</v>
      </c>
      <c r="BS125" s="1" t="s">
        <v>1416</v>
      </c>
      <c r="BT125" s="1" t="str">
        <f>HYPERLINK("https%3A%2F%2Fwww.webofscience.com%2Fwos%2Fwoscc%2Ffull-record%2FWOS:001413433200001","View Full Record in Web of Science")</f>
        <v>View Full Record in Web of Science</v>
      </c>
    </row>
    <row r="126" ht="12.75" customHeight="1">
      <c r="A126" s="1" t="s">
        <v>72</v>
      </c>
      <c r="B126" s="1" t="s">
        <v>1417</v>
      </c>
      <c r="C126" s="1" t="s">
        <v>74</v>
      </c>
      <c r="D126" s="1" t="s">
        <v>74</v>
      </c>
      <c r="E126" s="1" t="s">
        <v>74</v>
      </c>
      <c r="F126" s="1" t="s">
        <v>1418</v>
      </c>
      <c r="G126" s="1" t="s">
        <v>74</v>
      </c>
      <c r="H126" s="1" t="s">
        <v>74</v>
      </c>
      <c r="I126" s="1" t="s">
        <v>1419</v>
      </c>
      <c r="J126" s="1" t="s">
        <v>1420</v>
      </c>
      <c r="K126" s="1" t="s">
        <v>74</v>
      </c>
      <c r="L126" s="1" t="s">
        <v>74</v>
      </c>
      <c r="M126" s="1" t="s">
        <v>74</v>
      </c>
      <c r="N126" s="1" t="s">
        <v>74</v>
      </c>
      <c r="O126" s="1" t="s">
        <v>74</v>
      </c>
      <c r="P126" s="1" t="s">
        <v>74</v>
      </c>
      <c r="Q126" s="1" t="s">
        <v>74</v>
      </c>
      <c r="R126" s="1" t="s">
        <v>74</v>
      </c>
      <c r="S126" s="1" t="s">
        <v>74</v>
      </c>
      <c r="T126" s="1" t="s">
        <v>74</v>
      </c>
      <c r="U126" s="1" t="s">
        <v>74</v>
      </c>
      <c r="V126" s="1" t="s">
        <v>1421</v>
      </c>
      <c r="W126" s="1" t="s">
        <v>74</v>
      </c>
      <c r="X126" s="1" t="s">
        <v>74</v>
      </c>
      <c r="Y126" s="1" t="s">
        <v>74</v>
      </c>
      <c r="Z126" s="1" t="s">
        <v>74</v>
      </c>
      <c r="AA126" s="1" t="s">
        <v>1422</v>
      </c>
      <c r="AB126" s="1" t="s">
        <v>1423</v>
      </c>
      <c r="AC126" s="1" t="s">
        <v>74</v>
      </c>
      <c r="AD126" s="1" t="s">
        <v>74</v>
      </c>
      <c r="AE126" s="1" t="s">
        <v>74</v>
      </c>
      <c r="AF126" s="1" t="s">
        <v>74</v>
      </c>
      <c r="AG126" s="1" t="s">
        <v>74</v>
      </c>
      <c r="AH126" s="1" t="s">
        <v>74</v>
      </c>
      <c r="AI126" s="1" t="s">
        <v>74</v>
      </c>
      <c r="AJ126" s="1" t="s">
        <v>74</v>
      </c>
      <c r="AK126" s="1" t="s">
        <v>74</v>
      </c>
      <c r="AL126" s="1" t="s">
        <v>74</v>
      </c>
      <c r="AM126" s="1" t="s">
        <v>74</v>
      </c>
      <c r="AN126" s="1" t="s">
        <v>74</v>
      </c>
      <c r="AO126" s="1" t="s">
        <v>1424</v>
      </c>
      <c r="AP126" s="1" t="s">
        <v>1425</v>
      </c>
      <c r="AQ126" s="1" t="s">
        <v>74</v>
      </c>
      <c r="AR126" s="1" t="s">
        <v>74</v>
      </c>
      <c r="AS126" s="1" t="s">
        <v>74</v>
      </c>
      <c r="AT126" s="1" t="s">
        <v>74</v>
      </c>
      <c r="AU126" s="1">
        <v>2024.0</v>
      </c>
      <c r="AV126" s="1">
        <v>48.0</v>
      </c>
      <c r="AW126" s="1" t="s">
        <v>74</v>
      </c>
      <c r="AX126" s="1" t="s">
        <v>74</v>
      </c>
      <c r="AY126" s="1" t="s">
        <v>74</v>
      </c>
      <c r="AZ126" s="1" t="s">
        <v>74</v>
      </c>
      <c r="BA126" s="1" t="s">
        <v>74</v>
      </c>
      <c r="BB126" s="1" t="s">
        <v>74</v>
      </c>
      <c r="BC126" s="1" t="s">
        <v>74</v>
      </c>
      <c r="BD126" s="1" t="s">
        <v>1426</v>
      </c>
      <c r="BE126" s="1" t="s">
        <v>1427</v>
      </c>
      <c r="BF126" s="2" t="str">
        <f>HYPERLINK("http://dx.doi.org/10.26633/RPSP.2024.14","http://dx.doi.org/10.26633/RPSP.2024.14")</f>
        <v>http://dx.doi.org/10.26633/RPSP.2024.14</v>
      </c>
      <c r="BG126" s="1" t="s">
        <v>74</v>
      </c>
      <c r="BH126" s="1" t="s">
        <v>74</v>
      </c>
      <c r="BI126" s="1" t="s">
        <v>74</v>
      </c>
      <c r="BJ126" s="1" t="s">
        <v>74</v>
      </c>
      <c r="BK126" s="1" t="s">
        <v>74</v>
      </c>
      <c r="BL126" s="1" t="s">
        <v>74</v>
      </c>
      <c r="BM126" s="1" t="s">
        <v>74</v>
      </c>
      <c r="BN126" s="1">
        <v>3.8464879E7</v>
      </c>
      <c r="BO126" s="1" t="s">
        <v>74</v>
      </c>
      <c r="BP126" s="1" t="s">
        <v>74</v>
      </c>
      <c r="BQ126" s="1" t="s">
        <v>74</v>
      </c>
      <c r="BR126" s="1" t="s">
        <v>74</v>
      </c>
      <c r="BS126" s="1" t="s">
        <v>1428</v>
      </c>
      <c r="BT126" s="1" t="str">
        <f>HYPERLINK("https%3A%2F%2Fwww.webofscience.com%2Fwos%2Fwoscc%2Ffull-record%2FWOS:001182240800001","View Full Record in Web of Science")</f>
        <v>View Full Record in Web of Science</v>
      </c>
    </row>
    <row r="127" ht="12.75" customHeight="1">
      <c r="A127" s="1" t="s">
        <v>72</v>
      </c>
      <c r="B127" s="1" t="s">
        <v>1429</v>
      </c>
      <c r="C127" s="1" t="s">
        <v>74</v>
      </c>
      <c r="D127" s="1" t="s">
        <v>74</v>
      </c>
      <c r="E127" s="1" t="s">
        <v>74</v>
      </c>
      <c r="F127" s="1" t="s">
        <v>1430</v>
      </c>
      <c r="G127" s="1" t="s">
        <v>74</v>
      </c>
      <c r="H127" s="1" t="s">
        <v>74</v>
      </c>
      <c r="I127" s="1" t="s">
        <v>1431</v>
      </c>
      <c r="J127" s="1" t="s">
        <v>1432</v>
      </c>
      <c r="K127" s="1" t="s">
        <v>74</v>
      </c>
      <c r="L127" s="1" t="s">
        <v>74</v>
      </c>
      <c r="M127" s="1" t="s">
        <v>74</v>
      </c>
      <c r="N127" s="1" t="s">
        <v>74</v>
      </c>
      <c r="O127" s="1" t="s">
        <v>74</v>
      </c>
      <c r="P127" s="1" t="s">
        <v>74</v>
      </c>
      <c r="Q127" s="1" t="s">
        <v>74</v>
      </c>
      <c r="R127" s="1" t="s">
        <v>74</v>
      </c>
      <c r="S127" s="1" t="s">
        <v>74</v>
      </c>
      <c r="T127" s="1" t="s">
        <v>74</v>
      </c>
      <c r="U127" s="1" t="s">
        <v>74</v>
      </c>
      <c r="V127" s="1" t="s">
        <v>1433</v>
      </c>
      <c r="W127" s="1" t="s">
        <v>74</v>
      </c>
      <c r="X127" s="1" t="s">
        <v>74</v>
      </c>
      <c r="Y127" s="1" t="s">
        <v>74</v>
      </c>
      <c r="Z127" s="1" t="s">
        <v>74</v>
      </c>
      <c r="AA127" s="1" t="s">
        <v>1434</v>
      </c>
      <c r="AB127" s="1" t="s">
        <v>1435</v>
      </c>
      <c r="AC127" s="1" t="s">
        <v>74</v>
      </c>
      <c r="AD127" s="1" t="s">
        <v>74</v>
      </c>
      <c r="AE127" s="1" t="s">
        <v>74</v>
      </c>
      <c r="AF127" s="1" t="s">
        <v>74</v>
      </c>
      <c r="AG127" s="1" t="s">
        <v>74</v>
      </c>
      <c r="AH127" s="1" t="s">
        <v>74</v>
      </c>
      <c r="AI127" s="1" t="s">
        <v>74</v>
      </c>
      <c r="AJ127" s="1" t="s">
        <v>74</v>
      </c>
      <c r="AK127" s="1" t="s">
        <v>74</v>
      </c>
      <c r="AL127" s="1" t="s">
        <v>74</v>
      </c>
      <c r="AM127" s="1" t="s">
        <v>74</v>
      </c>
      <c r="AN127" s="1" t="s">
        <v>74</v>
      </c>
      <c r="AO127" s="1" t="s">
        <v>1436</v>
      </c>
      <c r="AP127" s="1" t="s">
        <v>1437</v>
      </c>
      <c r="AQ127" s="1" t="s">
        <v>74</v>
      </c>
      <c r="AR127" s="1" t="s">
        <v>74</v>
      </c>
      <c r="AS127" s="1" t="s">
        <v>74</v>
      </c>
      <c r="AT127" s="1" t="s">
        <v>215</v>
      </c>
      <c r="AU127" s="1">
        <v>2024.0</v>
      </c>
      <c r="AV127" s="1">
        <v>578.0</v>
      </c>
      <c r="AW127" s="1" t="s">
        <v>74</v>
      </c>
      <c r="AX127" s="1" t="s">
        <v>74</v>
      </c>
      <c r="AY127" s="1" t="s">
        <v>74</v>
      </c>
      <c r="AZ127" s="1" t="s">
        <v>74</v>
      </c>
      <c r="BA127" s="1" t="s">
        <v>74</v>
      </c>
      <c r="BB127" s="1" t="s">
        <v>74</v>
      </c>
      <c r="BC127" s="1" t="s">
        <v>74</v>
      </c>
      <c r="BD127" s="1">
        <v>740035.0</v>
      </c>
      <c r="BE127" s="1" t="s">
        <v>1438</v>
      </c>
      <c r="BF127" s="2" t="str">
        <f>HYPERLINK("http://dx.doi.org/10.1016/j.aquaculture.2023.740035","http://dx.doi.org/10.1016/j.aquaculture.2023.740035")</f>
        <v>http://dx.doi.org/10.1016/j.aquaculture.2023.740035</v>
      </c>
      <c r="BG127" s="1" t="s">
        <v>74</v>
      </c>
      <c r="BH127" s="1" t="s">
        <v>1439</v>
      </c>
      <c r="BI127" s="1" t="s">
        <v>74</v>
      </c>
      <c r="BJ127" s="1" t="s">
        <v>74</v>
      </c>
      <c r="BK127" s="1" t="s">
        <v>74</v>
      </c>
      <c r="BL127" s="1" t="s">
        <v>74</v>
      </c>
      <c r="BM127" s="1" t="s">
        <v>74</v>
      </c>
      <c r="BN127" s="1" t="s">
        <v>74</v>
      </c>
      <c r="BO127" s="1" t="s">
        <v>74</v>
      </c>
      <c r="BP127" s="1" t="s">
        <v>74</v>
      </c>
      <c r="BQ127" s="1" t="s">
        <v>74</v>
      </c>
      <c r="BR127" s="1" t="s">
        <v>74</v>
      </c>
      <c r="BS127" s="1" t="s">
        <v>1440</v>
      </c>
      <c r="BT127" s="1" t="str">
        <f>HYPERLINK("https%3A%2F%2Fwww.webofscience.com%2Fwos%2Fwoscc%2Ffull-record%2FWOS:001075900300001","View Full Record in Web of Science")</f>
        <v>View Full Record in Web of Science</v>
      </c>
    </row>
    <row r="128" ht="12.75" customHeight="1">
      <c r="A128" s="1" t="s">
        <v>72</v>
      </c>
      <c r="B128" s="1" t="s">
        <v>1441</v>
      </c>
      <c r="C128" s="1" t="s">
        <v>74</v>
      </c>
      <c r="D128" s="1" t="s">
        <v>74</v>
      </c>
      <c r="E128" s="1" t="s">
        <v>74</v>
      </c>
      <c r="F128" s="1" t="s">
        <v>1442</v>
      </c>
      <c r="G128" s="1" t="s">
        <v>74</v>
      </c>
      <c r="H128" s="1" t="s">
        <v>74</v>
      </c>
      <c r="I128" s="1" t="s">
        <v>1443</v>
      </c>
      <c r="J128" s="1" t="s">
        <v>1444</v>
      </c>
      <c r="K128" s="1" t="s">
        <v>74</v>
      </c>
      <c r="L128" s="1" t="s">
        <v>74</v>
      </c>
      <c r="M128" s="1" t="s">
        <v>74</v>
      </c>
      <c r="N128" s="1" t="s">
        <v>74</v>
      </c>
      <c r="O128" s="1" t="s">
        <v>74</v>
      </c>
      <c r="P128" s="1" t="s">
        <v>74</v>
      </c>
      <c r="Q128" s="1" t="s">
        <v>74</v>
      </c>
      <c r="R128" s="1" t="s">
        <v>74</v>
      </c>
      <c r="S128" s="1" t="s">
        <v>74</v>
      </c>
      <c r="T128" s="1" t="s">
        <v>74</v>
      </c>
      <c r="U128" s="1" t="s">
        <v>74</v>
      </c>
      <c r="V128" s="1" t="s">
        <v>1445</v>
      </c>
      <c r="W128" s="1" t="s">
        <v>74</v>
      </c>
      <c r="X128" s="1" t="s">
        <v>74</v>
      </c>
      <c r="Y128" s="1" t="s">
        <v>74</v>
      </c>
      <c r="Z128" s="1" t="s">
        <v>74</v>
      </c>
      <c r="AA128" s="1" t="s">
        <v>1446</v>
      </c>
      <c r="AB128" s="1" t="s">
        <v>1447</v>
      </c>
      <c r="AC128" s="1" t="s">
        <v>74</v>
      </c>
      <c r="AD128" s="1" t="s">
        <v>74</v>
      </c>
      <c r="AE128" s="1" t="s">
        <v>74</v>
      </c>
      <c r="AF128" s="1" t="s">
        <v>74</v>
      </c>
      <c r="AG128" s="1" t="s">
        <v>74</v>
      </c>
      <c r="AH128" s="1" t="s">
        <v>74</v>
      </c>
      <c r="AI128" s="1" t="s">
        <v>74</v>
      </c>
      <c r="AJ128" s="1" t="s">
        <v>74</v>
      </c>
      <c r="AK128" s="1" t="s">
        <v>74</v>
      </c>
      <c r="AL128" s="1" t="s">
        <v>74</v>
      </c>
      <c r="AM128" s="1" t="s">
        <v>74</v>
      </c>
      <c r="AN128" s="1" t="s">
        <v>74</v>
      </c>
      <c r="AO128" s="1" t="s">
        <v>1448</v>
      </c>
      <c r="AP128" s="1" t="s">
        <v>1449</v>
      </c>
      <c r="AQ128" s="1" t="s">
        <v>74</v>
      </c>
      <c r="AR128" s="1" t="s">
        <v>74</v>
      </c>
      <c r="AS128" s="1" t="s">
        <v>74</v>
      </c>
      <c r="AT128" s="1" t="s">
        <v>1304</v>
      </c>
      <c r="AU128" s="1">
        <v>2023.0</v>
      </c>
      <c r="AV128" s="1">
        <v>29.0</v>
      </c>
      <c r="AW128" s="1" t="s">
        <v>74</v>
      </c>
      <c r="AX128" s="1" t="s">
        <v>74</v>
      </c>
      <c r="AY128" s="1" t="s">
        <v>74</v>
      </c>
      <c r="AZ128" s="1" t="s">
        <v>74</v>
      </c>
      <c r="BA128" s="1" t="s">
        <v>74</v>
      </c>
      <c r="BB128" s="1" t="s">
        <v>74</v>
      </c>
      <c r="BC128" s="1" t="s">
        <v>74</v>
      </c>
      <c r="BD128" s="1" t="s">
        <v>1450</v>
      </c>
      <c r="BE128" s="1" t="s">
        <v>1451</v>
      </c>
      <c r="BF128" s="2" t="str">
        <f>HYPERLINK("http://dx.doi.org/10.22456/1982-8918.126532","http://dx.doi.org/10.22456/1982-8918.126532")</f>
        <v>http://dx.doi.org/10.22456/1982-8918.126532</v>
      </c>
      <c r="BG128" s="1" t="s">
        <v>74</v>
      </c>
      <c r="BH128" s="1" t="s">
        <v>74</v>
      </c>
      <c r="BI128" s="1" t="s">
        <v>74</v>
      </c>
      <c r="BJ128" s="1" t="s">
        <v>74</v>
      </c>
      <c r="BK128" s="1" t="s">
        <v>74</v>
      </c>
      <c r="BL128" s="1" t="s">
        <v>74</v>
      </c>
      <c r="BM128" s="1" t="s">
        <v>74</v>
      </c>
      <c r="BN128" s="1" t="s">
        <v>74</v>
      </c>
      <c r="BO128" s="1" t="s">
        <v>74</v>
      </c>
      <c r="BP128" s="1" t="s">
        <v>74</v>
      </c>
      <c r="BQ128" s="1" t="s">
        <v>74</v>
      </c>
      <c r="BR128" s="1" t="s">
        <v>74</v>
      </c>
      <c r="BS128" s="1" t="s">
        <v>1452</v>
      </c>
      <c r="BT128" s="1" t="str">
        <f>HYPERLINK("https%3A%2F%2Fwww.webofscience.com%2Fwos%2Fwoscc%2Ffull-record%2FWOS:001087527500001","View Full Record in Web of Science")</f>
        <v>View Full Record in Web of Science</v>
      </c>
    </row>
    <row r="129" ht="12.75" customHeight="1">
      <c r="A129" s="1" t="s">
        <v>72</v>
      </c>
      <c r="B129" s="1" t="s">
        <v>1453</v>
      </c>
      <c r="C129" s="1" t="s">
        <v>74</v>
      </c>
      <c r="D129" s="1" t="s">
        <v>74</v>
      </c>
      <c r="E129" s="1" t="s">
        <v>74</v>
      </c>
      <c r="F129" s="1" t="s">
        <v>1454</v>
      </c>
      <c r="G129" s="1" t="s">
        <v>74</v>
      </c>
      <c r="H129" s="1" t="s">
        <v>74</v>
      </c>
      <c r="I129" s="1" t="s">
        <v>1455</v>
      </c>
      <c r="J129" s="1" t="s">
        <v>383</v>
      </c>
      <c r="K129" s="1" t="s">
        <v>74</v>
      </c>
      <c r="L129" s="1" t="s">
        <v>74</v>
      </c>
      <c r="M129" s="1" t="s">
        <v>74</v>
      </c>
      <c r="N129" s="1" t="s">
        <v>74</v>
      </c>
      <c r="O129" s="1" t="s">
        <v>74</v>
      </c>
      <c r="P129" s="1" t="s">
        <v>74</v>
      </c>
      <c r="Q129" s="1" t="s">
        <v>74</v>
      </c>
      <c r="R129" s="1" t="s">
        <v>74</v>
      </c>
      <c r="S129" s="1" t="s">
        <v>74</v>
      </c>
      <c r="T129" s="1" t="s">
        <v>74</v>
      </c>
      <c r="U129" s="1" t="s">
        <v>74</v>
      </c>
      <c r="V129" s="1" t="s">
        <v>1456</v>
      </c>
      <c r="W129" s="1" t="s">
        <v>74</v>
      </c>
      <c r="X129" s="1" t="s">
        <v>74</v>
      </c>
      <c r="Y129" s="1" t="s">
        <v>74</v>
      </c>
      <c r="Z129" s="1" t="s">
        <v>74</v>
      </c>
      <c r="AA129" s="1" t="s">
        <v>1457</v>
      </c>
      <c r="AB129" s="1" t="s">
        <v>1458</v>
      </c>
      <c r="AC129" s="1" t="s">
        <v>74</v>
      </c>
      <c r="AD129" s="1" t="s">
        <v>74</v>
      </c>
      <c r="AE129" s="1" t="s">
        <v>74</v>
      </c>
      <c r="AF129" s="1" t="s">
        <v>74</v>
      </c>
      <c r="AG129" s="1" t="s">
        <v>74</v>
      </c>
      <c r="AH129" s="1" t="s">
        <v>74</v>
      </c>
      <c r="AI129" s="1" t="s">
        <v>74</v>
      </c>
      <c r="AJ129" s="1" t="s">
        <v>74</v>
      </c>
      <c r="AK129" s="1" t="s">
        <v>74</v>
      </c>
      <c r="AL129" s="1" t="s">
        <v>74</v>
      </c>
      <c r="AM129" s="1" t="s">
        <v>74</v>
      </c>
      <c r="AN129" s="1" t="s">
        <v>74</v>
      </c>
      <c r="AO129" s="1" t="s">
        <v>387</v>
      </c>
      <c r="AP129" s="1" t="s">
        <v>74</v>
      </c>
      <c r="AQ129" s="1" t="s">
        <v>74</v>
      </c>
      <c r="AR129" s="1" t="s">
        <v>74</v>
      </c>
      <c r="AS129" s="1" t="s">
        <v>74</v>
      </c>
      <c r="AT129" s="1" t="s">
        <v>1459</v>
      </c>
      <c r="AU129" s="1">
        <v>2023.0</v>
      </c>
      <c r="AV129" s="1">
        <v>13.0</v>
      </c>
      <c r="AW129" s="1">
        <v>1.0</v>
      </c>
      <c r="AX129" s="1" t="s">
        <v>74</v>
      </c>
      <c r="AY129" s="1" t="s">
        <v>74</v>
      </c>
      <c r="AZ129" s="1" t="s">
        <v>74</v>
      </c>
      <c r="BA129" s="1" t="s">
        <v>74</v>
      </c>
      <c r="BB129" s="1" t="s">
        <v>74</v>
      </c>
      <c r="BC129" s="1" t="s">
        <v>74</v>
      </c>
      <c r="BD129" s="1">
        <v>11711.0</v>
      </c>
      <c r="BE129" s="1" t="s">
        <v>1460</v>
      </c>
      <c r="BF129" s="2" t="str">
        <f>HYPERLINK("http://dx.doi.org/10.1038/s41598-023-38029-5","http://dx.doi.org/10.1038/s41598-023-38029-5")</f>
        <v>http://dx.doi.org/10.1038/s41598-023-38029-5</v>
      </c>
      <c r="BG129" s="1" t="s">
        <v>74</v>
      </c>
      <c r="BH129" s="1" t="s">
        <v>74</v>
      </c>
      <c r="BI129" s="1" t="s">
        <v>74</v>
      </c>
      <c r="BJ129" s="1" t="s">
        <v>74</v>
      </c>
      <c r="BK129" s="1" t="s">
        <v>74</v>
      </c>
      <c r="BL129" s="1" t="s">
        <v>74</v>
      </c>
      <c r="BM129" s="1" t="s">
        <v>74</v>
      </c>
      <c r="BN129" s="1">
        <v>3.7474533E7</v>
      </c>
      <c r="BO129" s="1" t="s">
        <v>74</v>
      </c>
      <c r="BP129" s="1" t="s">
        <v>74</v>
      </c>
      <c r="BQ129" s="1" t="s">
        <v>74</v>
      </c>
      <c r="BR129" s="1" t="s">
        <v>74</v>
      </c>
      <c r="BS129" s="1" t="s">
        <v>1461</v>
      </c>
      <c r="BT129" s="1" t="str">
        <f>HYPERLINK("https%3A%2F%2Fwww.webofscience.com%2Fwos%2Fwoscc%2Ffull-record%2FWOS:001034058100012","View Full Record in Web of Science")</f>
        <v>View Full Record in Web of Science</v>
      </c>
    </row>
    <row r="130" ht="12.75" customHeight="1">
      <c r="A130" s="1" t="s">
        <v>72</v>
      </c>
      <c r="B130" s="1" t="s">
        <v>1462</v>
      </c>
      <c r="C130" s="1" t="s">
        <v>74</v>
      </c>
      <c r="D130" s="1" t="s">
        <v>74</v>
      </c>
      <c r="E130" s="1" t="s">
        <v>74</v>
      </c>
      <c r="F130" s="1" t="s">
        <v>1463</v>
      </c>
      <c r="G130" s="1" t="s">
        <v>74</v>
      </c>
      <c r="H130" s="1" t="s">
        <v>74</v>
      </c>
      <c r="I130" s="1" t="s">
        <v>1464</v>
      </c>
      <c r="J130" s="1" t="s">
        <v>1465</v>
      </c>
      <c r="K130" s="1" t="s">
        <v>74</v>
      </c>
      <c r="L130" s="1" t="s">
        <v>74</v>
      </c>
      <c r="M130" s="1" t="s">
        <v>74</v>
      </c>
      <c r="N130" s="1" t="s">
        <v>74</v>
      </c>
      <c r="O130" s="1" t="s">
        <v>74</v>
      </c>
      <c r="P130" s="1" t="s">
        <v>74</v>
      </c>
      <c r="Q130" s="1" t="s">
        <v>74</v>
      </c>
      <c r="R130" s="1" t="s">
        <v>74</v>
      </c>
      <c r="S130" s="1" t="s">
        <v>74</v>
      </c>
      <c r="T130" s="1" t="s">
        <v>74</v>
      </c>
      <c r="U130" s="1" t="s">
        <v>74</v>
      </c>
      <c r="V130" s="1" t="s">
        <v>1466</v>
      </c>
      <c r="W130" s="1" t="s">
        <v>74</v>
      </c>
      <c r="X130" s="1" t="s">
        <v>74</v>
      </c>
      <c r="Y130" s="1" t="s">
        <v>74</v>
      </c>
      <c r="Z130" s="1" t="s">
        <v>74</v>
      </c>
      <c r="AA130" s="1" t="s">
        <v>1467</v>
      </c>
      <c r="AB130" s="1" t="s">
        <v>74</v>
      </c>
      <c r="AC130" s="1" t="s">
        <v>74</v>
      </c>
      <c r="AD130" s="1" t="s">
        <v>74</v>
      </c>
      <c r="AE130" s="1" t="s">
        <v>74</v>
      </c>
      <c r="AF130" s="1" t="s">
        <v>74</v>
      </c>
      <c r="AG130" s="1" t="s">
        <v>74</v>
      </c>
      <c r="AH130" s="1" t="s">
        <v>74</v>
      </c>
      <c r="AI130" s="1" t="s">
        <v>74</v>
      </c>
      <c r="AJ130" s="1" t="s">
        <v>74</v>
      </c>
      <c r="AK130" s="1" t="s">
        <v>74</v>
      </c>
      <c r="AL130" s="1" t="s">
        <v>74</v>
      </c>
      <c r="AM130" s="1" t="s">
        <v>74</v>
      </c>
      <c r="AN130" s="1" t="s">
        <v>74</v>
      </c>
      <c r="AO130" s="1" t="s">
        <v>74</v>
      </c>
      <c r="AP130" s="1" t="s">
        <v>1468</v>
      </c>
      <c r="AQ130" s="1" t="s">
        <v>74</v>
      </c>
      <c r="AR130" s="1" t="s">
        <v>74</v>
      </c>
      <c r="AS130" s="1" t="s">
        <v>74</v>
      </c>
      <c r="AT130" s="1" t="s">
        <v>559</v>
      </c>
      <c r="AU130" s="1">
        <v>2022.0</v>
      </c>
      <c r="AV130" s="1">
        <v>172.0</v>
      </c>
      <c r="AW130" s="1" t="s">
        <v>74</v>
      </c>
      <c r="AX130" s="1" t="s">
        <v>74</v>
      </c>
      <c r="AY130" s="1" t="s">
        <v>74</v>
      </c>
      <c r="AZ130" s="1" t="s">
        <v>74</v>
      </c>
      <c r="BA130" s="1" t="s">
        <v>74</v>
      </c>
      <c r="BB130" s="1" t="s">
        <v>74</v>
      </c>
      <c r="BC130" s="1" t="s">
        <v>74</v>
      </c>
      <c r="BD130" s="1">
        <v>207442.0</v>
      </c>
      <c r="BE130" s="1" t="s">
        <v>1469</v>
      </c>
      <c r="BF130" s="2" t="str">
        <f>HYPERLINK("http://dx.doi.org/10.1016/j.micrna.2022.207442","http://dx.doi.org/10.1016/j.micrna.2022.207442")</f>
        <v>http://dx.doi.org/10.1016/j.micrna.2022.207442</v>
      </c>
      <c r="BG130" s="1" t="s">
        <v>74</v>
      </c>
      <c r="BH130" s="1" t="s">
        <v>1470</v>
      </c>
      <c r="BI130" s="1" t="s">
        <v>74</v>
      </c>
      <c r="BJ130" s="1" t="s">
        <v>74</v>
      </c>
      <c r="BK130" s="1" t="s">
        <v>74</v>
      </c>
      <c r="BL130" s="1" t="s">
        <v>74</v>
      </c>
      <c r="BM130" s="1" t="s">
        <v>74</v>
      </c>
      <c r="BN130" s="1" t="s">
        <v>74</v>
      </c>
      <c r="BO130" s="1" t="s">
        <v>74</v>
      </c>
      <c r="BP130" s="1" t="s">
        <v>74</v>
      </c>
      <c r="BQ130" s="1" t="s">
        <v>74</v>
      </c>
      <c r="BR130" s="1" t="s">
        <v>74</v>
      </c>
      <c r="BS130" s="1" t="s">
        <v>1471</v>
      </c>
      <c r="BT130" s="1" t="str">
        <f>HYPERLINK("https%3A%2F%2Fwww.webofscience.com%2Fwos%2Fwoscc%2Ffull-record%2FWOS:000893712600007","View Full Record in Web of Science")</f>
        <v>View Full Record in Web of Science</v>
      </c>
    </row>
    <row r="131" ht="12.75" customHeight="1">
      <c r="A131" s="1" t="s">
        <v>72</v>
      </c>
      <c r="B131" s="1" t="s">
        <v>1472</v>
      </c>
      <c r="C131" s="1" t="s">
        <v>74</v>
      </c>
      <c r="D131" s="1" t="s">
        <v>74</v>
      </c>
      <c r="E131" s="1" t="s">
        <v>74</v>
      </c>
      <c r="F131" s="1" t="s">
        <v>1473</v>
      </c>
      <c r="G131" s="1" t="s">
        <v>74</v>
      </c>
      <c r="H131" s="1" t="s">
        <v>74</v>
      </c>
      <c r="I131" s="1" t="s">
        <v>1474</v>
      </c>
      <c r="J131" s="1" t="s">
        <v>1475</v>
      </c>
      <c r="K131" s="1" t="s">
        <v>74</v>
      </c>
      <c r="L131" s="1" t="s">
        <v>74</v>
      </c>
      <c r="M131" s="1" t="s">
        <v>74</v>
      </c>
      <c r="N131" s="1" t="s">
        <v>74</v>
      </c>
      <c r="O131" s="1" t="s">
        <v>74</v>
      </c>
      <c r="P131" s="1" t="s">
        <v>74</v>
      </c>
      <c r="Q131" s="1" t="s">
        <v>74</v>
      </c>
      <c r="R131" s="1" t="s">
        <v>74</v>
      </c>
      <c r="S131" s="1" t="s">
        <v>74</v>
      </c>
      <c r="T131" s="1" t="s">
        <v>74</v>
      </c>
      <c r="U131" s="1" t="s">
        <v>74</v>
      </c>
      <c r="V131" s="1" t="s">
        <v>1476</v>
      </c>
      <c r="W131" s="1" t="s">
        <v>74</v>
      </c>
      <c r="X131" s="1" t="s">
        <v>74</v>
      </c>
      <c r="Y131" s="1" t="s">
        <v>74</v>
      </c>
      <c r="Z131" s="1" t="s">
        <v>74</v>
      </c>
      <c r="AA131" s="1" t="s">
        <v>1477</v>
      </c>
      <c r="AB131" s="1" t="s">
        <v>1478</v>
      </c>
      <c r="AC131" s="1" t="s">
        <v>74</v>
      </c>
      <c r="AD131" s="1" t="s">
        <v>74</v>
      </c>
      <c r="AE131" s="1" t="s">
        <v>74</v>
      </c>
      <c r="AF131" s="1" t="s">
        <v>74</v>
      </c>
      <c r="AG131" s="1" t="s">
        <v>74</v>
      </c>
      <c r="AH131" s="1" t="s">
        <v>74</v>
      </c>
      <c r="AI131" s="1" t="s">
        <v>74</v>
      </c>
      <c r="AJ131" s="1" t="s">
        <v>74</v>
      </c>
      <c r="AK131" s="1" t="s">
        <v>74</v>
      </c>
      <c r="AL131" s="1" t="s">
        <v>74</v>
      </c>
      <c r="AM131" s="1" t="s">
        <v>74</v>
      </c>
      <c r="AN131" s="1" t="s">
        <v>74</v>
      </c>
      <c r="AO131" s="1" t="s">
        <v>1479</v>
      </c>
      <c r="AP131" s="1" t="s">
        <v>1480</v>
      </c>
      <c r="AQ131" s="1" t="s">
        <v>74</v>
      </c>
      <c r="AR131" s="1" t="s">
        <v>74</v>
      </c>
      <c r="AS131" s="1" t="s">
        <v>74</v>
      </c>
      <c r="AT131" s="1" t="s">
        <v>377</v>
      </c>
      <c r="AU131" s="1">
        <v>2021.0</v>
      </c>
      <c r="AV131" s="1">
        <v>169.0</v>
      </c>
      <c r="AW131" s="1" t="s">
        <v>74</v>
      </c>
      <c r="AX131" s="1" t="s">
        <v>74</v>
      </c>
      <c r="AY131" s="1" t="s">
        <v>74</v>
      </c>
      <c r="AZ131" s="1" t="s">
        <v>74</v>
      </c>
      <c r="BA131" s="1" t="s">
        <v>74</v>
      </c>
      <c r="BB131" s="1">
        <v>33.0</v>
      </c>
      <c r="BC131" s="1">
        <v>45.0</v>
      </c>
      <c r="BD131" s="1" t="s">
        <v>74</v>
      </c>
      <c r="BE131" s="1" t="s">
        <v>1481</v>
      </c>
      <c r="BF131" s="2" t="str">
        <f>HYPERLINK("http://dx.doi.org/10.1016/j.cherd.2021.02.031","http://dx.doi.org/10.1016/j.cherd.2021.02.031")</f>
        <v>http://dx.doi.org/10.1016/j.cherd.2021.02.031</v>
      </c>
      <c r="BG131" s="1" t="s">
        <v>74</v>
      </c>
      <c r="BH131" s="1" t="s">
        <v>109</v>
      </c>
      <c r="BI131" s="1" t="s">
        <v>74</v>
      </c>
      <c r="BJ131" s="1" t="s">
        <v>74</v>
      </c>
      <c r="BK131" s="1" t="s">
        <v>74</v>
      </c>
      <c r="BL131" s="1" t="s">
        <v>74</v>
      </c>
      <c r="BM131" s="1" t="s">
        <v>74</v>
      </c>
      <c r="BN131" s="1" t="s">
        <v>74</v>
      </c>
      <c r="BO131" s="1" t="s">
        <v>74</v>
      </c>
      <c r="BP131" s="1" t="s">
        <v>74</v>
      </c>
      <c r="BQ131" s="1" t="s">
        <v>74</v>
      </c>
      <c r="BR131" s="1" t="s">
        <v>74</v>
      </c>
      <c r="BS131" s="1" t="s">
        <v>1482</v>
      </c>
      <c r="BT131" s="1" t="str">
        <f>HYPERLINK("https%3A%2F%2Fwww.webofscience.com%2Fwos%2Fwoscc%2Ffull-record%2FWOS:000644274300004","View Full Record in Web of Science")</f>
        <v>View Full Record in Web of Science</v>
      </c>
    </row>
    <row r="132" ht="12.75" customHeight="1">
      <c r="A132" s="1" t="s">
        <v>647</v>
      </c>
      <c r="B132" s="1" t="s">
        <v>1483</v>
      </c>
      <c r="C132" s="1" t="s">
        <v>74</v>
      </c>
      <c r="D132" s="1" t="s">
        <v>74</v>
      </c>
      <c r="E132" s="1" t="s">
        <v>1484</v>
      </c>
      <c r="F132" s="1" t="s">
        <v>1485</v>
      </c>
      <c r="G132" s="1" t="s">
        <v>74</v>
      </c>
      <c r="H132" s="1" t="s">
        <v>74</v>
      </c>
      <c r="I132" s="1" t="s">
        <v>1486</v>
      </c>
      <c r="J132" s="1" t="s">
        <v>1487</v>
      </c>
      <c r="K132" s="1" t="s">
        <v>1488</v>
      </c>
      <c r="L132" s="1" t="s">
        <v>74</v>
      </c>
      <c r="M132" s="1" t="s">
        <v>74</v>
      </c>
      <c r="N132" s="1" t="s">
        <v>74</v>
      </c>
      <c r="O132" s="1" t="s">
        <v>1489</v>
      </c>
      <c r="P132" s="1" t="s">
        <v>1490</v>
      </c>
      <c r="Q132" s="1" t="s">
        <v>1491</v>
      </c>
      <c r="R132" s="1" t="s">
        <v>1492</v>
      </c>
      <c r="S132" s="1" t="s">
        <v>74</v>
      </c>
      <c r="T132" s="1" t="s">
        <v>74</v>
      </c>
      <c r="U132" s="1" t="s">
        <v>74</v>
      </c>
      <c r="V132" s="1" t="s">
        <v>1493</v>
      </c>
      <c r="W132" s="1" t="s">
        <v>74</v>
      </c>
      <c r="X132" s="1" t="s">
        <v>74</v>
      </c>
      <c r="Y132" s="1" t="s">
        <v>74</v>
      </c>
      <c r="Z132" s="1" t="s">
        <v>74</v>
      </c>
      <c r="AA132" s="1" t="s">
        <v>1494</v>
      </c>
      <c r="AB132" s="1" t="s">
        <v>1495</v>
      </c>
      <c r="AC132" s="1" t="s">
        <v>74</v>
      </c>
      <c r="AD132" s="1" t="s">
        <v>74</v>
      </c>
      <c r="AE132" s="1" t="s">
        <v>74</v>
      </c>
      <c r="AF132" s="1" t="s">
        <v>74</v>
      </c>
      <c r="AG132" s="1" t="s">
        <v>74</v>
      </c>
      <c r="AH132" s="1" t="s">
        <v>74</v>
      </c>
      <c r="AI132" s="1" t="s">
        <v>74</v>
      </c>
      <c r="AJ132" s="1" t="s">
        <v>74</v>
      </c>
      <c r="AK132" s="1" t="s">
        <v>74</v>
      </c>
      <c r="AL132" s="1" t="s">
        <v>74</v>
      </c>
      <c r="AM132" s="1" t="s">
        <v>74</v>
      </c>
      <c r="AN132" s="1" t="s">
        <v>74</v>
      </c>
      <c r="AO132" s="1" t="s">
        <v>1496</v>
      </c>
      <c r="AP132" s="1" t="s">
        <v>74</v>
      </c>
      <c r="AQ132" s="1" t="s">
        <v>1497</v>
      </c>
      <c r="AR132" s="1" t="s">
        <v>74</v>
      </c>
      <c r="AS132" s="1" t="s">
        <v>74</v>
      </c>
      <c r="AT132" s="1" t="s">
        <v>74</v>
      </c>
      <c r="AU132" s="1">
        <v>2021.0</v>
      </c>
      <c r="AV132" s="1" t="s">
        <v>74</v>
      </c>
      <c r="AW132" s="1" t="s">
        <v>74</v>
      </c>
      <c r="AX132" s="1" t="s">
        <v>74</v>
      </c>
      <c r="AY132" s="1" t="s">
        <v>74</v>
      </c>
      <c r="AZ132" s="1" t="s">
        <v>74</v>
      </c>
      <c r="BA132" s="1" t="s">
        <v>74</v>
      </c>
      <c r="BB132" s="1">
        <v>271.0</v>
      </c>
      <c r="BC132" s="1">
        <v>275.0</v>
      </c>
      <c r="BD132" s="1" t="s">
        <v>74</v>
      </c>
      <c r="BE132" s="1" t="s">
        <v>1498</v>
      </c>
      <c r="BF132" s="2" t="str">
        <f>HYPERLINK("http://dx.doi.org/10.23919/EUSIPCO54536.2021.9616309","http://dx.doi.org/10.23919/EUSIPCO54536.2021.9616309")</f>
        <v>http://dx.doi.org/10.23919/EUSIPCO54536.2021.9616309</v>
      </c>
      <c r="BG132" s="1" t="s">
        <v>74</v>
      </c>
      <c r="BH132" s="1" t="s">
        <v>74</v>
      </c>
      <c r="BI132" s="1" t="s">
        <v>74</v>
      </c>
      <c r="BJ132" s="1" t="s">
        <v>74</v>
      </c>
      <c r="BK132" s="1" t="s">
        <v>74</v>
      </c>
      <c r="BL132" s="1" t="s">
        <v>74</v>
      </c>
      <c r="BM132" s="1" t="s">
        <v>74</v>
      </c>
      <c r="BN132" s="1" t="s">
        <v>74</v>
      </c>
      <c r="BO132" s="1" t="s">
        <v>74</v>
      </c>
      <c r="BP132" s="1" t="s">
        <v>74</v>
      </c>
      <c r="BQ132" s="1" t="s">
        <v>74</v>
      </c>
      <c r="BR132" s="1" t="s">
        <v>74</v>
      </c>
      <c r="BS132" s="1" t="s">
        <v>1499</v>
      </c>
      <c r="BT132" s="1" t="str">
        <f>HYPERLINK("https%3A%2F%2Fwww.webofscience.com%2Fwos%2Fwoscc%2Ffull-record%2FWOS:000764066600055","View Full Record in Web of Science")</f>
        <v>View Full Record in Web of Science</v>
      </c>
    </row>
    <row r="133" ht="12.75" customHeight="1">
      <c r="A133" s="1" t="s">
        <v>647</v>
      </c>
      <c r="B133" s="1" t="s">
        <v>1500</v>
      </c>
      <c r="C133" s="1" t="s">
        <v>74</v>
      </c>
      <c r="D133" s="1" t="s">
        <v>1501</v>
      </c>
      <c r="E133" s="1" t="s">
        <v>74</v>
      </c>
      <c r="F133" s="1" t="s">
        <v>1502</v>
      </c>
      <c r="G133" s="1" t="s">
        <v>74</v>
      </c>
      <c r="H133" s="1" t="s">
        <v>74</v>
      </c>
      <c r="I133" s="1" t="s">
        <v>1503</v>
      </c>
      <c r="J133" s="1" t="s">
        <v>1504</v>
      </c>
      <c r="K133" s="1" t="s">
        <v>74</v>
      </c>
      <c r="L133" s="1" t="s">
        <v>74</v>
      </c>
      <c r="M133" s="1" t="s">
        <v>74</v>
      </c>
      <c r="N133" s="1" t="s">
        <v>74</v>
      </c>
      <c r="O133" s="1" t="s">
        <v>1505</v>
      </c>
      <c r="P133" s="1" t="s">
        <v>1506</v>
      </c>
      <c r="Q133" s="1" t="s">
        <v>1507</v>
      </c>
      <c r="R133" s="1" t="s">
        <v>649</v>
      </c>
      <c r="S133" s="1" t="s">
        <v>74</v>
      </c>
      <c r="T133" s="1" t="s">
        <v>74</v>
      </c>
      <c r="U133" s="1" t="s">
        <v>74</v>
      </c>
      <c r="V133" s="1" t="s">
        <v>1508</v>
      </c>
      <c r="W133" s="1" t="s">
        <v>74</v>
      </c>
      <c r="X133" s="1" t="s">
        <v>74</v>
      </c>
      <c r="Y133" s="1" t="s">
        <v>74</v>
      </c>
      <c r="Z133" s="1" t="s">
        <v>74</v>
      </c>
      <c r="AA133" s="1" t="s">
        <v>1509</v>
      </c>
      <c r="AB133" s="1" t="s">
        <v>1510</v>
      </c>
      <c r="AC133" s="1" t="s">
        <v>74</v>
      </c>
      <c r="AD133" s="1" t="s">
        <v>74</v>
      </c>
      <c r="AE133" s="1" t="s">
        <v>74</v>
      </c>
      <c r="AF133" s="1" t="s">
        <v>74</v>
      </c>
      <c r="AG133" s="1" t="s">
        <v>74</v>
      </c>
      <c r="AH133" s="1" t="s">
        <v>74</v>
      </c>
      <c r="AI133" s="1" t="s">
        <v>74</v>
      </c>
      <c r="AJ133" s="1" t="s">
        <v>74</v>
      </c>
      <c r="AK133" s="1" t="s">
        <v>74</v>
      </c>
      <c r="AL133" s="1" t="s">
        <v>74</v>
      </c>
      <c r="AM133" s="1" t="s">
        <v>74</v>
      </c>
      <c r="AN133" s="1" t="s">
        <v>74</v>
      </c>
      <c r="AO133" s="1" t="s">
        <v>74</v>
      </c>
      <c r="AP133" s="1" t="s">
        <v>74</v>
      </c>
      <c r="AQ133" s="1" t="s">
        <v>1511</v>
      </c>
      <c r="AR133" s="1" t="s">
        <v>74</v>
      </c>
      <c r="AS133" s="1" t="s">
        <v>74</v>
      </c>
      <c r="AT133" s="1" t="s">
        <v>74</v>
      </c>
      <c r="AU133" s="1">
        <v>2021.0</v>
      </c>
      <c r="AV133" s="1" t="s">
        <v>74</v>
      </c>
      <c r="AW133" s="1" t="s">
        <v>74</v>
      </c>
      <c r="AX133" s="1" t="s">
        <v>74</v>
      </c>
      <c r="AY133" s="1" t="s">
        <v>74</v>
      </c>
      <c r="AZ133" s="1" t="s">
        <v>74</v>
      </c>
      <c r="BA133" s="1" t="s">
        <v>74</v>
      </c>
      <c r="BB133" s="1" t="s">
        <v>74</v>
      </c>
      <c r="BC133" s="1" t="s">
        <v>74</v>
      </c>
      <c r="BD133" s="1" t="s">
        <v>74</v>
      </c>
      <c r="BE133" s="1" t="s">
        <v>1512</v>
      </c>
      <c r="BF133" s="2" t="str">
        <f>HYPERLINK("http://dx.doi.org/10.1109/LATINCOM53176.2021.9647737","http://dx.doi.org/10.1109/LATINCOM53176.2021.9647737")</f>
        <v>http://dx.doi.org/10.1109/LATINCOM53176.2021.9647737</v>
      </c>
      <c r="BG133" s="1" t="s">
        <v>74</v>
      </c>
      <c r="BH133" s="1" t="s">
        <v>74</v>
      </c>
      <c r="BI133" s="1" t="s">
        <v>74</v>
      </c>
      <c r="BJ133" s="1" t="s">
        <v>74</v>
      </c>
      <c r="BK133" s="1" t="s">
        <v>74</v>
      </c>
      <c r="BL133" s="1" t="s">
        <v>74</v>
      </c>
      <c r="BM133" s="1" t="s">
        <v>74</v>
      </c>
      <c r="BN133" s="1" t="s">
        <v>74</v>
      </c>
      <c r="BO133" s="1" t="s">
        <v>74</v>
      </c>
      <c r="BP133" s="1" t="s">
        <v>74</v>
      </c>
      <c r="BQ133" s="1" t="s">
        <v>74</v>
      </c>
      <c r="BR133" s="1" t="s">
        <v>74</v>
      </c>
      <c r="BS133" s="1" t="s">
        <v>1513</v>
      </c>
      <c r="BT133" s="1" t="str">
        <f>HYPERLINK("https%3A%2F%2Fwww.webofscience.com%2Fwos%2Fwoscc%2Ffull-record%2FWOS:000837978200004","View Full Record in Web of Science")</f>
        <v>View Full Record in Web of Science</v>
      </c>
    </row>
    <row r="134" ht="12.75" customHeight="1">
      <c r="A134" s="1" t="s">
        <v>72</v>
      </c>
      <c r="B134" s="1" t="s">
        <v>1514</v>
      </c>
      <c r="C134" s="1" t="s">
        <v>74</v>
      </c>
      <c r="D134" s="1" t="s">
        <v>74</v>
      </c>
      <c r="E134" s="1" t="s">
        <v>74</v>
      </c>
      <c r="F134" s="1" t="s">
        <v>1515</v>
      </c>
      <c r="G134" s="1" t="s">
        <v>74</v>
      </c>
      <c r="H134" s="1" t="s">
        <v>74</v>
      </c>
      <c r="I134" s="1" t="s">
        <v>1516</v>
      </c>
      <c r="J134" s="1" t="s">
        <v>609</v>
      </c>
      <c r="K134" s="1" t="s">
        <v>74</v>
      </c>
      <c r="L134" s="1" t="s">
        <v>74</v>
      </c>
      <c r="M134" s="1" t="s">
        <v>74</v>
      </c>
      <c r="N134" s="1" t="s">
        <v>74</v>
      </c>
      <c r="O134" s="1" t="s">
        <v>74</v>
      </c>
      <c r="P134" s="1" t="s">
        <v>74</v>
      </c>
      <c r="Q134" s="1" t="s">
        <v>74</v>
      </c>
      <c r="R134" s="1" t="s">
        <v>74</v>
      </c>
      <c r="S134" s="1" t="s">
        <v>74</v>
      </c>
      <c r="T134" s="1" t="s">
        <v>74</v>
      </c>
      <c r="U134" s="1" t="s">
        <v>74</v>
      </c>
      <c r="V134" s="1" t="s">
        <v>1517</v>
      </c>
      <c r="W134" s="1" t="s">
        <v>74</v>
      </c>
      <c r="X134" s="1" t="s">
        <v>74</v>
      </c>
      <c r="Y134" s="1" t="s">
        <v>74</v>
      </c>
      <c r="Z134" s="1" t="s">
        <v>74</v>
      </c>
      <c r="AA134" s="1" t="s">
        <v>1518</v>
      </c>
      <c r="AB134" s="1" t="s">
        <v>1519</v>
      </c>
      <c r="AC134" s="1" t="s">
        <v>74</v>
      </c>
      <c r="AD134" s="1" t="s">
        <v>74</v>
      </c>
      <c r="AE134" s="1" t="s">
        <v>74</v>
      </c>
      <c r="AF134" s="1" t="s">
        <v>74</v>
      </c>
      <c r="AG134" s="1" t="s">
        <v>74</v>
      </c>
      <c r="AH134" s="1" t="s">
        <v>74</v>
      </c>
      <c r="AI134" s="1" t="s">
        <v>74</v>
      </c>
      <c r="AJ134" s="1" t="s">
        <v>74</v>
      </c>
      <c r="AK134" s="1" t="s">
        <v>74</v>
      </c>
      <c r="AL134" s="1" t="s">
        <v>74</v>
      </c>
      <c r="AM134" s="1" t="s">
        <v>74</v>
      </c>
      <c r="AN134" s="1" t="s">
        <v>74</v>
      </c>
      <c r="AO134" s="1" t="s">
        <v>74</v>
      </c>
      <c r="AP134" s="1" t="s">
        <v>613</v>
      </c>
      <c r="AQ134" s="1" t="s">
        <v>74</v>
      </c>
      <c r="AR134" s="1" t="s">
        <v>74</v>
      </c>
      <c r="AS134" s="1" t="s">
        <v>74</v>
      </c>
      <c r="AT134" s="1" t="s">
        <v>559</v>
      </c>
      <c r="AU134" s="1">
        <v>2020.0</v>
      </c>
      <c r="AV134" s="1">
        <v>24.0</v>
      </c>
      <c r="AW134" s="1" t="s">
        <v>74</v>
      </c>
      <c r="AX134" s="1" t="s">
        <v>74</v>
      </c>
      <c r="AY134" s="1" t="s">
        <v>74</v>
      </c>
      <c r="AZ134" s="1" t="s">
        <v>74</v>
      </c>
      <c r="BA134" s="1" t="s">
        <v>74</v>
      </c>
      <c r="BB134" s="1" t="s">
        <v>74</v>
      </c>
      <c r="BC134" s="1" t="s">
        <v>74</v>
      </c>
      <c r="BD134" s="1" t="s">
        <v>1520</v>
      </c>
      <c r="BE134" s="1" t="s">
        <v>1521</v>
      </c>
      <c r="BF134" s="2" t="str">
        <f>HYPERLINK("http://dx.doi.org/10.1016/j.gecco.2020.e01285","http://dx.doi.org/10.1016/j.gecco.2020.e01285")</f>
        <v>http://dx.doi.org/10.1016/j.gecco.2020.e01285</v>
      </c>
      <c r="BG134" s="1" t="s">
        <v>74</v>
      </c>
      <c r="BH134" s="1" t="s">
        <v>74</v>
      </c>
      <c r="BI134" s="1" t="s">
        <v>74</v>
      </c>
      <c r="BJ134" s="1" t="s">
        <v>74</v>
      </c>
      <c r="BK134" s="1" t="s">
        <v>74</v>
      </c>
      <c r="BL134" s="1" t="s">
        <v>74</v>
      </c>
      <c r="BM134" s="1" t="s">
        <v>74</v>
      </c>
      <c r="BN134" s="1" t="s">
        <v>74</v>
      </c>
      <c r="BO134" s="1" t="s">
        <v>74</v>
      </c>
      <c r="BP134" s="1" t="s">
        <v>74</v>
      </c>
      <c r="BQ134" s="1" t="s">
        <v>74</v>
      </c>
      <c r="BR134" s="1" t="s">
        <v>74</v>
      </c>
      <c r="BS134" s="1" t="s">
        <v>1522</v>
      </c>
      <c r="BT134" s="1" t="str">
        <f>HYPERLINK("https%3A%2F%2Fwww.webofscience.com%2Fwos%2Fwoscc%2Ffull-record%2FWOS:000608479400015","View Full Record in Web of Science")</f>
        <v>View Full Record in Web of Science</v>
      </c>
    </row>
    <row r="135" ht="12.75" customHeight="1">
      <c r="A135" s="1" t="s">
        <v>72</v>
      </c>
      <c r="B135" s="1" t="s">
        <v>1523</v>
      </c>
      <c r="C135" s="1" t="s">
        <v>74</v>
      </c>
      <c r="D135" s="1" t="s">
        <v>74</v>
      </c>
      <c r="E135" s="1" t="s">
        <v>74</v>
      </c>
      <c r="F135" s="1" t="s">
        <v>1524</v>
      </c>
      <c r="G135" s="1" t="s">
        <v>74</v>
      </c>
      <c r="H135" s="1" t="s">
        <v>74</v>
      </c>
      <c r="I135" s="1" t="s">
        <v>1525</v>
      </c>
      <c r="J135" s="1" t="s">
        <v>1526</v>
      </c>
      <c r="K135" s="1" t="s">
        <v>74</v>
      </c>
      <c r="L135" s="1" t="s">
        <v>74</v>
      </c>
      <c r="M135" s="1" t="s">
        <v>74</v>
      </c>
      <c r="N135" s="1" t="s">
        <v>74</v>
      </c>
      <c r="O135" s="1" t="s">
        <v>74</v>
      </c>
      <c r="P135" s="1" t="s">
        <v>74</v>
      </c>
      <c r="Q135" s="1" t="s">
        <v>74</v>
      </c>
      <c r="R135" s="1" t="s">
        <v>74</v>
      </c>
      <c r="S135" s="1" t="s">
        <v>74</v>
      </c>
      <c r="T135" s="1" t="s">
        <v>74</v>
      </c>
      <c r="U135" s="1" t="s">
        <v>74</v>
      </c>
      <c r="V135" s="1" t="s">
        <v>74</v>
      </c>
      <c r="W135" s="1" t="s">
        <v>74</v>
      </c>
      <c r="X135" s="1" t="s">
        <v>74</v>
      </c>
      <c r="Y135" s="1" t="s">
        <v>74</v>
      </c>
      <c r="Z135" s="1" t="s">
        <v>74</v>
      </c>
      <c r="AA135" s="1" t="s">
        <v>1527</v>
      </c>
      <c r="AB135" s="1" t="s">
        <v>1528</v>
      </c>
      <c r="AC135" s="1" t="s">
        <v>74</v>
      </c>
      <c r="AD135" s="1" t="s">
        <v>74</v>
      </c>
      <c r="AE135" s="1" t="s">
        <v>74</v>
      </c>
      <c r="AF135" s="1" t="s">
        <v>74</v>
      </c>
      <c r="AG135" s="1" t="s">
        <v>74</v>
      </c>
      <c r="AH135" s="1" t="s">
        <v>74</v>
      </c>
      <c r="AI135" s="1" t="s">
        <v>74</v>
      </c>
      <c r="AJ135" s="1" t="s">
        <v>74</v>
      </c>
      <c r="AK135" s="1" t="s">
        <v>74</v>
      </c>
      <c r="AL135" s="1" t="s">
        <v>74</v>
      </c>
      <c r="AM135" s="1" t="s">
        <v>74</v>
      </c>
      <c r="AN135" s="1" t="s">
        <v>74</v>
      </c>
      <c r="AO135" s="1" t="s">
        <v>1529</v>
      </c>
      <c r="AP135" s="1" t="s">
        <v>74</v>
      </c>
      <c r="AQ135" s="1" t="s">
        <v>74</v>
      </c>
      <c r="AR135" s="1" t="s">
        <v>74</v>
      </c>
      <c r="AS135" s="1" t="s">
        <v>74</v>
      </c>
      <c r="AT135" s="1" t="s">
        <v>1530</v>
      </c>
      <c r="AU135" s="1">
        <v>2020.0</v>
      </c>
      <c r="AV135" s="1">
        <v>11.0</v>
      </c>
      <c r="AW135" s="1" t="s">
        <v>74</v>
      </c>
      <c r="AX135" s="1" t="s">
        <v>74</v>
      </c>
      <c r="AY135" s="1" t="s">
        <v>74</v>
      </c>
      <c r="AZ135" s="1" t="s">
        <v>74</v>
      </c>
      <c r="BA135" s="1" t="s">
        <v>74</v>
      </c>
      <c r="BB135" s="1" t="s">
        <v>74</v>
      </c>
      <c r="BC135" s="1" t="s">
        <v>74</v>
      </c>
      <c r="BD135" s="1">
        <v>317.0</v>
      </c>
      <c r="BE135" s="1" t="s">
        <v>1531</v>
      </c>
      <c r="BF135" s="2" t="str">
        <f>HYPERLINK("http://dx.doi.org/10.3389/fneur.2020.00317","http://dx.doi.org/10.3389/fneur.2020.00317")</f>
        <v>http://dx.doi.org/10.3389/fneur.2020.00317</v>
      </c>
      <c r="BG135" s="1" t="s">
        <v>74</v>
      </c>
      <c r="BH135" s="1" t="s">
        <v>74</v>
      </c>
      <c r="BI135" s="1" t="s">
        <v>74</v>
      </c>
      <c r="BJ135" s="1" t="s">
        <v>74</v>
      </c>
      <c r="BK135" s="1" t="s">
        <v>74</v>
      </c>
      <c r="BL135" s="1" t="s">
        <v>74</v>
      </c>
      <c r="BM135" s="1" t="s">
        <v>74</v>
      </c>
      <c r="BN135" s="1">
        <v>3.2411083E7</v>
      </c>
      <c r="BO135" s="1" t="s">
        <v>74</v>
      </c>
      <c r="BP135" s="1" t="s">
        <v>74</v>
      </c>
      <c r="BQ135" s="1" t="s">
        <v>74</v>
      </c>
      <c r="BR135" s="1" t="s">
        <v>74</v>
      </c>
      <c r="BS135" s="1" t="s">
        <v>1532</v>
      </c>
      <c r="BT135" s="1" t="str">
        <f>HYPERLINK("https%3A%2F%2Fwww.webofscience.com%2Fwos%2Fwoscc%2Ffull-record%2FWOS:000533412400001","View Full Record in Web of Science")</f>
        <v>View Full Record in Web of Science</v>
      </c>
    </row>
    <row r="136" ht="12.75" customHeight="1">
      <c r="A136" s="1" t="s">
        <v>72</v>
      </c>
      <c r="B136" s="1" t="s">
        <v>1533</v>
      </c>
      <c r="C136" s="1" t="s">
        <v>74</v>
      </c>
      <c r="D136" s="1" t="s">
        <v>74</v>
      </c>
      <c r="E136" s="1" t="s">
        <v>74</v>
      </c>
      <c r="F136" s="1" t="s">
        <v>1534</v>
      </c>
      <c r="G136" s="1" t="s">
        <v>74</v>
      </c>
      <c r="H136" s="1" t="s">
        <v>74</v>
      </c>
      <c r="I136" s="1" t="s">
        <v>1535</v>
      </c>
      <c r="J136" s="1" t="s">
        <v>1536</v>
      </c>
      <c r="K136" s="1" t="s">
        <v>74</v>
      </c>
      <c r="L136" s="1" t="s">
        <v>74</v>
      </c>
      <c r="M136" s="1" t="s">
        <v>74</v>
      </c>
      <c r="N136" s="1" t="s">
        <v>74</v>
      </c>
      <c r="O136" s="1" t="s">
        <v>74</v>
      </c>
      <c r="P136" s="1" t="s">
        <v>74</v>
      </c>
      <c r="Q136" s="1" t="s">
        <v>74</v>
      </c>
      <c r="R136" s="1" t="s">
        <v>74</v>
      </c>
      <c r="S136" s="1" t="s">
        <v>74</v>
      </c>
      <c r="T136" s="1" t="s">
        <v>74</v>
      </c>
      <c r="U136" s="1" t="s">
        <v>74</v>
      </c>
      <c r="V136" s="1" t="s">
        <v>1537</v>
      </c>
      <c r="W136" s="1" t="s">
        <v>74</v>
      </c>
      <c r="X136" s="1" t="s">
        <v>74</v>
      </c>
      <c r="Y136" s="1" t="s">
        <v>74</v>
      </c>
      <c r="Z136" s="1" t="s">
        <v>74</v>
      </c>
      <c r="AA136" s="1" t="s">
        <v>1538</v>
      </c>
      <c r="AB136" s="1" t="s">
        <v>1539</v>
      </c>
      <c r="AC136" s="1" t="s">
        <v>74</v>
      </c>
      <c r="AD136" s="1" t="s">
        <v>74</v>
      </c>
      <c r="AE136" s="1" t="s">
        <v>74</v>
      </c>
      <c r="AF136" s="1" t="s">
        <v>74</v>
      </c>
      <c r="AG136" s="1" t="s">
        <v>74</v>
      </c>
      <c r="AH136" s="1" t="s">
        <v>74</v>
      </c>
      <c r="AI136" s="1" t="s">
        <v>74</v>
      </c>
      <c r="AJ136" s="1" t="s">
        <v>74</v>
      </c>
      <c r="AK136" s="1" t="s">
        <v>74</v>
      </c>
      <c r="AL136" s="1" t="s">
        <v>74</v>
      </c>
      <c r="AM136" s="1" t="s">
        <v>74</v>
      </c>
      <c r="AN136" s="1" t="s">
        <v>74</v>
      </c>
      <c r="AO136" s="1" t="s">
        <v>1540</v>
      </c>
      <c r="AP136" s="1" t="s">
        <v>1541</v>
      </c>
      <c r="AQ136" s="1" t="s">
        <v>74</v>
      </c>
      <c r="AR136" s="1" t="s">
        <v>74</v>
      </c>
      <c r="AS136" s="1" t="s">
        <v>74</v>
      </c>
      <c r="AT136" s="1" t="s">
        <v>1542</v>
      </c>
      <c r="AU136" s="1">
        <v>2019.0</v>
      </c>
      <c r="AV136" s="1">
        <v>116.0</v>
      </c>
      <c r="AW136" s="1">
        <v>28.0</v>
      </c>
      <c r="AX136" s="1" t="s">
        <v>74</v>
      </c>
      <c r="AY136" s="1" t="s">
        <v>74</v>
      </c>
      <c r="AZ136" s="1" t="s">
        <v>74</v>
      </c>
      <c r="BA136" s="1" t="s">
        <v>74</v>
      </c>
      <c r="BB136" s="1">
        <v>14089.0</v>
      </c>
      <c r="BC136" s="1">
        <v>14097.0</v>
      </c>
      <c r="BD136" s="1" t="s">
        <v>74</v>
      </c>
      <c r="BE136" s="1" t="s">
        <v>1543</v>
      </c>
      <c r="BF136" s="2" t="str">
        <f>HYPERLINK("http://dx.doi.org/10.1073/pnas.1810404116","http://dx.doi.org/10.1073/pnas.1810404116")</f>
        <v>http://dx.doi.org/10.1073/pnas.1810404116</v>
      </c>
      <c r="BG136" s="1" t="s">
        <v>74</v>
      </c>
      <c r="BH136" s="1" t="s">
        <v>74</v>
      </c>
      <c r="BI136" s="1" t="s">
        <v>74</v>
      </c>
      <c r="BJ136" s="1" t="s">
        <v>74</v>
      </c>
      <c r="BK136" s="1" t="s">
        <v>74</v>
      </c>
      <c r="BL136" s="1" t="s">
        <v>74</v>
      </c>
      <c r="BM136" s="1" t="s">
        <v>74</v>
      </c>
      <c r="BN136" s="1">
        <v>3.122761E7</v>
      </c>
      <c r="BO136" s="1" t="s">
        <v>74</v>
      </c>
      <c r="BP136" s="1" t="s">
        <v>74</v>
      </c>
      <c r="BQ136" s="1" t="s">
        <v>74</v>
      </c>
      <c r="BR136" s="1" t="s">
        <v>74</v>
      </c>
      <c r="BS136" s="1" t="s">
        <v>1544</v>
      </c>
      <c r="BT136" s="1" t="str">
        <f>HYPERLINK("https%3A%2F%2Fwww.webofscience.com%2Fwos%2Fwoscc%2Ffull-record%2FWOS:000474535700063","View Full Record in Web of Science")</f>
        <v>View Full Record in Web of Science</v>
      </c>
    </row>
    <row r="137" ht="12.75" customHeight="1">
      <c r="A137" s="1" t="s">
        <v>72</v>
      </c>
      <c r="B137" s="1" t="s">
        <v>1545</v>
      </c>
      <c r="C137" s="1" t="s">
        <v>74</v>
      </c>
      <c r="D137" s="1" t="s">
        <v>74</v>
      </c>
      <c r="E137" s="1" t="s">
        <v>74</v>
      </c>
      <c r="F137" s="1" t="s">
        <v>1546</v>
      </c>
      <c r="G137" s="1" t="s">
        <v>74</v>
      </c>
      <c r="H137" s="1" t="s">
        <v>74</v>
      </c>
      <c r="I137" s="1" t="s">
        <v>1547</v>
      </c>
      <c r="J137" s="1" t="s">
        <v>1548</v>
      </c>
      <c r="K137" s="1" t="s">
        <v>74</v>
      </c>
      <c r="L137" s="1" t="s">
        <v>74</v>
      </c>
      <c r="M137" s="1" t="s">
        <v>74</v>
      </c>
      <c r="N137" s="1" t="s">
        <v>74</v>
      </c>
      <c r="O137" s="1" t="s">
        <v>74</v>
      </c>
      <c r="P137" s="1" t="s">
        <v>74</v>
      </c>
      <c r="Q137" s="1" t="s">
        <v>74</v>
      </c>
      <c r="R137" s="1" t="s">
        <v>74</v>
      </c>
      <c r="S137" s="1" t="s">
        <v>74</v>
      </c>
      <c r="T137" s="1" t="s">
        <v>74</v>
      </c>
      <c r="U137" s="1" t="s">
        <v>74</v>
      </c>
      <c r="V137" s="1" t="s">
        <v>1549</v>
      </c>
      <c r="W137" s="1" t="s">
        <v>74</v>
      </c>
      <c r="X137" s="1" t="s">
        <v>74</v>
      </c>
      <c r="Y137" s="1" t="s">
        <v>74</v>
      </c>
      <c r="Z137" s="1" t="s">
        <v>74</v>
      </c>
      <c r="AA137" s="1" t="s">
        <v>1550</v>
      </c>
      <c r="AB137" s="1" t="s">
        <v>1551</v>
      </c>
      <c r="AC137" s="1" t="s">
        <v>74</v>
      </c>
      <c r="AD137" s="1" t="s">
        <v>74</v>
      </c>
      <c r="AE137" s="1" t="s">
        <v>74</v>
      </c>
      <c r="AF137" s="1" t="s">
        <v>74</v>
      </c>
      <c r="AG137" s="1" t="s">
        <v>74</v>
      </c>
      <c r="AH137" s="1" t="s">
        <v>74</v>
      </c>
      <c r="AI137" s="1" t="s">
        <v>74</v>
      </c>
      <c r="AJ137" s="1" t="s">
        <v>74</v>
      </c>
      <c r="AK137" s="1" t="s">
        <v>74</v>
      </c>
      <c r="AL137" s="1" t="s">
        <v>74</v>
      </c>
      <c r="AM137" s="1" t="s">
        <v>74</v>
      </c>
      <c r="AN137" s="1" t="s">
        <v>74</v>
      </c>
      <c r="AO137" s="1" t="s">
        <v>1552</v>
      </c>
      <c r="AP137" s="1" t="s">
        <v>1553</v>
      </c>
      <c r="AQ137" s="1" t="s">
        <v>74</v>
      </c>
      <c r="AR137" s="1" t="s">
        <v>74</v>
      </c>
      <c r="AS137" s="1" t="s">
        <v>74</v>
      </c>
      <c r="AT137" s="1" t="s">
        <v>1554</v>
      </c>
      <c r="AU137" s="1">
        <v>2019.0</v>
      </c>
      <c r="AV137" s="1">
        <v>36.0</v>
      </c>
      <c r="AW137" s="1">
        <v>3.0</v>
      </c>
      <c r="AX137" s="1" t="s">
        <v>74</v>
      </c>
      <c r="AY137" s="1" t="s">
        <v>74</v>
      </c>
      <c r="AZ137" s="1" t="s">
        <v>74</v>
      </c>
      <c r="BA137" s="1" t="s">
        <v>74</v>
      </c>
      <c r="BB137" s="1">
        <v>698.0</v>
      </c>
      <c r="BC137" s="1">
        <v>705.0</v>
      </c>
      <c r="BD137" s="1" t="s">
        <v>74</v>
      </c>
      <c r="BE137" s="1" t="s">
        <v>1555</v>
      </c>
      <c r="BF137" s="2" t="str">
        <f>HYPERLINK("http://dx.doi.org/10.20960/nh.02310","http://dx.doi.org/10.20960/nh.02310")</f>
        <v>http://dx.doi.org/10.20960/nh.02310</v>
      </c>
      <c r="BG137" s="1" t="s">
        <v>74</v>
      </c>
      <c r="BH137" s="1" t="s">
        <v>74</v>
      </c>
      <c r="BI137" s="1" t="s">
        <v>74</v>
      </c>
      <c r="BJ137" s="1" t="s">
        <v>74</v>
      </c>
      <c r="BK137" s="1" t="s">
        <v>74</v>
      </c>
      <c r="BL137" s="1" t="s">
        <v>74</v>
      </c>
      <c r="BM137" s="1" t="s">
        <v>74</v>
      </c>
      <c r="BN137" s="1">
        <v>3.1144977E7</v>
      </c>
      <c r="BO137" s="1" t="s">
        <v>74</v>
      </c>
      <c r="BP137" s="1" t="s">
        <v>74</v>
      </c>
      <c r="BQ137" s="1" t="s">
        <v>74</v>
      </c>
      <c r="BR137" s="1" t="s">
        <v>74</v>
      </c>
      <c r="BS137" s="1" t="s">
        <v>1556</v>
      </c>
      <c r="BT137" s="1" t="str">
        <f>HYPERLINK("https%3A%2F%2Fwww.webofscience.com%2Fwos%2Fwoscc%2Ffull-record%2FWOS:000478730300028","View Full Record in Web of Science")</f>
        <v>View Full Record in Web of Science</v>
      </c>
    </row>
    <row r="138" ht="12.75" customHeight="1">
      <c r="A138" s="1" t="s">
        <v>72</v>
      </c>
      <c r="B138" s="1" t="s">
        <v>1557</v>
      </c>
      <c r="C138" s="1" t="s">
        <v>74</v>
      </c>
      <c r="D138" s="1" t="s">
        <v>74</v>
      </c>
      <c r="E138" s="1" t="s">
        <v>74</v>
      </c>
      <c r="F138" s="1" t="s">
        <v>1558</v>
      </c>
      <c r="G138" s="1" t="s">
        <v>74</v>
      </c>
      <c r="H138" s="1" t="s">
        <v>74</v>
      </c>
      <c r="I138" s="1" t="s">
        <v>1559</v>
      </c>
      <c r="J138" s="1" t="s">
        <v>630</v>
      </c>
      <c r="K138" s="1" t="s">
        <v>74</v>
      </c>
      <c r="L138" s="1" t="s">
        <v>74</v>
      </c>
      <c r="M138" s="1" t="s">
        <v>74</v>
      </c>
      <c r="N138" s="1" t="s">
        <v>74</v>
      </c>
      <c r="O138" s="1" t="s">
        <v>74</v>
      </c>
      <c r="P138" s="1" t="s">
        <v>74</v>
      </c>
      <c r="Q138" s="1" t="s">
        <v>74</v>
      </c>
      <c r="R138" s="1" t="s">
        <v>74</v>
      </c>
      <c r="S138" s="1" t="s">
        <v>74</v>
      </c>
      <c r="T138" s="1" t="s">
        <v>74</v>
      </c>
      <c r="U138" s="1" t="s">
        <v>74</v>
      </c>
      <c r="V138" s="1" t="s">
        <v>1560</v>
      </c>
      <c r="W138" s="1" t="s">
        <v>74</v>
      </c>
      <c r="X138" s="1" t="s">
        <v>74</v>
      </c>
      <c r="Y138" s="1" t="s">
        <v>74</v>
      </c>
      <c r="Z138" s="1" t="s">
        <v>74</v>
      </c>
      <c r="AA138" s="1" t="s">
        <v>1561</v>
      </c>
      <c r="AB138" s="1" t="s">
        <v>1562</v>
      </c>
      <c r="AC138" s="1" t="s">
        <v>74</v>
      </c>
      <c r="AD138" s="1" t="s">
        <v>74</v>
      </c>
      <c r="AE138" s="1" t="s">
        <v>74</v>
      </c>
      <c r="AF138" s="1" t="s">
        <v>74</v>
      </c>
      <c r="AG138" s="1" t="s">
        <v>74</v>
      </c>
      <c r="AH138" s="1" t="s">
        <v>74</v>
      </c>
      <c r="AI138" s="1" t="s">
        <v>74</v>
      </c>
      <c r="AJ138" s="1" t="s">
        <v>74</v>
      </c>
      <c r="AK138" s="1" t="s">
        <v>74</v>
      </c>
      <c r="AL138" s="1" t="s">
        <v>74</v>
      </c>
      <c r="AM138" s="1" t="s">
        <v>74</v>
      </c>
      <c r="AN138" s="1" t="s">
        <v>74</v>
      </c>
      <c r="AO138" s="1" t="s">
        <v>74</v>
      </c>
      <c r="AP138" s="1" t="s">
        <v>634</v>
      </c>
      <c r="AQ138" s="1" t="s">
        <v>74</v>
      </c>
      <c r="AR138" s="1" t="s">
        <v>74</v>
      </c>
      <c r="AS138" s="1" t="s">
        <v>74</v>
      </c>
      <c r="AT138" s="1" t="s">
        <v>559</v>
      </c>
      <c r="AU138" s="1">
        <v>2018.0</v>
      </c>
      <c r="AV138" s="1">
        <v>11.0</v>
      </c>
      <c r="AW138" s="1">
        <v>12.0</v>
      </c>
      <c r="AX138" s="1" t="s">
        <v>74</v>
      </c>
      <c r="AY138" s="1" t="s">
        <v>74</v>
      </c>
      <c r="AZ138" s="1" t="s">
        <v>74</v>
      </c>
      <c r="BA138" s="1" t="s">
        <v>74</v>
      </c>
      <c r="BB138" s="1" t="s">
        <v>74</v>
      </c>
      <c r="BC138" s="1" t="s">
        <v>74</v>
      </c>
      <c r="BD138" s="1">
        <v>2574.0</v>
      </c>
      <c r="BE138" s="1" t="s">
        <v>1563</v>
      </c>
      <c r="BF138" s="2" t="str">
        <f>HYPERLINK("http://dx.doi.org/10.3390/ma11122574","http://dx.doi.org/10.3390/ma11122574")</f>
        <v>http://dx.doi.org/10.3390/ma11122574</v>
      </c>
      <c r="BG138" s="1" t="s">
        <v>74</v>
      </c>
      <c r="BH138" s="1" t="s">
        <v>74</v>
      </c>
      <c r="BI138" s="1" t="s">
        <v>74</v>
      </c>
      <c r="BJ138" s="1" t="s">
        <v>74</v>
      </c>
      <c r="BK138" s="1" t="s">
        <v>74</v>
      </c>
      <c r="BL138" s="1" t="s">
        <v>74</v>
      </c>
      <c r="BM138" s="1" t="s">
        <v>74</v>
      </c>
      <c r="BN138" s="1">
        <v>3.0567288E7</v>
      </c>
      <c r="BO138" s="1" t="s">
        <v>74</v>
      </c>
      <c r="BP138" s="1" t="s">
        <v>74</v>
      </c>
      <c r="BQ138" s="1" t="s">
        <v>74</v>
      </c>
      <c r="BR138" s="1" t="s">
        <v>74</v>
      </c>
      <c r="BS138" s="1" t="s">
        <v>1564</v>
      </c>
      <c r="BT138" s="1" t="str">
        <f>HYPERLINK("https%3A%2F%2Fwww.webofscience.com%2Fwos%2Fwoscc%2Ffull-record%2FWOS:000456419200232","View Full Record in Web of Science")</f>
        <v>View Full Record in Web of Science</v>
      </c>
    </row>
    <row r="139" ht="12.75" customHeight="1">
      <c r="A139" s="1" t="s">
        <v>72</v>
      </c>
      <c r="B139" s="1" t="s">
        <v>1565</v>
      </c>
      <c r="C139" s="1" t="s">
        <v>74</v>
      </c>
      <c r="D139" s="1" t="s">
        <v>74</v>
      </c>
      <c r="E139" s="1" t="s">
        <v>74</v>
      </c>
      <c r="F139" s="1" t="s">
        <v>1566</v>
      </c>
      <c r="G139" s="1" t="s">
        <v>74</v>
      </c>
      <c r="H139" s="1" t="s">
        <v>74</v>
      </c>
      <c r="I139" s="1" t="s">
        <v>1567</v>
      </c>
      <c r="J139" s="1" t="s">
        <v>1568</v>
      </c>
      <c r="K139" s="1" t="s">
        <v>74</v>
      </c>
      <c r="L139" s="1" t="s">
        <v>74</v>
      </c>
      <c r="M139" s="1" t="s">
        <v>74</v>
      </c>
      <c r="N139" s="1" t="s">
        <v>74</v>
      </c>
      <c r="O139" s="1" t="s">
        <v>74</v>
      </c>
      <c r="P139" s="1" t="s">
        <v>74</v>
      </c>
      <c r="Q139" s="1" t="s">
        <v>74</v>
      </c>
      <c r="R139" s="1" t="s">
        <v>74</v>
      </c>
      <c r="S139" s="1" t="s">
        <v>74</v>
      </c>
      <c r="T139" s="1" t="s">
        <v>74</v>
      </c>
      <c r="U139" s="1" t="s">
        <v>74</v>
      </c>
      <c r="V139" s="1" t="s">
        <v>1569</v>
      </c>
      <c r="W139" s="1" t="s">
        <v>74</v>
      </c>
      <c r="X139" s="1" t="s">
        <v>74</v>
      </c>
      <c r="Y139" s="1" t="s">
        <v>74</v>
      </c>
      <c r="Z139" s="1" t="s">
        <v>74</v>
      </c>
      <c r="AA139" s="1" t="s">
        <v>74</v>
      </c>
      <c r="AB139" s="1" t="s">
        <v>1570</v>
      </c>
      <c r="AC139" s="1" t="s">
        <v>74</v>
      </c>
      <c r="AD139" s="1" t="s">
        <v>74</v>
      </c>
      <c r="AE139" s="1" t="s">
        <v>74</v>
      </c>
      <c r="AF139" s="1" t="s">
        <v>74</v>
      </c>
      <c r="AG139" s="1" t="s">
        <v>74</v>
      </c>
      <c r="AH139" s="1" t="s">
        <v>74</v>
      </c>
      <c r="AI139" s="1" t="s">
        <v>74</v>
      </c>
      <c r="AJ139" s="1" t="s">
        <v>74</v>
      </c>
      <c r="AK139" s="1" t="s">
        <v>74</v>
      </c>
      <c r="AL139" s="1" t="s">
        <v>74</v>
      </c>
      <c r="AM139" s="1" t="s">
        <v>74</v>
      </c>
      <c r="AN139" s="1" t="s">
        <v>74</v>
      </c>
      <c r="AO139" s="1" t="s">
        <v>1571</v>
      </c>
      <c r="AP139" s="1" t="s">
        <v>1572</v>
      </c>
      <c r="AQ139" s="1" t="s">
        <v>74</v>
      </c>
      <c r="AR139" s="1" t="s">
        <v>74</v>
      </c>
      <c r="AS139" s="1" t="s">
        <v>74</v>
      </c>
      <c r="AT139" s="1" t="s">
        <v>464</v>
      </c>
      <c r="AU139" s="1">
        <v>2018.0</v>
      </c>
      <c r="AV139" s="1">
        <v>227.0</v>
      </c>
      <c r="AW139" s="1" t="s">
        <v>74</v>
      </c>
      <c r="AX139" s="1" t="s">
        <v>74</v>
      </c>
      <c r="AY139" s="1" t="s">
        <v>74</v>
      </c>
      <c r="AZ139" s="1" t="s">
        <v>74</v>
      </c>
      <c r="BA139" s="1" t="s">
        <v>74</v>
      </c>
      <c r="BB139" s="1">
        <v>39.0</v>
      </c>
      <c r="BC139" s="1">
        <v>47.0</v>
      </c>
      <c r="BD139" s="1" t="s">
        <v>74</v>
      </c>
      <c r="BE139" s="1" t="s">
        <v>1573</v>
      </c>
      <c r="BF139" s="2" t="str">
        <f>HYPERLINK("http://dx.doi.org/10.1016/j.mseb.2017.10.010","http://dx.doi.org/10.1016/j.mseb.2017.10.010")</f>
        <v>http://dx.doi.org/10.1016/j.mseb.2017.10.010</v>
      </c>
      <c r="BG139" s="1" t="s">
        <v>74</v>
      </c>
      <c r="BH139" s="1" t="s">
        <v>74</v>
      </c>
      <c r="BI139" s="1" t="s">
        <v>74</v>
      </c>
      <c r="BJ139" s="1" t="s">
        <v>74</v>
      </c>
      <c r="BK139" s="1" t="s">
        <v>74</v>
      </c>
      <c r="BL139" s="1" t="s">
        <v>74</v>
      </c>
      <c r="BM139" s="1" t="s">
        <v>74</v>
      </c>
      <c r="BN139" s="1" t="s">
        <v>74</v>
      </c>
      <c r="BO139" s="1" t="s">
        <v>74</v>
      </c>
      <c r="BP139" s="1" t="s">
        <v>74</v>
      </c>
      <c r="BQ139" s="1" t="s">
        <v>74</v>
      </c>
      <c r="BR139" s="1" t="s">
        <v>74</v>
      </c>
      <c r="BS139" s="1" t="s">
        <v>1574</v>
      </c>
      <c r="BT139" s="1" t="str">
        <f>HYPERLINK("https%3A%2F%2Fwww.webofscience.com%2Fwos%2Fwoscc%2Ffull-record%2FWOS:000418216300006","View Full Record in Web of Science")</f>
        <v>View Full Record in Web of Science</v>
      </c>
    </row>
    <row r="140" ht="12.75" customHeight="1">
      <c r="A140" s="1" t="s">
        <v>72</v>
      </c>
      <c r="B140" s="1" t="s">
        <v>1575</v>
      </c>
      <c r="C140" s="1" t="s">
        <v>74</v>
      </c>
      <c r="D140" s="1" t="s">
        <v>74</v>
      </c>
      <c r="E140" s="1" t="s">
        <v>74</v>
      </c>
      <c r="F140" s="1" t="s">
        <v>1576</v>
      </c>
      <c r="G140" s="1" t="s">
        <v>74</v>
      </c>
      <c r="H140" s="1" t="s">
        <v>74</v>
      </c>
      <c r="I140" s="1" t="s">
        <v>1577</v>
      </c>
      <c r="J140" s="1" t="s">
        <v>1578</v>
      </c>
      <c r="K140" s="1" t="s">
        <v>74</v>
      </c>
      <c r="L140" s="1" t="s">
        <v>74</v>
      </c>
      <c r="M140" s="1" t="s">
        <v>74</v>
      </c>
      <c r="N140" s="1" t="s">
        <v>74</v>
      </c>
      <c r="O140" s="1" t="s">
        <v>74</v>
      </c>
      <c r="P140" s="1" t="s">
        <v>74</v>
      </c>
      <c r="Q140" s="1" t="s">
        <v>74</v>
      </c>
      <c r="R140" s="1" t="s">
        <v>74</v>
      </c>
      <c r="S140" s="1" t="s">
        <v>74</v>
      </c>
      <c r="T140" s="1" t="s">
        <v>74</v>
      </c>
      <c r="U140" s="1" t="s">
        <v>74</v>
      </c>
      <c r="V140" s="1" t="s">
        <v>1579</v>
      </c>
      <c r="W140" s="1" t="s">
        <v>74</v>
      </c>
      <c r="X140" s="1" t="s">
        <v>74</v>
      </c>
      <c r="Y140" s="1" t="s">
        <v>74</v>
      </c>
      <c r="Z140" s="1" t="s">
        <v>74</v>
      </c>
      <c r="AA140" s="1" t="s">
        <v>1580</v>
      </c>
      <c r="AB140" s="1" t="s">
        <v>1581</v>
      </c>
      <c r="AC140" s="1" t="s">
        <v>74</v>
      </c>
      <c r="AD140" s="1" t="s">
        <v>74</v>
      </c>
      <c r="AE140" s="1" t="s">
        <v>74</v>
      </c>
      <c r="AF140" s="1" t="s">
        <v>74</v>
      </c>
      <c r="AG140" s="1" t="s">
        <v>74</v>
      </c>
      <c r="AH140" s="1" t="s">
        <v>74</v>
      </c>
      <c r="AI140" s="1" t="s">
        <v>74</v>
      </c>
      <c r="AJ140" s="1" t="s">
        <v>74</v>
      </c>
      <c r="AK140" s="1" t="s">
        <v>74</v>
      </c>
      <c r="AL140" s="1" t="s">
        <v>74</v>
      </c>
      <c r="AM140" s="1" t="s">
        <v>74</v>
      </c>
      <c r="AN140" s="1" t="s">
        <v>74</v>
      </c>
      <c r="AO140" s="1" t="s">
        <v>1582</v>
      </c>
      <c r="AP140" s="1" t="s">
        <v>1583</v>
      </c>
      <c r="AQ140" s="1" t="s">
        <v>74</v>
      </c>
      <c r="AR140" s="1" t="s">
        <v>74</v>
      </c>
      <c r="AS140" s="1" t="s">
        <v>74</v>
      </c>
      <c r="AT140" s="1" t="s">
        <v>1584</v>
      </c>
      <c r="AU140" s="1">
        <v>2017.0</v>
      </c>
      <c r="AV140" s="1">
        <v>43.0</v>
      </c>
      <c r="AW140" s="1" t="s">
        <v>74</v>
      </c>
      <c r="AX140" s="1" t="s">
        <v>74</v>
      </c>
      <c r="AY140" s="1" t="s">
        <v>74</v>
      </c>
      <c r="AZ140" s="1" t="s">
        <v>74</v>
      </c>
      <c r="BA140" s="1" t="s">
        <v>74</v>
      </c>
      <c r="BB140" s="1" t="s">
        <v>74</v>
      </c>
      <c r="BC140" s="1" t="s">
        <v>74</v>
      </c>
      <c r="BD140" s="1">
        <v>28.0</v>
      </c>
      <c r="BE140" s="1" t="s">
        <v>1585</v>
      </c>
      <c r="BF140" s="2" t="str">
        <f>HYPERLINK("http://dx.doi.org/10.1186/s13052-017-0347-y","http://dx.doi.org/10.1186/s13052-017-0347-y")</f>
        <v>http://dx.doi.org/10.1186/s13052-017-0347-y</v>
      </c>
      <c r="BG140" s="1" t="s">
        <v>74</v>
      </c>
      <c r="BH140" s="1" t="s">
        <v>74</v>
      </c>
      <c r="BI140" s="1" t="s">
        <v>74</v>
      </c>
      <c r="BJ140" s="1" t="s">
        <v>74</v>
      </c>
      <c r="BK140" s="1" t="s">
        <v>74</v>
      </c>
      <c r="BL140" s="1" t="s">
        <v>74</v>
      </c>
      <c r="BM140" s="1" t="s">
        <v>74</v>
      </c>
      <c r="BN140" s="1">
        <v>2.8270174E7</v>
      </c>
      <c r="BO140" s="1" t="s">
        <v>74</v>
      </c>
      <c r="BP140" s="1" t="s">
        <v>74</v>
      </c>
      <c r="BQ140" s="1" t="s">
        <v>74</v>
      </c>
      <c r="BR140" s="1" t="s">
        <v>74</v>
      </c>
      <c r="BS140" s="1" t="s">
        <v>1586</v>
      </c>
      <c r="BT140" s="1" t="str">
        <f>HYPERLINK("https%3A%2F%2Fwww.webofscience.com%2Fwos%2Fwoscc%2Ffull-record%2FWOS:000396828700006","View Full Record in Web of Science")</f>
        <v>View Full Record in Web of Science</v>
      </c>
    </row>
    <row r="141" ht="12.75" customHeight="1">
      <c r="A141" s="1" t="s">
        <v>72</v>
      </c>
      <c r="B141" s="1" t="s">
        <v>1587</v>
      </c>
      <c r="C141" s="1" t="s">
        <v>74</v>
      </c>
      <c r="D141" s="1" t="s">
        <v>74</v>
      </c>
      <c r="E141" s="1" t="s">
        <v>74</v>
      </c>
      <c r="F141" s="1" t="s">
        <v>1588</v>
      </c>
      <c r="G141" s="1" t="s">
        <v>74</v>
      </c>
      <c r="H141" s="1" t="s">
        <v>74</v>
      </c>
      <c r="I141" s="1" t="s">
        <v>1589</v>
      </c>
      <c r="J141" s="1" t="s">
        <v>1590</v>
      </c>
      <c r="K141" s="1" t="s">
        <v>74</v>
      </c>
      <c r="L141" s="1" t="s">
        <v>74</v>
      </c>
      <c r="M141" s="1" t="s">
        <v>74</v>
      </c>
      <c r="N141" s="1" t="s">
        <v>74</v>
      </c>
      <c r="O141" s="1" t="s">
        <v>74</v>
      </c>
      <c r="P141" s="1" t="s">
        <v>74</v>
      </c>
      <c r="Q141" s="1" t="s">
        <v>74</v>
      </c>
      <c r="R141" s="1" t="s">
        <v>74</v>
      </c>
      <c r="S141" s="1" t="s">
        <v>74</v>
      </c>
      <c r="T141" s="1" t="s">
        <v>74</v>
      </c>
      <c r="U141" s="1" t="s">
        <v>74</v>
      </c>
      <c r="V141" s="1" t="s">
        <v>1591</v>
      </c>
      <c r="W141" s="1" t="s">
        <v>74</v>
      </c>
      <c r="X141" s="1" t="s">
        <v>74</v>
      </c>
      <c r="Y141" s="1" t="s">
        <v>74</v>
      </c>
      <c r="Z141" s="1" t="s">
        <v>74</v>
      </c>
      <c r="AA141" s="1" t="s">
        <v>1592</v>
      </c>
      <c r="AB141" s="1" t="s">
        <v>1593</v>
      </c>
      <c r="AC141" s="1" t="s">
        <v>74</v>
      </c>
      <c r="AD141" s="1" t="s">
        <v>74</v>
      </c>
      <c r="AE141" s="1" t="s">
        <v>74</v>
      </c>
      <c r="AF141" s="1" t="s">
        <v>74</v>
      </c>
      <c r="AG141" s="1" t="s">
        <v>74</v>
      </c>
      <c r="AH141" s="1" t="s">
        <v>74</v>
      </c>
      <c r="AI141" s="1" t="s">
        <v>74</v>
      </c>
      <c r="AJ141" s="1" t="s">
        <v>74</v>
      </c>
      <c r="AK141" s="1" t="s">
        <v>74</v>
      </c>
      <c r="AL141" s="1" t="s">
        <v>74</v>
      </c>
      <c r="AM141" s="1" t="s">
        <v>74</v>
      </c>
      <c r="AN141" s="1" t="s">
        <v>74</v>
      </c>
      <c r="AO141" s="1" t="s">
        <v>1594</v>
      </c>
      <c r="AP141" s="1" t="s">
        <v>1595</v>
      </c>
      <c r="AQ141" s="1" t="s">
        <v>74</v>
      </c>
      <c r="AR141" s="1" t="s">
        <v>74</v>
      </c>
      <c r="AS141" s="1" t="s">
        <v>74</v>
      </c>
      <c r="AT141" s="1" t="s">
        <v>1596</v>
      </c>
      <c r="AU141" s="1">
        <v>2016.0</v>
      </c>
      <c r="AV141" s="1">
        <v>94.0</v>
      </c>
      <c r="AW141" s="1">
        <v>1.0</v>
      </c>
      <c r="AX141" s="1" t="s">
        <v>74</v>
      </c>
      <c r="AY141" s="1" t="s">
        <v>74</v>
      </c>
      <c r="AZ141" s="1" t="s">
        <v>74</v>
      </c>
      <c r="BA141" s="1" t="s">
        <v>74</v>
      </c>
      <c r="BB141" s="1" t="s">
        <v>74</v>
      </c>
      <c r="BC141" s="1" t="s">
        <v>74</v>
      </c>
      <c r="BD141" s="1">
        <v>12328.0</v>
      </c>
      <c r="BE141" s="1" t="s">
        <v>1597</v>
      </c>
      <c r="BF141" s="2" t="str">
        <f>HYPERLINK("http://dx.doi.org/10.1103/PhysRevA.94.012328","http://dx.doi.org/10.1103/PhysRevA.94.012328")</f>
        <v>http://dx.doi.org/10.1103/PhysRevA.94.012328</v>
      </c>
      <c r="BG141" s="1" t="s">
        <v>74</v>
      </c>
      <c r="BH141" s="1" t="s">
        <v>74</v>
      </c>
      <c r="BI141" s="1" t="s">
        <v>74</v>
      </c>
      <c r="BJ141" s="1" t="s">
        <v>74</v>
      </c>
      <c r="BK141" s="1" t="s">
        <v>74</v>
      </c>
      <c r="BL141" s="1" t="s">
        <v>74</v>
      </c>
      <c r="BM141" s="1" t="s">
        <v>74</v>
      </c>
      <c r="BN141" s="1" t="s">
        <v>74</v>
      </c>
      <c r="BO141" s="1" t="s">
        <v>74</v>
      </c>
      <c r="BP141" s="1" t="s">
        <v>74</v>
      </c>
      <c r="BQ141" s="1" t="s">
        <v>74</v>
      </c>
      <c r="BR141" s="1" t="s">
        <v>74</v>
      </c>
      <c r="BS141" s="1" t="s">
        <v>1598</v>
      </c>
      <c r="BT141" s="1" t="str">
        <f>HYPERLINK("https%3A%2F%2Fwww.webofscience.com%2Fwos%2Fwoscc%2Ffull-record%2FWOS:000380094300003","View Full Record in Web of Science")</f>
        <v>View Full Record in Web of Science</v>
      </c>
    </row>
    <row r="142" ht="12.75" customHeight="1">
      <c r="A142" s="1" t="s">
        <v>72</v>
      </c>
      <c r="B142" s="1" t="s">
        <v>1599</v>
      </c>
      <c r="C142" s="1" t="s">
        <v>74</v>
      </c>
      <c r="D142" s="1" t="s">
        <v>74</v>
      </c>
      <c r="E142" s="1" t="s">
        <v>74</v>
      </c>
      <c r="F142" s="1" t="s">
        <v>1600</v>
      </c>
      <c r="G142" s="1" t="s">
        <v>74</v>
      </c>
      <c r="H142" s="1" t="s">
        <v>74</v>
      </c>
      <c r="I142" s="1" t="s">
        <v>1601</v>
      </c>
      <c r="J142" s="1" t="s">
        <v>1602</v>
      </c>
      <c r="K142" s="1" t="s">
        <v>74</v>
      </c>
      <c r="L142" s="1" t="s">
        <v>74</v>
      </c>
      <c r="M142" s="1" t="s">
        <v>74</v>
      </c>
      <c r="N142" s="1" t="s">
        <v>74</v>
      </c>
      <c r="O142" s="1" t="s">
        <v>74</v>
      </c>
      <c r="P142" s="1" t="s">
        <v>74</v>
      </c>
      <c r="Q142" s="1" t="s">
        <v>74</v>
      </c>
      <c r="R142" s="1" t="s">
        <v>74</v>
      </c>
      <c r="S142" s="1" t="s">
        <v>74</v>
      </c>
      <c r="T142" s="1" t="s">
        <v>74</v>
      </c>
      <c r="U142" s="1" t="s">
        <v>74</v>
      </c>
      <c r="V142" s="1" t="s">
        <v>1603</v>
      </c>
      <c r="W142" s="1" t="s">
        <v>74</v>
      </c>
      <c r="X142" s="1" t="s">
        <v>74</v>
      </c>
      <c r="Y142" s="1" t="s">
        <v>74</v>
      </c>
      <c r="Z142" s="1" t="s">
        <v>74</v>
      </c>
      <c r="AA142" s="1" t="s">
        <v>1604</v>
      </c>
      <c r="AB142" s="1" t="s">
        <v>1605</v>
      </c>
      <c r="AC142" s="1" t="s">
        <v>74</v>
      </c>
      <c r="AD142" s="1" t="s">
        <v>74</v>
      </c>
      <c r="AE142" s="1" t="s">
        <v>74</v>
      </c>
      <c r="AF142" s="1" t="s">
        <v>74</v>
      </c>
      <c r="AG142" s="1" t="s">
        <v>74</v>
      </c>
      <c r="AH142" s="1" t="s">
        <v>74</v>
      </c>
      <c r="AI142" s="1" t="s">
        <v>74</v>
      </c>
      <c r="AJ142" s="1" t="s">
        <v>74</v>
      </c>
      <c r="AK142" s="1" t="s">
        <v>74</v>
      </c>
      <c r="AL142" s="1" t="s">
        <v>74</v>
      </c>
      <c r="AM142" s="1" t="s">
        <v>74</v>
      </c>
      <c r="AN142" s="1" t="s">
        <v>74</v>
      </c>
      <c r="AO142" s="1" t="s">
        <v>1606</v>
      </c>
      <c r="AP142" s="1" t="s">
        <v>1607</v>
      </c>
      <c r="AQ142" s="1" t="s">
        <v>74</v>
      </c>
      <c r="AR142" s="1" t="s">
        <v>74</v>
      </c>
      <c r="AS142" s="1" t="s">
        <v>74</v>
      </c>
      <c r="AT142" s="1" t="s">
        <v>203</v>
      </c>
      <c r="AU142" s="1">
        <v>2016.0</v>
      </c>
      <c r="AV142" s="1">
        <v>300.0</v>
      </c>
      <c r="AW142" s="1" t="s">
        <v>74</v>
      </c>
      <c r="AX142" s="1" t="s">
        <v>74</v>
      </c>
      <c r="AY142" s="1" t="s">
        <v>74</v>
      </c>
      <c r="AZ142" s="1" t="s">
        <v>74</v>
      </c>
      <c r="BA142" s="1" t="s">
        <v>74</v>
      </c>
      <c r="BB142" s="1">
        <v>106.0</v>
      </c>
      <c r="BC142" s="1">
        <v>128.0</v>
      </c>
      <c r="BD142" s="1" t="s">
        <v>74</v>
      </c>
      <c r="BE142" s="1" t="s">
        <v>1608</v>
      </c>
      <c r="BF142" s="2" t="str">
        <f>HYPERLINK("http://dx.doi.org/10.1016/j.cma.2015.11.001","http://dx.doi.org/10.1016/j.cma.2015.11.001")</f>
        <v>http://dx.doi.org/10.1016/j.cma.2015.11.001</v>
      </c>
      <c r="BG142" s="1" t="s">
        <v>74</v>
      </c>
      <c r="BH142" s="1" t="s">
        <v>74</v>
      </c>
      <c r="BI142" s="1" t="s">
        <v>74</v>
      </c>
      <c r="BJ142" s="1" t="s">
        <v>74</v>
      </c>
      <c r="BK142" s="1" t="s">
        <v>74</v>
      </c>
      <c r="BL142" s="1" t="s">
        <v>74</v>
      </c>
      <c r="BM142" s="1" t="s">
        <v>74</v>
      </c>
      <c r="BN142" s="1" t="s">
        <v>74</v>
      </c>
      <c r="BO142" s="1" t="s">
        <v>74</v>
      </c>
      <c r="BP142" s="1" t="s">
        <v>74</v>
      </c>
      <c r="BQ142" s="1" t="s">
        <v>74</v>
      </c>
      <c r="BR142" s="1" t="s">
        <v>74</v>
      </c>
      <c r="BS142" s="1" t="s">
        <v>1609</v>
      </c>
      <c r="BT142" s="1" t="str">
        <f>HYPERLINK("https%3A%2F%2Fwww.webofscience.com%2Fwos%2Fwoscc%2Ffull-record%2FWOS:000369487700006","View Full Record in Web of Science")</f>
        <v>View Full Record in Web of Science</v>
      </c>
    </row>
    <row r="143" ht="12.75" customHeight="1">
      <c r="A143" s="1" t="s">
        <v>72</v>
      </c>
      <c r="B143" s="1" t="s">
        <v>1610</v>
      </c>
      <c r="C143" s="1" t="s">
        <v>74</v>
      </c>
      <c r="D143" s="1" t="s">
        <v>74</v>
      </c>
      <c r="E143" s="1" t="s">
        <v>74</v>
      </c>
      <c r="F143" s="1" t="s">
        <v>1611</v>
      </c>
      <c r="G143" s="1" t="s">
        <v>74</v>
      </c>
      <c r="H143" s="1" t="s">
        <v>74</v>
      </c>
      <c r="I143" s="1" t="s">
        <v>1612</v>
      </c>
      <c r="J143" s="1" t="s">
        <v>1613</v>
      </c>
      <c r="K143" s="1" t="s">
        <v>74</v>
      </c>
      <c r="L143" s="1" t="s">
        <v>74</v>
      </c>
      <c r="M143" s="1" t="s">
        <v>74</v>
      </c>
      <c r="N143" s="1" t="s">
        <v>74</v>
      </c>
      <c r="O143" s="1" t="s">
        <v>74</v>
      </c>
      <c r="P143" s="1" t="s">
        <v>74</v>
      </c>
      <c r="Q143" s="1" t="s">
        <v>74</v>
      </c>
      <c r="R143" s="1" t="s">
        <v>74</v>
      </c>
      <c r="S143" s="1" t="s">
        <v>74</v>
      </c>
      <c r="T143" s="1" t="s">
        <v>74</v>
      </c>
      <c r="U143" s="1" t="s">
        <v>74</v>
      </c>
      <c r="V143" s="1" t="s">
        <v>1614</v>
      </c>
      <c r="W143" s="1" t="s">
        <v>74</v>
      </c>
      <c r="X143" s="1" t="s">
        <v>74</v>
      </c>
      <c r="Y143" s="1" t="s">
        <v>74</v>
      </c>
      <c r="Z143" s="1" t="s">
        <v>74</v>
      </c>
      <c r="AA143" s="1" t="s">
        <v>1615</v>
      </c>
      <c r="AB143" s="1" t="s">
        <v>1616</v>
      </c>
      <c r="AC143" s="1" t="s">
        <v>74</v>
      </c>
      <c r="AD143" s="1" t="s">
        <v>74</v>
      </c>
      <c r="AE143" s="1" t="s">
        <v>74</v>
      </c>
      <c r="AF143" s="1" t="s">
        <v>74</v>
      </c>
      <c r="AG143" s="1" t="s">
        <v>74</v>
      </c>
      <c r="AH143" s="1" t="s">
        <v>74</v>
      </c>
      <c r="AI143" s="1" t="s">
        <v>74</v>
      </c>
      <c r="AJ143" s="1" t="s">
        <v>74</v>
      </c>
      <c r="AK143" s="1" t="s">
        <v>74</v>
      </c>
      <c r="AL143" s="1" t="s">
        <v>74</v>
      </c>
      <c r="AM143" s="1" t="s">
        <v>74</v>
      </c>
      <c r="AN143" s="1" t="s">
        <v>74</v>
      </c>
      <c r="AO143" s="1" t="s">
        <v>1617</v>
      </c>
      <c r="AP143" s="1" t="s">
        <v>1618</v>
      </c>
      <c r="AQ143" s="1" t="s">
        <v>74</v>
      </c>
      <c r="AR143" s="1" t="s">
        <v>74</v>
      </c>
      <c r="AS143" s="1" t="s">
        <v>74</v>
      </c>
      <c r="AT143" s="1" t="s">
        <v>438</v>
      </c>
      <c r="AU143" s="1">
        <v>2015.0</v>
      </c>
      <c r="AV143" s="1">
        <v>26.0</v>
      </c>
      <c r="AW143" s="1">
        <v>4.0</v>
      </c>
      <c r="AX143" s="1" t="s">
        <v>74</v>
      </c>
      <c r="AY143" s="1" t="s">
        <v>74</v>
      </c>
      <c r="AZ143" s="1" t="s">
        <v>74</v>
      </c>
      <c r="BA143" s="1" t="s">
        <v>74</v>
      </c>
      <c r="BB143" s="1">
        <v>667.0</v>
      </c>
      <c r="BC143" s="1">
        <v>675.0</v>
      </c>
      <c r="BD143" s="1" t="s">
        <v>74</v>
      </c>
      <c r="BE143" s="1" t="s">
        <v>1619</v>
      </c>
      <c r="BF143" s="2" t="str">
        <f>HYPERLINK("http://dx.doi.org/10.5935/0103-5053.20150024","http://dx.doi.org/10.5935/0103-5053.20150024")</f>
        <v>http://dx.doi.org/10.5935/0103-5053.20150024</v>
      </c>
      <c r="BG143" s="1" t="s">
        <v>74</v>
      </c>
      <c r="BH143" s="1" t="s">
        <v>74</v>
      </c>
      <c r="BI143" s="1" t="s">
        <v>74</v>
      </c>
      <c r="BJ143" s="1" t="s">
        <v>74</v>
      </c>
      <c r="BK143" s="1" t="s">
        <v>74</v>
      </c>
      <c r="BL143" s="1" t="s">
        <v>74</v>
      </c>
      <c r="BM143" s="1" t="s">
        <v>74</v>
      </c>
      <c r="BN143" s="1" t="s">
        <v>74</v>
      </c>
      <c r="BO143" s="1" t="s">
        <v>74</v>
      </c>
      <c r="BP143" s="1" t="s">
        <v>74</v>
      </c>
      <c r="BQ143" s="1" t="s">
        <v>74</v>
      </c>
      <c r="BR143" s="1" t="s">
        <v>74</v>
      </c>
      <c r="BS143" s="1" t="s">
        <v>1620</v>
      </c>
      <c r="BT143" s="1" t="str">
        <f>HYPERLINK("https%3A%2F%2Fwww.webofscience.com%2Fwos%2Fwoscc%2Ffull-record%2FWOS:000353160600005","View Full Record in Web of Science")</f>
        <v>View Full Record in Web of Science</v>
      </c>
    </row>
    <row r="144" ht="12.75" customHeight="1">
      <c r="A144" s="1" t="s">
        <v>72</v>
      </c>
      <c r="B144" s="1" t="s">
        <v>1621</v>
      </c>
      <c r="C144" s="1" t="s">
        <v>74</v>
      </c>
      <c r="D144" s="1" t="s">
        <v>74</v>
      </c>
      <c r="E144" s="1" t="s">
        <v>74</v>
      </c>
      <c r="F144" s="1" t="s">
        <v>1622</v>
      </c>
      <c r="G144" s="1" t="s">
        <v>74</v>
      </c>
      <c r="H144" s="1" t="s">
        <v>74</v>
      </c>
      <c r="I144" s="1" t="s">
        <v>1623</v>
      </c>
      <c r="J144" s="1" t="s">
        <v>1385</v>
      </c>
      <c r="K144" s="1" t="s">
        <v>74</v>
      </c>
      <c r="L144" s="1" t="s">
        <v>74</v>
      </c>
      <c r="M144" s="1" t="s">
        <v>74</v>
      </c>
      <c r="N144" s="1" t="s">
        <v>74</v>
      </c>
      <c r="O144" s="1" t="s">
        <v>74</v>
      </c>
      <c r="P144" s="1" t="s">
        <v>74</v>
      </c>
      <c r="Q144" s="1" t="s">
        <v>74</v>
      </c>
      <c r="R144" s="1" t="s">
        <v>74</v>
      </c>
      <c r="S144" s="1" t="s">
        <v>74</v>
      </c>
      <c r="T144" s="1" t="s">
        <v>74</v>
      </c>
      <c r="U144" s="1" t="s">
        <v>74</v>
      </c>
      <c r="V144" s="1" t="s">
        <v>1624</v>
      </c>
      <c r="W144" s="1" t="s">
        <v>74</v>
      </c>
      <c r="X144" s="1" t="s">
        <v>74</v>
      </c>
      <c r="Y144" s="1" t="s">
        <v>74</v>
      </c>
      <c r="Z144" s="1" t="s">
        <v>74</v>
      </c>
      <c r="AA144" s="1" t="s">
        <v>1625</v>
      </c>
      <c r="AB144" s="1" t="s">
        <v>1626</v>
      </c>
      <c r="AC144" s="1" t="s">
        <v>74</v>
      </c>
      <c r="AD144" s="1" t="s">
        <v>74</v>
      </c>
      <c r="AE144" s="1" t="s">
        <v>74</v>
      </c>
      <c r="AF144" s="1" t="s">
        <v>74</v>
      </c>
      <c r="AG144" s="1" t="s">
        <v>74</v>
      </c>
      <c r="AH144" s="1" t="s">
        <v>74</v>
      </c>
      <c r="AI144" s="1" t="s">
        <v>74</v>
      </c>
      <c r="AJ144" s="1" t="s">
        <v>74</v>
      </c>
      <c r="AK144" s="1" t="s">
        <v>74</v>
      </c>
      <c r="AL144" s="1" t="s">
        <v>74</v>
      </c>
      <c r="AM144" s="1" t="s">
        <v>74</v>
      </c>
      <c r="AN144" s="1" t="s">
        <v>74</v>
      </c>
      <c r="AO144" s="1" t="s">
        <v>1627</v>
      </c>
      <c r="AP144" s="1" t="s">
        <v>74</v>
      </c>
      <c r="AQ144" s="1" t="s">
        <v>74</v>
      </c>
      <c r="AR144" s="1" t="s">
        <v>74</v>
      </c>
      <c r="AS144" s="1" t="s">
        <v>74</v>
      </c>
      <c r="AT144" s="1" t="s">
        <v>559</v>
      </c>
      <c r="AU144" s="1">
        <v>2013.0</v>
      </c>
      <c r="AV144" s="1">
        <v>58.0</v>
      </c>
      <c r="AW144" s="1">
        <v>4.0</v>
      </c>
      <c r="AX144" s="1" t="s">
        <v>74</v>
      </c>
      <c r="AY144" s="1" t="s">
        <v>74</v>
      </c>
      <c r="AZ144" s="1" t="s">
        <v>74</v>
      </c>
      <c r="BA144" s="1" t="s">
        <v>74</v>
      </c>
      <c r="BB144" s="1">
        <v>2067.0</v>
      </c>
      <c r="BC144" s="1">
        <v>2070.0</v>
      </c>
      <c r="BD144" s="1" t="s">
        <v>74</v>
      </c>
      <c r="BE144" s="1" t="s">
        <v>1628</v>
      </c>
      <c r="BF144" s="2" t="str">
        <f>HYPERLINK("http://dx.doi.org/10.4067/S0717-97072013000400036","http://dx.doi.org/10.4067/S0717-97072013000400036")</f>
        <v>http://dx.doi.org/10.4067/S0717-97072013000400036</v>
      </c>
      <c r="BG144" s="1" t="s">
        <v>74</v>
      </c>
      <c r="BH144" s="1" t="s">
        <v>74</v>
      </c>
      <c r="BI144" s="1" t="s">
        <v>74</v>
      </c>
      <c r="BJ144" s="1" t="s">
        <v>74</v>
      </c>
      <c r="BK144" s="1" t="s">
        <v>74</v>
      </c>
      <c r="BL144" s="1" t="s">
        <v>74</v>
      </c>
      <c r="BM144" s="1" t="s">
        <v>74</v>
      </c>
      <c r="BN144" s="1" t="s">
        <v>74</v>
      </c>
      <c r="BO144" s="1" t="s">
        <v>74</v>
      </c>
      <c r="BP144" s="1" t="s">
        <v>74</v>
      </c>
      <c r="BQ144" s="1" t="s">
        <v>74</v>
      </c>
      <c r="BR144" s="1" t="s">
        <v>74</v>
      </c>
      <c r="BS144" s="1" t="s">
        <v>1629</v>
      </c>
      <c r="BT144" s="1" t="str">
        <f>HYPERLINK("https%3A%2F%2Fwww.webofscience.com%2Fwos%2Fwoscc%2Ffull-record%2FWOS:000331238800032","View Full Record in Web of Science")</f>
        <v>View Full Record in Web of Science</v>
      </c>
    </row>
    <row r="145" ht="12.75" customHeight="1">
      <c r="A145" s="1" t="s">
        <v>72</v>
      </c>
      <c r="B145" s="1" t="s">
        <v>1630</v>
      </c>
      <c r="C145" s="1" t="s">
        <v>74</v>
      </c>
      <c r="D145" s="1" t="s">
        <v>74</v>
      </c>
      <c r="E145" s="1" t="s">
        <v>74</v>
      </c>
      <c r="F145" s="1" t="s">
        <v>1631</v>
      </c>
      <c r="G145" s="1" t="s">
        <v>74</v>
      </c>
      <c r="H145" s="1" t="s">
        <v>74</v>
      </c>
      <c r="I145" s="1" t="s">
        <v>1632</v>
      </c>
      <c r="J145" s="1" t="s">
        <v>1633</v>
      </c>
      <c r="K145" s="1" t="s">
        <v>74</v>
      </c>
      <c r="L145" s="1" t="s">
        <v>74</v>
      </c>
      <c r="M145" s="1" t="s">
        <v>74</v>
      </c>
      <c r="N145" s="1" t="s">
        <v>74</v>
      </c>
      <c r="O145" s="1" t="s">
        <v>74</v>
      </c>
      <c r="P145" s="1" t="s">
        <v>74</v>
      </c>
      <c r="Q145" s="1" t="s">
        <v>74</v>
      </c>
      <c r="R145" s="1" t="s">
        <v>74</v>
      </c>
      <c r="S145" s="1" t="s">
        <v>74</v>
      </c>
      <c r="T145" s="1" t="s">
        <v>74</v>
      </c>
      <c r="U145" s="1" t="s">
        <v>74</v>
      </c>
      <c r="V145" s="1" t="s">
        <v>1634</v>
      </c>
      <c r="W145" s="1" t="s">
        <v>74</v>
      </c>
      <c r="X145" s="1" t="s">
        <v>74</v>
      </c>
      <c r="Y145" s="1" t="s">
        <v>74</v>
      </c>
      <c r="Z145" s="1" t="s">
        <v>74</v>
      </c>
      <c r="AA145" s="1" t="s">
        <v>1635</v>
      </c>
      <c r="AB145" s="1" t="s">
        <v>1636</v>
      </c>
      <c r="AC145" s="1" t="s">
        <v>74</v>
      </c>
      <c r="AD145" s="1" t="s">
        <v>74</v>
      </c>
      <c r="AE145" s="1" t="s">
        <v>74</v>
      </c>
      <c r="AF145" s="1" t="s">
        <v>74</v>
      </c>
      <c r="AG145" s="1" t="s">
        <v>74</v>
      </c>
      <c r="AH145" s="1" t="s">
        <v>74</v>
      </c>
      <c r="AI145" s="1" t="s">
        <v>74</v>
      </c>
      <c r="AJ145" s="1" t="s">
        <v>74</v>
      </c>
      <c r="AK145" s="1" t="s">
        <v>74</v>
      </c>
      <c r="AL145" s="1" t="s">
        <v>74</v>
      </c>
      <c r="AM145" s="1" t="s">
        <v>74</v>
      </c>
      <c r="AN145" s="1" t="s">
        <v>74</v>
      </c>
      <c r="AO145" s="1" t="s">
        <v>1637</v>
      </c>
      <c r="AP145" s="1" t="s">
        <v>1638</v>
      </c>
      <c r="AQ145" s="1" t="s">
        <v>74</v>
      </c>
      <c r="AR145" s="1" t="s">
        <v>74</v>
      </c>
      <c r="AS145" s="1" t="s">
        <v>74</v>
      </c>
      <c r="AT145" s="1" t="s">
        <v>74</v>
      </c>
      <c r="AU145" s="1">
        <v>2013.0</v>
      </c>
      <c r="AV145" s="1">
        <v>37.0</v>
      </c>
      <c r="AW145" s="1">
        <v>7.0</v>
      </c>
      <c r="AX145" s="1" t="s">
        <v>74</v>
      </c>
      <c r="AY145" s="1" t="s">
        <v>74</v>
      </c>
      <c r="AZ145" s="1" t="s">
        <v>74</v>
      </c>
      <c r="BA145" s="1" t="s">
        <v>74</v>
      </c>
      <c r="BB145" s="1">
        <v>2120.0</v>
      </c>
      <c r="BC145" s="1">
        <v>2127.0</v>
      </c>
      <c r="BD145" s="1" t="s">
        <v>74</v>
      </c>
      <c r="BE145" s="1" t="s">
        <v>1639</v>
      </c>
      <c r="BF145" s="2" t="str">
        <f>HYPERLINK("http://dx.doi.org/10.1039/c3nj00023k","http://dx.doi.org/10.1039/c3nj00023k")</f>
        <v>http://dx.doi.org/10.1039/c3nj00023k</v>
      </c>
      <c r="BG145" s="1" t="s">
        <v>74</v>
      </c>
      <c r="BH145" s="1" t="s">
        <v>74</v>
      </c>
      <c r="BI145" s="1" t="s">
        <v>74</v>
      </c>
      <c r="BJ145" s="1" t="s">
        <v>74</v>
      </c>
      <c r="BK145" s="1" t="s">
        <v>74</v>
      </c>
      <c r="BL145" s="1" t="s">
        <v>74</v>
      </c>
      <c r="BM145" s="1" t="s">
        <v>74</v>
      </c>
      <c r="BN145" s="1" t="s">
        <v>74</v>
      </c>
      <c r="BO145" s="1" t="s">
        <v>74</v>
      </c>
      <c r="BP145" s="1" t="s">
        <v>74</v>
      </c>
      <c r="BQ145" s="1" t="s">
        <v>74</v>
      </c>
      <c r="BR145" s="1" t="s">
        <v>74</v>
      </c>
      <c r="BS145" s="1" t="s">
        <v>1640</v>
      </c>
      <c r="BT145" s="1" t="str">
        <f>HYPERLINK("https%3A%2F%2Fwww.webofscience.com%2Fwos%2Fwoscc%2Ffull-record%2FWOS:000320466600036","View Full Record in Web of Science")</f>
        <v>View Full Record in Web of Science</v>
      </c>
    </row>
    <row r="146" ht="12.75" customHeight="1">
      <c r="A146" s="1" t="s">
        <v>72</v>
      </c>
      <c r="B146" s="1" t="s">
        <v>1641</v>
      </c>
      <c r="C146" s="1" t="s">
        <v>74</v>
      </c>
      <c r="D146" s="1" t="s">
        <v>74</v>
      </c>
      <c r="E146" s="1" t="s">
        <v>74</v>
      </c>
      <c r="F146" s="1" t="s">
        <v>1642</v>
      </c>
      <c r="G146" s="1" t="s">
        <v>74</v>
      </c>
      <c r="H146" s="1" t="s">
        <v>74</v>
      </c>
      <c r="I146" s="1" t="s">
        <v>1643</v>
      </c>
      <c r="J146" s="1" t="s">
        <v>1644</v>
      </c>
      <c r="K146" s="1" t="s">
        <v>74</v>
      </c>
      <c r="L146" s="1" t="s">
        <v>74</v>
      </c>
      <c r="M146" s="1" t="s">
        <v>74</v>
      </c>
      <c r="N146" s="1" t="s">
        <v>74</v>
      </c>
      <c r="O146" s="1" t="s">
        <v>74</v>
      </c>
      <c r="P146" s="1" t="s">
        <v>74</v>
      </c>
      <c r="Q146" s="1" t="s">
        <v>74</v>
      </c>
      <c r="R146" s="1" t="s">
        <v>74</v>
      </c>
      <c r="S146" s="1" t="s">
        <v>74</v>
      </c>
      <c r="T146" s="1" t="s">
        <v>74</v>
      </c>
      <c r="U146" s="1" t="s">
        <v>74</v>
      </c>
      <c r="V146" s="1" t="s">
        <v>1645</v>
      </c>
      <c r="W146" s="1" t="s">
        <v>74</v>
      </c>
      <c r="X146" s="1" t="s">
        <v>74</v>
      </c>
      <c r="Y146" s="1" t="s">
        <v>74</v>
      </c>
      <c r="Z146" s="1" t="s">
        <v>74</v>
      </c>
      <c r="AA146" s="1" t="s">
        <v>1646</v>
      </c>
      <c r="AB146" s="1" t="s">
        <v>1647</v>
      </c>
      <c r="AC146" s="1" t="s">
        <v>74</v>
      </c>
      <c r="AD146" s="1" t="s">
        <v>74</v>
      </c>
      <c r="AE146" s="1" t="s">
        <v>74</v>
      </c>
      <c r="AF146" s="1" t="s">
        <v>74</v>
      </c>
      <c r="AG146" s="1" t="s">
        <v>74</v>
      </c>
      <c r="AH146" s="1" t="s">
        <v>74</v>
      </c>
      <c r="AI146" s="1" t="s">
        <v>74</v>
      </c>
      <c r="AJ146" s="1" t="s">
        <v>74</v>
      </c>
      <c r="AK146" s="1" t="s">
        <v>74</v>
      </c>
      <c r="AL146" s="1" t="s">
        <v>74</v>
      </c>
      <c r="AM146" s="1" t="s">
        <v>74</v>
      </c>
      <c r="AN146" s="1" t="s">
        <v>74</v>
      </c>
      <c r="AO146" s="1" t="s">
        <v>1648</v>
      </c>
      <c r="AP146" s="1" t="s">
        <v>1649</v>
      </c>
      <c r="AQ146" s="1" t="s">
        <v>74</v>
      </c>
      <c r="AR146" s="1" t="s">
        <v>74</v>
      </c>
      <c r="AS146" s="1" t="s">
        <v>74</v>
      </c>
      <c r="AT146" s="1" t="s">
        <v>1650</v>
      </c>
      <c r="AU146" s="1">
        <v>2012.0</v>
      </c>
      <c r="AV146" s="1">
        <v>144.0</v>
      </c>
      <c r="AW146" s="1">
        <v>3.0</v>
      </c>
      <c r="AX146" s="1" t="s">
        <v>74</v>
      </c>
      <c r="AY146" s="1" t="s">
        <v>74</v>
      </c>
      <c r="AZ146" s="1" t="s">
        <v>74</v>
      </c>
      <c r="BA146" s="1" t="s">
        <v>74</v>
      </c>
      <c r="BB146" s="1">
        <v>809.0</v>
      </c>
      <c r="BC146" s="1">
        <v>811.0</v>
      </c>
      <c r="BD146" s="1" t="s">
        <v>74</v>
      </c>
      <c r="BE146" s="1" t="s">
        <v>1651</v>
      </c>
      <c r="BF146" s="2" t="str">
        <f>HYPERLINK("http://dx.doi.org/10.1016/j.jep.2012.10.027","http://dx.doi.org/10.1016/j.jep.2012.10.027")</f>
        <v>http://dx.doi.org/10.1016/j.jep.2012.10.027</v>
      </c>
      <c r="BG146" s="1" t="s">
        <v>74</v>
      </c>
      <c r="BH146" s="1" t="s">
        <v>74</v>
      </c>
      <c r="BI146" s="1" t="s">
        <v>74</v>
      </c>
      <c r="BJ146" s="1" t="s">
        <v>74</v>
      </c>
      <c r="BK146" s="1" t="s">
        <v>74</v>
      </c>
      <c r="BL146" s="1" t="s">
        <v>74</v>
      </c>
      <c r="BM146" s="1" t="s">
        <v>74</v>
      </c>
      <c r="BN146" s="1">
        <v>2.3099252E7</v>
      </c>
      <c r="BO146" s="1" t="s">
        <v>74</v>
      </c>
      <c r="BP146" s="1" t="s">
        <v>74</v>
      </c>
      <c r="BQ146" s="1" t="s">
        <v>74</v>
      </c>
      <c r="BR146" s="1" t="s">
        <v>74</v>
      </c>
      <c r="BS146" s="1" t="s">
        <v>1652</v>
      </c>
      <c r="BT146" s="1" t="str">
        <f>HYPERLINK("https%3A%2F%2Fwww.webofscience.com%2Fwos%2Fwoscc%2Ffull-record%2FWOS:000313391300050","View Full Record in Web of Science")</f>
        <v>View Full Record in Web of Science</v>
      </c>
    </row>
    <row r="147" ht="12.75" customHeight="1">
      <c r="A147" s="1" t="s">
        <v>647</v>
      </c>
      <c r="B147" s="1" t="s">
        <v>1653</v>
      </c>
      <c r="C147" s="1" t="s">
        <v>74</v>
      </c>
      <c r="D147" s="1" t="s">
        <v>1654</v>
      </c>
      <c r="E147" s="1" t="s">
        <v>74</v>
      </c>
      <c r="F147" s="1" t="s">
        <v>1655</v>
      </c>
      <c r="G147" s="1" t="s">
        <v>74</v>
      </c>
      <c r="H147" s="1" t="s">
        <v>74</v>
      </c>
      <c r="I147" s="1" t="s">
        <v>1656</v>
      </c>
      <c r="J147" s="1" t="s">
        <v>1657</v>
      </c>
      <c r="K147" s="1" t="s">
        <v>1658</v>
      </c>
      <c r="L147" s="1" t="s">
        <v>74</v>
      </c>
      <c r="M147" s="1" t="s">
        <v>74</v>
      </c>
      <c r="N147" s="1" t="s">
        <v>74</v>
      </c>
      <c r="O147" s="1" t="s">
        <v>1659</v>
      </c>
      <c r="P147" s="1" t="s">
        <v>1660</v>
      </c>
      <c r="Q147" s="1" t="s">
        <v>1661</v>
      </c>
      <c r="R147" s="1" t="s">
        <v>1662</v>
      </c>
      <c r="S147" s="1" t="s">
        <v>74</v>
      </c>
      <c r="T147" s="1" t="s">
        <v>74</v>
      </c>
      <c r="U147" s="1" t="s">
        <v>74</v>
      </c>
      <c r="V147" s="1" t="s">
        <v>1663</v>
      </c>
      <c r="W147" s="1" t="s">
        <v>74</v>
      </c>
      <c r="X147" s="1" t="s">
        <v>74</v>
      </c>
      <c r="Y147" s="1" t="s">
        <v>74</v>
      </c>
      <c r="Z147" s="1" t="s">
        <v>74</v>
      </c>
      <c r="AA147" s="1" t="s">
        <v>1664</v>
      </c>
      <c r="AB147" s="1" t="s">
        <v>1665</v>
      </c>
      <c r="AC147" s="1" t="s">
        <v>74</v>
      </c>
      <c r="AD147" s="1" t="s">
        <v>74</v>
      </c>
      <c r="AE147" s="1" t="s">
        <v>74</v>
      </c>
      <c r="AF147" s="1" t="s">
        <v>74</v>
      </c>
      <c r="AG147" s="1" t="s">
        <v>74</v>
      </c>
      <c r="AH147" s="1" t="s">
        <v>74</v>
      </c>
      <c r="AI147" s="1" t="s">
        <v>74</v>
      </c>
      <c r="AJ147" s="1" t="s">
        <v>74</v>
      </c>
      <c r="AK147" s="1" t="s">
        <v>74</v>
      </c>
      <c r="AL147" s="1" t="s">
        <v>74</v>
      </c>
      <c r="AM147" s="1" t="s">
        <v>74</v>
      </c>
      <c r="AN147" s="1" t="s">
        <v>74</v>
      </c>
      <c r="AO147" s="1" t="s">
        <v>1666</v>
      </c>
      <c r="AP147" s="1" t="s">
        <v>1667</v>
      </c>
      <c r="AQ147" s="1" t="s">
        <v>1668</v>
      </c>
      <c r="AR147" s="1" t="s">
        <v>74</v>
      </c>
      <c r="AS147" s="1" t="s">
        <v>74</v>
      </c>
      <c r="AT147" s="1" t="s">
        <v>74</v>
      </c>
      <c r="AU147" s="1">
        <v>2012.0</v>
      </c>
      <c r="AV147" s="1">
        <v>7484.0</v>
      </c>
      <c r="AW147" s="1" t="s">
        <v>74</v>
      </c>
      <c r="AX147" s="1" t="s">
        <v>74</v>
      </c>
      <c r="AY147" s="1" t="s">
        <v>74</v>
      </c>
      <c r="AZ147" s="1" t="s">
        <v>74</v>
      </c>
      <c r="BA147" s="1" t="s">
        <v>74</v>
      </c>
      <c r="BB147" s="1">
        <v>272.0</v>
      </c>
      <c r="BC147" s="1">
        <v>284.0</v>
      </c>
      <c r="BD147" s="1" t="s">
        <v>74</v>
      </c>
      <c r="BE147" s="1" t="s">
        <v>74</v>
      </c>
      <c r="BF147" s="1" t="s">
        <v>74</v>
      </c>
      <c r="BG147" s="1" t="s">
        <v>74</v>
      </c>
      <c r="BH147" s="1" t="s">
        <v>74</v>
      </c>
      <c r="BI147" s="1" t="s">
        <v>74</v>
      </c>
      <c r="BJ147" s="1" t="s">
        <v>74</v>
      </c>
      <c r="BK147" s="1" t="s">
        <v>74</v>
      </c>
      <c r="BL147" s="1" t="s">
        <v>74</v>
      </c>
      <c r="BM147" s="1" t="s">
        <v>74</v>
      </c>
      <c r="BN147" s="1" t="s">
        <v>74</v>
      </c>
      <c r="BO147" s="1" t="s">
        <v>74</v>
      </c>
      <c r="BP147" s="1" t="s">
        <v>74</v>
      </c>
      <c r="BQ147" s="1" t="s">
        <v>74</v>
      </c>
      <c r="BR147" s="1" t="s">
        <v>74</v>
      </c>
      <c r="BS147" s="1" t="s">
        <v>1669</v>
      </c>
      <c r="BT147" s="1" t="str">
        <f>HYPERLINK("https%3A%2F%2Fwww.webofscience.com%2Fwos%2Fwoscc%2Ffull-record%2FWOS:000341235300028","View Full Record in Web of Science")</f>
        <v>View Full Record in Web of Science</v>
      </c>
    </row>
    <row r="148" ht="12.75" customHeight="1">
      <c r="A148" s="1" t="s">
        <v>72</v>
      </c>
      <c r="B148" s="1" t="s">
        <v>1670</v>
      </c>
      <c r="C148" s="1" t="s">
        <v>74</v>
      </c>
      <c r="D148" s="1" t="s">
        <v>74</v>
      </c>
      <c r="E148" s="1" t="s">
        <v>74</v>
      </c>
      <c r="F148" s="1" t="s">
        <v>1671</v>
      </c>
      <c r="G148" s="1" t="s">
        <v>74</v>
      </c>
      <c r="H148" s="1" t="s">
        <v>74</v>
      </c>
      <c r="I148" s="1" t="s">
        <v>1672</v>
      </c>
      <c r="J148" s="1" t="s">
        <v>1673</v>
      </c>
      <c r="K148" s="1" t="s">
        <v>74</v>
      </c>
      <c r="L148" s="1" t="s">
        <v>74</v>
      </c>
      <c r="M148" s="1" t="s">
        <v>74</v>
      </c>
      <c r="N148" s="1" t="s">
        <v>74</v>
      </c>
      <c r="O148" s="1" t="s">
        <v>74</v>
      </c>
      <c r="P148" s="1" t="s">
        <v>74</v>
      </c>
      <c r="Q148" s="1" t="s">
        <v>74</v>
      </c>
      <c r="R148" s="1" t="s">
        <v>74</v>
      </c>
      <c r="S148" s="1" t="s">
        <v>74</v>
      </c>
      <c r="T148" s="1" t="s">
        <v>74</v>
      </c>
      <c r="U148" s="1" t="s">
        <v>74</v>
      </c>
      <c r="V148" s="1" t="s">
        <v>1674</v>
      </c>
      <c r="W148" s="1" t="s">
        <v>74</v>
      </c>
      <c r="X148" s="1" t="s">
        <v>74</v>
      </c>
      <c r="Y148" s="1" t="s">
        <v>74</v>
      </c>
      <c r="Z148" s="1" t="s">
        <v>74</v>
      </c>
      <c r="AA148" s="1" t="s">
        <v>1675</v>
      </c>
      <c r="AB148" s="1" t="s">
        <v>1676</v>
      </c>
      <c r="AC148" s="1" t="s">
        <v>74</v>
      </c>
      <c r="AD148" s="1" t="s">
        <v>74</v>
      </c>
      <c r="AE148" s="1" t="s">
        <v>74</v>
      </c>
      <c r="AF148" s="1" t="s">
        <v>74</v>
      </c>
      <c r="AG148" s="1" t="s">
        <v>74</v>
      </c>
      <c r="AH148" s="1" t="s">
        <v>74</v>
      </c>
      <c r="AI148" s="1" t="s">
        <v>74</v>
      </c>
      <c r="AJ148" s="1" t="s">
        <v>74</v>
      </c>
      <c r="AK148" s="1" t="s">
        <v>74</v>
      </c>
      <c r="AL148" s="1" t="s">
        <v>74</v>
      </c>
      <c r="AM148" s="1" t="s">
        <v>74</v>
      </c>
      <c r="AN148" s="1" t="s">
        <v>74</v>
      </c>
      <c r="AO148" s="1" t="s">
        <v>1677</v>
      </c>
      <c r="AP148" s="1" t="s">
        <v>1678</v>
      </c>
      <c r="AQ148" s="1" t="s">
        <v>74</v>
      </c>
      <c r="AR148" s="1" t="s">
        <v>74</v>
      </c>
      <c r="AS148" s="1" t="s">
        <v>74</v>
      </c>
      <c r="AT148" s="1" t="s">
        <v>96</v>
      </c>
      <c r="AU148" s="1">
        <v>2011.0</v>
      </c>
      <c r="AV148" s="1">
        <v>14.0</v>
      </c>
      <c r="AW148" s="1">
        <v>1.0</v>
      </c>
      <c r="AX148" s="1" t="s">
        <v>74</v>
      </c>
      <c r="AY148" s="1" t="s">
        <v>74</v>
      </c>
      <c r="AZ148" s="1" t="s">
        <v>74</v>
      </c>
      <c r="BA148" s="1" t="s">
        <v>74</v>
      </c>
      <c r="BB148" s="1">
        <v>9.0</v>
      </c>
      <c r="BC148" s="1">
        <v>40.0</v>
      </c>
      <c r="BD148" s="1" t="s">
        <v>74</v>
      </c>
      <c r="BE148" s="1" t="s">
        <v>74</v>
      </c>
      <c r="BF148" s="1" t="s">
        <v>74</v>
      </c>
      <c r="BG148" s="1" t="s">
        <v>74</v>
      </c>
      <c r="BH148" s="1" t="s">
        <v>74</v>
      </c>
      <c r="BI148" s="1" t="s">
        <v>74</v>
      </c>
      <c r="BJ148" s="1" t="s">
        <v>74</v>
      </c>
      <c r="BK148" s="1" t="s">
        <v>74</v>
      </c>
      <c r="BL148" s="1" t="s">
        <v>74</v>
      </c>
      <c r="BM148" s="1" t="s">
        <v>74</v>
      </c>
      <c r="BN148" s="1" t="s">
        <v>74</v>
      </c>
      <c r="BO148" s="1" t="s">
        <v>74</v>
      </c>
      <c r="BP148" s="1" t="s">
        <v>74</v>
      </c>
      <c r="BQ148" s="1" t="s">
        <v>74</v>
      </c>
      <c r="BR148" s="1" t="s">
        <v>74</v>
      </c>
      <c r="BS148" s="1" t="s">
        <v>1679</v>
      </c>
      <c r="BT148" s="1" t="str">
        <f>HYPERLINK("https%3A%2F%2Fwww.webofscience.com%2Fwos%2Fwoscc%2Ffull-record%2FWOS:000289051100002","View Full Record in Web of Science")</f>
        <v>View Full Record in Web of Science</v>
      </c>
    </row>
    <row r="149" ht="12.75" customHeight="1">
      <c r="A149" s="1" t="s">
        <v>72</v>
      </c>
      <c r="B149" s="1" t="s">
        <v>1680</v>
      </c>
      <c r="C149" s="1" t="s">
        <v>74</v>
      </c>
      <c r="D149" s="1" t="s">
        <v>74</v>
      </c>
      <c r="E149" s="1" t="s">
        <v>74</v>
      </c>
      <c r="F149" s="1" t="s">
        <v>1681</v>
      </c>
      <c r="G149" s="1" t="s">
        <v>74</v>
      </c>
      <c r="H149" s="1" t="s">
        <v>74</v>
      </c>
      <c r="I149" s="1" t="s">
        <v>1682</v>
      </c>
      <c r="J149" s="1" t="s">
        <v>1683</v>
      </c>
      <c r="K149" s="1" t="s">
        <v>74</v>
      </c>
      <c r="L149" s="1" t="s">
        <v>74</v>
      </c>
      <c r="M149" s="1" t="s">
        <v>74</v>
      </c>
      <c r="N149" s="1" t="s">
        <v>74</v>
      </c>
      <c r="O149" s="1" t="s">
        <v>74</v>
      </c>
      <c r="P149" s="1" t="s">
        <v>74</v>
      </c>
      <c r="Q149" s="1" t="s">
        <v>74</v>
      </c>
      <c r="R149" s="1" t="s">
        <v>74</v>
      </c>
      <c r="S149" s="1" t="s">
        <v>74</v>
      </c>
      <c r="T149" s="1" t="s">
        <v>74</v>
      </c>
      <c r="U149" s="1" t="s">
        <v>74</v>
      </c>
      <c r="V149" s="1" t="s">
        <v>1684</v>
      </c>
      <c r="W149" s="1" t="s">
        <v>74</v>
      </c>
      <c r="X149" s="1" t="s">
        <v>74</v>
      </c>
      <c r="Y149" s="1" t="s">
        <v>74</v>
      </c>
      <c r="Z149" s="1" t="s">
        <v>74</v>
      </c>
      <c r="AA149" s="1" t="s">
        <v>1685</v>
      </c>
      <c r="AB149" s="1" t="s">
        <v>1686</v>
      </c>
      <c r="AC149" s="1" t="s">
        <v>74</v>
      </c>
      <c r="AD149" s="1" t="s">
        <v>74</v>
      </c>
      <c r="AE149" s="1" t="s">
        <v>74</v>
      </c>
      <c r="AF149" s="1" t="s">
        <v>74</v>
      </c>
      <c r="AG149" s="1" t="s">
        <v>74</v>
      </c>
      <c r="AH149" s="1" t="s">
        <v>74</v>
      </c>
      <c r="AI149" s="1" t="s">
        <v>74</v>
      </c>
      <c r="AJ149" s="1" t="s">
        <v>74</v>
      </c>
      <c r="AK149" s="1" t="s">
        <v>74</v>
      </c>
      <c r="AL149" s="1" t="s">
        <v>74</v>
      </c>
      <c r="AM149" s="1" t="s">
        <v>74</v>
      </c>
      <c r="AN149" s="1" t="s">
        <v>74</v>
      </c>
      <c r="AO149" s="1" t="s">
        <v>1687</v>
      </c>
      <c r="AP149" s="1" t="s">
        <v>1688</v>
      </c>
      <c r="AQ149" s="1" t="s">
        <v>74</v>
      </c>
      <c r="AR149" s="1" t="s">
        <v>74</v>
      </c>
      <c r="AS149" s="1" t="s">
        <v>74</v>
      </c>
      <c r="AT149" s="1" t="s">
        <v>74</v>
      </c>
      <c r="AU149" s="1">
        <v>2009.0</v>
      </c>
      <c r="AV149" s="1">
        <v>27.0</v>
      </c>
      <c r="AW149" s="1">
        <v>4.0</v>
      </c>
      <c r="AX149" s="1" t="s">
        <v>74</v>
      </c>
      <c r="AY149" s="1" t="s">
        <v>74</v>
      </c>
      <c r="AZ149" s="1" t="s">
        <v>74</v>
      </c>
      <c r="BA149" s="1" t="s">
        <v>74</v>
      </c>
      <c r="BB149" s="1">
        <v>1413.0</v>
      </c>
      <c r="BC149" s="1">
        <v>1422.0</v>
      </c>
      <c r="BD149" s="1" t="s">
        <v>74</v>
      </c>
      <c r="BE149" s="1" t="s">
        <v>1689</v>
      </c>
      <c r="BF149" s="2" t="str">
        <f>HYPERLINK("http://dx.doi.org/10.5194/angeo-27-1413-2009","http://dx.doi.org/10.5194/angeo-27-1413-2009")</f>
        <v>http://dx.doi.org/10.5194/angeo-27-1413-2009</v>
      </c>
      <c r="BG149" s="1" t="s">
        <v>74</v>
      </c>
      <c r="BH149" s="1" t="s">
        <v>74</v>
      </c>
      <c r="BI149" s="1" t="s">
        <v>74</v>
      </c>
      <c r="BJ149" s="1" t="s">
        <v>74</v>
      </c>
      <c r="BK149" s="1" t="s">
        <v>74</v>
      </c>
      <c r="BL149" s="1" t="s">
        <v>74</v>
      </c>
      <c r="BM149" s="1" t="s">
        <v>74</v>
      </c>
      <c r="BN149" s="1" t="s">
        <v>74</v>
      </c>
      <c r="BO149" s="1" t="s">
        <v>74</v>
      </c>
      <c r="BP149" s="1" t="s">
        <v>74</v>
      </c>
      <c r="BQ149" s="1" t="s">
        <v>74</v>
      </c>
      <c r="BR149" s="1" t="s">
        <v>74</v>
      </c>
      <c r="BS149" s="1" t="s">
        <v>1690</v>
      </c>
      <c r="BT149" s="1" t="str">
        <f>HYPERLINK("https%3A%2F%2Fwww.webofscience.com%2Fwos%2Fwoscc%2Ffull-record%2FWOS:000265603100007","View Full Record in Web of Science")</f>
        <v>View Full Record in Web of Science</v>
      </c>
    </row>
    <row r="150" ht="12.75" customHeight="1">
      <c r="A150" s="1" t="s">
        <v>72</v>
      </c>
      <c r="B150" s="1" t="s">
        <v>1691</v>
      </c>
      <c r="C150" s="1" t="s">
        <v>74</v>
      </c>
      <c r="D150" s="1" t="s">
        <v>74</v>
      </c>
      <c r="E150" s="1" t="s">
        <v>74</v>
      </c>
      <c r="F150" s="1" t="s">
        <v>1692</v>
      </c>
      <c r="G150" s="1" t="s">
        <v>74</v>
      </c>
      <c r="H150" s="1" t="s">
        <v>74</v>
      </c>
      <c r="I150" s="1" t="s">
        <v>1693</v>
      </c>
      <c r="J150" s="1" t="s">
        <v>1694</v>
      </c>
      <c r="K150" s="1" t="s">
        <v>74</v>
      </c>
      <c r="L150" s="1" t="s">
        <v>74</v>
      </c>
      <c r="M150" s="1" t="s">
        <v>74</v>
      </c>
      <c r="N150" s="1" t="s">
        <v>74</v>
      </c>
      <c r="O150" s="1" t="s">
        <v>74</v>
      </c>
      <c r="P150" s="1" t="s">
        <v>74</v>
      </c>
      <c r="Q150" s="1" t="s">
        <v>74</v>
      </c>
      <c r="R150" s="1" t="s">
        <v>74</v>
      </c>
      <c r="S150" s="1" t="s">
        <v>74</v>
      </c>
      <c r="T150" s="1" t="s">
        <v>74</v>
      </c>
      <c r="U150" s="1" t="s">
        <v>74</v>
      </c>
      <c r="V150" s="1" t="s">
        <v>1695</v>
      </c>
      <c r="W150" s="1" t="s">
        <v>74</v>
      </c>
      <c r="X150" s="1" t="s">
        <v>74</v>
      </c>
      <c r="Y150" s="1" t="s">
        <v>74</v>
      </c>
      <c r="Z150" s="1" t="s">
        <v>74</v>
      </c>
      <c r="AA150" s="1" t="s">
        <v>1696</v>
      </c>
      <c r="AB150" s="1" t="s">
        <v>1697</v>
      </c>
      <c r="AC150" s="1" t="s">
        <v>74</v>
      </c>
      <c r="AD150" s="1" t="s">
        <v>74</v>
      </c>
      <c r="AE150" s="1" t="s">
        <v>74</v>
      </c>
      <c r="AF150" s="1" t="s">
        <v>74</v>
      </c>
      <c r="AG150" s="1" t="s">
        <v>74</v>
      </c>
      <c r="AH150" s="1" t="s">
        <v>74</v>
      </c>
      <c r="AI150" s="1" t="s">
        <v>74</v>
      </c>
      <c r="AJ150" s="1" t="s">
        <v>74</v>
      </c>
      <c r="AK150" s="1" t="s">
        <v>74</v>
      </c>
      <c r="AL150" s="1" t="s">
        <v>74</v>
      </c>
      <c r="AM150" s="1" t="s">
        <v>74</v>
      </c>
      <c r="AN150" s="1" t="s">
        <v>74</v>
      </c>
      <c r="AO150" s="1" t="s">
        <v>1698</v>
      </c>
      <c r="AP150" s="1" t="s">
        <v>74</v>
      </c>
      <c r="AQ150" s="1" t="s">
        <v>74</v>
      </c>
      <c r="AR150" s="1" t="s">
        <v>74</v>
      </c>
      <c r="AS150" s="1" t="s">
        <v>74</v>
      </c>
      <c r="AT150" s="1" t="s">
        <v>411</v>
      </c>
      <c r="AU150" s="1">
        <v>2007.0</v>
      </c>
      <c r="AV150" s="1">
        <v>62.0</v>
      </c>
      <c r="AW150" s="1">
        <v>21.0</v>
      </c>
      <c r="AX150" s="1" t="s">
        <v>74</v>
      </c>
      <c r="AY150" s="1" t="s">
        <v>74</v>
      </c>
      <c r="AZ150" s="1" t="s">
        <v>74</v>
      </c>
      <c r="BA150" s="1" t="s">
        <v>74</v>
      </c>
      <c r="BB150" s="1">
        <v>5794.0</v>
      </c>
      <c r="BC150" s="1">
        <v>5808.0</v>
      </c>
      <c r="BD150" s="1" t="s">
        <v>74</v>
      </c>
      <c r="BE150" s="1" t="s">
        <v>1699</v>
      </c>
      <c r="BF150" s="2" t="str">
        <f>HYPERLINK("http://dx.doi.org/10.1016/j.ces.2007.05.037","http://dx.doi.org/10.1016/j.ces.2007.05.037")</f>
        <v>http://dx.doi.org/10.1016/j.ces.2007.05.037</v>
      </c>
      <c r="BG150" s="1" t="s">
        <v>74</v>
      </c>
      <c r="BH150" s="1" t="s">
        <v>74</v>
      </c>
      <c r="BI150" s="1" t="s">
        <v>74</v>
      </c>
      <c r="BJ150" s="1" t="s">
        <v>74</v>
      </c>
      <c r="BK150" s="1" t="s">
        <v>74</v>
      </c>
      <c r="BL150" s="1" t="s">
        <v>74</v>
      </c>
      <c r="BM150" s="1" t="s">
        <v>74</v>
      </c>
      <c r="BN150" s="1" t="s">
        <v>74</v>
      </c>
      <c r="BO150" s="1" t="s">
        <v>74</v>
      </c>
      <c r="BP150" s="1" t="s">
        <v>74</v>
      </c>
      <c r="BQ150" s="1" t="s">
        <v>74</v>
      </c>
      <c r="BR150" s="1" t="s">
        <v>74</v>
      </c>
      <c r="BS150" s="1" t="s">
        <v>1700</v>
      </c>
      <c r="BT150" s="1" t="str">
        <f>HYPERLINK("https%3A%2F%2Fwww.webofscience.com%2Fwos%2Fwoscc%2Ffull-record%2FWOS:000250670300009","View Full Record in Web of Science")</f>
        <v>View Full Record in Web of Science</v>
      </c>
    </row>
    <row r="151" ht="12.75" customHeight="1">
      <c r="A151" s="1" t="s">
        <v>72</v>
      </c>
      <c r="B151" s="1" t="s">
        <v>1701</v>
      </c>
      <c r="C151" s="1" t="s">
        <v>74</v>
      </c>
      <c r="D151" s="1" t="s">
        <v>74</v>
      </c>
      <c r="E151" s="1" t="s">
        <v>74</v>
      </c>
      <c r="F151" s="1" t="s">
        <v>1701</v>
      </c>
      <c r="G151" s="1" t="s">
        <v>74</v>
      </c>
      <c r="H151" s="1" t="s">
        <v>74</v>
      </c>
      <c r="I151" s="1" t="s">
        <v>1702</v>
      </c>
      <c r="J151" s="1" t="s">
        <v>1385</v>
      </c>
      <c r="K151" s="1" t="s">
        <v>74</v>
      </c>
      <c r="L151" s="1" t="s">
        <v>74</v>
      </c>
      <c r="M151" s="1" t="s">
        <v>74</v>
      </c>
      <c r="N151" s="1" t="s">
        <v>74</v>
      </c>
      <c r="O151" s="1" t="s">
        <v>74</v>
      </c>
      <c r="P151" s="1" t="s">
        <v>74</v>
      </c>
      <c r="Q151" s="1" t="s">
        <v>74</v>
      </c>
      <c r="R151" s="1" t="s">
        <v>74</v>
      </c>
      <c r="S151" s="1" t="s">
        <v>74</v>
      </c>
      <c r="T151" s="1" t="s">
        <v>74</v>
      </c>
      <c r="U151" s="1" t="s">
        <v>74</v>
      </c>
      <c r="V151" s="1" t="s">
        <v>1703</v>
      </c>
      <c r="W151" s="1" t="s">
        <v>74</v>
      </c>
      <c r="X151" s="1" t="s">
        <v>74</v>
      </c>
      <c r="Y151" s="1" t="s">
        <v>74</v>
      </c>
      <c r="Z151" s="1" t="s">
        <v>74</v>
      </c>
      <c r="AA151" s="1" t="s">
        <v>1704</v>
      </c>
      <c r="AB151" s="1" t="s">
        <v>1705</v>
      </c>
      <c r="AC151" s="1" t="s">
        <v>74</v>
      </c>
      <c r="AD151" s="1" t="s">
        <v>74</v>
      </c>
      <c r="AE151" s="1" t="s">
        <v>74</v>
      </c>
      <c r="AF151" s="1" t="s">
        <v>74</v>
      </c>
      <c r="AG151" s="1" t="s">
        <v>74</v>
      </c>
      <c r="AH151" s="1" t="s">
        <v>74</v>
      </c>
      <c r="AI151" s="1" t="s">
        <v>74</v>
      </c>
      <c r="AJ151" s="1" t="s">
        <v>74</v>
      </c>
      <c r="AK151" s="1" t="s">
        <v>74</v>
      </c>
      <c r="AL151" s="1" t="s">
        <v>74</v>
      </c>
      <c r="AM151" s="1" t="s">
        <v>74</v>
      </c>
      <c r="AN151" s="1" t="s">
        <v>74</v>
      </c>
      <c r="AO151" s="1" t="s">
        <v>1627</v>
      </c>
      <c r="AP151" s="1" t="s">
        <v>74</v>
      </c>
      <c r="AQ151" s="1" t="s">
        <v>74</v>
      </c>
      <c r="AR151" s="1" t="s">
        <v>74</v>
      </c>
      <c r="AS151" s="1" t="s">
        <v>74</v>
      </c>
      <c r="AT151" s="1" t="s">
        <v>250</v>
      </c>
      <c r="AU151" s="1">
        <v>2005.0</v>
      </c>
      <c r="AV151" s="1">
        <v>50.0</v>
      </c>
      <c r="AW151" s="1">
        <v>3.0</v>
      </c>
      <c r="AX151" s="1" t="s">
        <v>74</v>
      </c>
      <c r="AY151" s="1" t="s">
        <v>74</v>
      </c>
      <c r="AZ151" s="1" t="s">
        <v>74</v>
      </c>
      <c r="BA151" s="1" t="s">
        <v>74</v>
      </c>
      <c r="BB151" s="1">
        <v>617.0</v>
      </c>
      <c r="BC151" s="1">
        <v>623.0</v>
      </c>
      <c r="BD151" s="1" t="s">
        <v>74</v>
      </c>
      <c r="BE151" s="1" t="s">
        <v>74</v>
      </c>
      <c r="BF151" s="1" t="s">
        <v>74</v>
      </c>
      <c r="BG151" s="1" t="s">
        <v>74</v>
      </c>
      <c r="BH151" s="1" t="s">
        <v>74</v>
      </c>
      <c r="BI151" s="1" t="s">
        <v>74</v>
      </c>
      <c r="BJ151" s="1" t="s">
        <v>74</v>
      </c>
      <c r="BK151" s="1" t="s">
        <v>74</v>
      </c>
      <c r="BL151" s="1" t="s">
        <v>74</v>
      </c>
      <c r="BM151" s="1" t="s">
        <v>74</v>
      </c>
      <c r="BN151" s="1" t="s">
        <v>74</v>
      </c>
      <c r="BO151" s="1" t="s">
        <v>74</v>
      </c>
      <c r="BP151" s="1" t="s">
        <v>74</v>
      </c>
      <c r="BQ151" s="1" t="s">
        <v>74</v>
      </c>
      <c r="BR151" s="1" t="s">
        <v>74</v>
      </c>
      <c r="BS151" s="1" t="s">
        <v>1706</v>
      </c>
      <c r="BT151" s="1" t="str">
        <f>HYPERLINK("https%3A%2F%2Fwww.webofscience.com%2Fwos%2Fwoscc%2Ffull-record%2FWOS:000232185900016","View Full Record in Web of Science")</f>
        <v>View Full Record in Web of Science</v>
      </c>
    </row>
    <row r="152" ht="12.75" customHeight="1">
      <c r="A152" s="1" t="s">
        <v>72</v>
      </c>
      <c r="B152" s="1" t="s">
        <v>1707</v>
      </c>
      <c r="C152" s="1" t="s">
        <v>74</v>
      </c>
      <c r="D152" s="1" t="s">
        <v>74</v>
      </c>
      <c r="E152" s="1" t="s">
        <v>74</v>
      </c>
      <c r="F152" s="1" t="s">
        <v>1707</v>
      </c>
      <c r="G152" s="1" t="s">
        <v>74</v>
      </c>
      <c r="H152" s="1" t="s">
        <v>74</v>
      </c>
      <c r="I152" s="1" t="s">
        <v>1708</v>
      </c>
      <c r="J152" s="1" t="s">
        <v>832</v>
      </c>
      <c r="K152" s="1" t="s">
        <v>74</v>
      </c>
      <c r="L152" s="1" t="s">
        <v>74</v>
      </c>
      <c r="M152" s="1" t="s">
        <v>74</v>
      </c>
      <c r="N152" s="1" t="s">
        <v>74</v>
      </c>
      <c r="O152" s="1" t="s">
        <v>74</v>
      </c>
      <c r="P152" s="1" t="s">
        <v>74</v>
      </c>
      <c r="Q152" s="1" t="s">
        <v>74</v>
      </c>
      <c r="R152" s="1" t="s">
        <v>74</v>
      </c>
      <c r="S152" s="1" t="s">
        <v>74</v>
      </c>
      <c r="T152" s="1" t="s">
        <v>74</v>
      </c>
      <c r="U152" s="1" t="s">
        <v>74</v>
      </c>
      <c r="V152" s="1" t="s">
        <v>1709</v>
      </c>
      <c r="W152" s="1" t="s">
        <v>74</v>
      </c>
      <c r="X152" s="1" t="s">
        <v>74</v>
      </c>
      <c r="Y152" s="1" t="s">
        <v>74</v>
      </c>
      <c r="Z152" s="1" t="s">
        <v>74</v>
      </c>
      <c r="AA152" s="1" t="s">
        <v>1055</v>
      </c>
      <c r="AB152" s="1" t="s">
        <v>1056</v>
      </c>
      <c r="AC152" s="1" t="s">
        <v>74</v>
      </c>
      <c r="AD152" s="1" t="s">
        <v>74</v>
      </c>
      <c r="AE152" s="1" t="s">
        <v>74</v>
      </c>
      <c r="AF152" s="1" t="s">
        <v>74</v>
      </c>
      <c r="AG152" s="1" t="s">
        <v>74</v>
      </c>
      <c r="AH152" s="1" t="s">
        <v>74</v>
      </c>
      <c r="AI152" s="1" t="s">
        <v>74</v>
      </c>
      <c r="AJ152" s="1" t="s">
        <v>74</v>
      </c>
      <c r="AK152" s="1" t="s">
        <v>74</v>
      </c>
      <c r="AL152" s="1" t="s">
        <v>74</v>
      </c>
      <c r="AM152" s="1" t="s">
        <v>74</v>
      </c>
      <c r="AN152" s="1" t="s">
        <v>74</v>
      </c>
      <c r="AO152" s="1" t="s">
        <v>836</v>
      </c>
      <c r="AP152" s="1" t="s">
        <v>74</v>
      </c>
      <c r="AQ152" s="1" t="s">
        <v>74</v>
      </c>
      <c r="AR152" s="1" t="s">
        <v>74</v>
      </c>
      <c r="AS152" s="1" t="s">
        <v>74</v>
      </c>
      <c r="AT152" s="1" t="s">
        <v>438</v>
      </c>
      <c r="AU152" s="1">
        <v>2004.0</v>
      </c>
      <c r="AV152" s="1">
        <v>161.0</v>
      </c>
      <c r="AW152" s="1">
        <v>4.0</v>
      </c>
      <c r="AX152" s="1" t="s">
        <v>74</v>
      </c>
      <c r="AY152" s="1" t="s">
        <v>74</v>
      </c>
      <c r="AZ152" s="1" t="s">
        <v>74</v>
      </c>
      <c r="BA152" s="1" t="s">
        <v>74</v>
      </c>
      <c r="BB152" s="1">
        <v>389.0</v>
      </c>
      <c r="BC152" s="1">
        <v>396.0</v>
      </c>
      <c r="BD152" s="1" t="s">
        <v>74</v>
      </c>
      <c r="BE152" s="1" t="s">
        <v>1710</v>
      </c>
      <c r="BF152" s="2" t="str">
        <f>HYPERLINK("http://dx.doi.org/10.1078/0176-1617-01236","http://dx.doi.org/10.1078/0176-1617-01236")</f>
        <v>http://dx.doi.org/10.1078/0176-1617-01236</v>
      </c>
      <c r="BG152" s="1" t="s">
        <v>74</v>
      </c>
      <c r="BH152" s="1" t="s">
        <v>74</v>
      </c>
      <c r="BI152" s="1" t="s">
        <v>74</v>
      </c>
      <c r="BJ152" s="1" t="s">
        <v>74</v>
      </c>
      <c r="BK152" s="1" t="s">
        <v>74</v>
      </c>
      <c r="BL152" s="1" t="s">
        <v>74</v>
      </c>
      <c r="BM152" s="1" t="s">
        <v>74</v>
      </c>
      <c r="BN152" s="1">
        <v>1.5128026E7</v>
      </c>
      <c r="BO152" s="1" t="s">
        <v>74</v>
      </c>
      <c r="BP152" s="1" t="s">
        <v>74</v>
      </c>
      <c r="BQ152" s="1" t="s">
        <v>74</v>
      </c>
      <c r="BR152" s="1" t="s">
        <v>74</v>
      </c>
      <c r="BS152" s="1" t="s">
        <v>1711</v>
      </c>
      <c r="BT152" s="1" t="str">
        <f>HYPERLINK("https%3A%2F%2Fwww.webofscience.com%2Fwos%2Fwoscc%2Ffull-record%2FWOS:000221199300005","View Full Record in Web of Science")</f>
        <v>View Full Record in Web of Science</v>
      </c>
    </row>
    <row r="153" ht="12.75" customHeight="1">
      <c r="A153" s="1" t="s">
        <v>72</v>
      </c>
      <c r="B153" s="1" t="s">
        <v>1712</v>
      </c>
      <c r="C153" s="1" t="s">
        <v>74</v>
      </c>
      <c r="D153" s="1" t="s">
        <v>74</v>
      </c>
      <c r="E153" s="1" t="s">
        <v>74</v>
      </c>
      <c r="F153" s="1" t="s">
        <v>1713</v>
      </c>
      <c r="G153" s="1" t="s">
        <v>74</v>
      </c>
      <c r="H153" s="1" t="s">
        <v>74</v>
      </c>
      <c r="I153" s="1" t="s">
        <v>1714</v>
      </c>
      <c r="J153" s="1" t="s">
        <v>1715</v>
      </c>
      <c r="K153" s="1" t="s">
        <v>74</v>
      </c>
      <c r="L153" s="1" t="s">
        <v>74</v>
      </c>
      <c r="M153" s="1" t="s">
        <v>74</v>
      </c>
      <c r="N153" s="1" t="s">
        <v>74</v>
      </c>
      <c r="O153" s="1" t="s">
        <v>74</v>
      </c>
      <c r="P153" s="1" t="s">
        <v>74</v>
      </c>
      <c r="Q153" s="1" t="s">
        <v>74</v>
      </c>
      <c r="R153" s="1" t="s">
        <v>74</v>
      </c>
      <c r="S153" s="1" t="s">
        <v>74</v>
      </c>
      <c r="T153" s="1" t="s">
        <v>74</v>
      </c>
      <c r="U153" s="1" t="s">
        <v>74</v>
      </c>
      <c r="V153" s="1" t="s">
        <v>1716</v>
      </c>
      <c r="W153" s="1" t="s">
        <v>74</v>
      </c>
      <c r="X153" s="1" t="s">
        <v>74</v>
      </c>
      <c r="Y153" s="1" t="s">
        <v>74</v>
      </c>
      <c r="Z153" s="1" t="s">
        <v>74</v>
      </c>
      <c r="AA153" s="1" t="s">
        <v>1717</v>
      </c>
      <c r="AB153" s="1" t="s">
        <v>74</v>
      </c>
      <c r="AC153" s="1" t="s">
        <v>74</v>
      </c>
      <c r="AD153" s="1" t="s">
        <v>74</v>
      </c>
      <c r="AE153" s="1" t="s">
        <v>74</v>
      </c>
      <c r="AF153" s="1" t="s">
        <v>74</v>
      </c>
      <c r="AG153" s="1" t="s">
        <v>74</v>
      </c>
      <c r="AH153" s="1" t="s">
        <v>74</v>
      </c>
      <c r="AI153" s="1" t="s">
        <v>74</v>
      </c>
      <c r="AJ153" s="1" t="s">
        <v>74</v>
      </c>
      <c r="AK153" s="1" t="s">
        <v>74</v>
      </c>
      <c r="AL153" s="1" t="s">
        <v>74</v>
      </c>
      <c r="AM153" s="1" t="s">
        <v>74</v>
      </c>
      <c r="AN153" s="1" t="s">
        <v>74</v>
      </c>
      <c r="AO153" s="1" t="s">
        <v>1718</v>
      </c>
      <c r="AP153" s="1" t="s">
        <v>1719</v>
      </c>
      <c r="AQ153" s="1" t="s">
        <v>74</v>
      </c>
      <c r="AR153" s="1" t="s">
        <v>74</v>
      </c>
      <c r="AS153" s="1" t="s">
        <v>74</v>
      </c>
      <c r="AT153" s="1" t="s">
        <v>1720</v>
      </c>
      <c r="AU153" s="1">
        <v>2025.0</v>
      </c>
      <c r="AV153" s="1">
        <v>52.0</v>
      </c>
      <c r="AW153" s="1">
        <v>1.0</v>
      </c>
      <c r="AX153" s="1" t="s">
        <v>74</v>
      </c>
      <c r="AY153" s="1" t="s">
        <v>74</v>
      </c>
      <c r="AZ153" s="1" t="s">
        <v>74</v>
      </c>
      <c r="BA153" s="1" t="s">
        <v>74</v>
      </c>
      <c r="BB153" s="1">
        <v>14.0</v>
      </c>
      <c r="BC153" s="1">
        <v>21.0</v>
      </c>
      <c r="BD153" s="1" t="s">
        <v>74</v>
      </c>
      <c r="BE153" s="1" t="s">
        <v>1721</v>
      </c>
      <c r="BF153" s="2" t="str">
        <f>HYPERLINK("http://dx.doi.org/10.2478/foecol-2025-0002","http://dx.doi.org/10.2478/foecol-2025-0002")</f>
        <v>http://dx.doi.org/10.2478/foecol-2025-0002</v>
      </c>
      <c r="BG153" s="1" t="s">
        <v>74</v>
      </c>
      <c r="BH153" s="1" t="s">
        <v>74</v>
      </c>
      <c r="BI153" s="1" t="s">
        <v>74</v>
      </c>
      <c r="BJ153" s="1" t="s">
        <v>74</v>
      </c>
      <c r="BK153" s="1" t="s">
        <v>74</v>
      </c>
      <c r="BL153" s="1" t="s">
        <v>74</v>
      </c>
      <c r="BM153" s="1" t="s">
        <v>74</v>
      </c>
      <c r="BN153" s="1" t="s">
        <v>74</v>
      </c>
      <c r="BO153" s="1" t="s">
        <v>74</v>
      </c>
      <c r="BP153" s="1" t="s">
        <v>74</v>
      </c>
      <c r="BQ153" s="1" t="s">
        <v>74</v>
      </c>
      <c r="BR153" s="1" t="s">
        <v>74</v>
      </c>
      <c r="BS153" s="1" t="s">
        <v>1722</v>
      </c>
      <c r="BT153" s="1" t="str">
        <f>HYPERLINK("https%3A%2F%2Fwww.webofscience.com%2Fwos%2Fwoscc%2Ffull-record%2FWOS:001407402400006","View Full Record in Web of Science")</f>
        <v>View Full Record in Web of Science</v>
      </c>
    </row>
    <row r="154" ht="12.75" customHeight="1">
      <c r="A154" s="1" t="s">
        <v>72</v>
      </c>
      <c r="B154" s="1" t="s">
        <v>1723</v>
      </c>
      <c r="C154" s="1" t="s">
        <v>74</v>
      </c>
      <c r="D154" s="1" t="s">
        <v>74</v>
      </c>
      <c r="E154" s="1" t="s">
        <v>74</v>
      </c>
      <c r="F154" s="1" t="s">
        <v>1724</v>
      </c>
      <c r="G154" s="1" t="s">
        <v>74</v>
      </c>
      <c r="H154" s="1" t="s">
        <v>74</v>
      </c>
      <c r="I154" s="1" t="s">
        <v>1725</v>
      </c>
      <c r="J154" s="1" t="s">
        <v>1726</v>
      </c>
      <c r="K154" s="1" t="s">
        <v>74</v>
      </c>
      <c r="L154" s="1" t="s">
        <v>74</v>
      </c>
      <c r="M154" s="1" t="s">
        <v>74</v>
      </c>
      <c r="N154" s="1" t="s">
        <v>74</v>
      </c>
      <c r="O154" s="1" t="s">
        <v>74</v>
      </c>
      <c r="P154" s="1" t="s">
        <v>74</v>
      </c>
      <c r="Q154" s="1" t="s">
        <v>74</v>
      </c>
      <c r="R154" s="1" t="s">
        <v>74</v>
      </c>
      <c r="S154" s="1" t="s">
        <v>74</v>
      </c>
      <c r="T154" s="1" t="s">
        <v>74</v>
      </c>
      <c r="U154" s="1" t="s">
        <v>74</v>
      </c>
      <c r="V154" s="1" t="s">
        <v>1727</v>
      </c>
      <c r="W154" s="1" t="s">
        <v>74</v>
      </c>
      <c r="X154" s="1" t="s">
        <v>74</v>
      </c>
      <c r="Y154" s="1" t="s">
        <v>74</v>
      </c>
      <c r="Z154" s="1" t="s">
        <v>74</v>
      </c>
      <c r="AA154" s="1" t="s">
        <v>1728</v>
      </c>
      <c r="AB154" s="1" t="s">
        <v>74</v>
      </c>
      <c r="AC154" s="1" t="s">
        <v>74</v>
      </c>
      <c r="AD154" s="1" t="s">
        <v>74</v>
      </c>
      <c r="AE154" s="1" t="s">
        <v>74</v>
      </c>
      <c r="AF154" s="1" t="s">
        <v>74</v>
      </c>
      <c r="AG154" s="1" t="s">
        <v>74</v>
      </c>
      <c r="AH154" s="1" t="s">
        <v>74</v>
      </c>
      <c r="AI154" s="1" t="s">
        <v>74</v>
      </c>
      <c r="AJ154" s="1" t="s">
        <v>74</v>
      </c>
      <c r="AK154" s="1" t="s">
        <v>74</v>
      </c>
      <c r="AL154" s="1" t="s">
        <v>74</v>
      </c>
      <c r="AM154" s="1" t="s">
        <v>74</v>
      </c>
      <c r="AN154" s="1" t="s">
        <v>74</v>
      </c>
      <c r="AO154" s="1" t="s">
        <v>1729</v>
      </c>
      <c r="AP154" s="1" t="s">
        <v>74</v>
      </c>
      <c r="AQ154" s="1" t="s">
        <v>74</v>
      </c>
      <c r="AR154" s="1" t="s">
        <v>74</v>
      </c>
      <c r="AS154" s="1" t="s">
        <v>74</v>
      </c>
      <c r="AT154" s="1" t="s">
        <v>74</v>
      </c>
      <c r="AU154" s="1">
        <v>2024.0</v>
      </c>
      <c r="AV154" s="1">
        <v>13.0</v>
      </c>
      <c r="AW154" s="1" t="s">
        <v>74</v>
      </c>
      <c r="AX154" s="1" t="s">
        <v>74</v>
      </c>
      <c r="AY154" s="1">
        <v>3.0</v>
      </c>
      <c r="AZ154" s="1" t="s">
        <v>74</v>
      </c>
      <c r="BA154" s="1" t="s">
        <v>74</v>
      </c>
      <c r="BB154" s="1" t="s">
        <v>74</v>
      </c>
      <c r="BC154" s="1" t="s">
        <v>74</v>
      </c>
      <c r="BD154" s="1">
        <v>8.0</v>
      </c>
      <c r="BE154" s="1" t="s">
        <v>74</v>
      </c>
      <c r="BF154" s="1" t="s">
        <v>74</v>
      </c>
      <c r="BG154" s="1" t="s">
        <v>74</v>
      </c>
      <c r="BH154" s="1" t="s">
        <v>74</v>
      </c>
      <c r="BI154" s="1" t="s">
        <v>74</v>
      </c>
      <c r="BJ154" s="1" t="s">
        <v>74</v>
      </c>
      <c r="BK154" s="1" t="s">
        <v>74</v>
      </c>
      <c r="BL154" s="1" t="s">
        <v>74</v>
      </c>
      <c r="BM154" s="1" t="s">
        <v>74</v>
      </c>
      <c r="BN154" s="1" t="s">
        <v>74</v>
      </c>
      <c r="BO154" s="1" t="s">
        <v>74</v>
      </c>
      <c r="BP154" s="1" t="s">
        <v>74</v>
      </c>
      <c r="BQ154" s="1" t="s">
        <v>74</v>
      </c>
      <c r="BR154" s="1" t="s">
        <v>74</v>
      </c>
      <c r="BS154" s="1" t="s">
        <v>1730</v>
      </c>
      <c r="BT154" s="1" t="str">
        <f>HYPERLINK("https%3A%2F%2Fwww.webofscience.com%2Fwos%2Fwoscc%2Ffull-record%2FWOS:001360797000001","View Full Record in Web of Science")</f>
        <v>View Full Record in Web of Science</v>
      </c>
    </row>
    <row r="155" ht="12.75" customHeight="1">
      <c r="A155" s="1" t="s">
        <v>72</v>
      </c>
      <c r="B155" s="1" t="s">
        <v>1731</v>
      </c>
      <c r="C155" s="1" t="s">
        <v>74</v>
      </c>
      <c r="D155" s="1" t="s">
        <v>74</v>
      </c>
      <c r="E155" s="1" t="s">
        <v>74</v>
      </c>
      <c r="F155" s="1" t="s">
        <v>1732</v>
      </c>
      <c r="G155" s="1" t="s">
        <v>74</v>
      </c>
      <c r="H155" s="1" t="s">
        <v>74</v>
      </c>
      <c r="I155" s="1" t="s">
        <v>1733</v>
      </c>
      <c r="J155" s="1" t="s">
        <v>1734</v>
      </c>
      <c r="K155" s="1" t="s">
        <v>74</v>
      </c>
      <c r="L155" s="1" t="s">
        <v>74</v>
      </c>
      <c r="M155" s="1" t="s">
        <v>74</v>
      </c>
      <c r="N155" s="1" t="s">
        <v>74</v>
      </c>
      <c r="O155" s="1" t="s">
        <v>74</v>
      </c>
      <c r="P155" s="1" t="s">
        <v>74</v>
      </c>
      <c r="Q155" s="1" t="s">
        <v>74</v>
      </c>
      <c r="R155" s="1" t="s">
        <v>74</v>
      </c>
      <c r="S155" s="1" t="s">
        <v>74</v>
      </c>
      <c r="T155" s="1" t="s">
        <v>74</v>
      </c>
      <c r="U155" s="1" t="s">
        <v>74</v>
      </c>
      <c r="V155" s="1" t="s">
        <v>1735</v>
      </c>
      <c r="W155" s="1" t="s">
        <v>74</v>
      </c>
      <c r="X155" s="1" t="s">
        <v>74</v>
      </c>
      <c r="Y155" s="1" t="s">
        <v>74</v>
      </c>
      <c r="Z155" s="1" t="s">
        <v>74</v>
      </c>
      <c r="AA155" s="1" t="s">
        <v>74</v>
      </c>
      <c r="AB155" s="1" t="s">
        <v>1736</v>
      </c>
      <c r="AC155" s="1" t="s">
        <v>74</v>
      </c>
      <c r="AD155" s="1" t="s">
        <v>74</v>
      </c>
      <c r="AE155" s="1" t="s">
        <v>74</v>
      </c>
      <c r="AF155" s="1" t="s">
        <v>74</v>
      </c>
      <c r="AG155" s="1" t="s">
        <v>74</v>
      </c>
      <c r="AH155" s="1" t="s">
        <v>74</v>
      </c>
      <c r="AI155" s="1" t="s">
        <v>74</v>
      </c>
      <c r="AJ155" s="1" t="s">
        <v>74</v>
      </c>
      <c r="AK155" s="1" t="s">
        <v>74</v>
      </c>
      <c r="AL155" s="1" t="s">
        <v>74</v>
      </c>
      <c r="AM155" s="1" t="s">
        <v>74</v>
      </c>
      <c r="AN155" s="1" t="s">
        <v>74</v>
      </c>
      <c r="AO155" s="1" t="s">
        <v>1737</v>
      </c>
      <c r="AP155" s="1" t="s">
        <v>1738</v>
      </c>
      <c r="AQ155" s="1" t="s">
        <v>74</v>
      </c>
      <c r="AR155" s="1" t="s">
        <v>74</v>
      </c>
      <c r="AS155" s="1" t="s">
        <v>74</v>
      </c>
      <c r="AT155" s="1" t="s">
        <v>438</v>
      </c>
      <c r="AU155" s="1">
        <v>2023.0</v>
      </c>
      <c r="AV155" s="1">
        <v>151.0</v>
      </c>
      <c r="AW155" s="1">
        <v>4.0</v>
      </c>
      <c r="AX155" s="1" t="s">
        <v>74</v>
      </c>
      <c r="AY155" s="1" t="s">
        <v>74</v>
      </c>
      <c r="AZ155" s="1" t="s">
        <v>74</v>
      </c>
      <c r="BA155" s="1" t="s">
        <v>74</v>
      </c>
      <c r="BB155" s="1">
        <v>524.0</v>
      </c>
      <c r="BC155" s="1">
        <v>529.0</v>
      </c>
      <c r="BD155" s="1" t="s">
        <v>74</v>
      </c>
      <c r="BE155" s="1" t="s">
        <v>74</v>
      </c>
      <c r="BF155" s="1" t="s">
        <v>74</v>
      </c>
      <c r="BG155" s="1" t="s">
        <v>74</v>
      </c>
      <c r="BH155" s="1" t="s">
        <v>74</v>
      </c>
      <c r="BI155" s="1" t="s">
        <v>74</v>
      </c>
      <c r="BJ155" s="1" t="s">
        <v>74</v>
      </c>
      <c r="BK155" s="1" t="s">
        <v>74</v>
      </c>
      <c r="BL155" s="1" t="s">
        <v>74</v>
      </c>
      <c r="BM155" s="1" t="s">
        <v>74</v>
      </c>
      <c r="BN155" s="1">
        <v>3.8687529E7</v>
      </c>
      <c r="BO155" s="1" t="s">
        <v>74</v>
      </c>
      <c r="BP155" s="1" t="s">
        <v>74</v>
      </c>
      <c r="BQ155" s="1" t="s">
        <v>74</v>
      </c>
      <c r="BR155" s="1" t="s">
        <v>74</v>
      </c>
      <c r="BS155" s="1" t="s">
        <v>1739</v>
      </c>
      <c r="BT155" s="1" t="str">
        <f>HYPERLINK("https%3A%2F%2Fwww.webofscience.com%2Fwos%2Fwoscc%2Ffull-record%2FWOS:001189558100016","View Full Record in Web of Science")</f>
        <v>View Full Record in Web of Science</v>
      </c>
    </row>
    <row r="156" ht="12.75" customHeight="1">
      <c r="A156" s="1" t="s">
        <v>72</v>
      </c>
      <c r="B156" s="1" t="s">
        <v>1740</v>
      </c>
      <c r="C156" s="1" t="s">
        <v>74</v>
      </c>
      <c r="D156" s="1" t="s">
        <v>74</v>
      </c>
      <c r="E156" s="1" t="s">
        <v>74</v>
      </c>
      <c r="F156" s="1" t="s">
        <v>1741</v>
      </c>
      <c r="G156" s="1" t="s">
        <v>74</v>
      </c>
      <c r="H156" s="1" t="s">
        <v>74</v>
      </c>
      <c r="I156" s="1" t="s">
        <v>1742</v>
      </c>
      <c r="J156" s="1" t="s">
        <v>1743</v>
      </c>
      <c r="K156" s="1" t="s">
        <v>74</v>
      </c>
      <c r="L156" s="1" t="s">
        <v>74</v>
      </c>
      <c r="M156" s="1" t="s">
        <v>74</v>
      </c>
      <c r="N156" s="1" t="s">
        <v>74</v>
      </c>
      <c r="O156" s="1" t="s">
        <v>74</v>
      </c>
      <c r="P156" s="1" t="s">
        <v>74</v>
      </c>
      <c r="Q156" s="1" t="s">
        <v>74</v>
      </c>
      <c r="R156" s="1" t="s">
        <v>74</v>
      </c>
      <c r="S156" s="1" t="s">
        <v>74</v>
      </c>
      <c r="T156" s="1" t="s">
        <v>74</v>
      </c>
      <c r="U156" s="1" t="s">
        <v>74</v>
      </c>
      <c r="V156" s="1" t="s">
        <v>1744</v>
      </c>
      <c r="W156" s="1" t="s">
        <v>74</v>
      </c>
      <c r="X156" s="1" t="s">
        <v>74</v>
      </c>
      <c r="Y156" s="1" t="s">
        <v>74</v>
      </c>
      <c r="Z156" s="1" t="s">
        <v>74</v>
      </c>
      <c r="AA156" s="1" t="s">
        <v>1745</v>
      </c>
      <c r="AB156" s="1" t="s">
        <v>74</v>
      </c>
      <c r="AC156" s="1" t="s">
        <v>74</v>
      </c>
      <c r="AD156" s="1" t="s">
        <v>74</v>
      </c>
      <c r="AE156" s="1" t="s">
        <v>74</v>
      </c>
      <c r="AF156" s="1" t="s">
        <v>74</v>
      </c>
      <c r="AG156" s="1" t="s">
        <v>74</v>
      </c>
      <c r="AH156" s="1" t="s">
        <v>74</v>
      </c>
      <c r="AI156" s="1" t="s">
        <v>74</v>
      </c>
      <c r="AJ156" s="1" t="s">
        <v>74</v>
      </c>
      <c r="AK156" s="1" t="s">
        <v>74</v>
      </c>
      <c r="AL156" s="1" t="s">
        <v>74</v>
      </c>
      <c r="AM156" s="1" t="s">
        <v>74</v>
      </c>
      <c r="AN156" s="1" t="s">
        <v>74</v>
      </c>
      <c r="AO156" s="1" t="s">
        <v>1746</v>
      </c>
      <c r="AP156" s="1" t="s">
        <v>1747</v>
      </c>
      <c r="AQ156" s="1" t="s">
        <v>74</v>
      </c>
      <c r="AR156" s="1" t="s">
        <v>74</v>
      </c>
      <c r="AS156" s="1" t="s">
        <v>74</v>
      </c>
      <c r="AT156" s="1" t="s">
        <v>155</v>
      </c>
      <c r="AU156" s="1">
        <v>2023.0</v>
      </c>
      <c r="AV156" s="1">
        <v>30.0</v>
      </c>
      <c r="AW156" s="1">
        <v>6.0</v>
      </c>
      <c r="AX156" s="1" t="s">
        <v>74</v>
      </c>
      <c r="AY156" s="1" t="s">
        <v>74</v>
      </c>
      <c r="AZ156" s="1" t="s">
        <v>74</v>
      </c>
      <c r="BA156" s="1" t="s">
        <v>74</v>
      </c>
      <c r="BB156" s="1">
        <v>1555.0</v>
      </c>
      <c r="BC156" s="1">
        <v>1556.0</v>
      </c>
      <c r="BD156" s="1" t="s">
        <v>74</v>
      </c>
      <c r="BE156" s="1" t="s">
        <v>1748</v>
      </c>
      <c r="BF156" s="2" t="str">
        <f>HYPERLINK("http://dx.doi.org/10.1111/ene.15766","http://dx.doi.org/10.1111/ene.15766")</f>
        <v>http://dx.doi.org/10.1111/ene.15766</v>
      </c>
      <c r="BG156" s="1" t="s">
        <v>74</v>
      </c>
      <c r="BH156" s="1" t="s">
        <v>1749</v>
      </c>
      <c r="BI156" s="1" t="s">
        <v>74</v>
      </c>
      <c r="BJ156" s="1" t="s">
        <v>74</v>
      </c>
      <c r="BK156" s="1" t="s">
        <v>74</v>
      </c>
      <c r="BL156" s="1" t="s">
        <v>74</v>
      </c>
      <c r="BM156" s="1" t="s">
        <v>74</v>
      </c>
      <c r="BN156" s="1">
        <v>3.688065E7</v>
      </c>
      <c r="BO156" s="1" t="s">
        <v>74</v>
      </c>
      <c r="BP156" s="1" t="s">
        <v>74</v>
      </c>
      <c r="BQ156" s="1" t="s">
        <v>74</v>
      </c>
      <c r="BR156" s="1" t="s">
        <v>74</v>
      </c>
      <c r="BS156" s="1" t="s">
        <v>1750</v>
      </c>
      <c r="BT156" s="1" t="str">
        <f>HYPERLINK("https%3A%2F%2Fwww.webofscience.com%2Fwos%2Fwoscc%2Ffull-record%2FWOS:000958068500001","View Full Record in Web of Science")</f>
        <v>View Full Record in Web of Science</v>
      </c>
    </row>
    <row r="157" ht="12.75" customHeight="1">
      <c r="A157" s="1" t="s">
        <v>72</v>
      </c>
      <c r="B157" s="1" t="s">
        <v>1751</v>
      </c>
      <c r="C157" s="1" t="s">
        <v>74</v>
      </c>
      <c r="D157" s="1" t="s">
        <v>74</v>
      </c>
      <c r="E157" s="1" t="s">
        <v>74</v>
      </c>
      <c r="F157" s="1" t="s">
        <v>1752</v>
      </c>
      <c r="G157" s="1" t="s">
        <v>74</v>
      </c>
      <c r="H157" s="1" t="s">
        <v>74</v>
      </c>
      <c r="I157" s="1" t="s">
        <v>1753</v>
      </c>
      <c r="J157" s="1" t="s">
        <v>444</v>
      </c>
      <c r="K157" s="1" t="s">
        <v>74</v>
      </c>
      <c r="L157" s="1" t="s">
        <v>74</v>
      </c>
      <c r="M157" s="1" t="s">
        <v>74</v>
      </c>
      <c r="N157" s="1" t="s">
        <v>74</v>
      </c>
      <c r="O157" s="1" t="s">
        <v>74</v>
      </c>
      <c r="P157" s="1" t="s">
        <v>74</v>
      </c>
      <c r="Q157" s="1" t="s">
        <v>74</v>
      </c>
      <c r="R157" s="1" t="s">
        <v>74</v>
      </c>
      <c r="S157" s="1" t="s">
        <v>74</v>
      </c>
      <c r="T157" s="1" t="s">
        <v>74</v>
      </c>
      <c r="U157" s="1" t="s">
        <v>74</v>
      </c>
      <c r="V157" s="1" t="s">
        <v>1754</v>
      </c>
      <c r="W157" s="1" t="s">
        <v>74</v>
      </c>
      <c r="X157" s="1" t="s">
        <v>74</v>
      </c>
      <c r="Y157" s="1" t="s">
        <v>74</v>
      </c>
      <c r="Z157" s="1" t="s">
        <v>74</v>
      </c>
      <c r="AA157" s="1" t="s">
        <v>1755</v>
      </c>
      <c r="AB157" s="1" t="s">
        <v>1756</v>
      </c>
      <c r="AC157" s="1" t="s">
        <v>74</v>
      </c>
      <c r="AD157" s="1" t="s">
        <v>74</v>
      </c>
      <c r="AE157" s="1" t="s">
        <v>74</v>
      </c>
      <c r="AF157" s="1" t="s">
        <v>74</v>
      </c>
      <c r="AG157" s="1" t="s">
        <v>74</v>
      </c>
      <c r="AH157" s="1" t="s">
        <v>74</v>
      </c>
      <c r="AI157" s="1" t="s">
        <v>74</v>
      </c>
      <c r="AJ157" s="1" t="s">
        <v>74</v>
      </c>
      <c r="AK157" s="1" t="s">
        <v>74</v>
      </c>
      <c r="AL157" s="1" t="s">
        <v>74</v>
      </c>
      <c r="AM157" s="1" t="s">
        <v>74</v>
      </c>
      <c r="AN157" s="1" t="s">
        <v>74</v>
      </c>
      <c r="AO157" s="1" t="s">
        <v>74</v>
      </c>
      <c r="AP157" s="1" t="s">
        <v>448</v>
      </c>
      <c r="AQ157" s="1" t="s">
        <v>74</v>
      </c>
      <c r="AR157" s="1" t="s">
        <v>74</v>
      </c>
      <c r="AS157" s="1" t="s">
        <v>74</v>
      </c>
      <c r="AT157" s="1" t="s">
        <v>695</v>
      </c>
      <c r="AU157" s="1">
        <v>2021.0</v>
      </c>
      <c r="AV157" s="1">
        <v>12.0</v>
      </c>
      <c r="AW157" s="1" t="s">
        <v>74</v>
      </c>
      <c r="AX157" s="1" t="s">
        <v>74</v>
      </c>
      <c r="AY157" s="1" t="s">
        <v>74</v>
      </c>
      <c r="AZ157" s="1" t="s">
        <v>74</v>
      </c>
      <c r="BA157" s="1" t="s">
        <v>74</v>
      </c>
      <c r="BB157" s="1" t="s">
        <v>74</v>
      </c>
      <c r="BC157" s="1" t="s">
        <v>74</v>
      </c>
      <c r="BD157" s="1">
        <v>644103.0</v>
      </c>
      <c r="BE157" s="1" t="s">
        <v>1757</v>
      </c>
      <c r="BF157" s="2" t="str">
        <f>HYPERLINK("http://dx.doi.org/10.3389/fphar.2021.644103","http://dx.doi.org/10.3389/fphar.2021.644103")</f>
        <v>http://dx.doi.org/10.3389/fphar.2021.644103</v>
      </c>
      <c r="BG157" s="1" t="s">
        <v>74</v>
      </c>
      <c r="BH157" s="1" t="s">
        <v>74</v>
      </c>
      <c r="BI157" s="1" t="s">
        <v>74</v>
      </c>
      <c r="BJ157" s="1" t="s">
        <v>74</v>
      </c>
      <c r="BK157" s="1" t="s">
        <v>74</v>
      </c>
      <c r="BL157" s="1" t="s">
        <v>74</v>
      </c>
      <c r="BM157" s="1" t="s">
        <v>74</v>
      </c>
      <c r="BN157" s="1">
        <v>3.4093183E7</v>
      </c>
      <c r="BO157" s="1" t="s">
        <v>74</v>
      </c>
      <c r="BP157" s="1" t="s">
        <v>74</v>
      </c>
      <c r="BQ157" s="1" t="s">
        <v>74</v>
      </c>
      <c r="BR157" s="1" t="s">
        <v>74</v>
      </c>
      <c r="BS157" s="1" t="s">
        <v>1758</v>
      </c>
      <c r="BT157" s="1" t="str">
        <f>HYPERLINK("https%3A%2F%2Fwww.webofscience.com%2Fwos%2Fwoscc%2Ffull-record%2FWOS:000657274000001","View Full Record in Web of Science")</f>
        <v>View Full Record in Web of Science</v>
      </c>
    </row>
    <row r="158" ht="12.75" customHeight="1">
      <c r="A158" s="1" t="s">
        <v>647</v>
      </c>
      <c r="B158" s="1" t="s">
        <v>1759</v>
      </c>
      <c r="C158" s="1" t="s">
        <v>74</v>
      </c>
      <c r="D158" s="1" t="s">
        <v>74</v>
      </c>
      <c r="E158" s="1" t="s">
        <v>649</v>
      </c>
      <c r="F158" s="1" t="s">
        <v>1760</v>
      </c>
      <c r="G158" s="1" t="s">
        <v>74</v>
      </c>
      <c r="H158" s="1" t="s">
        <v>74</v>
      </c>
      <c r="I158" s="1" t="s">
        <v>1761</v>
      </c>
      <c r="J158" s="1" t="s">
        <v>1762</v>
      </c>
      <c r="K158" s="1" t="s">
        <v>1763</v>
      </c>
      <c r="L158" s="1" t="s">
        <v>74</v>
      </c>
      <c r="M158" s="1" t="s">
        <v>74</v>
      </c>
      <c r="N158" s="1" t="s">
        <v>74</v>
      </c>
      <c r="O158" s="1" t="s">
        <v>1764</v>
      </c>
      <c r="P158" s="1" t="s">
        <v>1765</v>
      </c>
      <c r="Q158" s="1" t="s">
        <v>1491</v>
      </c>
      <c r="R158" s="1" t="s">
        <v>1766</v>
      </c>
      <c r="S158" s="1" t="s">
        <v>74</v>
      </c>
      <c r="T158" s="1" t="s">
        <v>74</v>
      </c>
      <c r="U158" s="1" t="s">
        <v>74</v>
      </c>
      <c r="V158" s="1" t="s">
        <v>1767</v>
      </c>
      <c r="W158" s="1" t="s">
        <v>74</v>
      </c>
      <c r="X158" s="1" t="s">
        <v>74</v>
      </c>
      <c r="Y158" s="1" t="s">
        <v>74</v>
      </c>
      <c r="Z158" s="1" t="s">
        <v>74</v>
      </c>
      <c r="AA158" s="1" t="s">
        <v>1768</v>
      </c>
      <c r="AB158" s="1" t="s">
        <v>1769</v>
      </c>
      <c r="AC158" s="1" t="s">
        <v>74</v>
      </c>
      <c r="AD158" s="1" t="s">
        <v>74</v>
      </c>
      <c r="AE158" s="1" t="s">
        <v>74</v>
      </c>
      <c r="AF158" s="1" t="s">
        <v>74</v>
      </c>
      <c r="AG158" s="1" t="s">
        <v>74</v>
      </c>
      <c r="AH158" s="1" t="s">
        <v>74</v>
      </c>
      <c r="AI158" s="1" t="s">
        <v>74</v>
      </c>
      <c r="AJ158" s="1" t="s">
        <v>74</v>
      </c>
      <c r="AK158" s="1" t="s">
        <v>74</v>
      </c>
      <c r="AL158" s="1" t="s">
        <v>74</v>
      </c>
      <c r="AM158" s="1" t="s">
        <v>74</v>
      </c>
      <c r="AN158" s="1" t="s">
        <v>74</v>
      </c>
      <c r="AO158" s="1" t="s">
        <v>1770</v>
      </c>
      <c r="AP158" s="1" t="s">
        <v>74</v>
      </c>
      <c r="AQ158" s="1" t="s">
        <v>1771</v>
      </c>
      <c r="AR158" s="1" t="s">
        <v>74</v>
      </c>
      <c r="AS158" s="1" t="s">
        <v>74</v>
      </c>
      <c r="AT158" s="1" t="s">
        <v>74</v>
      </c>
      <c r="AU158" s="1">
        <v>2021.0</v>
      </c>
      <c r="AV158" s="1" t="s">
        <v>74</v>
      </c>
      <c r="AW158" s="1" t="s">
        <v>74</v>
      </c>
      <c r="AX158" s="1" t="s">
        <v>74</v>
      </c>
      <c r="AY158" s="1" t="s">
        <v>74</v>
      </c>
      <c r="AZ158" s="1" t="s">
        <v>74</v>
      </c>
      <c r="BA158" s="1" t="s">
        <v>74</v>
      </c>
      <c r="BB158" s="1" t="s">
        <v>74</v>
      </c>
      <c r="BC158" s="1" t="s">
        <v>74</v>
      </c>
      <c r="BD158" s="1" t="s">
        <v>74</v>
      </c>
      <c r="BE158" s="1" t="s">
        <v>1772</v>
      </c>
      <c r="BF158" s="2" t="str">
        <f>HYPERLINK("http://dx.doi.org/10.1109/IECON48115.2021.9589500","http://dx.doi.org/10.1109/IECON48115.2021.9589500")</f>
        <v>http://dx.doi.org/10.1109/IECON48115.2021.9589500</v>
      </c>
      <c r="BG158" s="1" t="s">
        <v>74</v>
      </c>
      <c r="BH158" s="1" t="s">
        <v>74</v>
      </c>
      <c r="BI158" s="1" t="s">
        <v>74</v>
      </c>
      <c r="BJ158" s="1" t="s">
        <v>74</v>
      </c>
      <c r="BK158" s="1" t="s">
        <v>74</v>
      </c>
      <c r="BL158" s="1" t="s">
        <v>74</v>
      </c>
      <c r="BM158" s="1" t="s">
        <v>74</v>
      </c>
      <c r="BN158" s="1" t="s">
        <v>74</v>
      </c>
      <c r="BO158" s="1" t="s">
        <v>74</v>
      </c>
      <c r="BP158" s="1" t="s">
        <v>74</v>
      </c>
      <c r="BQ158" s="1" t="s">
        <v>74</v>
      </c>
      <c r="BR158" s="1" t="s">
        <v>74</v>
      </c>
      <c r="BS158" s="1" t="s">
        <v>1773</v>
      </c>
      <c r="BT158" s="1" t="str">
        <f>HYPERLINK("https%3A%2F%2Fwww.webofscience.com%2Fwos%2Fwoscc%2Ffull-record%2FWOS:000767230602096","View Full Record in Web of Science")</f>
        <v>View Full Record in Web of Science</v>
      </c>
    </row>
    <row r="159" ht="12.75" customHeight="1">
      <c r="A159" s="1" t="s">
        <v>72</v>
      </c>
      <c r="B159" s="1" t="s">
        <v>1774</v>
      </c>
      <c r="C159" s="1" t="s">
        <v>74</v>
      </c>
      <c r="D159" s="1" t="s">
        <v>74</v>
      </c>
      <c r="E159" s="1" t="s">
        <v>74</v>
      </c>
      <c r="F159" s="1" t="s">
        <v>1775</v>
      </c>
      <c r="G159" s="1" t="s">
        <v>74</v>
      </c>
      <c r="H159" s="1" t="s">
        <v>74</v>
      </c>
      <c r="I159" s="1" t="s">
        <v>1776</v>
      </c>
      <c r="J159" s="1" t="s">
        <v>1777</v>
      </c>
      <c r="K159" s="1" t="s">
        <v>74</v>
      </c>
      <c r="L159" s="1" t="s">
        <v>74</v>
      </c>
      <c r="M159" s="1" t="s">
        <v>74</v>
      </c>
      <c r="N159" s="1" t="s">
        <v>74</v>
      </c>
      <c r="O159" s="1" t="s">
        <v>74</v>
      </c>
      <c r="P159" s="1" t="s">
        <v>74</v>
      </c>
      <c r="Q159" s="1" t="s">
        <v>74</v>
      </c>
      <c r="R159" s="1" t="s">
        <v>74</v>
      </c>
      <c r="S159" s="1" t="s">
        <v>74</v>
      </c>
      <c r="T159" s="1" t="s">
        <v>74</v>
      </c>
      <c r="U159" s="1" t="s">
        <v>74</v>
      </c>
      <c r="V159" s="1" t="s">
        <v>1778</v>
      </c>
      <c r="W159" s="1" t="s">
        <v>74</v>
      </c>
      <c r="X159" s="1" t="s">
        <v>74</v>
      </c>
      <c r="Y159" s="1" t="s">
        <v>74</v>
      </c>
      <c r="Z159" s="1" t="s">
        <v>74</v>
      </c>
      <c r="AA159" s="1" t="s">
        <v>1779</v>
      </c>
      <c r="AB159" s="1" t="s">
        <v>1780</v>
      </c>
      <c r="AC159" s="1" t="s">
        <v>74</v>
      </c>
      <c r="AD159" s="1" t="s">
        <v>74</v>
      </c>
      <c r="AE159" s="1" t="s">
        <v>74</v>
      </c>
      <c r="AF159" s="1" t="s">
        <v>74</v>
      </c>
      <c r="AG159" s="1" t="s">
        <v>74</v>
      </c>
      <c r="AH159" s="1" t="s">
        <v>74</v>
      </c>
      <c r="AI159" s="1" t="s">
        <v>74</v>
      </c>
      <c r="AJ159" s="1" t="s">
        <v>74</v>
      </c>
      <c r="AK159" s="1" t="s">
        <v>74</v>
      </c>
      <c r="AL159" s="1" t="s">
        <v>74</v>
      </c>
      <c r="AM159" s="1" t="s">
        <v>74</v>
      </c>
      <c r="AN159" s="1" t="s">
        <v>74</v>
      </c>
      <c r="AO159" s="1" t="s">
        <v>1781</v>
      </c>
      <c r="AP159" s="1" t="s">
        <v>74</v>
      </c>
      <c r="AQ159" s="1" t="s">
        <v>74</v>
      </c>
      <c r="AR159" s="1" t="s">
        <v>74</v>
      </c>
      <c r="AS159" s="1" t="s">
        <v>74</v>
      </c>
      <c r="AT159" s="1" t="s">
        <v>1782</v>
      </c>
      <c r="AU159" s="1">
        <v>2019.0</v>
      </c>
      <c r="AV159" s="1">
        <v>12.0</v>
      </c>
      <c r="AW159" s="1" t="s">
        <v>74</v>
      </c>
      <c r="AX159" s="1" t="s">
        <v>74</v>
      </c>
      <c r="AY159" s="1" t="s">
        <v>74</v>
      </c>
      <c r="AZ159" s="1" t="s">
        <v>74</v>
      </c>
      <c r="BA159" s="1" t="s">
        <v>74</v>
      </c>
      <c r="BB159" s="1" t="s">
        <v>74</v>
      </c>
      <c r="BC159" s="1" t="s">
        <v>74</v>
      </c>
      <c r="BD159" s="1">
        <v>135.0</v>
      </c>
      <c r="BE159" s="1" t="s">
        <v>1783</v>
      </c>
      <c r="BF159" s="2" t="str">
        <f>HYPERLINK("http://dx.doi.org/10.3389/fnmol.2019.00135","http://dx.doi.org/10.3389/fnmol.2019.00135")</f>
        <v>http://dx.doi.org/10.3389/fnmol.2019.00135</v>
      </c>
      <c r="BG159" s="1" t="s">
        <v>74</v>
      </c>
      <c r="BH159" s="1" t="s">
        <v>74</v>
      </c>
      <c r="BI159" s="1" t="s">
        <v>74</v>
      </c>
      <c r="BJ159" s="1" t="s">
        <v>74</v>
      </c>
      <c r="BK159" s="1" t="s">
        <v>74</v>
      </c>
      <c r="BL159" s="1" t="s">
        <v>74</v>
      </c>
      <c r="BM159" s="1" t="s">
        <v>74</v>
      </c>
      <c r="BN159" s="1">
        <v>3.1191246E7</v>
      </c>
      <c r="BO159" s="1" t="s">
        <v>74</v>
      </c>
      <c r="BP159" s="1" t="s">
        <v>74</v>
      </c>
      <c r="BQ159" s="1" t="s">
        <v>74</v>
      </c>
      <c r="BR159" s="1" t="s">
        <v>74</v>
      </c>
      <c r="BS159" s="1" t="s">
        <v>1784</v>
      </c>
      <c r="BT159" s="1" t="str">
        <f>HYPERLINK("https%3A%2F%2Fwww.webofscience.com%2Fwos%2Fwoscc%2Ffull-record%2FWOS:000469299700002","View Full Record in Web of Science")</f>
        <v>View Full Record in Web of Science</v>
      </c>
    </row>
    <row r="160" ht="12.75" customHeight="1">
      <c r="A160" s="1" t="s">
        <v>72</v>
      </c>
      <c r="B160" s="1" t="s">
        <v>1785</v>
      </c>
      <c r="C160" s="1" t="s">
        <v>74</v>
      </c>
      <c r="D160" s="1" t="s">
        <v>74</v>
      </c>
      <c r="E160" s="1" t="s">
        <v>74</v>
      </c>
      <c r="F160" s="1" t="s">
        <v>1786</v>
      </c>
      <c r="G160" s="1" t="s">
        <v>74</v>
      </c>
      <c r="H160" s="1" t="s">
        <v>74</v>
      </c>
      <c r="I160" s="1" t="s">
        <v>1787</v>
      </c>
      <c r="J160" s="1" t="s">
        <v>1788</v>
      </c>
      <c r="K160" s="1" t="s">
        <v>74</v>
      </c>
      <c r="L160" s="1" t="s">
        <v>74</v>
      </c>
      <c r="M160" s="1" t="s">
        <v>74</v>
      </c>
      <c r="N160" s="1" t="s">
        <v>74</v>
      </c>
      <c r="O160" s="1" t="s">
        <v>74</v>
      </c>
      <c r="P160" s="1" t="s">
        <v>74</v>
      </c>
      <c r="Q160" s="1" t="s">
        <v>74</v>
      </c>
      <c r="R160" s="1" t="s">
        <v>74</v>
      </c>
      <c r="S160" s="1" t="s">
        <v>74</v>
      </c>
      <c r="T160" s="1" t="s">
        <v>74</v>
      </c>
      <c r="U160" s="1" t="s">
        <v>74</v>
      </c>
      <c r="V160" s="1" t="s">
        <v>1789</v>
      </c>
      <c r="W160" s="1" t="s">
        <v>74</v>
      </c>
      <c r="X160" s="1" t="s">
        <v>74</v>
      </c>
      <c r="Y160" s="1" t="s">
        <v>74</v>
      </c>
      <c r="Z160" s="1" t="s">
        <v>74</v>
      </c>
      <c r="AA160" s="1" t="s">
        <v>1790</v>
      </c>
      <c r="AB160" s="1" t="s">
        <v>1791</v>
      </c>
      <c r="AC160" s="1" t="s">
        <v>74</v>
      </c>
      <c r="AD160" s="1" t="s">
        <v>74</v>
      </c>
      <c r="AE160" s="1" t="s">
        <v>74</v>
      </c>
      <c r="AF160" s="1" t="s">
        <v>74</v>
      </c>
      <c r="AG160" s="1" t="s">
        <v>74</v>
      </c>
      <c r="AH160" s="1" t="s">
        <v>74</v>
      </c>
      <c r="AI160" s="1" t="s">
        <v>74</v>
      </c>
      <c r="AJ160" s="1" t="s">
        <v>74</v>
      </c>
      <c r="AK160" s="1" t="s">
        <v>74</v>
      </c>
      <c r="AL160" s="1" t="s">
        <v>74</v>
      </c>
      <c r="AM160" s="1" t="s">
        <v>74</v>
      </c>
      <c r="AN160" s="1" t="s">
        <v>74</v>
      </c>
      <c r="AO160" s="1" t="s">
        <v>1792</v>
      </c>
      <c r="AP160" s="1" t="s">
        <v>1793</v>
      </c>
      <c r="AQ160" s="1" t="s">
        <v>74</v>
      </c>
      <c r="AR160" s="1" t="s">
        <v>74</v>
      </c>
      <c r="AS160" s="1" t="s">
        <v>74</v>
      </c>
      <c r="AT160" s="1" t="s">
        <v>96</v>
      </c>
      <c r="AU160" s="1">
        <v>2018.0</v>
      </c>
      <c r="AV160" s="1">
        <v>200.0</v>
      </c>
      <c r="AW160" s="1">
        <v>2.0</v>
      </c>
      <c r="AX160" s="1" t="s">
        <v>74</v>
      </c>
      <c r="AY160" s="1" t="s">
        <v>74</v>
      </c>
      <c r="AZ160" s="1" t="s">
        <v>74</v>
      </c>
      <c r="BA160" s="1" t="s">
        <v>74</v>
      </c>
      <c r="BB160" s="1">
        <v>267.0</v>
      </c>
      <c r="BC160" s="1">
        <v>273.0</v>
      </c>
      <c r="BD160" s="1" t="s">
        <v>74</v>
      </c>
      <c r="BE160" s="1" t="s">
        <v>1794</v>
      </c>
      <c r="BF160" s="2" t="str">
        <f>HYPERLINK("http://dx.doi.org/10.1007/s00203-017-1438-2","http://dx.doi.org/10.1007/s00203-017-1438-2")</f>
        <v>http://dx.doi.org/10.1007/s00203-017-1438-2</v>
      </c>
      <c r="BG160" s="1" t="s">
        <v>74</v>
      </c>
      <c r="BH160" s="1" t="s">
        <v>74</v>
      </c>
      <c r="BI160" s="1" t="s">
        <v>74</v>
      </c>
      <c r="BJ160" s="1" t="s">
        <v>74</v>
      </c>
      <c r="BK160" s="1" t="s">
        <v>74</v>
      </c>
      <c r="BL160" s="1" t="s">
        <v>74</v>
      </c>
      <c r="BM160" s="1" t="s">
        <v>74</v>
      </c>
      <c r="BN160" s="1">
        <v>2.9022087E7</v>
      </c>
      <c r="BO160" s="1" t="s">
        <v>74</v>
      </c>
      <c r="BP160" s="1" t="s">
        <v>74</v>
      </c>
      <c r="BQ160" s="1" t="s">
        <v>74</v>
      </c>
      <c r="BR160" s="1" t="s">
        <v>74</v>
      </c>
      <c r="BS160" s="1" t="s">
        <v>1795</v>
      </c>
      <c r="BT160" s="1" t="str">
        <f>HYPERLINK("https%3A%2F%2Fwww.webofscience.com%2Fwos%2Fwoscc%2Ffull-record%2FWOS:000425949100007","View Full Record in Web of Science")</f>
        <v>View Full Record in Web of Science</v>
      </c>
    </row>
    <row r="161" ht="12.75" customHeight="1">
      <c r="A161" s="1" t="s">
        <v>733</v>
      </c>
      <c r="B161" s="1" t="s">
        <v>1796</v>
      </c>
      <c r="C161" s="1" t="s">
        <v>74</v>
      </c>
      <c r="D161" s="1" t="s">
        <v>1797</v>
      </c>
      <c r="E161" s="1" t="s">
        <v>74</v>
      </c>
      <c r="F161" s="1" t="s">
        <v>1798</v>
      </c>
      <c r="G161" s="1" t="s">
        <v>74</v>
      </c>
      <c r="H161" s="1" t="s">
        <v>74</v>
      </c>
      <c r="I161" s="1" t="s">
        <v>1799</v>
      </c>
      <c r="J161" s="1" t="s">
        <v>1800</v>
      </c>
      <c r="K161" s="1" t="s">
        <v>74</v>
      </c>
      <c r="L161" s="1" t="s">
        <v>74</v>
      </c>
      <c r="M161" s="1" t="s">
        <v>74</v>
      </c>
      <c r="N161" s="1" t="s">
        <v>74</v>
      </c>
      <c r="O161" s="1" t="s">
        <v>74</v>
      </c>
      <c r="P161" s="1" t="s">
        <v>74</v>
      </c>
      <c r="Q161" s="1" t="s">
        <v>74</v>
      </c>
      <c r="R161" s="1" t="s">
        <v>74</v>
      </c>
      <c r="S161" s="1" t="s">
        <v>74</v>
      </c>
      <c r="T161" s="1" t="s">
        <v>74</v>
      </c>
      <c r="U161" s="1" t="s">
        <v>74</v>
      </c>
      <c r="V161" s="1" t="s">
        <v>74</v>
      </c>
      <c r="W161" s="1" t="s">
        <v>74</v>
      </c>
      <c r="X161" s="1" t="s">
        <v>74</v>
      </c>
      <c r="Y161" s="1" t="s">
        <v>74</v>
      </c>
      <c r="Z161" s="1" t="s">
        <v>74</v>
      </c>
      <c r="AA161" s="1" t="s">
        <v>74</v>
      </c>
      <c r="AB161" s="1" t="s">
        <v>74</v>
      </c>
      <c r="AC161" s="1" t="s">
        <v>74</v>
      </c>
      <c r="AD161" s="1" t="s">
        <v>74</v>
      </c>
      <c r="AE161" s="1" t="s">
        <v>74</v>
      </c>
      <c r="AF161" s="1" t="s">
        <v>74</v>
      </c>
      <c r="AG161" s="1" t="s">
        <v>74</v>
      </c>
      <c r="AH161" s="1" t="s">
        <v>74</v>
      </c>
      <c r="AI161" s="1" t="s">
        <v>74</v>
      </c>
      <c r="AJ161" s="1" t="s">
        <v>74</v>
      </c>
      <c r="AK161" s="1" t="s">
        <v>74</v>
      </c>
      <c r="AL161" s="1" t="s">
        <v>74</v>
      </c>
      <c r="AM161" s="1" t="s">
        <v>74</v>
      </c>
      <c r="AN161" s="1" t="s">
        <v>74</v>
      </c>
      <c r="AO161" s="1" t="s">
        <v>74</v>
      </c>
      <c r="AP161" s="1" t="s">
        <v>74</v>
      </c>
      <c r="AQ161" s="1" t="s">
        <v>1801</v>
      </c>
      <c r="AR161" s="1" t="s">
        <v>74</v>
      </c>
      <c r="AS161" s="1" t="s">
        <v>74</v>
      </c>
      <c r="AT161" s="1" t="s">
        <v>74</v>
      </c>
      <c r="AU161" s="1">
        <v>2018.0</v>
      </c>
      <c r="AV161" s="1" t="s">
        <v>74</v>
      </c>
      <c r="AW161" s="1" t="s">
        <v>74</v>
      </c>
      <c r="AX161" s="1" t="s">
        <v>74</v>
      </c>
      <c r="AY161" s="1" t="s">
        <v>74</v>
      </c>
      <c r="AZ161" s="1" t="s">
        <v>74</v>
      </c>
      <c r="BA161" s="1" t="s">
        <v>74</v>
      </c>
      <c r="BB161" s="1">
        <v>7.0</v>
      </c>
      <c r="BC161" s="1">
        <v>32.0</v>
      </c>
      <c r="BD161" s="1" t="s">
        <v>74</v>
      </c>
      <c r="BE161" s="1" t="s">
        <v>74</v>
      </c>
      <c r="BF161" s="1" t="s">
        <v>74</v>
      </c>
      <c r="BG161" s="1" t="s">
        <v>74</v>
      </c>
      <c r="BH161" s="1" t="s">
        <v>74</v>
      </c>
      <c r="BI161" s="1" t="s">
        <v>74</v>
      </c>
      <c r="BJ161" s="1" t="s">
        <v>74</v>
      </c>
      <c r="BK161" s="1" t="s">
        <v>74</v>
      </c>
      <c r="BL161" s="1" t="s">
        <v>74</v>
      </c>
      <c r="BM161" s="1" t="s">
        <v>74</v>
      </c>
      <c r="BN161" s="1" t="s">
        <v>74</v>
      </c>
      <c r="BO161" s="1" t="s">
        <v>74</v>
      </c>
      <c r="BP161" s="1" t="s">
        <v>74</v>
      </c>
      <c r="BQ161" s="1" t="s">
        <v>74</v>
      </c>
      <c r="BR161" s="1" t="s">
        <v>74</v>
      </c>
      <c r="BS161" s="1" t="s">
        <v>1802</v>
      </c>
      <c r="BT161" s="1" t="str">
        <f>HYPERLINK("https%3A%2F%2Fwww.webofscience.com%2Fwos%2Fwoscc%2Ffull-record%2FWOS:000462868900001","View Full Record in Web of Science")</f>
        <v>View Full Record in Web of Science</v>
      </c>
    </row>
    <row r="162" ht="12.75" customHeight="1">
      <c r="A162" s="1" t="s">
        <v>72</v>
      </c>
      <c r="B162" s="1" t="s">
        <v>1803</v>
      </c>
      <c r="C162" s="1" t="s">
        <v>74</v>
      </c>
      <c r="D162" s="1" t="s">
        <v>74</v>
      </c>
      <c r="E162" s="1" t="s">
        <v>74</v>
      </c>
      <c r="F162" s="1" t="s">
        <v>1804</v>
      </c>
      <c r="G162" s="1" t="s">
        <v>74</v>
      </c>
      <c r="H162" s="1" t="s">
        <v>74</v>
      </c>
      <c r="I162" s="1" t="s">
        <v>1805</v>
      </c>
      <c r="J162" s="1" t="s">
        <v>1806</v>
      </c>
      <c r="K162" s="1" t="s">
        <v>74</v>
      </c>
      <c r="L162" s="1" t="s">
        <v>74</v>
      </c>
      <c r="M162" s="1" t="s">
        <v>74</v>
      </c>
      <c r="N162" s="1" t="s">
        <v>74</v>
      </c>
      <c r="O162" s="1" t="s">
        <v>74</v>
      </c>
      <c r="P162" s="1" t="s">
        <v>74</v>
      </c>
      <c r="Q162" s="1" t="s">
        <v>74</v>
      </c>
      <c r="R162" s="1" t="s">
        <v>74</v>
      </c>
      <c r="S162" s="1" t="s">
        <v>74</v>
      </c>
      <c r="T162" s="1" t="s">
        <v>74</v>
      </c>
      <c r="U162" s="1" t="s">
        <v>74</v>
      </c>
      <c r="V162" s="1" t="s">
        <v>1807</v>
      </c>
      <c r="W162" s="1" t="s">
        <v>74</v>
      </c>
      <c r="X162" s="1" t="s">
        <v>74</v>
      </c>
      <c r="Y162" s="1" t="s">
        <v>74</v>
      </c>
      <c r="Z162" s="1" t="s">
        <v>74</v>
      </c>
      <c r="AA162" s="1" t="s">
        <v>1808</v>
      </c>
      <c r="AB162" s="1" t="s">
        <v>1809</v>
      </c>
      <c r="AC162" s="1" t="s">
        <v>74</v>
      </c>
      <c r="AD162" s="1" t="s">
        <v>74</v>
      </c>
      <c r="AE162" s="1" t="s">
        <v>74</v>
      </c>
      <c r="AF162" s="1" t="s">
        <v>74</v>
      </c>
      <c r="AG162" s="1" t="s">
        <v>74</v>
      </c>
      <c r="AH162" s="1" t="s">
        <v>74</v>
      </c>
      <c r="AI162" s="1" t="s">
        <v>74</v>
      </c>
      <c r="AJ162" s="1" t="s">
        <v>74</v>
      </c>
      <c r="AK162" s="1" t="s">
        <v>74</v>
      </c>
      <c r="AL162" s="1" t="s">
        <v>74</v>
      </c>
      <c r="AM162" s="1" t="s">
        <v>74</v>
      </c>
      <c r="AN162" s="1" t="s">
        <v>74</v>
      </c>
      <c r="AO162" s="1" t="s">
        <v>1810</v>
      </c>
      <c r="AP162" s="1" t="s">
        <v>1811</v>
      </c>
      <c r="AQ162" s="1" t="s">
        <v>74</v>
      </c>
      <c r="AR162" s="1" t="s">
        <v>74</v>
      </c>
      <c r="AS162" s="1" t="s">
        <v>74</v>
      </c>
      <c r="AT162" s="1" t="s">
        <v>74</v>
      </c>
      <c r="AU162" s="1">
        <v>2015.0</v>
      </c>
      <c r="AV162" s="1">
        <v>13.0</v>
      </c>
      <c r="AW162" s="1">
        <v>2.0</v>
      </c>
      <c r="AX162" s="1" t="s">
        <v>74</v>
      </c>
      <c r="AY162" s="1" t="s">
        <v>74</v>
      </c>
      <c r="AZ162" s="1" t="s">
        <v>74</v>
      </c>
      <c r="BA162" s="1" t="s">
        <v>74</v>
      </c>
      <c r="BB162" s="1">
        <v>273.0</v>
      </c>
      <c r="BC162" s="1">
        <v>281.0</v>
      </c>
      <c r="BD162" s="1" t="s">
        <v>74</v>
      </c>
      <c r="BE162" s="1" t="s">
        <v>1812</v>
      </c>
      <c r="BF162" s="2" t="str">
        <f>HYPERLINK("http://dx.doi.org/10.1080/19476337.2014.953209","http://dx.doi.org/10.1080/19476337.2014.953209")</f>
        <v>http://dx.doi.org/10.1080/19476337.2014.953209</v>
      </c>
      <c r="BG162" s="1" t="s">
        <v>74</v>
      </c>
      <c r="BH162" s="1" t="s">
        <v>74</v>
      </c>
      <c r="BI162" s="1" t="s">
        <v>74</v>
      </c>
      <c r="BJ162" s="1" t="s">
        <v>74</v>
      </c>
      <c r="BK162" s="1" t="s">
        <v>74</v>
      </c>
      <c r="BL162" s="1" t="s">
        <v>74</v>
      </c>
      <c r="BM162" s="1" t="s">
        <v>74</v>
      </c>
      <c r="BN162" s="1" t="s">
        <v>74</v>
      </c>
      <c r="BO162" s="1" t="s">
        <v>74</v>
      </c>
      <c r="BP162" s="1" t="s">
        <v>74</v>
      </c>
      <c r="BQ162" s="1" t="s">
        <v>74</v>
      </c>
      <c r="BR162" s="1" t="s">
        <v>74</v>
      </c>
      <c r="BS162" s="1" t="s">
        <v>1813</v>
      </c>
      <c r="BT162" s="1" t="str">
        <f>HYPERLINK("https%3A%2F%2Fwww.webofscience.com%2Fwos%2Fwoscc%2Ffull-record%2FWOS:000349004500016","View Full Record in Web of Science")</f>
        <v>View Full Record in Web of Science</v>
      </c>
    </row>
    <row r="163" ht="12.75" customHeight="1">
      <c r="A163" s="1" t="s">
        <v>72</v>
      </c>
      <c r="B163" s="1" t="s">
        <v>1814</v>
      </c>
      <c r="C163" s="1" t="s">
        <v>74</v>
      </c>
      <c r="D163" s="1" t="s">
        <v>74</v>
      </c>
      <c r="E163" s="1" t="s">
        <v>74</v>
      </c>
      <c r="F163" s="1" t="s">
        <v>1815</v>
      </c>
      <c r="G163" s="1" t="s">
        <v>74</v>
      </c>
      <c r="H163" s="1" t="s">
        <v>74</v>
      </c>
      <c r="I163" s="1" t="s">
        <v>1816</v>
      </c>
      <c r="J163" s="1" t="s">
        <v>1817</v>
      </c>
      <c r="K163" s="1" t="s">
        <v>74</v>
      </c>
      <c r="L163" s="1" t="s">
        <v>74</v>
      </c>
      <c r="M163" s="1" t="s">
        <v>74</v>
      </c>
      <c r="N163" s="1" t="s">
        <v>74</v>
      </c>
      <c r="O163" s="1" t="s">
        <v>74</v>
      </c>
      <c r="P163" s="1" t="s">
        <v>74</v>
      </c>
      <c r="Q163" s="1" t="s">
        <v>74</v>
      </c>
      <c r="R163" s="1" t="s">
        <v>74</v>
      </c>
      <c r="S163" s="1" t="s">
        <v>74</v>
      </c>
      <c r="T163" s="1" t="s">
        <v>74</v>
      </c>
      <c r="U163" s="1" t="s">
        <v>74</v>
      </c>
      <c r="V163" s="1" t="s">
        <v>1818</v>
      </c>
      <c r="W163" s="1" t="s">
        <v>74</v>
      </c>
      <c r="X163" s="1" t="s">
        <v>74</v>
      </c>
      <c r="Y163" s="1" t="s">
        <v>74</v>
      </c>
      <c r="Z163" s="1" t="s">
        <v>74</v>
      </c>
      <c r="AA163" s="1" t="s">
        <v>1819</v>
      </c>
      <c r="AB163" s="1" t="s">
        <v>74</v>
      </c>
      <c r="AC163" s="1" t="s">
        <v>74</v>
      </c>
      <c r="AD163" s="1" t="s">
        <v>74</v>
      </c>
      <c r="AE163" s="1" t="s">
        <v>74</v>
      </c>
      <c r="AF163" s="1" t="s">
        <v>74</v>
      </c>
      <c r="AG163" s="1" t="s">
        <v>74</v>
      </c>
      <c r="AH163" s="1" t="s">
        <v>74</v>
      </c>
      <c r="AI163" s="1" t="s">
        <v>74</v>
      </c>
      <c r="AJ163" s="1" t="s">
        <v>74</v>
      </c>
      <c r="AK163" s="1" t="s">
        <v>74</v>
      </c>
      <c r="AL163" s="1" t="s">
        <v>74</v>
      </c>
      <c r="AM163" s="1" t="s">
        <v>74</v>
      </c>
      <c r="AN163" s="1" t="s">
        <v>74</v>
      </c>
      <c r="AO163" s="1" t="s">
        <v>1820</v>
      </c>
      <c r="AP163" s="1" t="s">
        <v>74</v>
      </c>
      <c r="AQ163" s="1" t="s">
        <v>74</v>
      </c>
      <c r="AR163" s="1" t="s">
        <v>74</v>
      </c>
      <c r="AS163" s="1" t="s">
        <v>74</v>
      </c>
      <c r="AT163" s="1" t="s">
        <v>1821</v>
      </c>
      <c r="AU163" s="1">
        <v>2010.0</v>
      </c>
      <c r="AV163" s="1">
        <v>323.0</v>
      </c>
      <c r="AW163" s="1" t="s">
        <v>238</v>
      </c>
      <c r="AX163" s="1" t="s">
        <v>74</v>
      </c>
      <c r="AY163" s="1" t="s">
        <v>74</v>
      </c>
      <c r="AZ163" s="1" t="s">
        <v>74</v>
      </c>
      <c r="BA163" s="1" t="s">
        <v>74</v>
      </c>
      <c r="BB163" s="1">
        <v>1.0</v>
      </c>
      <c r="BC163" s="1">
        <v>6.0</v>
      </c>
      <c r="BD163" s="1" t="s">
        <v>74</v>
      </c>
      <c r="BE163" s="1" t="s">
        <v>1822</v>
      </c>
      <c r="BF163" s="2" t="str">
        <f>HYPERLINK("http://dx.doi.org/10.1016/j.molcata.2010.03.008","http://dx.doi.org/10.1016/j.molcata.2010.03.008")</f>
        <v>http://dx.doi.org/10.1016/j.molcata.2010.03.008</v>
      </c>
      <c r="BG163" s="1" t="s">
        <v>74</v>
      </c>
      <c r="BH163" s="1" t="s">
        <v>74</v>
      </c>
      <c r="BI163" s="1" t="s">
        <v>74</v>
      </c>
      <c r="BJ163" s="1" t="s">
        <v>74</v>
      </c>
      <c r="BK163" s="1" t="s">
        <v>74</v>
      </c>
      <c r="BL163" s="1" t="s">
        <v>74</v>
      </c>
      <c r="BM163" s="1" t="s">
        <v>74</v>
      </c>
      <c r="BN163" s="1" t="s">
        <v>74</v>
      </c>
      <c r="BO163" s="1" t="s">
        <v>74</v>
      </c>
      <c r="BP163" s="1" t="s">
        <v>74</v>
      </c>
      <c r="BQ163" s="1" t="s">
        <v>74</v>
      </c>
      <c r="BR163" s="1" t="s">
        <v>74</v>
      </c>
      <c r="BS163" s="1" t="s">
        <v>1823</v>
      </c>
      <c r="BT163" s="1" t="str">
        <f>HYPERLINK("https%3A%2F%2Fwww.webofscience.com%2Fwos%2Fwoscc%2Ffull-record%2FWOS:000278175300001","View Full Record in Web of Science")</f>
        <v>View Full Record in Web of Science</v>
      </c>
    </row>
    <row r="164" ht="12.75" customHeight="1">
      <c r="A164" s="1" t="s">
        <v>72</v>
      </c>
      <c r="B164" s="1" t="s">
        <v>1824</v>
      </c>
      <c r="C164" s="1" t="s">
        <v>74</v>
      </c>
      <c r="D164" s="1" t="s">
        <v>74</v>
      </c>
      <c r="E164" s="1" t="s">
        <v>74</v>
      </c>
      <c r="F164" s="1" t="s">
        <v>1825</v>
      </c>
      <c r="G164" s="1" t="s">
        <v>74</v>
      </c>
      <c r="H164" s="1" t="s">
        <v>74</v>
      </c>
      <c r="I164" s="1" t="s">
        <v>1826</v>
      </c>
      <c r="J164" s="1" t="s">
        <v>1827</v>
      </c>
      <c r="K164" s="1" t="s">
        <v>74</v>
      </c>
      <c r="L164" s="1" t="s">
        <v>74</v>
      </c>
      <c r="M164" s="1" t="s">
        <v>74</v>
      </c>
      <c r="N164" s="1" t="s">
        <v>74</v>
      </c>
      <c r="O164" s="1" t="s">
        <v>74</v>
      </c>
      <c r="P164" s="1" t="s">
        <v>74</v>
      </c>
      <c r="Q164" s="1" t="s">
        <v>74</v>
      </c>
      <c r="R164" s="1" t="s">
        <v>74</v>
      </c>
      <c r="S164" s="1" t="s">
        <v>74</v>
      </c>
      <c r="T164" s="1" t="s">
        <v>74</v>
      </c>
      <c r="U164" s="1" t="s">
        <v>74</v>
      </c>
      <c r="V164" s="1" t="s">
        <v>1828</v>
      </c>
      <c r="W164" s="1" t="s">
        <v>74</v>
      </c>
      <c r="X164" s="1" t="s">
        <v>74</v>
      </c>
      <c r="Y164" s="1" t="s">
        <v>74</v>
      </c>
      <c r="Z164" s="1" t="s">
        <v>74</v>
      </c>
      <c r="AA164" s="1" t="s">
        <v>1829</v>
      </c>
      <c r="AB164" s="1" t="s">
        <v>1830</v>
      </c>
      <c r="AC164" s="1" t="s">
        <v>74</v>
      </c>
      <c r="AD164" s="1" t="s">
        <v>74</v>
      </c>
      <c r="AE164" s="1" t="s">
        <v>74</v>
      </c>
      <c r="AF164" s="1" t="s">
        <v>74</v>
      </c>
      <c r="AG164" s="1" t="s">
        <v>74</v>
      </c>
      <c r="AH164" s="1" t="s">
        <v>74</v>
      </c>
      <c r="AI164" s="1" t="s">
        <v>74</v>
      </c>
      <c r="AJ164" s="1" t="s">
        <v>74</v>
      </c>
      <c r="AK164" s="1" t="s">
        <v>74</v>
      </c>
      <c r="AL164" s="1" t="s">
        <v>74</v>
      </c>
      <c r="AM164" s="1" t="s">
        <v>74</v>
      </c>
      <c r="AN164" s="1" t="s">
        <v>74</v>
      </c>
      <c r="AO164" s="1" t="s">
        <v>1831</v>
      </c>
      <c r="AP164" s="1" t="s">
        <v>74</v>
      </c>
      <c r="AQ164" s="1" t="s">
        <v>74</v>
      </c>
      <c r="AR164" s="1" t="s">
        <v>74</v>
      </c>
      <c r="AS164" s="1" t="s">
        <v>74</v>
      </c>
      <c r="AT164" s="1" t="s">
        <v>96</v>
      </c>
      <c r="AU164" s="1">
        <v>2009.0</v>
      </c>
      <c r="AV164" s="1" t="s">
        <v>74</v>
      </c>
      <c r="AW164" s="1">
        <v>3.0</v>
      </c>
      <c r="AX164" s="1" t="s">
        <v>74</v>
      </c>
      <c r="AY164" s="1" t="s">
        <v>74</v>
      </c>
      <c r="AZ164" s="1" t="s">
        <v>74</v>
      </c>
      <c r="BA164" s="1" t="s">
        <v>74</v>
      </c>
      <c r="BB164" s="1" t="s">
        <v>74</v>
      </c>
      <c r="BC164" s="1" t="s">
        <v>74</v>
      </c>
      <c r="BD164" s="1">
        <v>34.0</v>
      </c>
      <c r="BE164" s="1" t="s">
        <v>1832</v>
      </c>
      <c r="BF164" s="2" t="str">
        <f>HYPERLINK("http://dx.doi.org/10.1088/1126-6708/2009/03/034","http://dx.doi.org/10.1088/1126-6708/2009/03/034")</f>
        <v>http://dx.doi.org/10.1088/1126-6708/2009/03/034</v>
      </c>
      <c r="BG164" s="1" t="s">
        <v>74</v>
      </c>
      <c r="BH164" s="1" t="s">
        <v>74</v>
      </c>
      <c r="BI164" s="1" t="s">
        <v>74</v>
      </c>
      <c r="BJ164" s="1" t="s">
        <v>74</v>
      </c>
      <c r="BK164" s="1" t="s">
        <v>74</v>
      </c>
      <c r="BL164" s="1" t="s">
        <v>74</v>
      </c>
      <c r="BM164" s="1" t="s">
        <v>74</v>
      </c>
      <c r="BN164" s="1" t="s">
        <v>74</v>
      </c>
      <c r="BO164" s="1" t="s">
        <v>74</v>
      </c>
      <c r="BP164" s="1" t="s">
        <v>74</v>
      </c>
      <c r="BQ164" s="1" t="s">
        <v>74</v>
      </c>
      <c r="BR164" s="1" t="s">
        <v>74</v>
      </c>
      <c r="BS164" s="1" t="s">
        <v>1833</v>
      </c>
      <c r="BT164" s="1" t="str">
        <f>HYPERLINK("https%3A%2F%2Fwww.webofscience.com%2Fwos%2Fwoscc%2Ffull-record%2FWOS:000265600800034","View Full Record in Web of Science")</f>
        <v>View Full Record in Web of Science</v>
      </c>
    </row>
    <row r="165" ht="12.75" customHeight="1">
      <c r="A165" s="1" t="s">
        <v>72</v>
      </c>
      <c r="B165" s="1" t="s">
        <v>1834</v>
      </c>
      <c r="C165" s="1" t="s">
        <v>74</v>
      </c>
      <c r="D165" s="1" t="s">
        <v>74</v>
      </c>
      <c r="E165" s="1" t="s">
        <v>74</v>
      </c>
      <c r="F165" s="1" t="s">
        <v>1835</v>
      </c>
      <c r="G165" s="1" t="s">
        <v>74</v>
      </c>
      <c r="H165" s="1" t="s">
        <v>74</v>
      </c>
      <c r="I165" s="1" t="s">
        <v>1836</v>
      </c>
      <c r="J165" s="1" t="s">
        <v>1837</v>
      </c>
      <c r="K165" s="1" t="s">
        <v>74</v>
      </c>
      <c r="L165" s="1" t="s">
        <v>74</v>
      </c>
      <c r="M165" s="1" t="s">
        <v>74</v>
      </c>
      <c r="N165" s="1" t="s">
        <v>74</v>
      </c>
      <c r="O165" s="1" t="s">
        <v>74</v>
      </c>
      <c r="P165" s="1" t="s">
        <v>74</v>
      </c>
      <c r="Q165" s="1" t="s">
        <v>74</v>
      </c>
      <c r="R165" s="1" t="s">
        <v>74</v>
      </c>
      <c r="S165" s="1" t="s">
        <v>74</v>
      </c>
      <c r="T165" s="1" t="s">
        <v>74</v>
      </c>
      <c r="U165" s="1" t="s">
        <v>74</v>
      </c>
      <c r="V165" s="1" t="s">
        <v>1838</v>
      </c>
      <c r="W165" s="1" t="s">
        <v>74</v>
      </c>
      <c r="X165" s="1" t="s">
        <v>74</v>
      </c>
      <c r="Y165" s="1" t="s">
        <v>74</v>
      </c>
      <c r="Z165" s="1" t="s">
        <v>74</v>
      </c>
      <c r="AA165" s="1" t="s">
        <v>1839</v>
      </c>
      <c r="AB165" s="1" t="s">
        <v>1840</v>
      </c>
      <c r="AC165" s="1" t="s">
        <v>74</v>
      </c>
      <c r="AD165" s="1" t="s">
        <v>74</v>
      </c>
      <c r="AE165" s="1" t="s">
        <v>74</v>
      </c>
      <c r="AF165" s="1" t="s">
        <v>74</v>
      </c>
      <c r="AG165" s="1" t="s">
        <v>74</v>
      </c>
      <c r="AH165" s="1" t="s">
        <v>74</v>
      </c>
      <c r="AI165" s="1" t="s">
        <v>74</v>
      </c>
      <c r="AJ165" s="1" t="s">
        <v>74</v>
      </c>
      <c r="AK165" s="1" t="s">
        <v>74</v>
      </c>
      <c r="AL165" s="1" t="s">
        <v>74</v>
      </c>
      <c r="AM165" s="1" t="s">
        <v>74</v>
      </c>
      <c r="AN165" s="1" t="s">
        <v>74</v>
      </c>
      <c r="AO165" s="1" t="s">
        <v>1841</v>
      </c>
      <c r="AP165" s="1" t="s">
        <v>74</v>
      </c>
      <c r="AQ165" s="1" t="s">
        <v>74</v>
      </c>
      <c r="AR165" s="1" t="s">
        <v>74</v>
      </c>
      <c r="AS165" s="1" t="s">
        <v>74</v>
      </c>
      <c r="AT165" s="1" t="s">
        <v>1842</v>
      </c>
      <c r="AU165" s="1">
        <v>2008.0</v>
      </c>
      <c r="AV165" s="1">
        <v>47.0</v>
      </c>
      <c r="AW165" s="1">
        <v>3.0</v>
      </c>
      <c r="AX165" s="1" t="s">
        <v>74</v>
      </c>
      <c r="AY165" s="1" t="s">
        <v>74</v>
      </c>
      <c r="AZ165" s="1" t="s">
        <v>74</v>
      </c>
      <c r="BA165" s="1" t="s">
        <v>74</v>
      </c>
      <c r="BB165" s="1">
        <v>265.0</v>
      </c>
      <c r="BC165" s="1">
        <v>271.0</v>
      </c>
      <c r="BD165" s="1" t="s">
        <v>74</v>
      </c>
      <c r="BE165" s="1" t="s">
        <v>74</v>
      </c>
      <c r="BF165" s="1" t="s">
        <v>74</v>
      </c>
      <c r="BG165" s="1" t="s">
        <v>74</v>
      </c>
      <c r="BH165" s="1" t="s">
        <v>74</v>
      </c>
      <c r="BI165" s="1" t="s">
        <v>74</v>
      </c>
      <c r="BJ165" s="1" t="s">
        <v>74</v>
      </c>
      <c r="BK165" s="1" t="s">
        <v>74</v>
      </c>
      <c r="BL165" s="1" t="s">
        <v>74</v>
      </c>
      <c r="BM165" s="1" t="s">
        <v>74</v>
      </c>
      <c r="BN165" s="1" t="s">
        <v>74</v>
      </c>
      <c r="BO165" s="1" t="s">
        <v>74</v>
      </c>
      <c r="BP165" s="1" t="s">
        <v>74</v>
      </c>
      <c r="BQ165" s="1" t="s">
        <v>74</v>
      </c>
      <c r="BR165" s="1" t="s">
        <v>74</v>
      </c>
      <c r="BS165" s="1" t="s">
        <v>1843</v>
      </c>
      <c r="BT165" s="1" t="str">
        <f>HYPERLINK("https%3A%2F%2Fwww.webofscience.com%2Fwos%2Fwoscc%2Ffull-record%2FWOS:000257673200017","View Full Record in Web of Science")</f>
        <v>View Full Record in Web of Science</v>
      </c>
    </row>
    <row r="166" ht="12.75" customHeight="1">
      <c r="A166" s="1" t="s">
        <v>72</v>
      </c>
      <c r="B166" s="1" t="s">
        <v>1844</v>
      </c>
      <c r="C166" s="1" t="s">
        <v>74</v>
      </c>
      <c r="D166" s="1" t="s">
        <v>74</v>
      </c>
      <c r="E166" s="1" t="s">
        <v>74</v>
      </c>
      <c r="F166" s="1" t="s">
        <v>1844</v>
      </c>
      <c r="G166" s="1" t="s">
        <v>74</v>
      </c>
      <c r="H166" s="1" t="s">
        <v>74</v>
      </c>
      <c r="I166" s="1" t="s">
        <v>1845</v>
      </c>
      <c r="J166" s="1" t="s">
        <v>1846</v>
      </c>
      <c r="K166" s="1" t="s">
        <v>74</v>
      </c>
      <c r="L166" s="1" t="s">
        <v>74</v>
      </c>
      <c r="M166" s="1" t="s">
        <v>74</v>
      </c>
      <c r="N166" s="1" t="s">
        <v>74</v>
      </c>
      <c r="O166" s="1" t="s">
        <v>74</v>
      </c>
      <c r="P166" s="1" t="s">
        <v>74</v>
      </c>
      <c r="Q166" s="1" t="s">
        <v>74</v>
      </c>
      <c r="R166" s="1" t="s">
        <v>74</v>
      </c>
      <c r="S166" s="1" t="s">
        <v>74</v>
      </c>
      <c r="T166" s="1" t="s">
        <v>74</v>
      </c>
      <c r="U166" s="1" t="s">
        <v>74</v>
      </c>
      <c r="V166" s="1" t="s">
        <v>1847</v>
      </c>
      <c r="W166" s="1" t="s">
        <v>74</v>
      </c>
      <c r="X166" s="1" t="s">
        <v>74</v>
      </c>
      <c r="Y166" s="1" t="s">
        <v>74</v>
      </c>
      <c r="Z166" s="1" t="s">
        <v>74</v>
      </c>
      <c r="AA166" s="1" t="s">
        <v>74</v>
      </c>
      <c r="AB166" s="1" t="s">
        <v>1848</v>
      </c>
      <c r="AC166" s="1" t="s">
        <v>74</v>
      </c>
      <c r="AD166" s="1" t="s">
        <v>74</v>
      </c>
      <c r="AE166" s="1" t="s">
        <v>74</v>
      </c>
      <c r="AF166" s="1" t="s">
        <v>74</v>
      </c>
      <c r="AG166" s="1" t="s">
        <v>74</v>
      </c>
      <c r="AH166" s="1" t="s">
        <v>74</v>
      </c>
      <c r="AI166" s="1" t="s">
        <v>74</v>
      </c>
      <c r="AJ166" s="1" t="s">
        <v>74</v>
      </c>
      <c r="AK166" s="1" t="s">
        <v>74</v>
      </c>
      <c r="AL166" s="1" t="s">
        <v>74</v>
      </c>
      <c r="AM166" s="1" t="s">
        <v>74</v>
      </c>
      <c r="AN166" s="1" t="s">
        <v>74</v>
      </c>
      <c r="AO166" s="1" t="s">
        <v>1849</v>
      </c>
      <c r="AP166" s="1" t="s">
        <v>74</v>
      </c>
      <c r="AQ166" s="1" t="s">
        <v>74</v>
      </c>
      <c r="AR166" s="1" t="s">
        <v>74</v>
      </c>
      <c r="AS166" s="1" t="s">
        <v>74</v>
      </c>
      <c r="AT166" s="1" t="s">
        <v>1850</v>
      </c>
      <c r="AU166" s="1">
        <v>2005.0</v>
      </c>
      <c r="AV166" s="1">
        <v>263.0</v>
      </c>
      <c r="AW166" s="1" t="s">
        <v>238</v>
      </c>
      <c r="AX166" s="1" t="s">
        <v>74</v>
      </c>
      <c r="AY166" s="1" t="s">
        <v>74</v>
      </c>
      <c r="AZ166" s="1" t="s">
        <v>74</v>
      </c>
      <c r="BA166" s="1" t="s">
        <v>74</v>
      </c>
      <c r="BB166" s="1">
        <v>154.0</v>
      </c>
      <c r="BC166" s="1">
        <v>159.0</v>
      </c>
      <c r="BD166" s="1" t="s">
        <v>74</v>
      </c>
      <c r="BE166" s="1" t="s">
        <v>1851</v>
      </c>
      <c r="BF166" s="2" t="str">
        <f>HYPERLINK("http://dx.doi.org/10.1016/j.memsci.2005.04.042","http://dx.doi.org/10.1016/j.memsci.2005.04.042")</f>
        <v>http://dx.doi.org/10.1016/j.memsci.2005.04.042</v>
      </c>
      <c r="BG166" s="1" t="s">
        <v>74</v>
      </c>
      <c r="BH166" s="1" t="s">
        <v>74</v>
      </c>
      <c r="BI166" s="1" t="s">
        <v>74</v>
      </c>
      <c r="BJ166" s="1" t="s">
        <v>74</v>
      </c>
      <c r="BK166" s="1" t="s">
        <v>74</v>
      </c>
      <c r="BL166" s="1" t="s">
        <v>74</v>
      </c>
      <c r="BM166" s="1" t="s">
        <v>74</v>
      </c>
      <c r="BN166" s="1" t="s">
        <v>74</v>
      </c>
      <c r="BO166" s="1" t="s">
        <v>74</v>
      </c>
      <c r="BP166" s="1" t="s">
        <v>74</v>
      </c>
      <c r="BQ166" s="1" t="s">
        <v>74</v>
      </c>
      <c r="BR166" s="1" t="s">
        <v>74</v>
      </c>
      <c r="BS166" s="1" t="s">
        <v>1852</v>
      </c>
      <c r="BT166" s="1" t="str">
        <f>HYPERLINK("https%3A%2F%2Fwww.webofscience.com%2Fwos%2Fwoscc%2Ffull-record%2FWOS:000232439300014","View Full Record in Web of Science")</f>
        <v>View Full Record in Web of Science</v>
      </c>
    </row>
    <row r="167" ht="12.75" customHeight="1">
      <c r="A167" s="1" t="s">
        <v>72</v>
      </c>
      <c r="B167" s="1" t="s">
        <v>1853</v>
      </c>
      <c r="C167" s="1" t="s">
        <v>74</v>
      </c>
      <c r="D167" s="1" t="s">
        <v>74</v>
      </c>
      <c r="E167" s="1" t="s">
        <v>74</v>
      </c>
      <c r="F167" s="1" t="s">
        <v>1853</v>
      </c>
      <c r="G167" s="1" t="s">
        <v>74</v>
      </c>
      <c r="H167" s="1" t="s">
        <v>74</v>
      </c>
      <c r="I167" s="1" t="s">
        <v>1854</v>
      </c>
      <c r="J167" s="1" t="s">
        <v>1855</v>
      </c>
      <c r="K167" s="1" t="s">
        <v>74</v>
      </c>
      <c r="L167" s="1" t="s">
        <v>74</v>
      </c>
      <c r="M167" s="1" t="s">
        <v>74</v>
      </c>
      <c r="N167" s="1" t="s">
        <v>74</v>
      </c>
      <c r="O167" s="1" t="s">
        <v>74</v>
      </c>
      <c r="P167" s="1" t="s">
        <v>74</v>
      </c>
      <c r="Q167" s="1" t="s">
        <v>74</v>
      </c>
      <c r="R167" s="1" t="s">
        <v>74</v>
      </c>
      <c r="S167" s="1" t="s">
        <v>74</v>
      </c>
      <c r="T167" s="1" t="s">
        <v>74</v>
      </c>
      <c r="U167" s="1" t="s">
        <v>74</v>
      </c>
      <c r="V167" s="1" t="s">
        <v>1856</v>
      </c>
      <c r="W167" s="1" t="s">
        <v>74</v>
      </c>
      <c r="X167" s="1" t="s">
        <v>74</v>
      </c>
      <c r="Y167" s="1" t="s">
        <v>74</v>
      </c>
      <c r="Z167" s="1" t="s">
        <v>74</v>
      </c>
      <c r="AA167" s="1" t="s">
        <v>1857</v>
      </c>
      <c r="AB167" s="1" t="s">
        <v>1858</v>
      </c>
      <c r="AC167" s="1" t="s">
        <v>74</v>
      </c>
      <c r="AD167" s="1" t="s">
        <v>74</v>
      </c>
      <c r="AE167" s="1" t="s">
        <v>74</v>
      </c>
      <c r="AF167" s="1" t="s">
        <v>74</v>
      </c>
      <c r="AG167" s="1" t="s">
        <v>74</v>
      </c>
      <c r="AH167" s="1" t="s">
        <v>74</v>
      </c>
      <c r="AI167" s="1" t="s">
        <v>74</v>
      </c>
      <c r="AJ167" s="1" t="s">
        <v>74</v>
      </c>
      <c r="AK167" s="1" t="s">
        <v>74</v>
      </c>
      <c r="AL167" s="1" t="s">
        <v>74</v>
      </c>
      <c r="AM167" s="1" t="s">
        <v>74</v>
      </c>
      <c r="AN167" s="1" t="s">
        <v>74</v>
      </c>
      <c r="AO167" s="1" t="s">
        <v>1859</v>
      </c>
      <c r="AP167" s="1" t="s">
        <v>74</v>
      </c>
      <c r="AQ167" s="1" t="s">
        <v>74</v>
      </c>
      <c r="AR167" s="1" t="s">
        <v>74</v>
      </c>
      <c r="AS167" s="1" t="s">
        <v>74</v>
      </c>
      <c r="AT167" s="1" t="s">
        <v>1860</v>
      </c>
      <c r="AU167" s="1">
        <v>2002.0</v>
      </c>
      <c r="AV167" s="1">
        <v>277.0</v>
      </c>
      <c r="AW167" s="1">
        <v>2.0</v>
      </c>
      <c r="AX167" s="1" t="s">
        <v>74</v>
      </c>
      <c r="AY167" s="1" t="s">
        <v>74</v>
      </c>
      <c r="AZ167" s="1" t="s">
        <v>74</v>
      </c>
      <c r="BA167" s="1" t="s">
        <v>74</v>
      </c>
      <c r="BB167" s="1">
        <v>932.0</v>
      </c>
      <c r="BC167" s="1">
        <v>936.0</v>
      </c>
      <c r="BD167" s="1" t="s">
        <v>74</v>
      </c>
      <c r="BE167" s="1" t="s">
        <v>1861</v>
      </c>
      <c r="BF167" s="2" t="str">
        <f>HYPERLINK("http://dx.doi.org/10.1074/jbc.M106589200","http://dx.doi.org/10.1074/jbc.M106589200")</f>
        <v>http://dx.doi.org/10.1074/jbc.M106589200</v>
      </c>
      <c r="BG167" s="1" t="s">
        <v>74</v>
      </c>
      <c r="BH167" s="1" t="s">
        <v>74</v>
      </c>
      <c r="BI167" s="1" t="s">
        <v>74</v>
      </c>
      <c r="BJ167" s="1" t="s">
        <v>74</v>
      </c>
      <c r="BK167" s="1" t="s">
        <v>74</v>
      </c>
      <c r="BL167" s="1" t="s">
        <v>74</v>
      </c>
      <c r="BM167" s="1" t="s">
        <v>74</v>
      </c>
      <c r="BN167" s="1">
        <v>1.1689557E7</v>
      </c>
      <c r="BO167" s="1" t="s">
        <v>74</v>
      </c>
      <c r="BP167" s="1" t="s">
        <v>74</v>
      </c>
      <c r="BQ167" s="1" t="s">
        <v>74</v>
      </c>
      <c r="BR167" s="1" t="s">
        <v>74</v>
      </c>
      <c r="BS167" s="1" t="s">
        <v>1862</v>
      </c>
      <c r="BT167" s="1" t="str">
        <f>HYPERLINK("https%3A%2F%2Fwww.webofscience.com%2Fwos%2Fwoscc%2Ffull-record%2FWOS:000173166800010","View Full Record in Web of Science")</f>
        <v>View Full Record in Web of Science</v>
      </c>
    </row>
    <row r="168" ht="12.75" customHeight="1">
      <c r="A168" s="1" t="s">
        <v>72</v>
      </c>
      <c r="B168" s="1" t="s">
        <v>1863</v>
      </c>
      <c r="C168" s="1" t="s">
        <v>74</v>
      </c>
      <c r="D168" s="1" t="s">
        <v>74</v>
      </c>
      <c r="E168" s="1" t="s">
        <v>74</v>
      </c>
      <c r="F168" s="1" t="s">
        <v>1863</v>
      </c>
      <c r="G168" s="1" t="s">
        <v>74</v>
      </c>
      <c r="H168" s="1" t="s">
        <v>74</v>
      </c>
      <c r="I168" s="1" t="s">
        <v>1864</v>
      </c>
      <c r="J168" s="1" t="s">
        <v>1865</v>
      </c>
      <c r="K168" s="1" t="s">
        <v>74</v>
      </c>
      <c r="L168" s="1" t="s">
        <v>74</v>
      </c>
      <c r="M168" s="1" t="s">
        <v>74</v>
      </c>
      <c r="N168" s="1" t="s">
        <v>74</v>
      </c>
      <c r="O168" s="1" t="s">
        <v>74</v>
      </c>
      <c r="P168" s="1" t="s">
        <v>74</v>
      </c>
      <c r="Q168" s="1" t="s">
        <v>74</v>
      </c>
      <c r="R168" s="1" t="s">
        <v>74</v>
      </c>
      <c r="S168" s="1" t="s">
        <v>74</v>
      </c>
      <c r="T168" s="1" t="s">
        <v>74</v>
      </c>
      <c r="U168" s="1" t="s">
        <v>74</v>
      </c>
      <c r="V168" s="1" t="s">
        <v>1866</v>
      </c>
      <c r="W168" s="1" t="s">
        <v>74</v>
      </c>
      <c r="X168" s="1" t="s">
        <v>74</v>
      </c>
      <c r="Y168" s="1" t="s">
        <v>74</v>
      </c>
      <c r="Z168" s="1" t="s">
        <v>74</v>
      </c>
      <c r="AA168" s="1" t="s">
        <v>1867</v>
      </c>
      <c r="AB168" s="1" t="s">
        <v>1868</v>
      </c>
      <c r="AC168" s="1" t="s">
        <v>74</v>
      </c>
      <c r="AD168" s="1" t="s">
        <v>74</v>
      </c>
      <c r="AE168" s="1" t="s">
        <v>74</v>
      </c>
      <c r="AF168" s="1" t="s">
        <v>74</v>
      </c>
      <c r="AG168" s="1" t="s">
        <v>74</v>
      </c>
      <c r="AH168" s="1" t="s">
        <v>74</v>
      </c>
      <c r="AI168" s="1" t="s">
        <v>74</v>
      </c>
      <c r="AJ168" s="1" t="s">
        <v>74</v>
      </c>
      <c r="AK168" s="1" t="s">
        <v>74</v>
      </c>
      <c r="AL168" s="1" t="s">
        <v>74</v>
      </c>
      <c r="AM168" s="1" t="s">
        <v>74</v>
      </c>
      <c r="AN168" s="1" t="s">
        <v>74</v>
      </c>
      <c r="AO168" s="1" t="s">
        <v>1869</v>
      </c>
      <c r="AP168" s="1" t="s">
        <v>74</v>
      </c>
      <c r="AQ168" s="1" t="s">
        <v>74</v>
      </c>
      <c r="AR168" s="1" t="s">
        <v>74</v>
      </c>
      <c r="AS168" s="1" t="s">
        <v>74</v>
      </c>
      <c r="AT168" s="1" t="s">
        <v>377</v>
      </c>
      <c r="AU168" s="1">
        <v>2000.0</v>
      </c>
      <c r="AV168" s="1">
        <v>147.0</v>
      </c>
      <c r="AW168" s="1">
        <v>5.0</v>
      </c>
      <c r="AX168" s="1" t="s">
        <v>74</v>
      </c>
      <c r="AY168" s="1" t="s">
        <v>74</v>
      </c>
      <c r="AZ168" s="1" t="s">
        <v>74</v>
      </c>
      <c r="BA168" s="1" t="s">
        <v>74</v>
      </c>
      <c r="BB168" s="1">
        <v>1747.0</v>
      </c>
      <c r="BC168" s="1">
        <v>1750.0</v>
      </c>
      <c r="BD168" s="1" t="s">
        <v>74</v>
      </c>
      <c r="BE168" s="1" t="s">
        <v>1870</v>
      </c>
      <c r="BF168" s="2" t="str">
        <f>HYPERLINK("http://dx.doi.org/10.1149/1.1393428","http://dx.doi.org/10.1149/1.1393428")</f>
        <v>http://dx.doi.org/10.1149/1.1393428</v>
      </c>
      <c r="BG168" s="1" t="s">
        <v>74</v>
      </c>
      <c r="BH168" s="1" t="s">
        <v>74</v>
      </c>
      <c r="BI168" s="1" t="s">
        <v>74</v>
      </c>
      <c r="BJ168" s="1" t="s">
        <v>74</v>
      </c>
      <c r="BK168" s="1" t="s">
        <v>74</v>
      </c>
      <c r="BL168" s="1" t="s">
        <v>74</v>
      </c>
      <c r="BM168" s="1" t="s">
        <v>74</v>
      </c>
      <c r="BN168" s="1" t="s">
        <v>74</v>
      </c>
      <c r="BO168" s="1" t="s">
        <v>74</v>
      </c>
      <c r="BP168" s="1" t="s">
        <v>74</v>
      </c>
      <c r="BQ168" s="1" t="s">
        <v>74</v>
      </c>
      <c r="BR168" s="1" t="s">
        <v>74</v>
      </c>
      <c r="BS168" s="1" t="s">
        <v>1871</v>
      </c>
      <c r="BT168" s="1" t="str">
        <f>HYPERLINK("https%3A%2F%2Fwww.webofscience.com%2Fwos%2Fwoscc%2Ffull-record%2FWOS:000087075200023","View Full Record in Web of Science")</f>
        <v>View Full Record in Web of Science</v>
      </c>
    </row>
    <row r="169" ht="12.75" customHeight="1">
      <c r="A169" s="1" t="s">
        <v>72</v>
      </c>
      <c r="B169" s="1" t="s">
        <v>1872</v>
      </c>
      <c r="C169" s="1" t="s">
        <v>74</v>
      </c>
      <c r="D169" s="1" t="s">
        <v>74</v>
      </c>
      <c r="E169" s="1" t="s">
        <v>74</v>
      </c>
      <c r="F169" s="1" t="s">
        <v>1872</v>
      </c>
      <c r="G169" s="1" t="s">
        <v>74</v>
      </c>
      <c r="H169" s="1" t="s">
        <v>74</v>
      </c>
      <c r="I169" s="1" t="s">
        <v>1873</v>
      </c>
      <c r="J169" s="1" t="s">
        <v>1874</v>
      </c>
      <c r="K169" s="1" t="s">
        <v>74</v>
      </c>
      <c r="L169" s="1" t="s">
        <v>74</v>
      </c>
      <c r="M169" s="1" t="s">
        <v>74</v>
      </c>
      <c r="N169" s="1" t="s">
        <v>74</v>
      </c>
      <c r="O169" s="1" t="s">
        <v>74</v>
      </c>
      <c r="P169" s="1" t="s">
        <v>74</v>
      </c>
      <c r="Q169" s="1" t="s">
        <v>74</v>
      </c>
      <c r="R169" s="1" t="s">
        <v>74</v>
      </c>
      <c r="S169" s="1" t="s">
        <v>74</v>
      </c>
      <c r="T169" s="1" t="s">
        <v>74</v>
      </c>
      <c r="U169" s="1" t="s">
        <v>74</v>
      </c>
      <c r="V169" s="1" t="s">
        <v>1875</v>
      </c>
      <c r="W169" s="1" t="s">
        <v>74</v>
      </c>
      <c r="X169" s="1" t="s">
        <v>74</v>
      </c>
      <c r="Y169" s="1" t="s">
        <v>74</v>
      </c>
      <c r="Z169" s="1" t="s">
        <v>74</v>
      </c>
      <c r="AA169" s="1" t="s">
        <v>1876</v>
      </c>
      <c r="AB169" s="1" t="s">
        <v>1877</v>
      </c>
      <c r="AC169" s="1" t="s">
        <v>74</v>
      </c>
      <c r="AD169" s="1" t="s">
        <v>74</v>
      </c>
      <c r="AE169" s="1" t="s">
        <v>74</v>
      </c>
      <c r="AF169" s="1" t="s">
        <v>74</v>
      </c>
      <c r="AG169" s="1" t="s">
        <v>74</v>
      </c>
      <c r="AH169" s="1" t="s">
        <v>74</v>
      </c>
      <c r="AI169" s="1" t="s">
        <v>74</v>
      </c>
      <c r="AJ169" s="1" t="s">
        <v>74</v>
      </c>
      <c r="AK169" s="1" t="s">
        <v>74</v>
      </c>
      <c r="AL169" s="1" t="s">
        <v>74</v>
      </c>
      <c r="AM169" s="1" t="s">
        <v>74</v>
      </c>
      <c r="AN169" s="1" t="s">
        <v>74</v>
      </c>
      <c r="AO169" s="1" t="s">
        <v>1878</v>
      </c>
      <c r="AP169" s="1" t="s">
        <v>74</v>
      </c>
      <c r="AQ169" s="1" t="s">
        <v>74</v>
      </c>
      <c r="AR169" s="1" t="s">
        <v>74</v>
      </c>
      <c r="AS169" s="1" t="s">
        <v>74</v>
      </c>
      <c r="AT169" s="1" t="s">
        <v>719</v>
      </c>
      <c r="AU169" s="1">
        <v>1998.0</v>
      </c>
      <c r="AV169" s="1">
        <v>12.0</v>
      </c>
      <c r="AW169" s="1">
        <v>7.0</v>
      </c>
      <c r="AX169" s="1" t="s">
        <v>74</v>
      </c>
      <c r="AY169" s="1" t="s">
        <v>74</v>
      </c>
      <c r="AZ169" s="1" t="s">
        <v>74</v>
      </c>
      <c r="BA169" s="1" t="s">
        <v>74</v>
      </c>
      <c r="BB169" s="1">
        <v>515.0</v>
      </c>
      <c r="BC169" s="1">
        <v>519.0</v>
      </c>
      <c r="BD169" s="1" t="s">
        <v>74</v>
      </c>
      <c r="BE169" s="1" t="s">
        <v>1879</v>
      </c>
      <c r="BF169" s="2" t="str">
        <f>HYPERLINK("http://dx.doi.org/10.1023/A:1008895212814","http://dx.doi.org/10.1023/A:1008895212814")</f>
        <v>http://dx.doi.org/10.1023/A:1008895212814</v>
      </c>
      <c r="BG169" s="1" t="s">
        <v>74</v>
      </c>
      <c r="BH169" s="1" t="s">
        <v>74</v>
      </c>
      <c r="BI169" s="1" t="s">
        <v>74</v>
      </c>
      <c r="BJ169" s="1" t="s">
        <v>74</v>
      </c>
      <c r="BK169" s="1" t="s">
        <v>74</v>
      </c>
      <c r="BL169" s="1" t="s">
        <v>74</v>
      </c>
      <c r="BM169" s="1" t="s">
        <v>74</v>
      </c>
      <c r="BN169" s="1" t="s">
        <v>74</v>
      </c>
      <c r="BO169" s="1" t="s">
        <v>74</v>
      </c>
      <c r="BP169" s="1" t="s">
        <v>74</v>
      </c>
      <c r="BQ169" s="1" t="s">
        <v>74</v>
      </c>
      <c r="BR169" s="1" t="s">
        <v>74</v>
      </c>
      <c r="BS169" s="1" t="s">
        <v>1880</v>
      </c>
      <c r="BT169" s="1" t="str">
        <f>HYPERLINK("https%3A%2F%2Fwww.webofscience.com%2Fwos%2Fwoscc%2Ffull-record%2FWOS:000075370500005","View Full Record in Web of Science")</f>
        <v>View Full Record in Web of Science</v>
      </c>
    </row>
    <row r="170" ht="12.75" customHeight="1">
      <c r="A170" s="1" t="s">
        <v>72</v>
      </c>
      <c r="B170" s="1" t="s">
        <v>1881</v>
      </c>
      <c r="C170" s="1" t="s">
        <v>74</v>
      </c>
      <c r="D170" s="1" t="s">
        <v>74</v>
      </c>
      <c r="E170" s="1" t="s">
        <v>74</v>
      </c>
      <c r="F170" s="1" t="s">
        <v>1882</v>
      </c>
      <c r="G170" s="1" t="s">
        <v>74</v>
      </c>
      <c r="H170" s="1" t="s">
        <v>74</v>
      </c>
      <c r="I170" s="1" t="s">
        <v>1883</v>
      </c>
      <c r="J170" s="1" t="s">
        <v>1884</v>
      </c>
      <c r="K170" s="1" t="s">
        <v>74</v>
      </c>
      <c r="L170" s="1" t="s">
        <v>74</v>
      </c>
      <c r="M170" s="1" t="s">
        <v>74</v>
      </c>
      <c r="N170" s="1" t="s">
        <v>74</v>
      </c>
      <c r="O170" s="1" t="s">
        <v>74</v>
      </c>
      <c r="P170" s="1" t="s">
        <v>74</v>
      </c>
      <c r="Q170" s="1" t="s">
        <v>74</v>
      </c>
      <c r="R170" s="1" t="s">
        <v>74</v>
      </c>
      <c r="S170" s="1" t="s">
        <v>74</v>
      </c>
      <c r="T170" s="1" t="s">
        <v>74</v>
      </c>
      <c r="U170" s="1" t="s">
        <v>74</v>
      </c>
      <c r="V170" s="1" t="s">
        <v>1885</v>
      </c>
      <c r="W170" s="1" t="s">
        <v>74</v>
      </c>
      <c r="X170" s="1" t="s">
        <v>74</v>
      </c>
      <c r="Y170" s="1" t="s">
        <v>74</v>
      </c>
      <c r="Z170" s="1" t="s">
        <v>74</v>
      </c>
      <c r="AA170" s="1" t="s">
        <v>1886</v>
      </c>
      <c r="AB170" s="1" t="s">
        <v>74</v>
      </c>
      <c r="AC170" s="1" t="s">
        <v>74</v>
      </c>
      <c r="AD170" s="1" t="s">
        <v>74</v>
      </c>
      <c r="AE170" s="1" t="s">
        <v>74</v>
      </c>
      <c r="AF170" s="1" t="s">
        <v>74</v>
      </c>
      <c r="AG170" s="1" t="s">
        <v>74</v>
      </c>
      <c r="AH170" s="1" t="s">
        <v>74</v>
      </c>
      <c r="AI170" s="1" t="s">
        <v>74</v>
      </c>
      <c r="AJ170" s="1" t="s">
        <v>74</v>
      </c>
      <c r="AK170" s="1" t="s">
        <v>74</v>
      </c>
      <c r="AL170" s="1" t="s">
        <v>74</v>
      </c>
      <c r="AM170" s="1" t="s">
        <v>74</v>
      </c>
      <c r="AN170" s="1" t="s">
        <v>74</v>
      </c>
      <c r="AO170" s="1" t="s">
        <v>74</v>
      </c>
      <c r="AP170" s="1" t="s">
        <v>1887</v>
      </c>
      <c r="AQ170" s="1" t="s">
        <v>74</v>
      </c>
      <c r="AR170" s="1" t="s">
        <v>74</v>
      </c>
      <c r="AS170" s="1" t="s">
        <v>74</v>
      </c>
      <c r="AT170" s="1" t="s">
        <v>1888</v>
      </c>
      <c r="AU170" s="1">
        <v>2025.0</v>
      </c>
      <c r="AV170" s="1">
        <v>9.0</v>
      </c>
      <c r="AW170" s="1">
        <v>2.0</v>
      </c>
      <c r="AX170" s="1" t="s">
        <v>74</v>
      </c>
      <c r="AY170" s="1" t="s">
        <v>74</v>
      </c>
      <c r="AZ170" s="1" t="s">
        <v>74</v>
      </c>
      <c r="BA170" s="1" t="s">
        <v>74</v>
      </c>
      <c r="BB170" s="1" t="s">
        <v>74</v>
      </c>
      <c r="BC170" s="1" t="s">
        <v>74</v>
      </c>
      <c r="BD170" s="1">
        <v>25001.0</v>
      </c>
      <c r="BE170" s="1" t="s">
        <v>1889</v>
      </c>
      <c r="BF170" s="2" t="str">
        <f>HYPERLINK("http://dx.doi.org/10.1088/2399-1984/adcb0b","http://dx.doi.org/10.1088/2399-1984/adcb0b")</f>
        <v>http://dx.doi.org/10.1088/2399-1984/adcb0b</v>
      </c>
      <c r="BG170" s="1" t="s">
        <v>74</v>
      </c>
      <c r="BH170" s="1" t="s">
        <v>74</v>
      </c>
      <c r="BI170" s="1" t="s">
        <v>74</v>
      </c>
      <c r="BJ170" s="1" t="s">
        <v>74</v>
      </c>
      <c r="BK170" s="1" t="s">
        <v>74</v>
      </c>
      <c r="BL170" s="1" t="s">
        <v>74</v>
      </c>
      <c r="BM170" s="1" t="s">
        <v>74</v>
      </c>
      <c r="BN170" s="1" t="s">
        <v>74</v>
      </c>
      <c r="BO170" s="1" t="s">
        <v>74</v>
      </c>
      <c r="BP170" s="1" t="s">
        <v>74</v>
      </c>
      <c r="BQ170" s="1" t="s">
        <v>74</v>
      </c>
      <c r="BR170" s="1" t="s">
        <v>74</v>
      </c>
      <c r="BS170" s="1" t="s">
        <v>1890</v>
      </c>
      <c r="BT170" s="1" t="str">
        <f>HYPERLINK("https%3A%2F%2Fwww.webofscience.com%2Fwos%2Fwoscc%2Ffull-record%2FWOS:001473335300001","View Full Record in Web of Science")</f>
        <v>View Full Record in Web of Science</v>
      </c>
    </row>
    <row r="171" ht="12.75" customHeight="1">
      <c r="A171" s="1" t="s">
        <v>72</v>
      </c>
      <c r="B171" s="1" t="s">
        <v>1891</v>
      </c>
      <c r="C171" s="1" t="s">
        <v>74</v>
      </c>
      <c r="D171" s="1" t="s">
        <v>74</v>
      </c>
      <c r="E171" s="1" t="s">
        <v>74</v>
      </c>
      <c r="F171" s="1" t="s">
        <v>1892</v>
      </c>
      <c r="G171" s="1" t="s">
        <v>74</v>
      </c>
      <c r="H171" s="1" t="s">
        <v>74</v>
      </c>
      <c r="I171" s="1" t="s">
        <v>1893</v>
      </c>
      <c r="J171" s="1" t="s">
        <v>1590</v>
      </c>
      <c r="K171" s="1" t="s">
        <v>74</v>
      </c>
      <c r="L171" s="1" t="s">
        <v>74</v>
      </c>
      <c r="M171" s="1" t="s">
        <v>74</v>
      </c>
      <c r="N171" s="1" t="s">
        <v>74</v>
      </c>
      <c r="O171" s="1" t="s">
        <v>74</v>
      </c>
      <c r="P171" s="1" t="s">
        <v>74</v>
      </c>
      <c r="Q171" s="1" t="s">
        <v>74</v>
      </c>
      <c r="R171" s="1" t="s">
        <v>74</v>
      </c>
      <c r="S171" s="1" t="s">
        <v>74</v>
      </c>
      <c r="T171" s="1" t="s">
        <v>74</v>
      </c>
      <c r="U171" s="1" t="s">
        <v>74</v>
      </c>
      <c r="V171" s="1" t="s">
        <v>1894</v>
      </c>
      <c r="W171" s="1" t="s">
        <v>74</v>
      </c>
      <c r="X171" s="1" t="s">
        <v>74</v>
      </c>
      <c r="Y171" s="1" t="s">
        <v>74</v>
      </c>
      <c r="Z171" s="1" t="s">
        <v>74</v>
      </c>
      <c r="AA171" s="1" t="s">
        <v>1895</v>
      </c>
      <c r="AB171" s="1" t="s">
        <v>1896</v>
      </c>
      <c r="AC171" s="1" t="s">
        <v>74</v>
      </c>
      <c r="AD171" s="1" t="s">
        <v>74</v>
      </c>
      <c r="AE171" s="1" t="s">
        <v>74</v>
      </c>
      <c r="AF171" s="1" t="s">
        <v>74</v>
      </c>
      <c r="AG171" s="1" t="s">
        <v>74</v>
      </c>
      <c r="AH171" s="1" t="s">
        <v>74</v>
      </c>
      <c r="AI171" s="1" t="s">
        <v>74</v>
      </c>
      <c r="AJ171" s="1" t="s">
        <v>74</v>
      </c>
      <c r="AK171" s="1" t="s">
        <v>74</v>
      </c>
      <c r="AL171" s="1" t="s">
        <v>74</v>
      </c>
      <c r="AM171" s="1" t="s">
        <v>74</v>
      </c>
      <c r="AN171" s="1" t="s">
        <v>74</v>
      </c>
      <c r="AO171" s="1" t="s">
        <v>1594</v>
      </c>
      <c r="AP171" s="1" t="s">
        <v>1595</v>
      </c>
      <c r="AQ171" s="1" t="s">
        <v>74</v>
      </c>
      <c r="AR171" s="1" t="s">
        <v>74</v>
      </c>
      <c r="AS171" s="1" t="s">
        <v>74</v>
      </c>
      <c r="AT171" s="1" t="s">
        <v>1897</v>
      </c>
      <c r="AU171" s="1">
        <v>2025.0</v>
      </c>
      <c r="AV171" s="1">
        <v>111.0</v>
      </c>
      <c r="AW171" s="1">
        <v>1.0</v>
      </c>
      <c r="AX171" s="1" t="s">
        <v>74</v>
      </c>
      <c r="AY171" s="1" t="s">
        <v>74</v>
      </c>
      <c r="AZ171" s="1" t="s">
        <v>74</v>
      </c>
      <c r="BA171" s="1" t="s">
        <v>74</v>
      </c>
      <c r="BB171" s="1" t="s">
        <v>74</v>
      </c>
      <c r="BC171" s="1" t="s">
        <v>74</v>
      </c>
      <c r="BD171" s="1">
        <v>13529.0</v>
      </c>
      <c r="BE171" s="1" t="s">
        <v>1898</v>
      </c>
      <c r="BF171" s="2" t="str">
        <f>HYPERLINK("http://dx.doi.org/10.1103/PhysRevA.111.013529","http://dx.doi.org/10.1103/PhysRevA.111.013529")</f>
        <v>http://dx.doi.org/10.1103/PhysRevA.111.013529</v>
      </c>
      <c r="BG171" s="1" t="s">
        <v>74</v>
      </c>
      <c r="BH171" s="1" t="s">
        <v>74</v>
      </c>
      <c r="BI171" s="1" t="s">
        <v>74</v>
      </c>
      <c r="BJ171" s="1" t="s">
        <v>74</v>
      </c>
      <c r="BK171" s="1" t="s">
        <v>74</v>
      </c>
      <c r="BL171" s="1" t="s">
        <v>74</v>
      </c>
      <c r="BM171" s="1" t="s">
        <v>74</v>
      </c>
      <c r="BN171" s="1" t="s">
        <v>74</v>
      </c>
      <c r="BO171" s="1" t="s">
        <v>74</v>
      </c>
      <c r="BP171" s="1" t="s">
        <v>74</v>
      </c>
      <c r="BQ171" s="1" t="s">
        <v>74</v>
      </c>
      <c r="BR171" s="1" t="s">
        <v>74</v>
      </c>
      <c r="BS171" s="1" t="s">
        <v>1899</v>
      </c>
      <c r="BT171" s="1" t="str">
        <f>HYPERLINK("https%3A%2F%2Fwww.webofscience.com%2Fwos%2Fwoscc%2Ffull-record%2FWOS:001449379800008","View Full Record in Web of Science")</f>
        <v>View Full Record in Web of Science</v>
      </c>
    </row>
    <row r="172" ht="12.75" customHeight="1">
      <c r="A172" s="1" t="s">
        <v>72</v>
      </c>
      <c r="B172" s="1" t="s">
        <v>1900</v>
      </c>
      <c r="C172" s="1" t="s">
        <v>74</v>
      </c>
      <c r="D172" s="1" t="s">
        <v>74</v>
      </c>
      <c r="E172" s="1" t="s">
        <v>74</v>
      </c>
      <c r="F172" s="1" t="s">
        <v>1901</v>
      </c>
      <c r="G172" s="1" t="s">
        <v>74</v>
      </c>
      <c r="H172" s="1" t="s">
        <v>74</v>
      </c>
      <c r="I172" s="1" t="s">
        <v>1902</v>
      </c>
      <c r="J172" s="1" t="s">
        <v>864</v>
      </c>
      <c r="K172" s="1" t="s">
        <v>74</v>
      </c>
      <c r="L172" s="1" t="s">
        <v>74</v>
      </c>
      <c r="M172" s="1" t="s">
        <v>74</v>
      </c>
      <c r="N172" s="1" t="s">
        <v>74</v>
      </c>
      <c r="O172" s="1" t="s">
        <v>74</v>
      </c>
      <c r="P172" s="1" t="s">
        <v>74</v>
      </c>
      <c r="Q172" s="1" t="s">
        <v>74</v>
      </c>
      <c r="R172" s="1" t="s">
        <v>74</v>
      </c>
      <c r="S172" s="1" t="s">
        <v>74</v>
      </c>
      <c r="T172" s="1" t="s">
        <v>74</v>
      </c>
      <c r="U172" s="1" t="s">
        <v>74</v>
      </c>
      <c r="V172" s="1" t="s">
        <v>1903</v>
      </c>
      <c r="W172" s="1" t="s">
        <v>74</v>
      </c>
      <c r="X172" s="1" t="s">
        <v>74</v>
      </c>
      <c r="Y172" s="1" t="s">
        <v>74</v>
      </c>
      <c r="Z172" s="1" t="s">
        <v>74</v>
      </c>
      <c r="AA172" s="1" t="s">
        <v>1904</v>
      </c>
      <c r="AB172" s="1" t="s">
        <v>1905</v>
      </c>
      <c r="AC172" s="1" t="s">
        <v>74</v>
      </c>
      <c r="AD172" s="1" t="s">
        <v>74</v>
      </c>
      <c r="AE172" s="1" t="s">
        <v>74</v>
      </c>
      <c r="AF172" s="1" t="s">
        <v>74</v>
      </c>
      <c r="AG172" s="1" t="s">
        <v>74</v>
      </c>
      <c r="AH172" s="1" t="s">
        <v>74</v>
      </c>
      <c r="AI172" s="1" t="s">
        <v>74</v>
      </c>
      <c r="AJ172" s="1" t="s">
        <v>74</v>
      </c>
      <c r="AK172" s="1" t="s">
        <v>74</v>
      </c>
      <c r="AL172" s="1" t="s">
        <v>74</v>
      </c>
      <c r="AM172" s="1" t="s">
        <v>74</v>
      </c>
      <c r="AN172" s="1" t="s">
        <v>74</v>
      </c>
      <c r="AO172" s="1" t="s">
        <v>1906</v>
      </c>
      <c r="AP172" s="1" t="s">
        <v>868</v>
      </c>
      <c r="AQ172" s="1" t="s">
        <v>74</v>
      </c>
      <c r="AR172" s="1" t="s">
        <v>74</v>
      </c>
      <c r="AS172" s="1" t="s">
        <v>74</v>
      </c>
      <c r="AT172" s="1" t="s">
        <v>155</v>
      </c>
      <c r="AU172" s="1">
        <v>2024.0</v>
      </c>
      <c r="AV172" s="1">
        <v>25.0</v>
      </c>
      <c r="AW172" s="1">
        <v>12.0</v>
      </c>
      <c r="AX172" s="1" t="s">
        <v>74</v>
      </c>
      <c r="AY172" s="1" t="s">
        <v>74</v>
      </c>
      <c r="AZ172" s="1" t="s">
        <v>74</v>
      </c>
      <c r="BA172" s="1" t="s">
        <v>74</v>
      </c>
      <c r="BB172" s="1" t="s">
        <v>74</v>
      </c>
      <c r="BC172" s="1" t="s">
        <v>74</v>
      </c>
      <c r="BD172" s="1">
        <v>6657.0</v>
      </c>
      <c r="BE172" s="1" t="s">
        <v>1907</v>
      </c>
      <c r="BF172" s="2" t="str">
        <f>HYPERLINK("http://dx.doi.org/10.3390/ijms25126657","http://dx.doi.org/10.3390/ijms25126657")</f>
        <v>http://dx.doi.org/10.3390/ijms25126657</v>
      </c>
      <c r="BG172" s="1" t="s">
        <v>74</v>
      </c>
      <c r="BH172" s="1" t="s">
        <v>74</v>
      </c>
      <c r="BI172" s="1" t="s">
        <v>74</v>
      </c>
      <c r="BJ172" s="1" t="s">
        <v>74</v>
      </c>
      <c r="BK172" s="1" t="s">
        <v>74</v>
      </c>
      <c r="BL172" s="1" t="s">
        <v>74</v>
      </c>
      <c r="BM172" s="1" t="s">
        <v>74</v>
      </c>
      <c r="BN172" s="1">
        <v>3.8928363E7</v>
      </c>
      <c r="BO172" s="1" t="s">
        <v>74</v>
      </c>
      <c r="BP172" s="1" t="s">
        <v>74</v>
      </c>
      <c r="BQ172" s="1" t="s">
        <v>74</v>
      </c>
      <c r="BR172" s="1" t="s">
        <v>74</v>
      </c>
      <c r="BS172" s="1" t="s">
        <v>1908</v>
      </c>
      <c r="BT172" s="1" t="str">
        <f>HYPERLINK("https%3A%2F%2Fwww.webofscience.com%2Fwos%2Fwoscc%2Ffull-record%2FWOS:001257685300001","View Full Record in Web of Science")</f>
        <v>View Full Record in Web of Science</v>
      </c>
    </row>
    <row r="173" ht="12.75" customHeight="1">
      <c r="A173" s="1" t="s">
        <v>72</v>
      </c>
      <c r="B173" s="1" t="s">
        <v>1909</v>
      </c>
      <c r="C173" s="1" t="s">
        <v>74</v>
      </c>
      <c r="D173" s="1" t="s">
        <v>74</v>
      </c>
      <c r="E173" s="1" t="s">
        <v>74</v>
      </c>
      <c r="F173" s="1" t="s">
        <v>1910</v>
      </c>
      <c r="G173" s="1" t="s">
        <v>74</v>
      </c>
      <c r="H173" s="1" t="s">
        <v>74</v>
      </c>
      <c r="I173" s="1" t="s">
        <v>1911</v>
      </c>
      <c r="J173" s="1" t="s">
        <v>1912</v>
      </c>
      <c r="K173" s="1" t="s">
        <v>74</v>
      </c>
      <c r="L173" s="1" t="s">
        <v>74</v>
      </c>
      <c r="M173" s="1" t="s">
        <v>74</v>
      </c>
      <c r="N173" s="1" t="s">
        <v>74</v>
      </c>
      <c r="O173" s="1" t="s">
        <v>74</v>
      </c>
      <c r="P173" s="1" t="s">
        <v>74</v>
      </c>
      <c r="Q173" s="1" t="s">
        <v>74</v>
      </c>
      <c r="R173" s="1" t="s">
        <v>74</v>
      </c>
      <c r="S173" s="1" t="s">
        <v>74</v>
      </c>
      <c r="T173" s="1" t="s">
        <v>74</v>
      </c>
      <c r="U173" s="1" t="s">
        <v>74</v>
      </c>
      <c r="V173" s="1" t="s">
        <v>1913</v>
      </c>
      <c r="W173" s="1" t="s">
        <v>74</v>
      </c>
      <c r="X173" s="1" t="s">
        <v>74</v>
      </c>
      <c r="Y173" s="1" t="s">
        <v>74</v>
      </c>
      <c r="Z173" s="1" t="s">
        <v>74</v>
      </c>
      <c r="AA173" s="1" t="s">
        <v>1914</v>
      </c>
      <c r="AB173" s="1" t="s">
        <v>1915</v>
      </c>
      <c r="AC173" s="1" t="s">
        <v>74</v>
      </c>
      <c r="AD173" s="1" t="s">
        <v>74</v>
      </c>
      <c r="AE173" s="1" t="s">
        <v>74</v>
      </c>
      <c r="AF173" s="1" t="s">
        <v>74</v>
      </c>
      <c r="AG173" s="1" t="s">
        <v>74</v>
      </c>
      <c r="AH173" s="1" t="s">
        <v>74</v>
      </c>
      <c r="AI173" s="1" t="s">
        <v>74</v>
      </c>
      <c r="AJ173" s="1" t="s">
        <v>74</v>
      </c>
      <c r="AK173" s="1" t="s">
        <v>74</v>
      </c>
      <c r="AL173" s="1" t="s">
        <v>74</v>
      </c>
      <c r="AM173" s="1" t="s">
        <v>74</v>
      </c>
      <c r="AN173" s="1" t="s">
        <v>74</v>
      </c>
      <c r="AO173" s="1" t="s">
        <v>1916</v>
      </c>
      <c r="AP173" s="1" t="s">
        <v>74</v>
      </c>
      <c r="AQ173" s="1" t="s">
        <v>74</v>
      </c>
      <c r="AR173" s="1" t="s">
        <v>74</v>
      </c>
      <c r="AS173" s="1" t="s">
        <v>74</v>
      </c>
      <c r="AT173" s="1" t="s">
        <v>1917</v>
      </c>
      <c r="AU173" s="1">
        <v>2023.0</v>
      </c>
      <c r="AV173" s="1">
        <v>70.0</v>
      </c>
      <c r="AW173" s="1">
        <v>7.0</v>
      </c>
      <c r="AX173" s="1" t="s">
        <v>74</v>
      </c>
      <c r="AY173" s="1" t="s">
        <v>74</v>
      </c>
      <c r="AZ173" s="1" t="s">
        <v>74</v>
      </c>
      <c r="BA173" s="1" t="s">
        <v>74</v>
      </c>
      <c r="BB173" s="1">
        <v>476.0</v>
      </c>
      <c r="BC173" s="1">
        <v>483.0</v>
      </c>
      <c r="BD173" s="1" t="s">
        <v>74</v>
      </c>
      <c r="BE173" s="1" t="s">
        <v>1918</v>
      </c>
      <c r="BF173" s="2" t="str">
        <f>HYPERLINK("http://dx.doi.org/10.1016/j.endinu.2023.05.001","http://dx.doi.org/10.1016/j.endinu.2023.05.001")</f>
        <v>http://dx.doi.org/10.1016/j.endinu.2023.05.001</v>
      </c>
      <c r="BG173" s="1" t="s">
        <v>74</v>
      </c>
      <c r="BH173" s="1" t="s">
        <v>1919</v>
      </c>
      <c r="BI173" s="1" t="s">
        <v>74</v>
      </c>
      <c r="BJ173" s="1" t="s">
        <v>74</v>
      </c>
      <c r="BK173" s="1" t="s">
        <v>74</v>
      </c>
      <c r="BL173" s="1" t="s">
        <v>74</v>
      </c>
      <c r="BM173" s="1" t="s">
        <v>74</v>
      </c>
      <c r="BN173" s="1">
        <v>3.7527958E7</v>
      </c>
      <c r="BO173" s="1" t="s">
        <v>74</v>
      </c>
      <c r="BP173" s="1" t="s">
        <v>74</v>
      </c>
      <c r="BQ173" s="1" t="s">
        <v>74</v>
      </c>
      <c r="BR173" s="1" t="s">
        <v>74</v>
      </c>
      <c r="BS173" s="1" t="s">
        <v>1920</v>
      </c>
      <c r="BT173" s="1" t="str">
        <f>HYPERLINK("https%3A%2F%2Fwww.webofscience.com%2Fwos%2Fwoscc%2Ffull-record%2FWOS:001148359900001","View Full Record in Web of Science")</f>
        <v>View Full Record in Web of Science</v>
      </c>
    </row>
    <row r="174" ht="12.75" customHeight="1">
      <c r="A174" s="1" t="s">
        <v>72</v>
      </c>
      <c r="B174" s="1" t="s">
        <v>1921</v>
      </c>
      <c r="C174" s="1" t="s">
        <v>74</v>
      </c>
      <c r="D174" s="1" t="s">
        <v>74</v>
      </c>
      <c r="E174" s="1" t="s">
        <v>74</v>
      </c>
      <c r="F174" s="1" t="s">
        <v>1922</v>
      </c>
      <c r="G174" s="1" t="s">
        <v>74</v>
      </c>
      <c r="H174" s="1" t="s">
        <v>74</v>
      </c>
      <c r="I174" s="1" t="s">
        <v>1923</v>
      </c>
      <c r="J174" s="1" t="s">
        <v>1924</v>
      </c>
      <c r="K174" s="1" t="s">
        <v>74</v>
      </c>
      <c r="L174" s="1" t="s">
        <v>74</v>
      </c>
      <c r="M174" s="1" t="s">
        <v>74</v>
      </c>
      <c r="N174" s="1" t="s">
        <v>74</v>
      </c>
      <c r="O174" s="1" t="s">
        <v>74</v>
      </c>
      <c r="P174" s="1" t="s">
        <v>74</v>
      </c>
      <c r="Q174" s="1" t="s">
        <v>74</v>
      </c>
      <c r="R174" s="1" t="s">
        <v>74</v>
      </c>
      <c r="S174" s="1" t="s">
        <v>74</v>
      </c>
      <c r="T174" s="1" t="s">
        <v>74</v>
      </c>
      <c r="U174" s="1" t="s">
        <v>74</v>
      </c>
      <c r="V174" s="1" t="s">
        <v>1925</v>
      </c>
      <c r="W174" s="1" t="s">
        <v>74</v>
      </c>
      <c r="X174" s="1" t="s">
        <v>74</v>
      </c>
      <c r="Y174" s="1" t="s">
        <v>74</v>
      </c>
      <c r="Z174" s="1" t="s">
        <v>74</v>
      </c>
      <c r="AA174" s="1" t="s">
        <v>1926</v>
      </c>
      <c r="AB174" s="1" t="s">
        <v>1927</v>
      </c>
      <c r="AC174" s="1" t="s">
        <v>74</v>
      </c>
      <c r="AD174" s="1" t="s">
        <v>74</v>
      </c>
      <c r="AE174" s="1" t="s">
        <v>74</v>
      </c>
      <c r="AF174" s="1" t="s">
        <v>74</v>
      </c>
      <c r="AG174" s="1" t="s">
        <v>74</v>
      </c>
      <c r="AH174" s="1" t="s">
        <v>74</v>
      </c>
      <c r="AI174" s="1" t="s">
        <v>74</v>
      </c>
      <c r="AJ174" s="1" t="s">
        <v>74</v>
      </c>
      <c r="AK174" s="1" t="s">
        <v>74</v>
      </c>
      <c r="AL174" s="1" t="s">
        <v>74</v>
      </c>
      <c r="AM174" s="1" t="s">
        <v>74</v>
      </c>
      <c r="AN174" s="1" t="s">
        <v>74</v>
      </c>
      <c r="AO174" s="1" t="s">
        <v>74</v>
      </c>
      <c r="AP174" s="1" t="s">
        <v>1928</v>
      </c>
      <c r="AQ174" s="1" t="s">
        <v>74</v>
      </c>
      <c r="AR174" s="1" t="s">
        <v>74</v>
      </c>
      <c r="AS174" s="1" t="s">
        <v>74</v>
      </c>
      <c r="AT174" s="1" t="s">
        <v>155</v>
      </c>
      <c r="AU174" s="1">
        <v>2023.0</v>
      </c>
      <c r="AV174" s="1">
        <v>13.0</v>
      </c>
      <c r="AW174" s="1">
        <v>12.0</v>
      </c>
      <c r="AX174" s="1" t="s">
        <v>74</v>
      </c>
      <c r="AY174" s="1" t="s">
        <v>74</v>
      </c>
      <c r="AZ174" s="1" t="s">
        <v>74</v>
      </c>
      <c r="BA174" s="1" t="s">
        <v>74</v>
      </c>
      <c r="BB174" s="1" t="s">
        <v>74</v>
      </c>
      <c r="BC174" s="1" t="s">
        <v>74</v>
      </c>
      <c r="BD174" s="1">
        <v>1816.0</v>
      </c>
      <c r="BE174" s="1" t="s">
        <v>1929</v>
      </c>
      <c r="BF174" s="2" t="str">
        <f>HYPERLINK("http://dx.doi.org/10.3390/nano13121816","http://dx.doi.org/10.3390/nano13121816")</f>
        <v>http://dx.doi.org/10.3390/nano13121816</v>
      </c>
      <c r="BG174" s="1" t="s">
        <v>74</v>
      </c>
      <c r="BH174" s="1" t="s">
        <v>74</v>
      </c>
      <c r="BI174" s="1" t="s">
        <v>74</v>
      </c>
      <c r="BJ174" s="1" t="s">
        <v>74</v>
      </c>
      <c r="BK174" s="1" t="s">
        <v>74</v>
      </c>
      <c r="BL174" s="1" t="s">
        <v>74</v>
      </c>
      <c r="BM174" s="1" t="s">
        <v>74</v>
      </c>
      <c r="BN174" s="1">
        <v>3.7368246E7</v>
      </c>
      <c r="BO174" s="1" t="s">
        <v>74</v>
      </c>
      <c r="BP174" s="1" t="s">
        <v>74</v>
      </c>
      <c r="BQ174" s="1" t="s">
        <v>74</v>
      </c>
      <c r="BR174" s="1" t="s">
        <v>74</v>
      </c>
      <c r="BS174" s="1" t="s">
        <v>1930</v>
      </c>
      <c r="BT174" s="1" t="str">
        <f>HYPERLINK("https%3A%2F%2Fwww.webofscience.com%2Fwos%2Fwoscc%2Ffull-record%2FWOS:001017471500001","View Full Record in Web of Science")</f>
        <v>View Full Record in Web of Science</v>
      </c>
    </row>
    <row r="175" ht="12.75" customHeight="1">
      <c r="A175" s="1" t="s">
        <v>72</v>
      </c>
      <c r="B175" s="1" t="s">
        <v>1931</v>
      </c>
      <c r="C175" s="1" t="s">
        <v>74</v>
      </c>
      <c r="D175" s="1" t="s">
        <v>74</v>
      </c>
      <c r="E175" s="1" t="s">
        <v>74</v>
      </c>
      <c r="F175" s="1" t="s">
        <v>1932</v>
      </c>
      <c r="G175" s="1" t="s">
        <v>74</v>
      </c>
      <c r="H175" s="1" t="s">
        <v>74</v>
      </c>
      <c r="I175" s="1" t="s">
        <v>1933</v>
      </c>
      <c r="J175" s="1" t="s">
        <v>1934</v>
      </c>
      <c r="K175" s="1" t="s">
        <v>74</v>
      </c>
      <c r="L175" s="1" t="s">
        <v>74</v>
      </c>
      <c r="M175" s="1" t="s">
        <v>74</v>
      </c>
      <c r="N175" s="1" t="s">
        <v>74</v>
      </c>
      <c r="O175" s="1" t="s">
        <v>74</v>
      </c>
      <c r="P175" s="1" t="s">
        <v>74</v>
      </c>
      <c r="Q175" s="1" t="s">
        <v>74</v>
      </c>
      <c r="R175" s="1" t="s">
        <v>74</v>
      </c>
      <c r="S175" s="1" t="s">
        <v>74</v>
      </c>
      <c r="T175" s="1" t="s">
        <v>74</v>
      </c>
      <c r="U175" s="1" t="s">
        <v>74</v>
      </c>
      <c r="V175" s="1" t="s">
        <v>1935</v>
      </c>
      <c r="W175" s="1" t="s">
        <v>74</v>
      </c>
      <c r="X175" s="1" t="s">
        <v>74</v>
      </c>
      <c r="Y175" s="1" t="s">
        <v>74</v>
      </c>
      <c r="Z175" s="1" t="s">
        <v>74</v>
      </c>
      <c r="AA175" s="1" t="s">
        <v>1936</v>
      </c>
      <c r="AB175" s="1" t="s">
        <v>1937</v>
      </c>
      <c r="AC175" s="1" t="s">
        <v>74</v>
      </c>
      <c r="AD175" s="1" t="s">
        <v>74</v>
      </c>
      <c r="AE175" s="1" t="s">
        <v>74</v>
      </c>
      <c r="AF175" s="1" t="s">
        <v>74</v>
      </c>
      <c r="AG175" s="1" t="s">
        <v>74</v>
      </c>
      <c r="AH175" s="1" t="s">
        <v>74</v>
      </c>
      <c r="AI175" s="1" t="s">
        <v>74</v>
      </c>
      <c r="AJ175" s="1" t="s">
        <v>74</v>
      </c>
      <c r="AK175" s="1" t="s">
        <v>74</v>
      </c>
      <c r="AL175" s="1" t="s">
        <v>74</v>
      </c>
      <c r="AM175" s="1" t="s">
        <v>74</v>
      </c>
      <c r="AN175" s="1" t="s">
        <v>74</v>
      </c>
      <c r="AO175" s="1" t="s">
        <v>1938</v>
      </c>
      <c r="AP175" s="1" t="s">
        <v>1939</v>
      </c>
      <c r="AQ175" s="1" t="s">
        <v>74</v>
      </c>
      <c r="AR175" s="1" t="s">
        <v>74</v>
      </c>
      <c r="AS175" s="1" t="s">
        <v>74</v>
      </c>
      <c r="AT175" s="1" t="s">
        <v>577</v>
      </c>
      <c r="AU175" s="1">
        <v>2023.0</v>
      </c>
      <c r="AV175" s="1">
        <v>442.0</v>
      </c>
      <c r="AW175" s="1" t="s">
        <v>74</v>
      </c>
      <c r="AX175" s="1" t="s">
        <v>74</v>
      </c>
      <c r="AY175" s="1" t="s">
        <v>74</v>
      </c>
      <c r="AZ175" s="1" t="s">
        <v>74</v>
      </c>
      <c r="BA175" s="1" t="s">
        <v>74</v>
      </c>
      <c r="BB175" s="1" t="s">
        <v>74</v>
      </c>
      <c r="BC175" s="1" t="s">
        <v>74</v>
      </c>
      <c r="BD175" s="1">
        <v>114802.0</v>
      </c>
      <c r="BE175" s="1" t="s">
        <v>1940</v>
      </c>
      <c r="BF175" s="2" t="str">
        <f>HYPERLINK("http://dx.doi.org/10.1016/j.jphotochem.2023.114802","http://dx.doi.org/10.1016/j.jphotochem.2023.114802")</f>
        <v>http://dx.doi.org/10.1016/j.jphotochem.2023.114802</v>
      </c>
      <c r="BG175" s="1" t="s">
        <v>74</v>
      </c>
      <c r="BH175" s="1" t="s">
        <v>1941</v>
      </c>
      <c r="BI175" s="1" t="s">
        <v>74</v>
      </c>
      <c r="BJ175" s="1" t="s">
        <v>74</v>
      </c>
      <c r="BK175" s="1" t="s">
        <v>74</v>
      </c>
      <c r="BL175" s="1" t="s">
        <v>74</v>
      </c>
      <c r="BM175" s="1" t="s">
        <v>74</v>
      </c>
      <c r="BN175" s="1" t="s">
        <v>74</v>
      </c>
      <c r="BO175" s="1" t="s">
        <v>74</v>
      </c>
      <c r="BP175" s="1" t="s">
        <v>74</v>
      </c>
      <c r="BQ175" s="1" t="s">
        <v>74</v>
      </c>
      <c r="BR175" s="1" t="s">
        <v>74</v>
      </c>
      <c r="BS175" s="1" t="s">
        <v>1942</v>
      </c>
      <c r="BT175" s="1" t="str">
        <f>HYPERLINK("https%3A%2F%2Fwww.webofscience.com%2Fwos%2Fwoscc%2Ffull-record%2FWOS:001055405900001","View Full Record in Web of Science")</f>
        <v>View Full Record in Web of Science</v>
      </c>
    </row>
    <row r="176" ht="12.75" customHeight="1">
      <c r="A176" s="1" t="s">
        <v>72</v>
      </c>
      <c r="B176" s="1" t="s">
        <v>637</v>
      </c>
      <c r="C176" s="1" t="s">
        <v>74</v>
      </c>
      <c r="D176" s="1" t="s">
        <v>74</v>
      </c>
      <c r="E176" s="1" t="s">
        <v>74</v>
      </c>
      <c r="F176" s="1" t="s">
        <v>638</v>
      </c>
      <c r="G176" s="1" t="s">
        <v>74</v>
      </c>
      <c r="H176" s="1" t="s">
        <v>74</v>
      </c>
      <c r="I176" s="1" t="s">
        <v>1943</v>
      </c>
      <c r="J176" s="1" t="s">
        <v>1944</v>
      </c>
      <c r="K176" s="1" t="s">
        <v>74</v>
      </c>
      <c r="L176" s="1" t="s">
        <v>74</v>
      </c>
      <c r="M176" s="1" t="s">
        <v>74</v>
      </c>
      <c r="N176" s="1" t="s">
        <v>74</v>
      </c>
      <c r="O176" s="1" t="s">
        <v>74</v>
      </c>
      <c r="P176" s="1" t="s">
        <v>74</v>
      </c>
      <c r="Q176" s="1" t="s">
        <v>74</v>
      </c>
      <c r="R176" s="1" t="s">
        <v>74</v>
      </c>
      <c r="S176" s="1" t="s">
        <v>74</v>
      </c>
      <c r="T176" s="1" t="s">
        <v>74</v>
      </c>
      <c r="U176" s="1" t="s">
        <v>74</v>
      </c>
      <c r="V176" s="1" t="s">
        <v>1945</v>
      </c>
      <c r="W176" s="1" t="s">
        <v>74</v>
      </c>
      <c r="X176" s="1" t="s">
        <v>74</v>
      </c>
      <c r="Y176" s="1" t="s">
        <v>74</v>
      </c>
      <c r="Z176" s="1" t="s">
        <v>74</v>
      </c>
      <c r="AA176" s="1" t="s">
        <v>74</v>
      </c>
      <c r="AB176" s="1" t="s">
        <v>1946</v>
      </c>
      <c r="AC176" s="1" t="s">
        <v>74</v>
      </c>
      <c r="AD176" s="1" t="s">
        <v>74</v>
      </c>
      <c r="AE176" s="1" t="s">
        <v>74</v>
      </c>
      <c r="AF176" s="1" t="s">
        <v>74</v>
      </c>
      <c r="AG176" s="1" t="s">
        <v>74</v>
      </c>
      <c r="AH176" s="1" t="s">
        <v>74</v>
      </c>
      <c r="AI176" s="1" t="s">
        <v>74</v>
      </c>
      <c r="AJ176" s="1" t="s">
        <v>74</v>
      </c>
      <c r="AK176" s="1" t="s">
        <v>74</v>
      </c>
      <c r="AL176" s="1" t="s">
        <v>74</v>
      </c>
      <c r="AM176" s="1" t="s">
        <v>74</v>
      </c>
      <c r="AN176" s="1" t="s">
        <v>74</v>
      </c>
      <c r="AO176" s="1" t="s">
        <v>1947</v>
      </c>
      <c r="AP176" s="1" t="s">
        <v>1948</v>
      </c>
      <c r="AQ176" s="1" t="s">
        <v>74</v>
      </c>
      <c r="AR176" s="1" t="s">
        <v>74</v>
      </c>
      <c r="AS176" s="1" t="s">
        <v>74</v>
      </c>
      <c r="AT176" s="1" t="s">
        <v>83</v>
      </c>
      <c r="AU176" s="1">
        <v>2022.0</v>
      </c>
      <c r="AV176" s="1">
        <v>34.0</v>
      </c>
      <c r="AW176" s="1">
        <v>2.0</v>
      </c>
      <c r="AX176" s="1" t="s">
        <v>74</v>
      </c>
      <c r="AY176" s="1" t="s">
        <v>74</v>
      </c>
      <c r="AZ176" s="1" t="s">
        <v>74</v>
      </c>
      <c r="BA176" s="1" t="s">
        <v>74</v>
      </c>
      <c r="BB176" s="1">
        <v>1024.0</v>
      </c>
      <c r="BC176" s="1">
        <v>1041.0</v>
      </c>
      <c r="BD176" s="1" t="s">
        <v>74</v>
      </c>
      <c r="BE176" s="1" t="s">
        <v>1949</v>
      </c>
      <c r="BF176" s="2" t="str">
        <f>HYPERLINK("http://dx.doi.org/10.1287/ijoc.2021.1118","http://dx.doi.org/10.1287/ijoc.2021.1118")</f>
        <v>http://dx.doi.org/10.1287/ijoc.2021.1118</v>
      </c>
      <c r="BG176" s="1" t="s">
        <v>74</v>
      </c>
      <c r="BH176" s="1" t="s">
        <v>895</v>
      </c>
      <c r="BI176" s="1" t="s">
        <v>74</v>
      </c>
      <c r="BJ176" s="1" t="s">
        <v>74</v>
      </c>
      <c r="BK176" s="1" t="s">
        <v>74</v>
      </c>
      <c r="BL176" s="1" t="s">
        <v>74</v>
      </c>
      <c r="BM176" s="1" t="s">
        <v>74</v>
      </c>
      <c r="BN176" s="1" t="s">
        <v>74</v>
      </c>
      <c r="BO176" s="1" t="s">
        <v>74</v>
      </c>
      <c r="BP176" s="1" t="s">
        <v>74</v>
      </c>
      <c r="BQ176" s="1" t="s">
        <v>74</v>
      </c>
      <c r="BR176" s="1" t="s">
        <v>74</v>
      </c>
      <c r="BS176" s="1" t="s">
        <v>1950</v>
      </c>
      <c r="BT176" s="1" t="str">
        <f>HYPERLINK("https%3A%2F%2Fwww.webofscience.com%2Fwos%2Fwoscc%2Ffull-record%2FWOS:000731960900001","View Full Record in Web of Science")</f>
        <v>View Full Record in Web of Science</v>
      </c>
    </row>
    <row r="177" ht="12.75" customHeight="1">
      <c r="A177" s="1" t="s">
        <v>72</v>
      </c>
      <c r="B177" s="1" t="s">
        <v>1951</v>
      </c>
      <c r="C177" s="1" t="s">
        <v>74</v>
      </c>
      <c r="D177" s="1" t="s">
        <v>74</v>
      </c>
      <c r="E177" s="1" t="s">
        <v>74</v>
      </c>
      <c r="F177" s="1" t="s">
        <v>1952</v>
      </c>
      <c r="G177" s="1" t="s">
        <v>74</v>
      </c>
      <c r="H177" s="1" t="s">
        <v>74</v>
      </c>
      <c r="I177" s="1" t="s">
        <v>1953</v>
      </c>
      <c r="J177" s="1" t="s">
        <v>1954</v>
      </c>
      <c r="K177" s="1" t="s">
        <v>74</v>
      </c>
      <c r="L177" s="1" t="s">
        <v>74</v>
      </c>
      <c r="M177" s="1" t="s">
        <v>74</v>
      </c>
      <c r="N177" s="1" t="s">
        <v>74</v>
      </c>
      <c r="O177" s="1" t="s">
        <v>74</v>
      </c>
      <c r="P177" s="1" t="s">
        <v>74</v>
      </c>
      <c r="Q177" s="1" t="s">
        <v>74</v>
      </c>
      <c r="R177" s="1" t="s">
        <v>74</v>
      </c>
      <c r="S177" s="1" t="s">
        <v>74</v>
      </c>
      <c r="T177" s="1" t="s">
        <v>74</v>
      </c>
      <c r="U177" s="1" t="s">
        <v>74</v>
      </c>
      <c r="V177" s="1" t="s">
        <v>1955</v>
      </c>
      <c r="W177" s="1" t="s">
        <v>74</v>
      </c>
      <c r="X177" s="1" t="s">
        <v>74</v>
      </c>
      <c r="Y177" s="1" t="s">
        <v>74</v>
      </c>
      <c r="Z177" s="1" t="s">
        <v>74</v>
      </c>
      <c r="AA177" s="1" t="s">
        <v>1956</v>
      </c>
      <c r="AB177" s="1" t="s">
        <v>1957</v>
      </c>
      <c r="AC177" s="1" t="s">
        <v>74</v>
      </c>
      <c r="AD177" s="1" t="s">
        <v>74</v>
      </c>
      <c r="AE177" s="1" t="s">
        <v>74</v>
      </c>
      <c r="AF177" s="1" t="s">
        <v>74</v>
      </c>
      <c r="AG177" s="1" t="s">
        <v>74</v>
      </c>
      <c r="AH177" s="1" t="s">
        <v>74</v>
      </c>
      <c r="AI177" s="1" t="s">
        <v>74</v>
      </c>
      <c r="AJ177" s="1" t="s">
        <v>74</v>
      </c>
      <c r="AK177" s="1" t="s">
        <v>74</v>
      </c>
      <c r="AL177" s="1" t="s">
        <v>74</v>
      </c>
      <c r="AM177" s="1" t="s">
        <v>74</v>
      </c>
      <c r="AN177" s="1" t="s">
        <v>74</v>
      </c>
      <c r="AO177" s="1" t="s">
        <v>1958</v>
      </c>
      <c r="AP177" s="1" t="s">
        <v>1959</v>
      </c>
      <c r="AQ177" s="1" t="s">
        <v>74</v>
      </c>
      <c r="AR177" s="1" t="s">
        <v>74</v>
      </c>
      <c r="AS177" s="1" t="s">
        <v>74</v>
      </c>
      <c r="AT177" s="1" t="s">
        <v>316</v>
      </c>
      <c r="AU177" s="1">
        <v>2021.0</v>
      </c>
      <c r="AV177" s="1">
        <v>39.0</v>
      </c>
      <c r="AW177" s="1">
        <v>5.0</v>
      </c>
      <c r="AX177" s="1" t="s">
        <v>74</v>
      </c>
      <c r="AY177" s="1" t="s">
        <v>74</v>
      </c>
      <c r="AZ177" s="1" t="s">
        <v>74</v>
      </c>
      <c r="BA177" s="1" t="s">
        <v>74</v>
      </c>
      <c r="BB177" s="1">
        <v>1323.0</v>
      </c>
      <c r="BC177" s="1">
        <v>1330.0</v>
      </c>
      <c r="BD177" s="1" t="s">
        <v>74</v>
      </c>
      <c r="BE177" s="1" t="s">
        <v>74</v>
      </c>
      <c r="BF177" s="1" t="s">
        <v>74</v>
      </c>
      <c r="BG177" s="1" t="s">
        <v>74</v>
      </c>
      <c r="BH177" s="1" t="s">
        <v>74</v>
      </c>
      <c r="BI177" s="1" t="s">
        <v>74</v>
      </c>
      <c r="BJ177" s="1" t="s">
        <v>74</v>
      </c>
      <c r="BK177" s="1" t="s">
        <v>74</v>
      </c>
      <c r="BL177" s="1" t="s">
        <v>74</v>
      </c>
      <c r="BM177" s="1" t="s">
        <v>74</v>
      </c>
      <c r="BN177" s="1" t="s">
        <v>74</v>
      </c>
      <c r="BO177" s="1" t="s">
        <v>74</v>
      </c>
      <c r="BP177" s="1" t="s">
        <v>74</v>
      </c>
      <c r="BQ177" s="1" t="s">
        <v>74</v>
      </c>
      <c r="BR177" s="1" t="s">
        <v>74</v>
      </c>
      <c r="BS177" s="1" t="s">
        <v>1960</v>
      </c>
      <c r="BT177" s="1" t="str">
        <f>HYPERLINK("https%3A%2F%2Fwww.webofscience.com%2Fwos%2Fwoscc%2Ffull-record%2FWOS:000712329700012","View Full Record in Web of Science")</f>
        <v>View Full Record in Web of Science</v>
      </c>
    </row>
    <row r="178" ht="12.75" customHeight="1">
      <c r="A178" s="1" t="s">
        <v>72</v>
      </c>
      <c r="B178" s="1" t="s">
        <v>1961</v>
      </c>
      <c r="C178" s="1" t="s">
        <v>74</v>
      </c>
      <c r="D178" s="1" t="s">
        <v>74</v>
      </c>
      <c r="E178" s="1" t="s">
        <v>74</v>
      </c>
      <c r="F178" s="1" t="s">
        <v>1962</v>
      </c>
      <c r="G178" s="1" t="s">
        <v>74</v>
      </c>
      <c r="H178" s="1" t="s">
        <v>74</v>
      </c>
      <c r="I178" s="1" t="s">
        <v>1963</v>
      </c>
      <c r="J178" s="1" t="s">
        <v>1964</v>
      </c>
      <c r="K178" s="1" t="s">
        <v>74</v>
      </c>
      <c r="L178" s="1" t="s">
        <v>74</v>
      </c>
      <c r="M178" s="1" t="s">
        <v>74</v>
      </c>
      <c r="N178" s="1" t="s">
        <v>74</v>
      </c>
      <c r="O178" s="1" t="s">
        <v>74</v>
      </c>
      <c r="P178" s="1" t="s">
        <v>74</v>
      </c>
      <c r="Q178" s="1" t="s">
        <v>74</v>
      </c>
      <c r="R178" s="1" t="s">
        <v>74</v>
      </c>
      <c r="S178" s="1" t="s">
        <v>74</v>
      </c>
      <c r="T178" s="1" t="s">
        <v>74</v>
      </c>
      <c r="U178" s="1" t="s">
        <v>74</v>
      </c>
      <c r="V178" s="1" t="s">
        <v>1965</v>
      </c>
      <c r="W178" s="1" t="s">
        <v>74</v>
      </c>
      <c r="X178" s="1" t="s">
        <v>74</v>
      </c>
      <c r="Y178" s="1" t="s">
        <v>74</v>
      </c>
      <c r="Z178" s="1" t="s">
        <v>74</v>
      </c>
      <c r="AA178" s="1" t="s">
        <v>1966</v>
      </c>
      <c r="AB178" s="1" t="s">
        <v>1967</v>
      </c>
      <c r="AC178" s="1" t="s">
        <v>74</v>
      </c>
      <c r="AD178" s="1" t="s">
        <v>74</v>
      </c>
      <c r="AE178" s="1" t="s">
        <v>74</v>
      </c>
      <c r="AF178" s="1" t="s">
        <v>74</v>
      </c>
      <c r="AG178" s="1" t="s">
        <v>74</v>
      </c>
      <c r="AH178" s="1" t="s">
        <v>74</v>
      </c>
      <c r="AI178" s="1" t="s">
        <v>74</v>
      </c>
      <c r="AJ178" s="1" t="s">
        <v>74</v>
      </c>
      <c r="AK178" s="1" t="s">
        <v>74</v>
      </c>
      <c r="AL178" s="1" t="s">
        <v>74</v>
      </c>
      <c r="AM178" s="1" t="s">
        <v>74</v>
      </c>
      <c r="AN178" s="1" t="s">
        <v>74</v>
      </c>
      <c r="AO178" s="1" t="s">
        <v>1968</v>
      </c>
      <c r="AP178" s="1" t="s">
        <v>1969</v>
      </c>
      <c r="AQ178" s="1" t="s">
        <v>74</v>
      </c>
      <c r="AR178" s="1" t="s">
        <v>74</v>
      </c>
      <c r="AS178" s="1" t="s">
        <v>74</v>
      </c>
      <c r="AT178" s="1" t="s">
        <v>96</v>
      </c>
      <c r="AU178" s="1">
        <v>2022.0</v>
      </c>
      <c r="AV178" s="1">
        <v>91.0</v>
      </c>
      <c r="AW178" s="1">
        <v>4.0</v>
      </c>
      <c r="AX178" s="1" t="s">
        <v>74</v>
      </c>
      <c r="AY178" s="1" t="s">
        <v>74</v>
      </c>
      <c r="AZ178" s="1" t="s">
        <v>74</v>
      </c>
      <c r="BA178" s="1" t="s">
        <v>74</v>
      </c>
      <c r="BB178" s="1">
        <v>984.0</v>
      </c>
      <c r="BC178" s="1">
        <v>990.0</v>
      </c>
      <c r="BD178" s="1" t="s">
        <v>74</v>
      </c>
      <c r="BE178" s="1" t="s">
        <v>1970</v>
      </c>
      <c r="BF178" s="2" t="str">
        <f>HYPERLINK("http://dx.doi.org/10.1038/s41390-021-01530-6","http://dx.doi.org/10.1038/s41390-021-01530-6")</f>
        <v>http://dx.doi.org/10.1038/s41390-021-01530-6</v>
      </c>
      <c r="BG178" s="1" t="s">
        <v>74</v>
      </c>
      <c r="BH178" s="1" t="s">
        <v>427</v>
      </c>
      <c r="BI178" s="1" t="s">
        <v>74</v>
      </c>
      <c r="BJ178" s="1" t="s">
        <v>74</v>
      </c>
      <c r="BK178" s="1" t="s">
        <v>74</v>
      </c>
      <c r="BL178" s="1" t="s">
        <v>74</v>
      </c>
      <c r="BM178" s="1" t="s">
        <v>74</v>
      </c>
      <c r="BN178" s="1">
        <v>3.3875806E7</v>
      </c>
      <c r="BO178" s="1" t="s">
        <v>74</v>
      </c>
      <c r="BP178" s="1" t="s">
        <v>74</v>
      </c>
      <c r="BQ178" s="1" t="s">
        <v>74</v>
      </c>
      <c r="BR178" s="1" t="s">
        <v>74</v>
      </c>
      <c r="BS178" s="1" t="s">
        <v>1971</v>
      </c>
      <c r="BT178" s="1" t="str">
        <f>HYPERLINK("https%3A%2F%2Fwww.webofscience.com%2Fwos%2Fwoscc%2Ffull-record%2FWOS:000641242300001","View Full Record in Web of Science")</f>
        <v>View Full Record in Web of Science</v>
      </c>
    </row>
    <row r="179" ht="12.75" customHeight="1">
      <c r="A179" s="1" t="s">
        <v>72</v>
      </c>
      <c r="B179" s="1" t="s">
        <v>1972</v>
      </c>
      <c r="C179" s="1" t="s">
        <v>74</v>
      </c>
      <c r="D179" s="1" t="s">
        <v>74</v>
      </c>
      <c r="E179" s="1" t="s">
        <v>74</v>
      </c>
      <c r="F179" s="1" t="s">
        <v>1973</v>
      </c>
      <c r="G179" s="1" t="s">
        <v>74</v>
      </c>
      <c r="H179" s="1" t="s">
        <v>74</v>
      </c>
      <c r="I179" s="1" t="s">
        <v>1974</v>
      </c>
      <c r="J179" s="1" t="s">
        <v>1975</v>
      </c>
      <c r="K179" s="1" t="s">
        <v>74</v>
      </c>
      <c r="L179" s="1" t="s">
        <v>74</v>
      </c>
      <c r="M179" s="1" t="s">
        <v>74</v>
      </c>
      <c r="N179" s="1" t="s">
        <v>74</v>
      </c>
      <c r="O179" s="1" t="s">
        <v>74</v>
      </c>
      <c r="P179" s="1" t="s">
        <v>74</v>
      </c>
      <c r="Q179" s="1" t="s">
        <v>74</v>
      </c>
      <c r="R179" s="1" t="s">
        <v>74</v>
      </c>
      <c r="S179" s="1" t="s">
        <v>74</v>
      </c>
      <c r="T179" s="1" t="s">
        <v>74</v>
      </c>
      <c r="U179" s="1" t="s">
        <v>74</v>
      </c>
      <c r="V179" s="1" t="s">
        <v>1976</v>
      </c>
      <c r="W179" s="1" t="s">
        <v>74</v>
      </c>
      <c r="X179" s="1" t="s">
        <v>74</v>
      </c>
      <c r="Y179" s="1" t="s">
        <v>74</v>
      </c>
      <c r="Z179" s="1" t="s">
        <v>74</v>
      </c>
      <c r="AA179" s="1" t="s">
        <v>1977</v>
      </c>
      <c r="AB179" s="1" t="s">
        <v>1978</v>
      </c>
      <c r="AC179" s="1" t="s">
        <v>74</v>
      </c>
      <c r="AD179" s="1" t="s">
        <v>74</v>
      </c>
      <c r="AE179" s="1" t="s">
        <v>74</v>
      </c>
      <c r="AF179" s="1" t="s">
        <v>74</v>
      </c>
      <c r="AG179" s="1" t="s">
        <v>74</v>
      </c>
      <c r="AH179" s="1" t="s">
        <v>74</v>
      </c>
      <c r="AI179" s="1" t="s">
        <v>74</v>
      </c>
      <c r="AJ179" s="1" t="s">
        <v>74</v>
      </c>
      <c r="AK179" s="1" t="s">
        <v>74</v>
      </c>
      <c r="AL179" s="1" t="s">
        <v>74</v>
      </c>
      <c r="AM179" s="1" t="s">
        <v>74</v>
      </c>
      <c r="AN179" s="1" t="s">
        <v>74</v>
      </c>
      <c r="AO179" s="1" t="s">
        <v>1979</v>
      </c>
      <c r="AP179" s="1" t="s">
        <v>1980</v>
      </c>
      <c r="AQ179" s="1" t="s">
        <v>74</v>
      </c>
      <c r="AR179" s="1" t="s">
        <v>74</v>
      </c>
      <c r="AS179" s="1" t="s">
        <v>74</v>
      </c>
      <c r="AT179" s="1" t="s">
        <v>1897</v>
      </c>
      <c r="AU179" s="1">
        <v>2021.0</v>
      </c>
      <c r="AV179" s="1">
        <v>17.0</v>
      </c>
      <c r="AW179" s="1">
        <v>1.0</v>
      </c>
      <c r="AX179" s="1" t="s">
        <v>74</v>
      </c>
      <c r="AY179" s="1" t="s">
        <v>74</v>
      </c>
      <c r="AZ179" s="1" t="s">
        <v>74</v>
      </c>
      <c r="BA179" s="1" t="s">
        <v>74</v>
      </c>
      <c r="BB179" s="1" t="s">
        <v>74</v>
      </c>
      <c r="BC179" s="1" t="s">
        <v>74</v>
      </c>
      <c r="BD179" s="1">
        <v>8.0</v>
      </c>
      <c r="BE179" s="1" t="s">
        <v>1981</v>
      </c>
      <c r="BF179" s="2" t="str">
        <f>HYPERLINK("http://dx.doi.org/10.1007/s11295-021-01493-z","http://dx.doi.org/10.1007/s11295-021-01493-z")</f>
        <v>http://dx.doi.org/10.1007/s11295-021-01493-z</v>
      </c>
      <c r="BG179" s="1" t="s">
        <v>74</v>
      </c>
      <c r="BH179" s="1" t="s">
        <v>74</v>
      </c>
      <c r="BI179" s="1" t="s">
        <v>74</v>
      </c>
      <c r="BJ179" s="1" t="s">
        <v>74</v>
      </c>
      <c r="BK179" s="1" t="s">
        <v>74</v>
      </c>
      <c r="BL179" s="1" t="s">
        <v>74</v>
      </c>
      <c r="BM179" s="1" t="s">
        <v>74</v>
      </c>
      <c r="BN179" s="1" t="s">
        <v>74</v>
      </c>
      <c r="BO179" s="1" t="s">
        <v>74</v>
      </c>
      <c r="BP179" s="1" t="s">
        <v>74</v>
      </c>
      <c r="BQ179" s="1" t="s">
        <v>74</v>
      </c>
      <c r="BR179" s="1" t="s">
        <v>74</v>
      </c>
      <c r="BS179" s="1" t="s">
        <v>1982</v>
      </c>
      <c r="BT179" s="1" t="str">
        <f>HYPERLINK("https%3A%2F%2Fwww.webofscience.com%2Fwos%2Fwoscc%2Ffull-record%2FWOS:000613891100002","View Full Record in Web of Science")</f>
        <v>View Full Record in Web of Science</v>
      </c>
    </row>
    <row r="180" ht="12.75" customHeight="1">
      <c r="A180" s="1" t="s">
        <v>72</v>
      </c>
      <c r="B180" s="1" t="s">
        <v>1983</v>
      </c>
      <c r="C180" s="1" t="s">
        <v>74</v>
      </c>
      <c r="D180" s="1" t="s">
        <v>74</v>
      </c>
      <c r="E180" s="1" t="s">
        <v>74</v>
      </c>
      <c r="F180" s="1" t="s">
        <v>1984</v>
      </c>
      <c r="G180" s="1" t="s">
        <v>74</v>
      </c>
      <c r="H180" s="1" t="s">
        <v>74</v>
      </c>
      <c r="I180" s="1" t="s">
        <v>1985</v>
      </c>
      <c r="J180" s="1" t="s">
        <v>1072</v>
      </c>
      <c r="K180" s="1" t="s">
        <v>74</v>
      </c>
      <c r="L180" s="1" t="s">
        <v>74</v>
      </c>
      <c r="M180" s="1" t="s">
        <v>74</v>
      </c>
      <c r="N180" s="1" t="s">
        <v>74</v>
      </c>
      <c r="O180" s="1" t="s">
        <v>74</v>
      </c>
      <c r="P180" s="1" t="s">
        <v>74</v>
      </c>
      <c r="Q180" s="1" t="s">
        <v>74</v>
      </c>
      <c r="R180" s="1" t="s">
        <v>74</v>
      </c>
      <c r="S180" s="1" t="s">
        <v>74</v>
      </c>
      <c r="T180" s="1" t="s">
        <v>74</v>
      </c>
      <c r="U180" s="1" t="s">
        <v>74</v>
      </c>
      <c r="V180" s="1" t="s">
        <v>1986</v>
      </c>
      <c r="W180" s="1" t="s">
        <v>74</v>
      </c>
      <c r="X180" s="1" t="s">
        <v>74</v>
      </c>
      <c r="Y180" s="1" t="s">
        <v>74</v>
      </c>
      <c r="Z180" s="1" t="s">
        <v>74</v>
      </c>
      <c r="AA180" s="1" t="s">
        <v>1987</v>
      </c>
      <c r="AB180" s="1" t="s">
        <v>74</v>
      </c>
      <c r="AC180" s="1" t="s">
        <v>74</v>
      </c>
      <c r="AD180" s="1" t="s">
        <v>74</v>
      </c>
      <c r="AE180" s="1" t="s">
        <v>74</v>
      </c>
      <c r="AF180" s="1" t="s">
        <v>74</v>
      </c>
      <c r="AG180" s="1" t="s">
        <v>74</v>
      </c>
      <c r="AH180" s="1" t="s">
        <v>74</v>
      </c>
      <c r="AI180" s="1" t="s">
        <v>74</v>
      </c>
      <c r="AJ180" s="1" t="s">
        <v>74</v>
      </c>
      <c r="AK180" s="1" t="s">
        <v>74</v>
      </c>
      <c r="AL180" s="1" t="s">
        <v>74</v>
      </c>
      <c r="AM180" s="1" t="s">
        <v>74</v>
      </c>
      <c r="AN180" s="1" t="s">
        <v>74</v>
      </c>
      <c r="AO180" s="1" t="s">
        <v>1075</v>
      </c>
      <c r="AP180" s="1" t="s">
        <v>1076</v>
      </c>
      <c r="AQ180" s="1" t="s">
        <v>74</v>
      </c>
      <c r="AR180" s="1" t="s">
        <v>74</v>
      </c>
      <c r="AS180" s="1" t="s">
        <v>74</v>
      </c>
      <c r="AT180" s="1" t="s">
        <v>74</v>
      </c>
      <c r="AU180" s="1">
        <v>2021.0</v>
      </c>
      <c r="AV180" s="1" t="s">
        <v>74</v>
      </c>
      <c r="AW180" s="1">
        <v>40.0</v>
      </c>
      <c r="AX180" s="1" t="s">
        <v>74</v>
      </c>
      <c r="AY180" s="1" t="s">
        <v>74</v>
      </c>
      <c r="AZ180" s="1" t="s">
        <v>74</v>
      </c>
      <c r="BA180" s="1" t="s">
        <v>74</v>
      </c>
      <c r="BB180" s="1">
        <v>385.0</v>
      </c>
      <c r="BC180" s="1">
        <v>392.0</v>
      </c>
      <c r="BD180" s="1" t="s">
        <v>74</v>
      </c>
      <c r="BE180" s="1" t="s">
        <v>74</v>
      </c>
      <c r="BF180" s="1" t="s">
        <v>74</v>
      </c>
      <c r="BG180" s="1" t="s">
        <v>74</v>
      </c>
      <c r="BH180" s="1" t="s">
        <v>74</v>
      </c>
      <c r="BI180" s="1" t="s">
        <v>74</v>
      </c>
      <c r="BJ180" s="1" t="s">
        <v>74</v>
      </c>
      <c r="BK180" s="1" t="s">
        <v>74</v>
      </c>
      <c r="BL180" s="1" t="s">
        <v>74</v>
      </c>
      <c r="BM180" s="1" t="s">
        <v>74</v>
      </c>
      <c r="BN180" s="1" t="s">
        <v>74</v>
      </c>
      <c r="BO180" s="1" t="s">
        <v>74</v>
      </c>
      <c r="BP180" s="1" t="s">
        <v>74</v>
      </c>
      <c r="BQ180" s="1" t="s">
        <v>74</v>
      </c>
      <c r="BR180" s="1" t="s">
        <v>74</v>
      </c>
      <c r="BS180" s="1" t="s">
        <v>1988</v>
      </c>
      <c r="BT180" s="1" t="str">
        <f>HYPERLINK("https%3A%2F%2Fwww.webofscience.com%2Fwos%2Fwoscc%2Ffull-record%2FWOS:000601168100042","View Full Record in Web of Science")</f>
        <v>View Full Record in Web of Science</v>
      </c>
    </row>
    <row r="181" ht="12.75" customHeight="1">
      <c r="A181" s="1" t="s">
        <v>72</v>
      </c>
      <c r="B181" s="1" t="s">
        <v>1989</v>
      </c>
      <c r="C181" s="1" t="s">
        <v>74</v>
      </c>
      <c r="D181" s="1" t="s">
        <v>74</v>
      </c>
      <c r="E181" s="1" t="s">
        <v>74</v>
      </c>
      <c r="F181" s="1" t="s">
        <v>1990</v>
      </c>
      <c r="G181" s="1" t="s">
        <v>74</v>
      </c>
      <c r="H181" s="1" t="s">
        <v>74</v>
      </c>
      <c r="I181" s="1" t="s">
        <v>1991</v>
      </c>
      <c r="J181" s="1" t="s">
        <v>1992</v>
      </c>
      <c r="K181" s="1" t="s">
        <v>74</v>
      </c>
      <c r="L181" s="1" t="s">
        <v>74</v>
      </c>
      <c r="M181" s="1" t="s">
        <v>74</v>
      </c>
      <c r="N181" s="1" t="s">
        <v>74</v>
      </c>
      <c r="O181" s="1" t="s">
        <v>74</v>
      </c>
      <c r="P181" s="1" t="s">
        <v>74</v>
      </c>
      <c r="Q181" s="1" t="s">
        <v>74</v>
      </c>
      <c r="R181" s="1" t="s">
        <v>74</v>
      </c>
      <c r="S181" s="1" t="s">
        <v>74</v>
      </c>
      <c r="T181" s="1" t="s">
        <v>74</v>
      </c>
      <c r="U181" s="1" t="s">
        <v>74</v>
      </c>
      <c r="V181" s="1" t="s">
        <v>1993</v>
      </c>
      <c r="W181" s="1" t="s">
        <v>74</v>
      </c>
      <c r="X181" s="1" t="s">
        <v>74</v>
      </c>
      <c r="Y181" s="1" t="s">
        <v>74</v>
      </c>
      <c r="Z181" s="1" t="s">
        <v>74</v>
      </c>
      <c r="AA181" s="1" t="s">
        <v>74</v>
      </c>
      <c r="AB181" s="1" t="s">
        <v>1994</v>
      </c>
      <c r="AC181" s="1" t="s">
        <v>74</v>
      </c>
      <c r="AD181" s="1" t="s">
        <v>74</v>
      </c>
      <c r="AE181" s="1" t="s">
        <v>74</v>
      </c>
      <c r="AF181" s="1" t="s">
        <v>74</v>
      </c>
      <c r="AG181" s="1" t="s">
        <v>74</v>
      </c>
      <c r="AH181" s="1" t="s">
        <v>74</v>
      </c>
      <c r="AI181" s="1" t="s">
        <v>74</v>
      </c>
      <c r="AJ181" s="1" t="s">
        <v>74</v>
      </c>
      <c r="AK181" s="1" t="s">
        <v>74</v>
      </c>
      <c r="AL181" s="1" t="s">
        <v>74</v>
      </c>
      <c r="AM181" s="1" t="s">
        <v>74</v>
      </c>
      <c r="AN181" s="1" t="s">
        <v>74</v>
      </c>
      <c r="AO181" s="1" t="s">
        <v>1995</v>
      </c>
      <c r="AP181" s="1" t="s">
        <v>74</v>
      </c>
      <c r="AQ181" s="1" t="s">
        <v>74</v>
      </c>
      <c r="AR181" s="1" t="s">
        <v>74</v>
      </c>
      <c r="AS181" s="1" t="s">
        <v>74</v>
      </c>
      <c r="AT181" s="1" t="s">
        <v>155</v>
      </c>
      <c r="AU181" s="1">
        <v>2020.0</v>
      </c>
      <c r="AV181" s="1">
        <v>20.0</v>
      </c>
      <c r="AW181" s="1">
        <v>5.0</v>
      </c>
      <c r="AX181" s="1" t="s">
        <v>74</v>
      </c>
      <c r="AY181" s="1" t="s">
        <v>74</v>
      </c>
      <c r="AZ181" s="1" t="s">
        <v>74</v>
      </c>
      <c r="BA181" s="1" t="s">
        <v>74</v>
      </c>
      <c r="BB181" s="1" t="s">
        <v>74</v>
      </c>
      <c r="BC181" s="1" t="s">
        <v>74</v>
      </c>
      <c r="BD181" s="1" t="s">
        <v>1996</v>
      </c>
      <c r="BE181" s="1" t="s">
        <v>1997</v>
      </c>
      <c r="BF181" s="2" t="str">
        <f>HYPERLINK("http://dx.doi.org/10.5867/medwave.2020.05.7928","http://dx.doi.org/10.5867/medwave.2020.05.7928")</f>
        <v>http://dx.doi.org/10.5867/medwave.2020.05.7928</v>
      </c>
      <c r="BG181" s="1" t="s">
        <v>74</v>
      </c>
      <c r="BH181" s="1" t="s">
        <v>74</v>
      </c>
      <c r="BI181" s="1" t="s">
        <v>74</v>
      </c>
      <c r="BJ181" s="1" t="s">
        <v>74</v>
      </c>
      <c r="BK181" s="1" t="s">
        <v>74</v>
      </c>
      <c r="BL181" s="1" t="s">
        <v>74</v>
      </c>
      <c r="BM181" s="1" t="s">
        <v>74</v>
      </c>
      <c r="BN181" s="1">
        <v>3.2544152E7</v>
      </c>
      <c r="BO181" s="1" t="s">
        <v>74</v>
      </c>
      <c r="BP181" s="1" t="s">
        <v>74</v>
      </c>
      <c r="BQ181" s="1" t="s">
        <v>74</v>
      </c>
      <c r="BR181" s="1" t="s">
        <v>74</v>
      </c>
      <c r="BS181" s="1" t="s">
        <v>1998</v>
      </c>
      <c r="BT181" s="1" t="str">
        <f>HYPERLINK("https%3A%2F%2Fwww.webofscience.com%2Fwos%2Fwoscc%2Ffull-record%2FWOS:000544228000007","View Full Record in Web of Science")</f>
        <v>View Full Record in Web of Science</v>
      </c>
    </row>
    <row r="182" ht="12.75" customHeight="1">
      <c r="A182" s="1" t="s">
        <v>72</v>
      </c>
      <c r="B182" s="1" t="s">
        <v>1999</v>
      </c>
      <c r="C182" s="1" t="s">
        <v>74</v>
      </c>
      <c r="D182" s="1" t="s">
        <v>74</v>
      </c>
      <c r="E182" s="1" t="s">
        <v>74</v>
      </c>
      <c r="F182" s="1" t="s">
        <v>2000</v>
      </c>
      <c r="G182" s="1" t="s">
        <v>74</v>
      </c>
      <c r="H182" s="1" t="s">
        <v>74</v>
      </c>
      <c r="I182" s="1" t="s">
        <v>2001</v>
      </c>
      <c r="J182" s="1" t="s">
        <v>2002</v>
      </c>
      <c r="K182" s="1" t="s">
        <v>74</v>
      </c>
      <c r="L182" s="1" t="s">
        <v>74</v>
      </c>
      <c r="M182" s="1" t="s">
        <v>74</v>
      </c>
      <c r="N182" s="1" t="s">
        <v>74</v>
      </c>
      <c r="O182" s="1" t="s">
        <v>74</v>
      </c>
      <c r="P182" s="1" t="s">
        <v>74</v>
      </c>
      <c r="Q182" s="1" t="s">
        <v>74</v>
      </c>
      <c r="R182" s="1" t="s">
        <v>74</v>
      </c>
      <c r="S182" s="1" t="s">
        <v>74</v>
      </c>
      <c r="T182" s="1" t="s">
        <v>74</v>
      </c>
      <c r="U182" s="1" t="s">
        <v>74</v>
      </c>
      <c r="V182" s="1" t="s">
        <v>2003</v>
      </c>
      <c r="W182" s="1" t="s">
        <v>74</v>
      </c>
      <c r="X182" s="1" t="s">
        <v>74</v>
      </c>
      <c r="Y182" s="1" t="s">
        <v>74</v>
      </c>
      <c r="Z182" s="1" t="s">
        <v>74</v>
      </c>
      <c r="AA182" s="1" t="s">
        <v>2004</v>
      </c>
      <c r="AB182" s="1" t="s">
        <v>2005</v>
      </c>
      <c r="AC182" s="1" t="s">
        <v>74</v>
      </c>
      <c r="AD182" s="1" t="s">
        <v>74</v>
      </c>
      <c r="AE182" s="1" t="s">
        <v>74</v>
      </c>
      <c r="AF182" s="1" t="s">
        <v>74</v>
      </c>
      <c r="AG182" s="1" t="s">
        <v>74</v>
      </c>
      <c r="AH182" s="1" t="s">
        <v>74</v>
      </c>
      <c r="AI182" s="1" t="s">
        <v>74</v>
      </c>
      <c r="AJ182" s="1" t="s">
        <v>74</v>
      </c>
      <c r="AK182" s="1" t="s">
        <v>74</v>
      </c>
      <c r="AL182" s="1" t="s">
        <v>74</v>
      </c>
      <c r="AM182" s="1" t="s">
        <v>74</v>
      </c>
      <c r="AN182" s="1" t="s">
        <v>74</v>
      </c>
      <c r="AO182" s="1" t="s">
        <v>2006</v>
      </c>
      <c r="AP182" s="1" t="s">
        <v>2007</v>
      </c>
      <c r="AQ182" s="1" t="s">
        <v>74</v>
      </c>
      <c r="AR182" s="1" t="s">
        <v>74</v>
      </c>
      <c r="AS182" s="1" t="s">
        <v>74</v>
      </c>
      <c r="AT182" s="1" t="s">
        <v>438</v>
      </c>
      <c r="AU182" s="1">
        <v>2020.0</v>
      </c>
      <c r="AV182" s="1">
        <v>51.0</v>
      </c>
      <c r="AW182" s="1">
        <v>4.0</v>
      </c>
      <c r="AX182" s="1" t="s">
        <v>74</v>
      </c>
      <c r="AY182" s="1" t="s">
        <v>74</v>
      </c>
      <c r="AZ182" s="1" t="s">
        <v>74</v>
      </c>
      <c r="BA182" s="1" t="s">
        <v>74</v>
      </c>
      <c r="BB182" s="1">
        <v>1506.0</v>
      </c>
      <c r="BC182" s="1">
        <v>1518.0</v>
      </c>
      <c r="BD182" s="1" t="s">
        <v>74</v>
      </c>
      <c r="BE182" s="1" t="s">
        <v>2008</v>
      </c>
      <c r="BF182" s="2" t="str">
        <f>HYPERLINK("http://dx.doi.org/10.1007/s11661-020-05643-1","http://dx.doi.org/10.1007/s11661-020-05643-1")</f>
        <v>http://dx.doi.org/10.1007/s11661-020-05643-1</v>
      </c>
      <c r="BG182" s="1" t="s">
        <v>74</v>
      </c>
      <c r="BH182" s="1" t="s">
        <v>2009</v>
      </c>
      <c r="BI182" s="1" t="s">
        <v>74</v>
      </c>
      <c r="BJ182" s="1" t="s">
        <v>74</v>
      </c>
      <c r="BK182" s="1" t="s">
        <v>74</v>
      </c>
      <c r="BL182" s="1" t="s">
        <v>74</v>
      </c>
      <c r="BM182" s="1" t="s">
        <v>74</v>
      </c>
      <c r="BN182" s="1" t="s">
        <v>74</v>
      </c>
      <c r="BO182" s="1" t="s">
        <v>74</v>
      </c>
      <c r="BP182" s="1" t="s">
        <v>74</v>
      </c>
      <c r="BQ182" s="1" t="s">
        <v>74</v>
      </c>
      <c r="BR182" s="1" t="s">
        <v>74</v>
      </c>
      <c r="BS182" s="1" t="s">
        <v>2010</v>
      </c>
      <c r="BT182" s="1" t="str">
        <f>HYPERLINK("https%3A%2F%2Fwww.webofscience.com%2Fwos%2Fwoscc%2Ffull-record%2FWOS:000515836900001","View Full Record in Web of Science")</f>
        <v>View Full Record in Web of Science</v>
      </c>
    </row>
    <row r="183" ht="12.75" customHeight="1">
      <c r="A183" s="1" t="s">
        <v>647</v>
      </c>
      <c r="B183" s="1" t="s">
        <v>2011</v>
      </c>
      <c r="C183" s="1" t="s">
        <v>74</v>
      </c>
      <c r="D183" s="1" t="s">
        <v>74</v>
      </c>
      <c r="E183" s="1" t="s">
        <v>649</v>
      </c>
      <c r="F183" s="1" t="s">
        <v>2012</v>
      </c>
      <c r="G183" s="1" t="s">
        <v>74</v>
      </c>
      <c r="H183" s="1" t="s">
        <v>74</v>
      </c>
      <c r="I183" s="1" t="s">
        <v>2013</v>
      </c>
      <c r="J183" s="1" t="s">
        <v>652</v>
      </c>
      <c r="K183" s="1" t="s">
        <v>74</v>
      </c>
      <c r="L183" s="1" t="s">
        <v>74</v>
      </c>
      <c r="M183" s="1" t="s">
        <v>74</v>
      </c>
      <c r="N183" s="1" t="s">
        <v>74</v>
      </c>
      <c r="O183" s="1" t="s">
        <v>653</v>
      </c>
      <c r="P183" s="1" t="s">
        <v>654</v>
      </c>
      <c r="Q183" s="1" t="s">
        <v>655</v>
      </c>
      <c r="R183" s="1" t="s">
        <v>656</v>
      </c>
      <c r="S183" s="1" t="s">
        <v>74</v>
      </c>
      <c r="T183" s="1" t="s">
        <v>74</v>
      </c>
      <c r="U183" s="1" t="s">
        <v>74</v>
      </c>
      <c r="V183" s="1" t="s">
        <v>2014</v>
      </c>
      <c r="W183" s="1" t="s">
        <v>74</v>
      </c>
      <c r="X183" s="1" t="s">
        <v>74</v>
      </c>
      <c r="Y183" s="1" t="s">
        <v>74</v>
      </c>
      <c r="Z183" s="1" t="s">
        <v>74</v>
      </c>
      <c r="AA183" s="1" t="s">
        <v>2015</v>
      </c>
      <c r="AB183" s="1" t="s">
        <v>2016</v>
      </c>
      <c r="AC183" s="1" t="s">
        <v>74</v>
      </c>
      <c r="AD183" s="1" t="s">
        <v>74</v>
      </c>
      <c r="AE183" s="1" t="s">
        <v>74</v>
      </c>
      <c r="AF183" s="1" t="s">
        <v>74</v>
      </c>
      <c r="AG183" s="1" t="s">
        <v>74</v>
      </c>
      <c r="AH183" s="1" t="s">
        <v>74</v>
      </c>
      <c r="AI183" s="1" t="s">
        <v>74</v>
      </c>
      <c r="AJ183" s="1" t="s">
        <v>74</v>
      </c>
      <c r="AK183" s="1" t="s">
        <v>74</v>
      </c>
      <c r="AL183" s="1" t="s">
        <v>74</v>
      </c>
      <c r="AM183" s="1" t="s">
        <v>74</v>
      </c>
      <c r="AN183" s="1" t="s">
        <v>74</v>
      </c>
      <c r="AO183" s="1" t="s">
        <v>74</v>
      </c>
      <c r="AP183" s="1" t="s">
        <v>74</v>
      </c>
      <c r="AQ183" s="1" t="s">
        <v>660</v>
      </c>
      <c r="AR183" s="1" t="s">
        <v>74</v>
      </c>
      <c r="AS183" s="1" t="s">
        <v>74</v>
      </c>
      <c r="AT183" s="1" t="s">
        <v>74</v>
      </c>
      <c r="AU183" s="1">
        <v>2020.0</v>
      </c>
      <c r="AV183" s="1" t="s">
        <v>74</v>
      </c>
      <c r="AW183" s="1" t="s">
        <v>74</v>
      </c>
      <c r="AX183" s="1" t="s">
        <v>74</v>
      </c>
      <c r="AY183" s="1" t="s">
        <v>74</v>
      </c>
      <c r="AZ183" s="1" t="s">
        <v>74</v>
      </c>
      <c r="BA183" s="1" t="s">
        <v>74</v>
      </c>
      <c r="BB183" s="1">
        <v>12.0</v>
      </c>
      <c r="BC183" s="1">
        <v>16.0</v>
      </c>
      <c r="BD183" s="1" t="s">
        <v>74</v>
      </c>
      <c r="BE183" s="1" t="s">
        <v>2017</v>
      </c>
      <c r="BF183" s="2" t="str">
        <f>HYPERLINK("http://dx.doi.org/10.1109/sacvlc50805.2020.9129896","http://dx.doi.org/10.1109/sacvlc50805.2020.9129896")</f>
        <v>http://dx.doi.org/10.1109/sacvlc50805.2020.9129896</v>
      </c>
      <c r="BG183" s="1" t="s">
        <v>74</v>
      </c>
      <c r="BH183" s="1" t="s">
        <v>74</v>
      </c>
      <c r="BI183" s="1" t="s">
        <v>74</v>
      </c>
      <c r="BJ183" s="1" t="s">
        <v>74</v>
      </c>
      <c r="BK183" s="1" t="s">
        <v>74</v>
      </c>
      <c r="BL183" s="1" t="s">
        <v>74</v>
      </c>
      <c r="BM183" s="1" t="s">
        <v>74</v>
      </c>
      <c r="BN183" s="1" t="s">
        <v>74</v>
      </c>
      <c r="BO183" s="1" t="s">
        <v>74</v>
      </c>
      <c r="BP183" s="1" t="s">
        <v>74</v>
      </c>
      <c r="BQ183" s="1" t="s">
        <v>74</v>
      </c>
      <c r="BR183" s="1" t="s">
        <v>74</v>
      </c>
      <c r="BS183" s="1" t="s">
        <v>2018</v>
      </c>
      <c r="BT183" s="1" t="str">
        <f>HYPERLINK("https%3A%2F%2Fwww.webofscience.com%2Fwos%2Fwoscc%2Ffull-record%2FWOS:000856038700003","View Full Record in Web of Science")</f>
        <v>View Full Record in Web of Science</v>
      </c>
    </row>
    <row r="184" ht="12.75" customHeight="1">
      <c r="A184" s="1" t="s">
        <v>72</v>
      </c>
      <c r="B184" s="1" t="s">
        <v>2019</v>
      </c>
      <c r="C184" s="1" t="s">
        <v>74</v>
      </c>
      <c r="D184" s="1" t="s">
        <v>74</v>
      </c>
      <c r="E184" s="1" t="s">
        <v>74</v>
      </c>
      <c r="F184" s="1" t="s">
        <v>2020</v>
      </c>
      <c r="G184" s="1" t="s">
        <v>74</v>
      </c>
      <c r="H184" s="1" t="s">
        <v>74</v>
      </c>
      <c r="I184" s="1" t="s">
        <v>2021</v>
      </c>
      <c r="J184" s="1" t="s">
        <v>2022</v>
      </c>
      <c r="K184" s="1" t="s">
        <v>74</v>
      </c>
      <c r="L184" s="1" t="s">
        <v>74</v>
      </c>
      <c r="M184" s="1" t="s">
        <v>74</v>
      </c>
      <c r="N184" s="1" t="s">
        <v>74</v>
      </c>
      <c r="O184" s="1" t="s">
        <v>74</v>
      </c>
      <c r="P184" s="1" t="s">
        <v>74</v>
      </c>
      <c r="Q184" s="1" t="s">
        <v>74</v>
      </c>
      <c r="R184" s="1" t="s">
        <v>74</v>
      </c>
      <c r="S184" s="1" t="s">
        <v>74</v>
      </c>
      <c r="T184" s="1" t="s">
        <v>74</v>
      </c>
      <c r="U184" s="1" t="s">
        <v>74</v>
      </c>
      <c r="V184" s="1" t="s">
        <v>74</v>
      </c>
      <c r="W184" s="1" t="s">
        <v>74</v>
      </c>
      <c r="X184" s="1" t="s">
        <v>74</v>
      </c>
      <c r="Y184" s="1" t="s">
        <v>74</v>
      </c>
      <c r="Z184" s="1" t="s">
        <v>74</v>
      </c>
      <c r="AA184" s="1" t="s">
        <v>2023</v>
      </c>
      <c r="AB184" s="1" t="s">
        <v>2024</v>
      </c>
      <c r="AC184" s="1" t="s">
        <v>74</v>
      </c>
      <c r="AD184" s="1" t="s">
        <v>74</v>
      </c>
      <c r="AE184" s="1" t="s">
        <v>74</v>
      </c>
      <c r="AF184" s="1" t="s">
        <v>74</v>
      </c>
      <c r="AG184" s="1" t="s">
        <v>74</v>
      </c>
      <c r="AH184" s="1" t="s">
        <v>74</v>
      </c>
      <c r="AI184" s="1" t="s">
        <v>74</v>
      </c>
      <c r="AJ184" s="1" t="s">
        <v>74</v>
      </c>
      <c r="AK184" s="1" t="s">
        <v>74</v>
      </c>
      <c r="AL184" s="1" t="s">
        <v>74</v>
      </c>
      <c r="AM184" s="1" t="s">
        <v>74</v>
      </c>
      <c r="AN184" s="1" t="s">
        <v>74</v>
      </c>
      <c r="AO184" s="1" t="s">
        <v>2025</v>
      </c>
      <c r="AP184" s="1" t="s">
        <v>2026</v>
      </c>
      <c r="AQ184" s="1" t="s">
        <v>74</v>
      </c>
      <c r="AR184" s="1" t="s">
        <v>74</v>
      </c>
      <c r="AS184" s="1" t="s">
        <v>74</v>
      </c>
      <c r="AT184" s="1" t="s">
        <v>259</v>
      </c>
      <c r="AU184" s="1">
        <v>2019.0</v>
      </c>
      <c r="AV184" s="1">
        <v>91.0</v>
      </c>
      <c r="AW184" s="1" t="s">
        <v>74</v>
      </c>
      <c r="AX184" s="1" t="s">
        <v>74</v>
      </c>
      <c r="AY184" s="1" t="s">
        <v>74</v>
      </c>
      <c r="AZ184" s="1" t="s">
        <v>74</v>
      </c>
      <c r="BA184" s="1" t="s">
        <v>2027</v>
      </c>
      <c r="BB184" s="1">
        <v>395.0</v>
      </c>
      <c r="BC184" s="1">
        <v>395.0</v>
      </c>
      <c r="BD184" s="1" t="s">
        <v>74</v>
      </c>
      <c r="BE184" s="1" t="s">
        <v>2028</v>
      </c>
      <c r="BF184" s="2" t="str">
        <f>HYPERLINK("http://dx.doi.org/10.1016/j.fsi.2019.04.086","http://dx.doi.org/10.1016/j.fsi.2019.04.086")</f>
        <v>http://dx.doi.org/10.1016/j.fsi.2019.04.086</v>
      </c>
      <c r="BG184" s="1" t="s">
        <v>74</v>
      </c>
      <c r="BH184" s="1" t="s">
        <v>74</v>
      </c>
      <c r="BI184" s="1" t="s">
        <v>74</v>
      </c>
      <c r="BJ184" s="1" t="s">
        <v>74</v>
      </c>
      <c r="BK184" s="1" t="s">
        <v>74</v>
      </c>
      <c r="BL184" s="1" t="s">
        <v>74</v>
      </c>
      <c r="BM184" s="1" t="s">
        <v>74</v>
      </c>
      <c r="BN184" s="1" t="s">
        <v>74</v>
      </c>
      <c r="BO184" s="1" t="s">
        <v>74</v>
      </c>
      <c r="BP184" s="1" t="s">
        <v>74</v>
      </c>
      <c r="BQ184" s="1" t="s">
        <v>74</v>
      </c>
      <c r="BR184" s="1" t="s">
        <v>74</v>
      </c>
      <c r="BS184" s="1" t="s">
        <v>2029</v>
      </c>
      <c r="BT184" s="1" t="str">
        <f>HYPERLINK("https%3A%2F%2Fwww.webofscience.com%2Fwos%2Fwoscc%2Ffull-record%2FWOS:000474676700059","View Full Record in Web of Science")</f>
        <v>View Full Record in Web of Science</v>
      </c>
    </row>
    <row r="185" ht="12.75" customHeight="1">
      <c r="A185" s="1" t="s">
        <v>72</v>
      </c>
      <c r="B185" s="1" t="s">
        <v>2030</v>
      </c>
      <c r="C185" s="1" t="s">
        <v>74</v>
      </c>
      <c r="D185" s="1" t="s">
        <v>74</v>
      </c>
      <c r="E185" s="1" t="s">
        <v>74</v>
      </c>
      <c r="F185" s="1" t="s">
        <v>2031</v>
      </c>
      <c r="G185" s="1" t="s">
        <v>74</v>
      </c>
      <c r="H185" s="1" t="s">
        <v>74</v>
      </c>
      <c r="I185" s="1" t="s">
        <v>2032</v>
      </c>
      <c r="J185" s="1" t="s">
        <v>2033</v>
      </c>
      <c r="K185" s="1" t="s">
        <v>74</v>
      </c>
      <c r="L185" s="1" t="s">
        <v>74</v>
      </c>
      <c r="M185" s="1" t="s">
        <v>74</v>
      </c>
      <c r="N185" s="1" t="s">
        <v>74</v>
      </c>
      <c r="O185" s="1" t="s">
        <v>74</v>
      </c>
      <c r="P185" s="1" t="s">
        <v>74</v>
      </c>
      <c r="Q185" s="1" t="s">
        <v>74</v>
      </c>
      <c r="R185" s="1" t="s">
        <v>74</v>
      </c>
      <c r="S185" s="1" t="s">
        <v>74</v>
      </c>
      <c r="T185" s="1" t="s">
        <v>74</v>
      </c>
      <c r="U185" s="1" t="s">
        <v>74</v>
      </c>
      <c r="V185" s="1" t="s">
        <v>2034</v>
      </c>
      <c r="W185" s="1" t="s">
        <v>74</v>
      </c>
      <c r="X185" s="1" t="s">
        <v>74</v>
      </c>
      <c r="Y185" s="1" t="s">
        <v>74</v>
      </c>
      <c r="Z185" s="1" t="s">
        <v>74</v>
      </c>
      <c r="AA185" s="1" t="s">
        <v>2035</v>
      </c>
      <c r="AB185" s="1" t="s">
        <v>2036</v>
      </c>
      <c r="AC185" s="1" t="s">
        <v>74</v>
      </c>
      <c r="AD185" s="1" t="s">
        <v>74</v>
      </c>
      <c r="AE185" s="1" t="s">
        <v>74</v>
      </c>
      <c r="AF185" s="1" t="s">
        <v>74</v>
      </c>
      <c r="AG185" s="1" t="s">
        <v>74</v>
      </c>
      <c r="AH185" s="1" t="s">
        <v>74</v>
      </c>
      <c r="AI185" s="1" t="s">
        <v>74</v>
      </c>
      <c r="AJ185" s="1" t="s">
        <v>74</v>
      </c>
      <c r="AK185" s="1" t="s">
        <v>74</v>
      </c>
      <c r="AL185" s="1" t="s">
        <v>74</v>
      </c>
      <c r="AM185" s="1" t="s">
        <v>74</v>
      </c>
      <c r="AN185" s="1" t="s">
        <v>74</v>
      </c>
      <c r="AO185" s="1" t="s">
        <v>2037</v>
      </c>
      <c r="AP185" s="1" t="s">
        <v>74</v>
      </c>
      <c r="AQ185" s="1" t="s">
        <v>74</v>
      </c>
      <c r="AR185" s="1" t="s">
        <v>74</v>
      </c>
      <c r="AS185" s="1" t="s">
        <v>74</v>
      </c>
      <c r="AT185" s="1" t="s">
        <v>155</v>
      </c>
      <c r="AU185" s="1">
        <v>2019.0</v>
      </c>
      <c r="AV185" s="1">
        <v>12.0</v>
      </c>
      <c r="AW185" s="1" t="s">
        <v>74</v>
      </c>
      <c r="AX185" s="1" t="s">
        <v>74</v>
      </c>
      <c r="AY185" s="1" t="s">
        <v>74</v>
      </c>
      <c r="AZ185" s="1" t="s">
        <v>74</v>
      </c>
      <c r="BA185" s="1" t="s">
        <v>74</v>
      </c>
      <c r="BB185" s="1">
        <v>282.0</v>
      </c>
      <c r="BC185" s="1">
        <v>314.0</v>
      </c>
      <c r="BD185" s="1" t="s">
        <v>74</v>
      </c>
      <c r="BE185" s="1" t="s">
        <v>2038</v>
      </c>
      <c r="BF185" s="2" t="str">
        <f>HYPERLINK("http://dx.doi.org/10.1016/j.mtchem.2019.03.001","http://dx.doi.org/10.1016/j.mtchem.2019.03.001")</f>
        <v>http://dx.doi.org/10.1016/j.mtchem.2019.03.001</v>
      </c>
      <c r="BG185" s="1" t="s">
        <v>74</v>
      </c>
      <c r="BH185" s="1" t="s">
        <v>74</v>
      </c>
      <c r="BI185" s="1" t="s">
        <v>74</v>
      </c>
      <c r="BJ185" s="1" t="s">
        <v>74</v>
      </c>
      <c r="BK185" s="1" t="s">
        <v>74</v>
      </c>
      <c r="BL185" s="1" t="s">
        <v>74</v>
      </c>
      <c r="BM185" s="1" t="s">
        <v>74</v>
      </c>
      <c r="BN185" s="1" t="s">
        <v>74</v>
      </c>
      <c r="BO185" s="1" t="s">
        <v>74</v>
      </c>
      <c r="BP185" s="1" t="s">
        <v>74</v>
      </c>
      <c r="BQ185" s="1" t="s">
        <v>74</v>
      </c>
      <c r="BR185" s="1" t="s">
        <v>74</v>
      </c>
      <c r="BS185" s="1" t="s">
        <v>2039</v>
      </c>
      <c r="BT185" s="1" t="str">
        <f>HYPERLINK("https%3A%2F%2Fwww.webofscience.com%2Fwos%2Fwoscc%2Ffull-record%2FWOS:000470901900024","View Full Record in Web of Science")</f>
        <v>View Full Record in Web of Science</v>
      </c>
    </row>
    <row r="186" ht="12.75" customHeight="1">
      <c r="A186" s="1" t="s">
        <v>72</v>
      </c>
      <c r="B186" s="1" t="s">
        <v>2040</v>
      </c>
      <c r="C186" s="1" t="s">
        <v>74</v>
      </c>
      <c r="D186" s="1" t="s">
        <v>74</v>
      </c>
      <c r="E186" s="1" t="s">
        <v>74</v>
      </c>
      <c r="F186" s="1" t="s">
        <v>2041</v>
      </c>
      <c r="G186" s="1" t="s">
        <v>74</v>
      </c>
      <c r="H186" s="1" t="s">
        <v>74</v>
      </c>
      <c r="I186" s="1" t="s">
        <v>2042</v>
      </c>
      <c r="J186" s="1" t="s">
        <v>2043</v>
      </c>
      <c r="K186" s="1" t="s">
        <v>74</v>
      </c>
      <c r="L186" s="1" t="s">
        <v>74</v>
      </c>
      <c r="M186" s="1" t="s">
        <v>74</v>
      </c>
      <c r="N186" s="1" t="s">
        <v>74</v>
      </c>
      <c r="O186" s="1" t="s">
        <v>74</v>
      </c>
      <c r="P186" s="1" t="s">
        <v>74</v>
      </c>
      <c r="Q186" s="1" t="s">
        <v>74</v>
      </c>
      <c r="R186" s="1" t="s">
        <v>74</v>
      </c>
      <c r="S186" s="1" t="s">
        <v>74</v>
      </c>
      <c r="T186" s="1" t="s">
        <v>74</v>
      </c>
      <c r="U186" s="1" t="s">
        <v>74</v>
      </c>
      <c r="V186" s="1" t="s">
        <v>2044</v>
      </c>
      <c r="W186" s="1" t="s">
        <v>74</v>
      </c>
      <c r="X186" s="1" t="s">
        <v>74</v>
      </c>
      <c r="Y186" s="1" t="s">
        <v>74</v>
      </c>
      <c r="Z186" s="1" t="s">
        <v>74</v>
      </c>
      <c r="AA186" s="1" t="s">
        <v>2045</v>
      </c>
      <c r="AB186" s="1" t="s">
        <v>2046</v>
      </c>
      <c r="AC186" s="1" t="s">
        <v>74</v>
      </c>
      <c r="AD186" s="1" t="s">
        <v>74</v>
      </c>
      <c r="AE186" s="1" t="s">
        <v>74</v>
      </c>
      <c r="AF186" s="1" t="s">
        <v>74</v>
      </c>
      <c r="AG186" s="1" t="s">
        <v>74</v>
      </c>
      <c r="AH186" s="1" t="s">
        <v>74</v>
      </c>
      <c r="AI186" s="1" t="s">
        <v>74</v>
      </c>
      <c r="AJ186" s="1" t="s">
        <v>74</v>
      </c>
      <c r="AK186" s="1" t="s">
        <v>74</v>
      </c>
      <c r="AL186" s="1" t="s">
        <v>74</v>
      </c>
      <c r="AM186" s="1" t="s">
        <v>74</v>
      </c>
      <c r="AN186" s="1" t="s">
        <v>74</v>
      </c>
      <c r="AO186" s="1" t="s">
        <v>2047</v>
      </c>
      <c r="AP186" s="1" t="s">
        <v>2048</v>
      </c>
      <c r="AQ186" s="1" t="s">
        <v>74</v>
      </c>
      <c r="AR186" s="1" t="s">
        <v>74</v>
      </c>
      <c r="AS186" s="1" t="s">
        <v>74</v>
      </c>
      <c r="AT186" s="1" t="s">
        <v>464</v>
      </c>
      <c r="AU186" s="1">
        <v>2019.0</v>
      </c>
      <c r="AV186" s="1">
        <v>229.0</v>
      </c>
      <c r="AW186" s="1">
        <v>1.0</v>
      </c>
      <c r="AX186" s="1" t="s">
        <v>74</v>
      </c>
      <c r="AY186" s="1" t="s">
        <v>74</v>
      </c>
      <c r="AZ186" s="1" t="s">
        <v>74</v>
      </c>
      <c r="BA186" s="1" t="s">
        <v>74</v>
      </c>
      <c r="BB186" s="1">
        <v>219.0</v>
      </c>
      <c r="BC186" s="1">
        <v>254.0</v>
      </c>
      <c r="BD186" s="1" t="s">
        <v>74</v>
      </c>
      <c r="BE186" s="1" t="s">
        <v>2049</v>
      </c>
      <c r="BF186" s="2" t="str">
        <f>HYPERLINK("http://dx.doi.org/10.1007/s11856-018-1796-8","http://dx.doi.org/10.1007/s11856-018-1796-8")</f>
        <v>http://dx.doi.org/10.1007/s11856-018-1796-8</v>
      </c>
      <c r="BG186" s="1" t="s">
        <v>74</v>
      </c>
      <c r="BH186" s="1" t="s">
        <v>74</v>
      </c>
      <c r="BI186" s="1" t="s">
        <v>74</v>
      </c>
      <c r="BJ186" s="1" t="s">
        <v>74</v>
      </c>
      <c r="BK186" s="1" t="s">
        <v>74</v>
      </c>
      <c r="BL186" s="1" t="s">
        <v>74</v>
      </c>
      <c r="BM186" s="1" t="s">
        <v>74</v>
      </c>
      <c r="BN186" s="1" t="s">
        <v>74</v>
      </c>
      <c r="BO186" s="1" t="s">
        <v>74</v>
      </c>
      <c r="BP186" s="1" t="s">
        <v>74</v>
      </c>
      <c r="BQ186" s="1" t="s">
        <v>74</v>
      </c>
      <c r="BR186" s="1" t="s">
        <v>74</v>
      </c>
      <c r="BS186" s="1" t="s">
        <v>2050</v>
      </c>
      <c r="BT186" s="1" t="str">
        <f>HYPERLINK("https%3A%2F%2Fwww.webofscience.com%2Fwos%2Fwoscc%2Ffull-record%2FWOS:000457585900009","View Full Record in Web of Science")</f>
        <v>View Full Record in Web of Science</v>
      </c>
    </row>
    <row r="187" ht="12.75" customHeight="1">
      <c r="A187" s="1" t="s">
        <v>72</v>
      </c>
      <c r="B187" s="1" t="s">
        <v>2051</v>
      </c>
      <c r="C187" s="1" t="s">
        <v>74</v>
      </c>
      <c r="D187" s="1" t="s">
        <v>74</v>
      </c>
      <c r="E187" s="1" t="s">
        <v>74</v>
      </c>
      <c r="F187" s="1" t="s">
        <v>2052</v>
      </c>
      <c r="G187" s="1" t="s">
        <v>74</v>
      </c>
      <c r="H187" s="1" t="s">
        <v>74</v>
      </c>
      <c r="I187" s="1" t="s">
        <v>2053</v>
      </c>
      <c r="J187" s="1" t="s">
        <v>2054</v>
      </c>
      <c r="K187" s="1" t="s">
        <v>74</v>
      </c>
      <c r="L187" s="1" t="s">
        <v>74</v>
      </c>
      <c r="M187" s="1" t="s">
        <v>74</v>
      </c>
      <c r="N187" s="1" t="s">
        <v>74</v>
      </c>
      <c r="O187" s="1" t="s">
        <v>74</v>
      </c>
      <c r="P187" s="1" t="s">
        <v>74</v>
      </c>
      <c r="Q187" s="1" t="s">
        <v>74</v>
      </c>
      <c r="R187" s="1" t="s">
        <v>74</v>
      </c>
      <c r="S187" s="1" t="s">
        <v>74</v>
      </c>
      <c r="T187" s="1" t="s">
        <v>74</v>
      </c>
      <c r="U187" s="1" t="s">
        <v>74</v>
      </c>
      <c r="V187" s="1" t="s">
        <v>2055</v>
      </c>
      <c r="W187" s="1" t="s">
        <v>74</v>
      </c>
      <c r="X187" s="1" t="s">
        <v>74</v>
      </c>
      <c r="Y187" s="1" t="s">
        <v>74</v>
      </c>
      <c r="Z187" s="1" t="s">
        <v>74</v>
      </c>
      <c r="AA187" s="1" t="s">
        <v>2056</v>
      </c>
      <c r="AB187" s="1" t="s">
        <v>2057</v>
      </c>
      <c r="AC187" s="1" t="s">
        <v>74</v>
      </c>
      <c r="AD187" s="1" t="s">
        <v>74</v>
      </c>
      <c r="AE187" s="1" t="s">
        <v>74</v>
      </c>
      <c r="AF187" s="1" t="s">
        <v>74</v>
      </c>
      <c r="AG187" s="1" t="s">
        <v>74</v>
      </c>
      <c r="AH187" s="1" t="s">
        <v>74</v>
      </c>
      <c r="AI187" s="1" t="s">
        <v>74</v>
      </c>
      <c r="AJ187" s="1" t="s">
        <v>74</v>
      </c>
      <c r="AK187" s="1" t="s">
        <v>74</v>
      </c>
      <c r="AL187" s="1" t="s">
        <v>74</v>
      </c>
      <c r="AM187" s="1" t="s">
        <v>74</v>
      </c>
      <c r="AN187" s="1" t="s">
        <v>74</v>
      </c>
      <c r="AO187" s="1" t="s">
        <v>2058</v>
      </c>
      <c r="AP187" s="1" t="s">
        <v>74</v>
      </c>
      <c r="AQ187" s="1" t="s">
        <v>74</v>
      </c>
      <c r="AR187" s="1" t="s">
        <v>74</v>
      </c>
      <c r="AS187" s="1" t="s">
        <v>74</v>
      </c>
      <c r="AT187" s="1" t="s">
        <v>250</v>
      </c>
      <c r="AU187" s="1">
        <v>2018.0</v>
      </c>
      <c r="AV187" s="1">
        <v>8.0</v>
      </c>
      <c r="AW187" s="1">
        <v>9.0</v>
      </c>
      <c r="AX187" s="1" t="s">
        <v>74</v>
      </c>
      <c r="AY187" s="1" t="s">
        <v>74</v>
      </c>
      <c r="AZ187" s="1" t="s">
        <v>74</v>
      </c>
      <c r="BA187" s="1" t="s">
        <v>74</v>
      </c>
      <c r="BB187" s="1">
        <v>8406.0</v>
      </c>
      <c r="BC187" s="1">
        <v>8419.0</v>
      </c>
      <c r="BD187" s="1" t="s">
        <v>74</v>
      </c>
      <c r="BE187" s="1" t="s">
        <v>2059</v>
      </c>
      <c r="BF187" s="2" t="str">
        <f>HYPERLINK("http://dx.doi.org/10.1021/acscatal.8b01479","http://dx.doi.org/10.1021/acscatal.8b01479")</f>
        <v>http://dx.doi.org/10.1021/acscatal.8b01479</v>
      </c>
      <c r="BG187" s="1" t="s">
        <v>74</v>
      </c>
      <c r="BH187" s="1" t="s">
        <v>74</v>
      </c>
      <c r="BI187" s="1" t="s">
        <v>74</v>
      </c>
      <c r="BJ187" s="1" t="s">
        <v>74</v>
      </c>
      <c r="BK187" s="1" t="s">
        <v>74</v>
      </c>
      <c r="BL187" s="1" t="s">
        <v>74</v>
      </c>
      <c r="BM187" s="1" t="s">
        <v>74</v>
      </c>
      <c r="BN187" s="1" t="s">
        <v>74</v>
      </c>
      <c r="BO187" s="1" t="s">
        <v>74</v>
      </c>
      <c r="BP187" s="1" t="s">
        <v>74</v>
      </c>
      <c r="BQ187" s="1" t="s">
        <v>74</v>
      </c>
      <c r="BR187" s="1" t="s">
        <v>74</v>
      </c>
      <c r="BS187" s="1" t="s">
        <v>2060</v>
      </c>
      <c r="BT187" s="1" t="str">
        <f>HYPERLINK("https%3A%2F%2Fwww.webofscience.com%2Fwos%2Fwoscc%2Ffull-record%2FWOS:000444364800070","View Full Record in Web of Science")</f>
        <v>View Full Record in Web of Science</v>
      </c>
    </row>
    <row r="188" ht="12.75" customHeight="1">
      <c r="A188" s="1" t="s">
        <v>72</v>
      </c>
      <c r="B188" s="1" t="s">
        <v>2061</v>
      </c>
      <c r="C188" s="1" t="s">
        <v>74</v>
      </c>
      <c r="D188" s="1" t="s">
        <v>74</v>
      </c>
      <c r="E188" s="1" t="s">
        <v>74</v>
      </c>
      <c r="F188" s="1" t="s">
        <v>2062</v>
      </c>
      <c r="G188" s="1" t="s">
        <v>74</v>
      </c>
      <c r="H188" s="1" t="s">
        <v>74</v>
      </c>
      <c r="I188" s="1" t="s">
        <v>2063</v>
      </c>
      <c r="J188" s="1" t="s">
        <v>2064</v>
      </c>
      <c r="K188" s="1" t="s">
        <v>74</v>
      </c>
      <c r="L188" s="1" t="s">
        <v>74</v>
      </c>
      <c r="M188" s="1" t="s">
        <v>74</v>
      </c>
      <c r="N188" s="1" t="s">
        <v>74</v>
      </c>
      <c r="O188" s="1" t="s">
        <v>74</v>
      </c>
      <c r="P188" s="1" t="s">
        <v>74</v>
      </c>
      <c r="Q188" s="1" t="s">
        <v>74</v>
      </c>
      <c r="R188" s="1" t="s">
        <v>74</v>
      </c>
      <c r="S188" s="1" t="s">
        <v>74</v>
      </c>
      <c r="T188" s="1" t="s">
        <v>74</v>
      </c>
      <c r="U188" s="1" t="s">
        <v>74</v>
      </c>
      <c r="V188" s="1" t="s">
        <v>2065</v>
      </c>
      <c r="W188" s="1" t="s">
        <v>74</v>
      </c>
      <c r="X188" s="1" t="s">
        <v>74</v>
      </c>
      <c r="Y188" s="1" t="s">
        <v>74</v>
      </c>
      <c r="Z188" s="1" t="s">
        <v>74</v>
      </c>
      <c r="AA188" s="1" t="s">
        <v>2066</v>
      </c>
      <c r="AB188" s="1" t="s">
        <v>2067</v>
      </c>
      <c r="AC188" s="1" t="s">
        <v>74</v>
      </c>
      <c r="AD188" s="1" t="s">
        <v>74</v>
      </c>
      <c r="AE188" s="1" t="s">
        <v>74</v>
      </c>
      <c r="AF188" s="1" t="s">
        <v>74</v>
      </c>
      <c r="AG188" s="1" t="s">
        <v>74</v>
      </c>
      <c r="AH188" s="1" t="s">
        <v>74</v>
      </c>
      <c r="AI188" s="1" t="s">
        <v>74</v>
      </c>
      <c r="AJ188" s="1" t="s">
        <v>74</v>
      </c>
      <c r="AK188" s="1" t="s">
        <v>74</v>
      </c>
      <c r="AL188" s="1" t="s">
        <v>74</v>
      </c>
      <c r="AM188" s="1" t="s">
        <v>74</v>
      </c>
      <c r="AN188" s="1" t="s">
        <v>74</v>
      </c>
      <c r="AO188" s="1" t="s">
        <v>2068</v>
      </c>
      <c r="AP188" s="1" t="s">
        <v>74</v>
      </c>
      <c r="AQ188" s="1" t="s">
        <v>74</v>
      </c>
      <c r="AR188" s="1" t="s">
        <v>74</v>
      </c>
      <c r="AS188" s="1" t="s">
        <v>74</v>
      </c>
      <c r="AT188" s="1" t="s">
        <v>2069</v>
      </c>
      <c r="AU188" s="1">
        <v>2018.0</v>
      </c>
      <c r="AV188" s="1">
        <v>9.0</v>
      </c>
      <c r="AW188" s="1" t="s">
        <v>74</v>
      </c>
      <c r="AX188" s="1" t="s">
        <v>74</v>
      </c>
      <c r="AY188" s="1" t="s">
        <v>74</v>
      </c>
      <c r="AZ188" s="1" t="s">
        <v>74</v>
      </c>
      <c r="BA188" s="1" t="s">
        <v>74</v>
      </c>
      <c r="BB188" s="1" t="s">
        <v>74</v>
      </c>
      <c r="BC188" s="1" t="s">
        <v>74</v>
      </c>
      <c r="BD188" s="1">
        <v>1241.0</v>
      </c>
      <c r="BE188" s="1" t="s">
        <v>2070</v>
      </c>
      <c r="BF188" s="2" t="str">
        <f>HYPERLINK("http://dx.doi.org/10.3389/fimmu.2018.01241","http://dx.doi.org/10.3389/fimmu.2018.01241")</f>
        <v>http://dx.doi.org/10.3389/fimmu.2018.01241</v>
      </c>
      <c r="BG188" s="1" t="s">
        <v>74</v>
      </c>
      <c r="BH188" s="1" t="s">
        <v>74</v>
      </c>
      <c r="BI188" s="1" t="s">
        <v>74</v>
      </c>
      <c r="BJ188" s="1" t="s">
        <v>74</v>
      </c>
      <c r="BK188" s="1" t="s">
        <v>74</v>
      </c>
      <c r="BL188" s="1" t="s">
        <v>74</v>
      </c>
      <c r="BM188" s="1" t="s">
        <v>74</v>
      </c>
      <c r="BN188" s="1">
        <v>2.9915591E7</v>
      </c>
      <c r="BO188" s="1" t="s">
        <v>74</v>
      </c>
      <c r="BP188" s="1" t="s">
        <v>74</v>
      </c>
      <c r="BQ188" s="1" t="s">
        <v>74</v>
      </c>
      <c r="BR188" s="1" t="s">
        <v>74</v>
      </c>
      <c r="BS188" s="1" t="s">
        <v>2071</v>
      </c>
      <c r="BT188" s="1" t="str">
        <f>HYPERLINK("https%3A%2F%2Fwww.webofscience.com%2Fwos%2Fwoscc%2Ffull-record%2FWOS:000434044400002","View Full Record in Web of Science")</f>
        <v>View Full Record in Web of Science</v>
      </c>
    </row>
    <row r="189" ht="12.75" customHeight="1">
      <c r="A189" s="1" t="s">
        <v>72</v>
      </c>
      <c r="B189" s="1" t="s">
        <v>2072</v>
      </c>
      <c r="C189" s="1" t="s">
        <v>74</v>
      </c>
      <c r="D189" s="1" t="s">
        <v>74</v>
      </c>
      <c r="E189" s="1" t="s">
        <v>74</v>
      </c>
      <c r="F189" s="1" t="s">
        <v>2073</v>
      </c>
      <c r="G189" s="1" t="s">
        <v>74</v>
      </c>
      <c r="H189" s="1" t="s">
        <v>74</v>
      </c>
      <c r="I189" s="1" t="s">
        <v>2074</v>
      </c>
      <c r="J189" s="1" t="s">
        <v>2075</v>
      </c>
      <c r="K189" s="1" t="s">
        <v>74</v>
      </c>
      <c r="L189" s="1" t="s">
        <v>74</v>
      </c>
      <c r="M189" s="1" t="s">
        <v>74</v>
      </c>
      <c r="N189" s="1" t="s">
        <v>74</v>
      </c>
      <c r="O189" s="1" t="s">
        <v>74</v>
      </c>
      <c r="P189" s="1" t="s">
        <v>74</v>
      </c>
      <c r="Q189" s="1" t="s">
        <v>74</v>
      </c>
      <c r="R189" s="1" t="s">
        <v>74</v>
      </c>
      <c r="S189" s="1" t="s">
        <v>74</v>
      </c>
      <c r="T189" s="1" t="s">
        <v>74</v>
      </c>
      <c r="U189" s="1" t="s">
        <v>74</v>
      </c>
      <c r="V189" s="1" t="s">
        <v>2076</v>
      </c>
      <c r="W189" s="1" t="s">
        <v>74</v>
      </c>
      <c r="X189" s="1" t="s">
        <v>74</v>
      </c>
      <c r="Y189" s="1" t="s">
        <v>74</v>
      </c>
      <c r="Z189" s="1" t="s">
        <v>74</v>
      </c>
      <c r="AA189" s="1" t="s">
        <v>2077</v>
      </c>
      <c r="AB189" s="1" t="s">
        <v>2078</v>
      </c>
      <c r="AC189" s="1" t="s">
        <v>74</v>
      </c>
      <c r="AD189" s="1" t="s">
        <v>74</v>
      </c>
      <c r="AE189" s="1" t="s">
        <v>74</v>
      </c>
      <c r="AF189" s="1" t="s">
        <v>74</v>
      </c>
      <c r="AG189" s="1" t="s">
        <v>74</v>
      </c>
      <c r="AH189" s="1" t="s">
        <v>74</v>
      </c>
      <c r="AI189" s="1" t="s">
        <v>74</v>
      </c>
      <c r="AJ189" s="1" t="s">
        <v>74</v>
      </c>
      <c r="AK189" s="1" t="s">
        <v>74</v>
      </c>
      <c r="AL189" s="1" t="s">
        <v>74</v>
      </c>
      <c r="AM189" s="1" t="s">
        <v>74</v>
      </c>
      <c r="AN189" s="1" t="s">
        <v>74</v>
      </c>
      <c r="AO189" s="1" t="s">
        <v>2079</v>
      </c>
      <c r="AP189" s="1" t="s">
        <v>2080</v>
      </c>
      <c r="AQ189" s="1" t="s">
        <v>74</v>
      </c>
      <c r="AR189" s="1" t="s">
        <v>74</v>
      </c>
      <c r="AS189" s="1" t="s">
        <v>74</v>
      </c>
      <c r="AT189" s="1" t="s">
        <v>129</v>
      </c>
      <c r="AU189" s="1">
        <v>2018.0</v>
      </c>
      <c r="AV189" s="1">
        <v>30.0</v>
      </c>
      <c r="AW189" s="1">
        <v>1.0</v>
      </c>
      <c r="AX189" s="1" t="s">
        <v>74</v>
      </c>
      <c r="AY189" s="1" t="s">
        <v>74</v>
      </c>
      <c r="AZ189" s="1" t="s">
        <v>74</v>
      </c>
      <c r="BA189" s="1" t="s">
        <v>74</v>
      </c>
      <c r="BB189" s="1" t="s">
        <v>74</v>
      </c>
      <c r="BC189" s="1" t="s">
        <v>74</v>
      </c>
      <c r="BD189" s="1" t="s">
        <v>2081</v>
      </c>
      <c r="BE189" s="1" t="s">
        <v>2082</v>
      </c>
      <c r="BF189" s="2" t="str">
        <f>HYPERLINK("http://dx.doi.org/10.1002/ajhb.23071","http://dx.doi.org/10.1002/ajhb.23071")</f>
        <v>http://dx.doi.org/10.1002/ajhb.23071</v>
      </c>
      <c r="BG189" s="1" t="s">
        <v>74</v>
      </c>
      <c r="BH189" s="1" t="s">
        <v>74</v>
      </c>
      <c r="BI189" s="1" t="s">
        <v>74</v>
      </c>
      <c r="BJ189" s="1" t="s">
        <v>74</v>
      </c>
      <c r="BK189" s="1" t="s">
        <v>74</v>
      </c>
      <c r="BL189" s="1" t="s">
        <v>74</v>
      </c>
      <c r="BM189" s="1" t="s">
        <v>74</v>
      </c>
      <c r="BN189" s="1">
        <v>2.8987018E7</v>
      </c>
      <c r="BO189" s="1" t="s">
        <v>74</v>
      </c>
      <c r="BP189" s="1" t="s">
        <v>74</v>
      </c>
      <c r="BQ189" s="1" t="s">
        <v>74</v>
      </c>
      <c r="BR189" s="1" t="s">
        <v>74</v>
      </c>
      <c r="BS189" s="1" t="s">
        <v>2083</v>
      </c>
      <c r="BT189" s="1" t="str">
        <f>HYPERLINK("https%3A%2F%2Fwww.webofscience.com%2Fwos%2Fwoscc%2Ffull-record%2FWOS:000423372100018","View Full Record in Web of Science")</f>
        <v>View Full Record in Web of Science</v>
      </c>
    </row>
    <row r="190" ht="12.75" customHeight="1">
      <c r="A190" s="1" t="s">
        <v>72</v>
      </c>
      <c r="B190" s="1" t="s">
        <v>2084</v>
      </c>
      <c r="C190" s="1" t="s">
        <v>74</v>
      </c>
      <c r="D190" s="1" t="s">
        <v>74</v>
      </c>
      <c r="E190" s="1" t="s">
        <v>74</v>
      </c>
      <c r="F190" s="1" t="s">
        <v>2085</v>
      </c>
      <c r="G190" s="1" t="s">
        <v>74</v>
      </c>
      <c r="H190" s="1" t="s">
        <v>74</v>
      </c>
      <c r="I190" s="1" t="s">
        <v>2086</v>
      </c>
      <c r="J190" s="1" t="s">
        <v>2087</v>
      </c>
      <c r="K190" s="1" t="s">
        <v>74</v>
      </c>
      <c r="L190" s="1" t="s">
        <v>74</v>
      </c>
      <c r="M190" s="1" t="s">
        <v>74</v>
      </c>
      <c r="N190" s="1" t="s">
        <v>74</v>
      </c>
      <c r="O190" s="1" t="s">
        <v>74</v>
      </c>
      <c r="P190" s="1" t="s">
        <v>74</v>
      </c>
      <c r="Q190" s="1" t="s">
        <v>74</v>
      </c>
      <c r="R190" s="1" t="s">
        <v>74</v>
      </c>
      <c r="S190" s="1" t="s">
        <v>74</v>
      </c>
      <c r="T190" s="1" t="s">
        <v>74</v>
      </c>
      <c r="U190" s="1" t="s">
        <v>74</v>
      </c>
      <c r="V190" s="1" t="s">
        <v>2088</v>
      </c>
      <c r="W190" s="1" t="s">
        <v>74</v>
      </c>
      <c r="X190" s="1" t="s">
        <v>74</v>
      </c>
      <c r="Y190" s="1" t="s">
        <v>74</v>
      </c>
      <c r="Z190" s="1" t="s">
        <v>74</v>
      </c>
      <c r="AA190" s="1" t="s">
        <v>2089</v>
      </c>
      <c r="AB190" s="1" t="s">
        <v>2090</v>
      </c>
      <c r="AC190" s="1" t="s">
        <v>74</v>
      </c>
      <c r="AD190" s="1" t="s">
        <v>74</v>
      </c>
      <c r="AE190" s="1" t="s">
        <v>74</v>
      </c>
      <c r="AF190" s="1" t="s">
        <v>74</v>
      </c>
      <c r="AG190" s="1" t="s">
        <v>74</v>
      </c>
      <c r="AH190" s="1" t="s">
        <v>74</v>
      </c>
      <c r="AI190" s="1" t="s">
        <v>74</v>
      </c>
      <c r="AJ190" s="1" t="s">
        <v>74</v>
      </c>
      <c r="AK190" s="1" t="s">
        <v>74</v>
      </c>
      <c r="AL190" s="1" t="s">
        <v>74</v>
      </c>
      <c r="AM190" s="1" t="s">
        <v>74</v>
      </c>
      <c r="AN190" s="1" t="s">
        <v>74</v>
      </c>
      <c r="AO190" s="1" t="s">
        <v>2091</v>
      </c>
      <c r="AP190" s="1" t="s">
        <v>2092</v>
      </c>
      <c r="AQ190" s="1" t="s">
        <v>74</v>
      </c>
      <c r="AR190" s="1" t="s">
        <v>74</v>
      </c>
      <c r="AS190" s="1" t="s">
        <v>74</v>
      </c>
      <c r="AT190" s="1" t="s">
        <v>2093</v>
      </c>
      <c r="AU190" s="1">
        <v>2017.0</v>
      </c>
      <c r="AV190" s="1">
        <v>5.0</v>
      </c>
      <c r="AW190" s="1">
        <v>24.0</v>
      </c>
      <c r="AX190" s="1" t="s">
        <v>74</v>
      </c>
      <c r="AY190" s="1" t="s">
        <v>74</v>
      </c>
      <c r="AZ190" s="1" t="s">
        <v>74</v>
      </c>
      <c r="BA190" s="1" t="s">
        <v>74</v>
      </c>
      <c r="BB190" s="1">
        <v>12054.0</v>
      </c>
      <c r="BC190" s="1">
        <v>12059.0</v>
      </c>
      <c r="BD190" s="1" t="s">
        <v>74</v>
      </c>
      <c r="BE190" s="1" t="s">
        <v>2094</v>
      </c>
      <c r="BF190" s="2" t="str">
        <f>HYPERLINK("http://dx.doi.org/10.1039/c7ta02381b","http://dx.doi.org/10.1039/c7ta02381b")</f>
        <v>http://dx.doi.org/10.1039/c7ta02381b</v>
      </c>
      <c r="BG190" s="1" t="s">
        <v>74</v>
      </c>
      <c r="BH190" s="1" t="s">
        <v>74</v>
      </c>
      <c r="BI190" s="1" t="s">
        <v>74</v>
      </c>
      <c r="BJ190" s="1" t="s">
        <v>74</v>
      </c>
      <c r="BK190" s="1" t="s">
        <v>74</v>
      </c>
      <c r="BL190" s="1" t="s">
        <v>74</v>
      </c>
      <c r="BM190" s="1" t="s">
        <v>74</v>
      </c>
      <c r="BN190" s="1" t="s">
        <v>74</v>
      </c>
      <c r="BO190" s="1" t="s">
        <v>74</v>
      </c>
      <c r="BP190" s="1" t="s">
        <v>74</v>
      </c>
      <c r="BQ190" s="1" t="s">
        <v>74</v>
      </c>
      <c r="BR190" s="1" t="s">
        <v>74</v>
      </c>
      <c r="BS190" s="1" t="s">
        <v>2095</v>
      </c>
      <c r="BT190" s="1" t="str">
        <f>HYPERLINK("https%3A%2F%2Fwww.webofscience.com%2Fwos%2Fwoscc%2Ffull-record%2FWOS:000403664800009","View Full Record in Web of Science")</f>
        <v>View Full Record in Web of Science</v>
      </c>
    </row>
    <row r="191" ht="12.75" customHeight="1">
      <c r="A191" s="1" t="s">
        <v>72</v>
      </c>
      <c r="B191" s="1" t="s">
        <v>2096</v>
      </c>
      <c r="C191" s="1" t="s">
        <v>74</v>
      </c>
      <c r="D191" s="1" t="s">
        <v>74</v>
      </c>
      <c r="E191" s="1" t="s">
        <v>74</v>
      </c>
      <c r="F191" s="1" t="s">
        <v>2097</v>
      </c>
      <c r="G191" s="1" t="s">
        <v>74</v>
      </c>
      <c r="H191" s="1" t="s">
        <v>74</v>
      </c>
      <c r="I191" s="1" t="s">
        <v>2098</v>
      </c>
      <c r="J191" s="1" t="s">
        <v>1385</v>
      </c>
      <c r="K191" s="1" t="s">
        <v>74</v>
      </c>
      <c r="L191" s="1" t="s">
        <v>74</v>
      </c>
      <c r="M191" s="1" t="s">
        <v>74</v>
      </c>
      <c r="N191" s="1" t="s">
        <v>74</v>
      </c>
      <c r="O191" s="1" t="s">
        <v>74</v>
      </c>
      <c r="P191" s="1" t="s">
        <v>74</v>
      </c>
      <c r="Q191" s="1" t="s">
        <v>74</v>
      </c>
      <c r="R191" s="1" t="s">
        <v>74</v>
      </c>
      <c r="S191" s="1" t="s">
        <v>74</v>
      </c>
      <c r="T191" s="1" t="s">
        <v>74</v>
      </c>
      <c r="U191" s="1" t="s">
        <v>74</v>
      </c>
      <c r="V191" s="1" t="s">
        <v>2099</v>
      </c>
      <c r="W191" s="1" t="s">
        <v>74</v>
      </c>
      <c r="X191" s="1" t="s">
        <v>74</v>
      </c>
      <c r="Y191" s="1" t="s">
        <v>74</v>
      </c>
      <c r="Z191" s="1" t="s">
        <v>74</v>
      </c>
      <c r="AA191" s="1" t="s">
        <v>2100</v>
      </c>
      <c r="AB191" s="1" t="s">
        <v>2101</v>
      </c>
      <c r="AC191" s="1" t="s">
        <v>74</v>
      </c>
      <c r="AD191" s="1" t="s">
        <v>74</v>
      </c>
      <c r="AE191" s="1" t="s">
        <v>74</v>
      </c>
      <c r="AF191" s="1" t="s">
        <v>74</v>
      </c>
      <c r="AG191" s="1" t="s">
        <v>74</v>
      </c>
      <c r="AH191" s="1" t="s">
        <v>74</v>
      </c>
      <c r="AI191" s="1" t="s">
        <v>74</v>
      </c>
      <c r="AJ191" s="1" t="s">
        <v>74</v>
      </c>
      <c r="AK191" s="1" t="s">
        <v>74</v>
      </c>
      <c r="AL191" s="1" t="s">
        <v>74</v>
      </c>
      <c r="AM191" s="1" t="s">
        <v>74</v>
      </c>
      <c r="AN191" s="1" t="s">
        <v>74</v>
      </c>
      <c r="AO191" s="1" t="s">
        <v>1627</v>
      </c>
      <c r="AP191" s="1" t="s">
        <v>74</v>
      </c>
      <c r="AQ191" s="1" t="s">
        <v>74</v>
      </c>
      <c r="AR191" s="1" t="s">
        <v>74</v>
      </c>
      <c r="AS191" s="1" t="s">
        <v>74</v>
      </c>
      <c r="AT191" s="1" t="s">
        <v>559</v>
      </c>
      <c r="AU191" s="1">
        <v>2016.0</v>
      </c>
      <c r="AV191" s="1">
        <v>61.0</v>
      </c>
      <c r="AW191" s="1">
        <v>4.0</v>
      </c>
      <c r="AX191" s="1" t="s">
        <v>74</v>
      </c>
      <c r="AY191" s="1" t="s">
        <v>74</v>
      </c>
      <c r="AZ191" s="1" t="s">
        <v>74</v>
      </c>
      <c r="BA191" s="1" t="s">
        <v>74</v>
      </c>
      <c r="BB191" s="1">
        <v>3277.0</v>
      </c>
      <c r="BC191" s="1">
        <v>3280.0</v>
      </c>
      <c r="BD191" s="1" t="s">
        <v>74</v>
      </c>
      <c r="BE191" s="1" t="s">
        <v>2102</v>
      </c>
      <c r="BF191" s="2" t="str">
        <f>HYPERLINK("http://dx.doi.org/10.4067/S0717-97072016000400025","http://dx.doi.org/10.4067/S0717-97072016000400025")</f>
        <v>http://dx.doi.org/10.4067/S0717-97072016000400025</v>
      </c>
      <c r="BG191" s="1" t="s">
        <v>74</v>
      </c>
      <c r="BH191" s="1" t="s">
        <v>74</v>
      </c>
      <c r="BI191" s="1" t="s">
        <v>74</v>
      </c>
      <c r="BJ191" s="1" t="s">
        <v>74</v>
      </c>
      <c r="BK191" s="1" t="s">
        <v>74</v>
      </c>
      <c r="BL191" s="1" t="s">
        <v>74</v>
      </c>
      <c r="BM191" s="1" t="s">
        <v>74</v>
      </c>
      <c r="BN191" s="1" t="s">
        <v>74</v>
      </c>
      <c r="BO191" s="1" t="s">
        <v>74</v>
      </c>
      <c r="BP191" s="1" t="s">
        <v>74</v>
      </c>
      <c r="BQ191" s="1" t="s">
        <v>74</v>
      </c>
      <c r="BR191" s="1" t="s">
        <v>74</v>
      </c>
      <c r="BS191" s="1" t="s">
        <v>2103</v>
      </c>
      <c r="BT191" s="1" t="str">
        <f>HYPERLINK("https%3A%2F%2Fwww.webofscience.com%2Fwos%2Fwoscc%2Ffull-record%2FWOS:000393079900025","View Full Record in Web of Science")</f>
        <v>View Full Record in Web of Science</v>
      </c>
    </row>
    <row r="192" ht="12.75" customHeight="1">
      <c r="A192" s="1" t="s">
        <v>72</v>
      </c>
      <c r="B192" s="1" t="s">
        <v>2104</v>
      </c>
      <c r="C192" s="1" t="s">
        <v>74</v>
      </c>
      <c r="D192" s="1" t="s">
        <v>74</v>
      </c>
      <c r="E192" s="1" t="s">
        <v>74</v>
      </c>
      <c r="F192" s="1" t="s">
        <v>2105</v>
      </c>
      <c r="G192" s="1" t="s">
        <v>74</v>
      </c>
      <c r="H192" s="1" t="s">
        <v>74</v>
      </c>
      <c r="I192" s="1" t="s">
        <v>2106</v>
      </c>
      <c r="J192" s="1" t="s">
        <v>2107</v>
      </c>
      <c r="K192" s="1" t="s">
        <v>74</v>
      </c>
      <c r="L192" s="1" t="s">
        <v>74</v>
      </c>
      <c r="M192" s="1" t="s">
        <v>74</v>
      </c>
      <c r="N192" s="1" t="s">
        <v>74</v>
      </c>
      <c r="O192" s="1" t="s">
        <v>74</v>
      </c>
      <c r="P192" s="1" t="s">
        <v>74</v>
      </c>
      <c r="Q192" s="1" t="s">
        <v>74</v>
      </c>
      <c r="R192" s="1" t="s">
        <v>74</v>
      </c>
      <c r="S192" s="1" t="s">
        <v>74</v>
      </c>
      <c r="T192" s="1" t="s">
        <v>74</v>
      </c>
      <c r="U192" s="1" t="s">
        <v>74</v>
      </c>
      <c r="V192" s="1" t="s">
        <v>2108</v>
      </c>
      <c r="W192" s="1" t="s">
        <v>74</v>
      </c>
      <c r="X192" s="1" t="s">
        <v>74</v>
      </c>
      <c r="Y192" s="1" t="s">
        <v>74</v>
      </c>
      <c r="Z192" s="1" t="s">
        <v>74</v>
      </c>
      <c r="AA192" s="1" t="s">
        <v>74</v>
      </c>
      <c r="AB192" s="1" t="s">
        <v>74</v>
      </c>
      <c r="AC192" s="1" t="s">
        <v>74</v>
      </c>
      <c r="AD192" s="1" t="s">
        <v>74</v>
      </c>
      <c r="AE192" s="1" t="s">
        <v>74</v>
      </c>
      <c r="AF192" s="1" t="s">
        <v>74</v>
      </c>
      <c r="AG192" s="1" t="s">
        <v>74</v>
      </c>
      <c r="AH192" s="1" t="s">
        <v>74</v>
      </c>
      <c r="AI192" s="1" t="s">
        <v>74</v>
      </c>
      <c r="AJ192" s="1" t="s">
        <v>74</v>
      </c>
      <c r="AK192" s="1" t="s">
        <v>74</v>
      </c>
      <c r="AL192" s="1" t="s">
        <v>74</v>
      </c>
      <c r="AM192" s="1" t="s">
        <v>74</v>
      </c>
      <c r="AN192" s="1" t="s">
        <v>74</v>
      </c>
      <c r="AO192" s="1" t="s">
        <v>2109</v>
      </c>
      <c r="AP192" s="1" t="s">
        <v>2110</v>
      </c>
      <c r="AQ192" s="1" t="s">
        <v>74</v>
      </c>
      <c r="AR192" s="1" t="s">
        <v>74</v>
      </c>
      <c r="AS192" s="1" t="s">
        <v>74</v>
      </c>
      <c r="AT192" s="1" t="s">
        <v>2111</v>
      </c>
      <c r="AU192" s="1">
        <v>2014.0</v>
      </c>
      <c r="AV192" s="1">
        <v>74.0</v>
      </c>
      <c r="AW192" s="1">
        <v>11.0</v>
      </c>
      <c r="AX192" s="1" t="s">
        <v>74</v>
      </c>
      <c r="AY192" s="1" t="s">
        <v>74</v>
      </c>
      <c r="AZ192" s="1" t="s">
        <v>74</v>
      </c>
      <c r="BA192" s="1" t="s">
        <v>74</v>
      </c>
      <c r="BB192" s="1" t="s">
        <v>74</v>
      </c>
      <c r="BC192" s="1" t="s">
        <v>74</v>
      </c>
      <c r="BD192" s="1">
        <v>3172.0</v>
      </c>
      <c r="BE192" s="1" t="s">
        <v>2112</v>
      </c>
      <c r="BF192" s="2" t="str">
        <f>HYPERLINK("http://dx.doi.org/10.1140/epjc/s10052-014-3172-0","http://dx.doi.org/10.1140/epjc/s10052-014-3172-0")</f>
        <v>http://dx.doi.org/10.1140/epjc/s10052-014-3172-0</v>
      </c>
      <c r="BG192" s="1" t="s">
        <v>74</v>
      </c>
      <c r="BH192" s="1" t="s">
        <v>74</v>
      </c>
      <c r="BI192" s="1" t="s">
        <v>74</v>
      </c>
      <c r="BJ192" s="1" t="s">
        <v>74</v>
      </c>
      <c r="BK192" s="1" t="s">
        <v>74</v>
      </c>
      <c r="BL192" s="1" t="s">
        <v>74</v>
      </c>
      <c r="BM192" s="1" t="s">
        <v>74</v>
      </c>
      <c r="BN192" s="1" t="s">
        <v>74</v>
      </c>
      <c r="BO192" s="1" t="s">
        <v>74</v>
      </c>
      <c r="BP192" s="1" t="s">
        <v>74</v>
      </c>
      <c r="BQ192" s="1" t="s">
        <v>74</v>
      </c>
      <c r="BR192" s="1" t="s">
        <v>74</v>
      </c>
      <c r="BS192" s="1" t="s">
        <v>2113</v>
      </c>
      <c r="BT192" s="1" t="str">
        <f>HYPERLINK("https%3A%2F%2Fwww.webofscience.com%2Fwos%2Fwoscc%2Ffull-record%2FWOS:000347178600001","View Full Record in Web of Science")</f>
        <v>View Full Record in Web of Science</v>
      </c>
    </row>
    <row r="193" ht="12.75" customHeight="1">
      <c r="A193" s="1" t="s">
        <v>72</v>
      </c>
      <c r="B193" s="1" t="s">
        <v>2114</v>
      </c>
      <c r="C193" s="1" t="s">
        <v>74</v>
      </c>
      <c r="D193" s="1" t="s">
        <v>74</v>
      </c>
      <c r="E193" s="1" t="s">
        <v>74</v>
      </c>
      <c r="F193" s="1" t="s">
        <v>2115</v>
      </c>
      <c r="G193" s="1" t="s">
        <v>74</v>
      </c>
      <c r="H193" s="1" t="s">
        <v>74</v>
      </c>
      <c r="I193" s="1" t="s">
        <v>2116</v>
      </c>
      <c r="J193" s="1" t="s">
        <v>2117</v>
      </c>
      <c r="K193" s="1" t="s">
        <v>74</v>
      </c>
      <c r="L193" s="1" t="s">
        <v>74</v>
      </c>
      <c r="M193" s="1" t="s">
        <v>74</v>
      </c>
      <c r="N193" s="1" t="s">
        <v>74</v>
      </c>
      <c r="O193" s="1" t="s">
        <v>74</v>
      </c>
      <c r="P193" s="1" t="s">
        <v>74</v>
      </c>
      <c r="Q193" s="1" t="s">
        <v>74</v>
      </c>
      <c r="R193" s="1" t="s">
        <v>74</v>
      </c>
      <c r="S193" s="1" t="s">
        <v>74</v>
      </c>
      <c r="T193" s="1" t="s">
        <v>74</v>
      </c>
      <c r="U193" s="1" t="s">
        <v>74</v>
      </c>
      <c r="V193" s="1" t="s">
        <v>2118</v>
      </c>
      <c r="W193" s="1" t="s">
        <v>74</v>
      </c>
      <c r="X193" s="1" t="s">
        <v>74</v>
      </c>
      <c r="Y193" s="1" t="s">
        <v>74</v>
      </c>
      <c r="Z193" s="1" t="s">
        <v>74</v>
      </c>
      <c r="AA193" s="1" t="s">
        <v>2119</v>
      </c>
      <c r="AB193" s="1" t="s">
        <v>2120</v>
      </c>
      <c r="AC193" s="1" t="s">
        <v>74</v>
      </c>
      <c r="AD193" s="1" t="s">
        <v>74</v>
      </c>
      <c r="AE193" s="1" t="s">
        <v>74</v>
      </c>
      <c r="AF193" s="1" t="s">
        <v>74</v>
      </c>
      <c r="AG193" s="1" t="s">
        <v>74</v>
      </c>
      <c r="AH193" s="1" t="s">
        <v>74</v>
      </c>
      <c r="AI193" s="1" t="s">
        <v>74</v>
      </c>
      <c r="AJ193" s="1" t="s">
        <v>74</v>
      </c>
      <c r="AK193" s="1" t="s">
        <v>74</v>
      </c>
      <c r="AL193" s="1" t="s">
        <v>74</v>
      </c>
      <c r="AM193" s="1" t="s">
        <v>74</v>
      </c>
      <c r="AN193" s="1" t="s">
        <v>74</v>
      </c>
      <c r="AO193" s="1" t="s">
        <v>2121</v>
      </c>
      <c r="AP193" s="1" t="s">
        <v>2122</v>
      </c>
      <c r="AQ193" s="1" t="s">
        <v>74</v>
      </c>
      <c r="AR193" s="1" t="s">
        <v>74</v>
      </c>
      <c r="AS193" s="1" t="s">
        <v>74</v>
      </c>
      <c r="AT193" s="1" t="s">
        <v>438</v>
      </c>
      <c r="AU193" s="1">
        <v>2010.0</v>
      </c>
      <c r="AV193" s="1">
        <v>45.0</v>
      </c>
      <c r="AW193" s="1">
        <v>4.0</v>
      </c>
      <c r="AX193" s="1" t="s">
        <v>74</v>
      </c>
      <c r="AY193" s="1" t="s">
        <v>74</v>
      </c>
      <c r="AZ193" s="1" t="s">
        <v>74</v>
      </c>
      <c r="BA193" s="1" t="s">
        <v>74</v>
      </c>
      <c r="BB193" s="1">
        <v>395.0</v>
      </c>
      <c r="BC193" s="1">
        <v>402.0</v>
      </c>
      <c r="BD193" s="1" t="s">
        <v>74</v>
      </c>
      <c r="BE193" s="1" t="s">
        <v>2123</v>
      </c>
      <c r="BF193" s="2" t="str">
        <f>HYPERLINK("http://dx.doi.org/10.1002/ppul.21205","http://dx.doi.org/10.1002/ppul.21205")</f>
        <v>http://dx.doi.org/10.1002/ppul.21205</v>
      </c>
      <c r="BG193" s="1" t="s">
        <v>74</v>
      </c>
      <c r="BH193" s="1" t="s">
        <v>74</v>
      </c>
      <c r="BI193" s="1" t="s">
        <v>74</v>
      </c>
      <c r="BJ193" s="1" t="s">
        <v>74</v>
      </c>
      <c r="BK193" s="1" t="s">
        <v>74</v>
      </c>
      <c r="BL193" s="1" t="s">
        <v>74</v>
      </c>
      <c r="BM193" s="1" t="s">
        <v>74</v>
      </c>
      <c r="BN193" s="1">
        <v>2.0306538E7</v>
      </c>
      <c r="BO193" s="1" t="s">
        <v>74</v>
      </c>
      <c r="BP193" s="1" t="s">
        <v>74</v>
      </c>
      <c r="BQ193" s="1" t="s">
        <v>74</v>
      </c>
      <c r="BR193" s="1" t="s">
        <v>74</v>
      </c>
      <c r="BS193" s="1" t="s">
        <v>2124</v>
      </c>
      <c r="BT193" s="1" t="str">
        <f>HYPERLINK("https%3A%2F%2Fwww.webofscience.com%2Fwos%2Fwoscc%2Ffull-record%2FWOS:000276769700012","View Full Record in Web of Science")</f>
        <v>View Full Record in Web of Science</v>
      </c>
    </row>
    <row r="194" ht="12.75" customHeight="1">
      <c r="A194" s="1" t="s">
        <v>72</v>
      </c>
      <c r="B194" s="1" t="s">
        <v>2125</v>
      </c>
      <c r="C194" s="1" t="s">
        <v>74</v>
      </c>
      <c r="D194" s="1" t="s">
        <v>74</v>
      </c>
      <c r="E194" s="1" t="s">
        <v>74</v>
      </c>
      <c r="F194" s="1" t="s">
        <v>2125</v>
      </c>
      <c r="G194" s="1" t="s">
        <v>74</v>
      </c>
      <c r="H194" s="1" t="s">
        <v>74</v>
      </c>
      <c r="I194" s="1" t="s">
        <v>2126</v>
      </c>
      <c r="J194" s="1" t="s">
        <v>1385</v>
      </c>
      <c r="K194" s="1" t="s">
        <v>74</v>
      </c>
      <c r="L194" s="1" t="s">
        <v>74</v>
      </c>
      <c r="M194" s="1" t="s">
        <v>74</v>
      </c>
      <c r="N194" s="1" t="s">
        <v>74</v>
      </c>
      <c r="O194" s="1" t="s">
        <v>74</v>
      </c>
      <c r="P194" s="1" t="s">
        <v>74</v>
      </c>
      <c r="Q194" s="1" t="s">
        <v>74</v>
      </c>
      <c r="R194" s="1" t="s">
        <v>74</v>
      </c>
      <c r="S194" s="1" t="s">
        <v>74</v>
      </c>
      <c r="T194" s="1" t="s">
        <v>74</v>
      </c>
      <c r="U194" s="1" t="s">
        <v>74</v>
      </c>
      <c r="V194" s="1" t="s">
        <v>2127</v>
      </c>
      <c r="W194" s="1" t="s">
        <v>74</v>
      </c>
      <c r="X194" s="1" t="s">
        <v>74</v>
      </c>
      <c r="Y194" s="1" t="s">
        <v>74</v>
      </c>
      <c r="Z194" s="1" t="s">
        <v>74</v>
      </c>
      <c r="AA194" s="1" t="s">
        <v>2128</v>
      </c>
      <c r="AB194" s="1" t="s">
        <v>2129</v>
      </c>
      <c r="AC194" s="1" t="s">
        <v>74</v>
      </c>
      <c r="AD194" s="1" t="s">
        <v>74</v>
      </c>
      <c r="AE194" s="1" t="s">
        <v>74</v>
      </c>
      <c r="AF194" s="1" t="s">
        <v>74</v>
      </c>
      <c r="AG194" s="1" t="s">
        <v>74</v>
      </c>
      <c r="AH194" s="1" t="s">
        <v>74</v>
      </c>
      <c r="AI194" s="1" t="s">
        <v>74</v>
      </c>
      <c r="AJ194" s="1" t="s">
        <v>74</v>
      </c>
      <c r="AK194" s="1" t="s">
        <v>74</v>
      </c>
      <c r="AL194" s="1" t="s">
        <v>74</v>
      </c>
      <c r="AM194" s="1" t="s">
        <v>74</v>
      </c>
      <c r="AN194" s="1" t="s">
        <v>74</v>
      </c>
      <c r="AO194" s="1" t="s">
        <v>1389</v>
      </c>
      <c r="AP194" s="1" t="s">
        <v>74</v>
      </c>
      <c r="AQ194" s="1" t="s">
        <v>74</v>
      </c>
      <c r="AR194" s="1" t="s">
        <v>74</v>
      </c>
      <c r="AS194" s="1" t="s">
        <v>74</v>
      </c>
      <c r="AT194" s="1" t="s">
        <v>155</v>
      </c>
      <c r="AU194" s="1">
        <v>2004.0</v>
      </c>
      <c r="AV194" s="1">
        <v>49.0</v>
      </c>
      <c r="AW194" s="1">
        <v>2.0</v>
      </c>
      <c r="AX194" s="1" t="s">
        <v>74</v>
      </c>
      <c r="AY194" s="1" t="s">
        <v>74</v>
      </c>
      <c r="AZ194" s="1" t="s">
        <v>74</v>
      </c>
      <c r="BA194" s="1" t="s">
        <v>74</v>
      </c>
      <c r="BB194" s="1">
        <v>149.0</v>
      </c>
      <c r="BC194" s="1">
        <v>155.0</v>
      </c>
      <c r="BD194" s="1" t="s">
        <v>74</v>
      </c>
      <c r="BE194" s="1" t="s">
        <v>74</v>
      </c>
      <c r="BF194" s="1" t="s">
        <v>74</v>
      </c>
      <c r="BG194" s="1" t="s">
        <v>74</v>
      </c>
      <c r="BH194" s="1" t="s">
        <v>74</v>
      </c>
      <c r="BI194" s="1" t="s">
        <v>74</v>
      </c>
      <c r="BJ194" s="1" t="s">
        <v>74</v>
      </c>
      <c r="BK194" s="1" t="s">
        <v>74</v>
      </c>
      <c r="BL194" s="1" t="s">
        <v>74</v>
      </c>
      <c r="BM194" s="1" t="s">
        <v>74</v>
      </c>
      <c r="BN194" s="1" t="s">
        <v>74</v>
      </c>
      <c r="BO194" s="1" t="s">
        <v>74</v>
      </c>
      <c r="BP194" s="1" t="s">
        <v>74</v>
      </c>
      <c r="BQ194" s="1" t="s">
        <v>74</v>
      </c>
      <c r="BR194" s="1" t="s">
        <v>74</v>
      </c>
      <c r="BS194" s="1" t="s">
        <v>2130</v>
      </c>
      <c r="BT194" s="1" t="str">
        <f>HYPERLINK("https%3A%2F%2Fwww.webofscience.com%2Fwos%2Fwoscc%2Ffull-record%2FWOS:000221509600009","View Full Record in Web of Science")</f>
        <v>View Full Record in Web of Science</v>
      </c>
    </row>
    <row r="195" ht="12.75" customHeight="1">
      <c r="A195" s="1" t="s">
        <v>72</v>
      </c>
      <c r="B195" s="1" t="s">
        <v>2131</v>
      </c>
      <c r="C195" s="1" t="s">
        <v>74</v>
      </c>
      <c r="D195" s="1" t="s">
        <v>74</v>
      </c>
      <c r="E195" s="1" t="s">
        <v>74</v>
      </c>
      <c r="F195" s="1" t="s">
        <v>2131</v>
      </c>
      <c r="G195" s="1" t="s">
        <v>74</v>
      </c>
      <c r="H195" s="1" t="s">
        <v>74</v>
      </c>
      <c r="I195" s="1" t="s">
        <v>2132</v>
      </c>
      <c r="J195" s="1" t="s">
        <v>2133</v>
      </c>
      <c r="K195" s="1" t="s">
        <v>74</v>
      </c>
      <c r="L195" s="1" t="s">
        <v>74</v>
      </c>
      <c r="M195" s="1" t="s">
        <v>74</v>
      </c>
      <c r="N195" s="1" t="s">
        <v>74</v>
      </c>
      <c r="O195" s="1" t="s">
        <v>74</v>
      </c>
      <c r="P195" s="1" t="s">
        <v>74</v>
      </c>
      <c r="Q195" s="1" t="s">
        <v>74</v>
      </c>
      <c r="R195" s="1" t="s">
        <v>74</v>
      </c>
      <c r="S195" s="1" t="s">
        <v>74</v>
      </c>
      <c r="T195" s="1" t="s">
        <v>74</v>
      </c>
      <c r="U195" s="1" t="s">
        <v>74</v>
      </c>
      <c r="V195" s="1" t="s">
        <v>2134</v>
      </c>
      <c r="W195" s="1" t="s">
        <v>74</v>
      </c>
      <c r="X195" s="1" t="s">
        <v>74</v>
      </c>
      <c r="Y195" s="1" t="s">
        <v>74</v>
      </c>
      <c r="Z195" s="1" t="s">
        <v>74</v>
      </c>
      <c r="AA195" s="1" t="s">
        <v>74</v>
      </c>
      <c r="AB195" s="1" t="s">
        <v>2135</v>
      </c>
      <c r="AC195" s="1" t="s">
        <v>74</v>
      </c>
      <c r="AD195" s="1" t="s">
        <v>74</v>
      </c>
      <c r="AE195" s="1" t="s">
        <v>74</v>
      </c>
      <c r="AF195" s="1" t="s">
        <v>74</v>
      </c>
      <c r="AG195" s="1" t="s">
        <v>74</v>
      </c>
      <c r="AH195" s="1" t="s">
        <v>74</v>
      </c>
      <c r="AI195" s="1" t="s">
        <v>74</v>
      </c>
      <c r="AJ195" s="1" t="s">
        <v>74</v>
      </c>
      <c r="AK195" s="1" t="s">
        <v>74</v>
      </c>
      <c r="AL195" s="1" t="s">
        <v>74</v>
      </c>
      <c r="AM195" s="1" t="s">
        <v>74</v>
      </c>
      <c r="AN195" s="1" t="s">
        <v>74</v>
      </c>
      <c r="AO195" s="1" t="s">
        <v>2136</v>
      </c>
      <c r="AP195" s="1" t="s">
        <v>2137</v>
      </c>
      <c r="AQ195" s="1" t="s">
        <v>74</v>
      </c>
      <c r="AR195" s="1" t="s">
        <v>74</v>
      </c>
      <c r="AS195" s="1" t="s">
        <v>74</v>
      </c>
      <c r="AT195" s="1" t="s">
        <v>155</v>
      </c>
      <c r="AU195" s="1">
        <v>1999.0</v>
      </c>
      <c r="AV195" s="1">
        <v>145.0</v>
      </c>
      <c r="AW195" s="1">
        <v>1.0</v>
      </c>
      <c r="AX195" s="1" t="s">
        <v>74</v>
      </c>
      <c r="AY195" s="1" t="s">
        <v>74</v>
      </c>
      <c r="AZ195" s="1" t="s">
        <v>74</v>
      </c>
      <c r="BA195" s="1" t="s">
        <v>74</v>
      </c>
      <c r="BB195" s="1">
        <v>23.0</v>
      </c>
      <c r="BC195" s="1">
        <v>32.0</v>
      </c>
      <c r="BD195" s="1" t="s">
        <v>74</v>
      </c>
      <c r="BE195" s="1" t="s">
        <v>2138</v>
      </c>
      <c r="BF195" s="2" t="str">
        <f>HYPERLINK("http://dx.doi.org/10.1006/jssc.1999.8162","http://dx.doi.org/10.1006/jssc.1999.8162")</f>
        <v>http://dx.doi.org/10.1006/jssc.1999.8162</v>
      </c>
      <c r="BG195" s="1" t="s">
        <v>74</v>
      </c>
      <c r="BH195" s="1" t="s">
        <v>74</v>
      </c>
      <c r="BI195" s="1" t="s">
        <v>74</v>
      </c>
      <c r="BJ195" s="1" t="s">
        <v>74</v>
      </c>
      <c r="BK195" s="1" t="s">
        <v>74</v>
      </c>
      <c r="BL195" s="1" t="s">
        <v>74</v>
      </c>
      <c r="BM195" s="1" t="s">
        <v>74</v>
      </c>
      <c r="BN195" s="1" t="s">
        <v>74</v>
      </c>
      <c r="BO195" s="1" t="s">
        <v>74</v>
      </c>
      <c r="BP195" s="1" t="s">
        <v>74</v>
      </c>
      <c r="BQ195" s="1" t="s">
        <v>74</v>
      </c>
      <c r="BR195" s="1" t="s">
        <v>74</v>
      </c>
      <c r="BS195" s="1" t="s">
        <v>2139</v>
      </c>
      <c r="BT195" s="1" t="str">
        <f>HYPERLINK("https%3A%2F%2Fwww.webofscience.com%2Fwos%2Fwoscc%2Ffull-record%2FWOS:000081139700004","View Full Record in Web of Science")</f>
        <v>View Full Record in Web of Science</v>
      </c>
    </row>
    <row r="196" ht="12.75" customHeight="1">
      <c r="A196" s="1" t="s">
        <v>72</v>
      </c>
      <c r="B196" s="1" t="s">
        <v>2140</v>
      </c>
      <c r="C196" s="1" t="s">
        <v>74</v>
      </c>
      <c r="D196" s="1" t="s">
        <v>74</v>
      </c>
      <c r="E196" s="1" t="s">
        <v>74</v>
      </c>
      <c r="F196" s="1" t="s">
        <v>2141</v>
      </c>
      <c r="G196" s="1" t="s">
        <v>74</v>
      </c>
      <c r="H196" s="1" t="s">
        <v>74</v>
      </c>
      <c r="I196" s="1" t="s">
        <v>2142</v>
      </c>
      <c r="J196" s="1" t="s">
        <v>2143</v>
      </c>
      <c r="K196" s="1" t="s">
        <v>74</v>
      </c>
      <c r="L196" s="1" t="s">
        <v>74</v>
      </c>
      <c r="M196" s="1" t="s">
        <v>74</v>
      </c>
      <c r="N196" s="1" t="s">
        <v>74</v>
      </c>
      <c r="O196" s="1" t="s">
        <v>74</v>
      </c>
      <c r="P196" s="1" t="s">
        <v>74</v>
      </c>
      <c r="Q196" s="1" t="s">
        <v>74</v>
      </c>
      <c r="R196" s="1" t="s">
        <v>74</v>
      </c>
      <c r="S196" s="1" t="s">
        <v>74</v>
      </c>
      <c r="T196" s="1" t="s">
        <v>74</v>
      </c>
      <c r="U196" s="1" t="s">
        <v>74</v>
      </c>
      <c r="V196" s="1" t="s">
        <v>2144</v>
      </c>
      <c r="W196" s="1" t="s">
        <v>74</v>
      </c>
      <c r="X196" s="1" t="s">
        <v>74</v>
      </c>
      <c r="Y196" s="1" t="s">
        <v>74</v>
      </c>
      <c r="Z196" s="1" t="s">
        <v>74</v>
      </c>
      <c r="AA196" s="1" t="s">
        <v>2145</v>
      </c>
      <c r="AB196" s="1" t="s">
        <v>2146</v>
      </c>
      <c r="AC196" s="1" t="s">
        <v>74</v>
      </c>
      <c r="AD196" s="1" t="s">
        <v>74</v>
      </c>
      <c r="AE196" s="1" t="s">
        <v>74</v>
      </c>
      <c r="AF196" s="1" t="s">
        <v>74</v>
      </c>
      <c r="AG196" s="1" t="s">
        <v>74</v>
      </c>
      <c r="AH196" s="1" t="s">
        <v>74</v>
      </c>
      <c r="AI196" s="1" t="s">
        <v>74</v>
      </c>
      <c r="AJ196" s="1" t="s">
        <v>74</v>
      </c>
      <c r="AK196" s="1" t="s">
        <v>74</v>
      </c>
      <c r="AL196" s="1" t="s">
        <v>74</v>
      </c>
      <c r="AM196" s="1" t="s">
        <v>74</v>
      </c>
      <c r="AN196" s="1" t="s">
        <v>74</v>
      </c>
      <c r="AO196" s="1" t="s">
        <v>74</v>
      </c>
      <c r="AP196" s="1" t="s">
        <v>2147</v>
      </c>
      <c r="AQ196" s="1" t="s">
        <v>74</v>
      </c>
      <c r="AR196" s="1" t="s">
        <v>74</v>
      </c>
      <c r="AS196" s="1" t="s">
        <v>74</v>
      </c>
      <c r="AT196" s="1" t="s">
        <v>438</v>
      </c>
      <c r="AU196" s="1">
        <v>2023.0</v>
      </c>
      <c r="AV196" s="1">
        <v>7.0</v>
      </c>
      <c r="AW196" s="1">
        <v>4.0</v>
      </c>
      <c r="AX196" s="1" t="s">
        <v>74</v>
      </c>
      <c r="AY196" s="1" t="s">
        <v>74</v>
      </c>
      <c r="AZ196" s="1" t="s">
        <v>74</v>
      </c>
      <c r="BA196" s="1" t="s">
        <v>74</v>
      </c>
      <c r="BB196" s="1" t="s">
        <v>74</v>
      </c>
      <c r="BC196" s="1" t="s">
        <v>74</v>
      </c>
      <c r="BD196" s="1">
        <v>342.0</v>
      </c>
      <c r="BE196" s="1" t="s">
        <v>2148</v>
      </c>
      <c r="BF196" s="2" t="str">
        <f>HYPERLINK("http://dx.doi.org/10.3390/fractalfract7040342","http://dx.doi.org/10.3390/fractalfract7040342")</f>
        <v>http://dx.doi.org/10.3390/fractalfract7040342</v>
      </c>
      <c r="BG196" s="1" t="s">
        <v>74</v>
      </c>
      <c r="BH196" s="1" t="s">
        <v>74</v>
      </c>
      <c r="BI196" s="1" t="s">
        <v>74</v>
      </c>
      <c r="BJ196" s="1" t="s">
        <v>74</v>
      </c>
      <c r="BK196" s="1" t="s">
        <v>74</v>
      </c>
      <c r="BL196" s="1" t="s">
        <v>74</v>
      </c>
      <c r="BM196" s="1" t="s">
        <v>74</v>
      </c>
      <c r="BN196" s="1" t="s">
        <v>74</v>
      </c>
      <c r="BO196" s="1" t="s">
        <v>74</v>
      </c>
      <c r="BP196" s="1" t="s">
        <v>74</v>
      </c>
      <c r="BQ196" s="1" t="s">
        <v>74</v>
      </c>
      <c r="BR196" s="1" t="s">
        <v>74</v>
      </c>
      <c r="BS196" s="1" t="s">
        <v>2149</v>
      </c>
      <c r="BT196" s="1" t="str">
        <f>HYPERLINK("https%3A%2F%2Fwww.webofscience.com%2Fwos%2Fwoscc%2Ffull-record%2FWOS:000979534200001","View Full Record in Web of Science")</f>
        <v>View Full Record in Web of Science</v>
      </c>
    </row>
    <row r="197" ht="12.75" customHeight="1">
      <c r="A197" s="1" t="s">
        <v>72</v>
      </c>
      <c r="B197" s="1" t="s">
        <v>2150</v>
      </c>
      <c r="C197" s="1" t="s">
        <v>74</v>
      </c>
      <c r="D197" s="1" t="s">
        <v>74</v>
      </c>
      <c r="E197" s="1" t="s">
        <v>74</v>
      </c>
      <c r="F197" s="1" t="s">
        <v>2151</v>
      </c>
      <c r="G197" s="1" t="s">
        <v>74</v>
      </c>
      <c r="H197" s="1" t="s">
        <v>74</v>
      </c>
      <c r="I197" s="1" t="s">
        <v>2152</v>
      </c>
      <c r="J197" s="1" t="s">
        <v>2107</v>
      </c>
      <c r="K197" s="1" t="s">
        <v>74</v>
      </c>
      <c r="L197" s="1" t="s">
        <v>74</v>
      </c>
      <c r="M197" s="1" t="s">
        <v>74</v>
      </c>
      <c r="N197" s="1" t="s">
        <v>74</v>
      </c>
      <c r="O197" s="1" t="s">
        <v>74</v>
      </c>
      <c r="P197" s="1" t="s">
        <v>74</v>
      </c>
      <c r="Q197" s="1" t="s">
        <v>74</v>
      </c>
      <c r="R197" s="1" t="s">
        <v>74</v>
      </c>
      <c r="S197" s="1" t="s">
        <v>74</v>
      </c>
      <c r="T197" s="1" t="s">
        <v>74</v>
      </c>
      <c r="U197" s="1" t="s">
        <v>74</v>
      </c>
      <c r="V197" s="1" t="s">
        <v>2153</v>
      </c>
      <c r="W197" s="1" t="s">
        <v>74</v>
      </c>
      <c r="X197" s="1" t="s">
        <v>74</v>
      </c>
      <c r="Y197" s="1" t="s">
        <v>74</v>
      </c>
      <c r="Z197" s="1" t="s">
        <v>74</v>
      </c>
      <c r="AA197" s="1" t="s">
        <v>2154</v>
      </c>
      <c r="AB197" s="1" t="s">
        <v>2155</v>
      </c>
      <c r="AC197" s="1" t="s">
        <v>74</v>
      </c>
      <c r="AD197" s="1" t="s">
        <v>74</v>
      </c>
      <c r="AE197" s="1" t="s">
        <v>74</v>
      </c>
      <c r="AF197" s="1" t="s">
        <v>74</v>
      </c>
      <c r="AG197" s="1" t="s">
        <v>74</v>
      </c>
      <c r="AH197" s="1" t="s">
        <v>74</v>
      </c>
      <c r="AI197" s="1" t="s">
        <v>74</v>
      </c>
      <c r="AJ197" s="1" t="s">
        <v>74</v>
      </c>
      <c r="AK197" s="1" t="s">
        <v>74</v>
      </c>
      <c r="AL197" s="1" t="s">
        <v>74</v>
      </c>
      <c r="AM197" s="1" t="s">
        <v>74</v>
      </c>
      <c r="AN197" s="1" t="s">
        <v>74</v>
      </c>
      <c r="AO197" s="1" t="s">
        <v>2109</v>
      </c>
      <c r="AP197" s="1" t="s">
        <v>2110</v>
      </c>
      <c r="AQ197" s="1" t="s">
        <v>74</v>
      </c>
      <c r="AR197" s="1" t="s">
        <v>74</v>
      </c>
      <c r="AS197" s="1" t="s">
        <v>74</v>
      </c>
      <c r="AT197" s="1" t="s">
        <v>2156</v>
      </c>
      <c r="AU197" s="1">
        <v>2023.0</v>
      </c>
      <c r="AV197" s="1">
        <v>83.0</v>
      </c>
      <c r="AW197" s="1">
        <v>2.0</v>
      </c>
      <c r="AX197" s="1" t="s">
        <v>74</v>
      </c>
      <c r="AY197" s="1" t="s">
        <v>74</v>
      </c>
      <c r="AZ197" s="1" t="s">
        <v>74</v>
      </c>
      <c r="BA197" s="1" t="s">
        <v>74</v>
      </c>
      <c r="BB197" s="1" t="s">
        <v>74</v>
      </c>
      <c r="BC197" s="1" t="s">
        <v>74</v>
      </c>
      <c r="BD197" s="1">
        <v>105.0</v>
      </c>
      <c r="BE197" s="1" t="s">
        <v>2157</v>
      </c>
      <c r="BF197" s="2" t="str">
        <f>HYPERLINK("http://dx.doi.org/10.1140/epjc/s10052-023-11169-8","http://dx.doi.org/10.1140/epjc/s10052-023-11169-8")</f>
        <v>http://dx.doi.org/10.1140/epjc/s10052-023-11169-8</v>
      </c>
      <c r="BG197" s="1" t="s">
        <v>74</v>
      </c>
      <c r="BH197" s="1" t="s">
        <v>74</v>
      </c>
      <c r="BI197" s="1" t="s">
        <v>74</v>
      </c>
      <c r="BJ197" s="1" t="s">
        <v>74</v>
      </c>
      <c r="BK197" s="1" t="s">
        <v>74</v>
      </c>
      <c r="BL197" s="1" t="s">
        <v>74</v>
      </c>
      <c r="BM197" s="1" t="s">
        <v>74</v>
      </c>
      <c r="BN197" s="1" t="s">
        <v>74</v>
      </c>
      <c r="BO197" s="1" t="s">
        <v>74</v>
      </c>
      <c r="BP197" s="1" t="s">
        <v>74</v>
      </c>
      <c r="BQ197" s="1" t="s">
        <v>74</v>
      </c>
      <c r="BR197" s="1" t="s">
        <v>74</v>
      </c>
      <c r="BS197" s="1" t="s">
        <v>2158</v>
      </c>
      <c r="BT197" s="1" t="str">
        <f>HYPERLINK("https%3A%2F%2Fwww.webofscience.com%2Fwos%2Fwoscc%2Ffull-record%2FWOS:000925056600003","View Full Record in Web of Science")</f>
        <v>View Full Record in Web of Science</v>
      </c>
    </row>
    <row r="198" ht="12.75" customHeight="1">
      <c r="A198" s="1" t="s">
        <v>72</v>
      </c>
      <c r="B198" s="1" t="s">
        <v>2159</v>
      </c>
      <c r="C198" s="1" t="s">
        <v>74</v>
      </c>
      <c r="D198" s="1" t="s">
        <v>74</v>
      </c>
      <c r="E198" s="1" t="s">
        <v>74</v>
      </c>
      <c r="F198" s="1" t="s">
        <v>2160</v>
      </c>
      <c r="G198" s="1" t="s">
        <v>74</v>
      </c>
      <c r="H198" s="1" t="s">
        <v>74</v>
      </c>
      <c r="I198" s="1" t="s">
        <v>2161</v>
      </c>
      <c r="J198" s="1" t="s">
        <v>2162</v>
      </c>
      <c r="K198" s="1" t="s">
        <v>74</v>
      </c>
      <c r="L198" s="1" t="s">
        <v>74</v>
      </c>
      <c r="M198" s="1" t="s">
        <v>74</v>
      </c>
      <c r="N198" s="1" t="s">
        <v>74</v>
      </c>
      <c r="O198" s="1" t="s">
        <v>74</v>
      </c>
      <c r="P198" s="1" t="s">
        <v>74</v>
      </c>
      <c r="Q198" s="1" t="s">
        <v>74</v>
      </c>
      <c r="R198" s="1" t="s">
        <v>74</v>
      </c>
      <c r="S198" s="1" t="s">
        <v>74</v>
      </c>
      <c r="T198" s="1" t="s">
        <v>74</v>
      </c>
      <c r="U198" s="1" t="s">
        <v>74</v>
      </c>
      <c r="V198" s="1" t="s">
        <v>2163</v>
      </c>
      <c r="W198" s="1" t="s">
        <v>74</v>
      </c>
      <c r="X198" s="1" t="s">
        <v>74</v>
      </c>
      <c r="Y198" s="1" t="s">
        <v>74</v>
      </c>
      <c r="Z198" s="1" t="s">
        <v>74</v>
      </c>
      <c r="AA198" s="1" t="s">
        <v>2164</v>
      </c>
      <c r="AB198" s="1" t="s">
        <v>74</v>
      </c>
      <c r="AC198" s="1" t="s">
        <v>74</v>
      </c>
      <c r="AD198" s="1" t="s">
        <v>74</v>
      </c>
      <c r="AE198" s="1" t="s">
        <v>74</v>
      </c>
      <c r="AF198" s="1" t="s">
        <v>74</v>
      </c>
      <c r="AG198" s="1" t="s">
        <v>74</v>
      </c>
      <c r="AH198" s="1" t="s">
        <v>74</v>
      </c>
      <c r="AI198" s="1" t="s">
        <v>74</v>
      </c>
      <c r="AJ198" s="1" t="s">
        <v>74</v>
      </c>
      <c r="AK198" s="1" t="s">
        <v>74</v>
      </c>
      <c r="AL198" s="1" t="s">
        <v>74</v>
      </c>
      <c r="AM198" s="1" t="s">
        <v>74</v>
      </c>
      <c r="AN198" s="1" t="s">
        <v>74</v>
      </c>
      <c r="AO198" s="1" t="s">
        <v>2165</v>
      </c>
      <c r="AP198" s="1" t="s">
        <v>2166</v>
      </c>
      <c r="AQ198" s="1" t="s">
        <v>74</v>
      </c>
      <c r="AR198" s="1" t="s">
        <v>74</v>
      </c>
      <c r="AS198" s="1" t="s">
        <v>74</v>
      </c>
      <c r="AT198" s="1" t="s">
        <v>438</v>
      </c>
      <c r="AU198" s="1">
        <v>2023.0</v>
      </c>
      <c r="AV198" s="1">
        <v>229.0</v>
      </c>
      <c r="AW198" s="1" t="s">
        <v>74</v>
      </c>
      <c r="AX198" s="1" t="s">
        <v>74</v>
      </c>
      <c r="AY198" s="1" t="s">
        <v>74</v>
      </c>
      <c r="AZ198" s="1" t="s">
        <v>74</v>
      </c>
      <c r="BA198" s="1" t="s">
        <v>74</v>
      </c>
      <c r="BB198" s="1" t="s">
        <v>74</v>
      </c>
      <c r="BC198" s="1" t="s">
        <v>74</v>
      </c>
      <c r="BD198" s="1">
        <v>113203.0</v>
      </c>
      <c r="BE198" s="1" t="s">
        <v>2167</v>
      </c>
      <c r="BF198" s="2" t="str">
        <f>HYPERLINK("http://dx.doi.org/10.1016/j.na.2022.113203","http://dx.doi.org/10.1016/j.na.2022.113203")</f>
        <v>http://dx.doi.org/10.1016/j.na.2022.113203</v>
      </c>
      <c r="BG198" s="1" t="s">
        <v>74</v>
      </c>
      <c r="BH198" s="1" t="s">
        <v>2168</v>
      </c>
      <c r="BI198" s="1" t="s">
        <v>74</v>
      </c>
      <c r="BJ198" s="1" t="s">
        <v>74</v>
      </c>
      <c r="BK198" s="1" t="s">
        <v>74</v>
      </c>
      <c r="BL198" s="1" t="s">
        <v>74</v>
      </c>
      <c r="BM198" s="1" t="s">
        <v>74</v>
      </c>
      <c r="BN198" s="1" t="s">
        <v>74</v>
      </c>
      <c r="BO198" s="1" t="s">
        <v>74</v>
      </c>
      <c r="BP198" s="1" t="s">
        <v>74</v>
      </c>
      <c r="BQ198" s="1" t="s">
        <v>74</v>
      </c>
      <c r="BR198" s="1" t="s">
        <v>74</v>
      </c>
      <c r="BS198" s="1" t="s">
        <v>2169</v>
      </c>
      <c r="BT198" s="1" t="str">
        <f>HYPERLINK("https%3A%2F%2Fwww.webofscience.com%2Fwos%2Fwoscc%2Ffull-record%2FWOS:000994536300001","View Full Record in Web of Science")</f>
        <v>View Full Record in Web of Science</v>
      </c>
    </row>
    <row r="199" ht="12.75" customHeight="1">
      <c r="A199" s="1" t="s">
        <v>72</v>
      </c>
      <c r="B199" s="1" t="s">
        <v>2170</v>
      </c>
      <c r="C199" s="1" t="s">
        <v>74</v>
      </c>
      <c r="D199" s="1" t="s">
        <v>74</v>
      </c>
      <c r="E199" s="1" t="s">
        <v>74</v>
      </c>
      <c r="F199" s="1" t="s">
        <v>2171</v>
      </c>
      <c r="G199" s="1" t="s">
        <v>74</v>
      </c>
      <c r="H199" s="1" t="s">
        <v>74</v>
      </c>
      <c r="I199" s="1" t="s">
        <v>2172</v>
      </c>
      <c r="J199" s="1" t="s">
        <v>2173</v>
      </c>
      <c r="K199" s="1" t="s">
        <v>74</v>
      </c>
      <c r="L199" s="1" t="s">
        <v>74</v>
      </c>
      <c r="M199" s="1" t="s">
        <v>74</v>
      </c>
      <c r="N199" s="1" t="s">
        <v>74</v>
      </c>
      <c r="O199" s="1" t="s">
        <v>74</v>
      </c>
      <c r="P199" s="1" t="s">
        <v>74</v>
      </c>
      <c r="Q199" s="1" t="s">
        <v>74</v>
      </c>
      <c r="R199" s="1" t="s">
        <v>74</v>
      </c>
      <c r="S199" s="1" t="s">
        <v>74</v>
      </c>
      <c r="T199" s="1" t="s">
        <v>74</v>
      </c>
      <c r="U199" s="1" t="s">
        <v>74</v>
      </c>
      <c r="V199" s="1" t="s">
        <v>2174</v>
      </c>
      <c r="W199" s="1" t="s">
        <v>74</v>
      </c>
      <c r="X199" s="1" t="s">
        <v>74</v>
      </c>
      <c r="Y199" s="1" t="s">
        <v>74</v>
      </c>
      <c r="Z199" s="1" t="s">
        <v>74</v>
      </c>
      <c r="AA199" s="1" t="s">
        <v>2175</v>
      </c>
      <c r="AB199" s="1" t="s">
        <v>74</v>
      </c>
      <c r="AC199" s="1" t="s">
        <v>74</v>
      </c>
      <c r="AD199" s="1" t="s">
        <v>74</v>
      </c>
      <c r="AE199" s="1" t="s">
        <v>74</v>
      </c>
      <c r="AF199" s="1" t="s">
        <v>74</v>
      </c>
      <c r="AG199" s="1" t="s">
        <v>74</v>
      </c>
      <c r="AH199" s="1" t="s">
        <v>74</v>
      </c>
      <c r="AI199" s="1" t="s">
        <v>74</v>
      </c>
      <c r="AJ199" s="1" t="s">
        <v>74</v>
      </c>
      <c r="AK199" s="1" t="s">
        <v>74</v>
      </c>
      <c r="AL199" s="1" t="s">
        <v>74</v>
      </c>
      <c r="AM199" s="1" t="s">
        <v>74</v>
      </c>
      <c r="AN199" s="1" t="s">
        <v>74</v>
      </c>
      <c r="AO199" s="1" t="s">
        <v>2176</v>
      </c>
      <c r="AP199" s="1" t="s">
        <v>2177</v>
      </c>
      <c r="AQ199" s="1" t="s">
        <v>74</v>
      </c>
      <c r="AR199" s="1" t="s">
        <v>74</v>
      </c>
      <c r="AS199" s="1" t="s">
        <v>74</v>
      </c>
      <c r="AT199" s="1" t="s">
        <v>559</v>
      </c>
      <c r="AU199" s="1">
        <v>2022.0</v>
      </c>
      <c r="AV199" s="1">
        <v>130.0</v>
      </c>
      <c r="AW199" s="1" t="s">
        <v>74</v>
      </c>
      <c r="AX199" s="1" t="s">
        <v>74</v>
      </c>
      <c r="AY199" s="1" t="s">
        <v>74</v>
      </c>
      <c r="AZ199" s="1" t="s">
        <v>74</v>
      </c>
      <c r="BA199" s="1" t="s">
        <v>74</v>
      </c>
      <c r="BB199" s="1" t="s">
        <v>74</v>
      </c>
      <c r="BC199" s="1" t="s">
        <v>74</v>
      </c>
      <c r="BD199" s="1">
        <v>109470.0</v>
      </c>
      <c r="BE199" s="1" t="s">
        <v>2178</v>
      </c>
      <c r="BF199" s="2" t="str">
        <f>HYPERLINK("http://dx.doi.org/10.1016/j.diamond.2022.109470","http://dx.doi.org/10.1016/j.diamond.2022.109470")</f>
        <v>http://dx.doi.org/10.1016/j.diamond.2022.109470</v>
      </c>
      <c r="BG199" s="1" t="s">
        <v>74</v>
      </c>
      <c r="BH199" s="1" t="s">
        <v>2179</v>
      </c>
      <c r="BI199" s="1" t="s">
        <v>74</v>
      </c>
      <c r="BJ199" s="1" t="s">
        <v>74</v>
      </c>
      <c r="BK199" s="1" t="s">
        <v>74</v>
      </c>
      <c r="BL199" s="1" t="s">
        <v>74</v>
      </c>
      <c r="BM199" s="1" t="s">
        <v>74</v>
      </c>
      <c r="BN199" s="1" t="s">
        <v>74</v>
      </c>
      <c r="BO199" s="1" t="s">
        <v>74</v>
      </c>
      <c r="BP199" s="1" t="s">
        <v>74</v>
      </c>
      <c r="BQ199" s="1" t="s">
        <v>74</v>
      </c>
      <c r="BR199" s="1" t="s">
        <v>74</v>
      </c>
      <c r="BS199" s="1" t="s">
        <v>2180</v>
      </c>
      <c r="BT199" s="1" t="str">
        <f>HYPERLINK("https%3A%2F%2Fwww.webofscience.com%2Fwos%2Fwoscc%2Ffull-record%2FWOS:000879066100005","View Full Record in Web of Science")</f>
        <v>View Full Record in Web of Science</v>
      </c>
    </row>
    <row r="200" ht="12.75" customHeight="1">
      <c r="A200" s="1" t="s">
        <v>72</v>
      </c>
      <c r="B200" s="1" t="s">
        <v>2181</v>
      </c>
      <c r="C200" s="1" t="s">
        <v>74</v>
      </c>
      <c r="D200" s="1" t="s">
        <v>74</v>
      </c>
      <c r="E200" s="1" t="s">
        <v>74</v>
      </c>
      <c r="F200" s="1" t="s">
        <v>2182</v>
      </c>
      <c r="G200" s="1" t="s">
        <v>74</v>
      </c>
      <c r="H200" s="1" t="s">
        <v>74</v>
      </c>
      <c r="I200" s="1" t="s">
        <v>2183</v>
      </c>
      <c r="J200" s="1" t="s">
        <v>2184</v>
      </c>
      <c r="K200" s="1" t="s">
        <v>74</v>
      </c>
      <c r="L200" s="1" t="s">
        <v>74</v>
      </c>
      <c r="M200" s="1" t="s">
        <v>74</v>
      </c>
      <c r="N200" s="1" t="s">
        <v>74</v>
      </c>
      <c r="O200" s="1" t="s">
        <v>74</v>
      </c>
      <c r="P200" s="1" t="s">
        <v>74</v>
      </c>
      <c r="Q200" s="1" t="s">
        <v>74</v>
      </c>
      <c r="R200" s="1" t="s">
        <v>74</v>
      </c>
      <c r="S200" s="1" t="s">
        <v>74</v>
      </c>
      <c r="T200" s="1" t="s">
        <v>74</v>
      </c>
      <c r="U200" s="1" t="s">
        <v>74</v>
      </c>
      <c r="V200" s="1" t="s">
        <v>2185</v>
      </c>
      <c r="W200" s="1" t="s">
        <v>74</v>
      </c>
      <c r="X200" s="1" t="s">
        <v>74</v>
      </c>
      <c r="Y200" s="1" t="s">
        <v>74</v>
      </c>
      <c r="Z200" s="1" t="s">
        <v>74</v>
      </c>
      <c r="AA200" s="1" t="s">
        <v>2186</v>
      </c>
      <c r="AB200" s="1" t="s">
        <v>2187</v>
      </c>
      <c r="AC200" s="1" t="s">
        <v>74</v>
      </c>
      <c r="AD200" s="1" t="s">
        <v>74</v>
      </c>
      <c r="AE200" s="1" t="s">
        <v>74</v>
      </c>
      <c r="AF200" s="1" t="s">
        <v>74</v>
      </c>
      <c r="AG200" s="1" t="s">
        <v>74</v>
      </c>
      <c r="AH200" s="1" t="s">
        <v>74</v>
      </c>
      <c r="AI200" s="1" t="s">
        <v>74</v>
      </c>
      <c r="AJ200" s="1" t="s">
        <v>74</v>
      </c>
      <c r="AK200" s="1" t="s">
        <v>74</v>
      </c>
      <c r="AL200" s="1" t="s">
        <v>74</v>
      </c>
      <c r="AM200" s="1" t="s">
        <v>74</v>
      </c>
      <c r="AN200" s="1" t="s">
        <v>74</v>
      </c>
      <c r="AO200" s="1" t="s">
        <v>74</v>
      </c>
      <c r="AP200" s="1" t="s">
        <v>2188</v>
      </c>
      <c r="AQ200" s="1" t="s">
        <v>74</v>
      </c>
      <c r="AR200" s="1" t="s">
        <v>74</v>
      </c>
      <c r="AS200" s="1" t="s">
        <v>74</v>
      </c>
      <c r="AT200" s="1" t="s">
        <v>2189</v>
      </c>
      <c r="AU200" s="1">
        <v>2022.0</v>
      </c>
      <c r="AV200" s="1">
        <v>13.0</v>
      </c>
      <c r="AW200" s="1" t="s">
        <v>74</v>
      </c>
      <c r="AX200" s="1" t="s">
        <v>74</v>
      </c>
      <c r="AY200" s="1" t="s">
        <v>74</v>
      </c>
      <c r="AZ200" s="1" t="s">
        <v>74</v>
      </c>
      <c r="BA200" s="1" t="s">
        <v>74</v>
      </c>
      <c r="BB200" s="1" t="s">
        <v>74</v>
      </c>
      <c r="BC200" s="1" t="s">
        <v>74</v>
      </c>
      <c r="BD200" s="1">
        <v>960324.0</v>
      </c>
      <c r="BE200" s="1" t="s">
        <v>2190</v>
      </c>
      <c r="BF200" s="2" t="str">
        <f>HYPERLINK("http://dx.doi.org/10.3389/fmicb.2022.960324","http://dx.doi.org/10.3389/fmicb.2022.960324")</f>
        <v>http://dx.doi.org/10.3389/fmicb.2022.960324</v>
      </c>
      <c r="BG200" s="1" t="s">
        <v>74</v>
      </c>
      <c r="BH200" s="1" t="s">
        <v>74</v>
      </c>
      <c r="BI200" s="1" t="s">
        <v>74</v>
      </c>
      <c r="BJ200" s="1" t="s">
        <v>74</v>
      </c>
      <c r="BK200" s="1" t="s">
        <v>74</v>
      </c>
      <c r="BL200" s="1" t="s">
        <v>74</v>
      </c>
      <c r="BM200" s="1" t="s">
        <v>74</v>
      </c>
      <c r="BN200" s="1">
        <v>3.6090071E7</v>
      </c>
      <c r="BO200" s="1" t="s">
        <v>74</v>
      </c>
      <c r="BP200" s="1" t="s">
        <v>74</v>
      </c>
      <c r="BQ200" s="1" t="s">
        <v>74</v>
      </c>
      <c r="BR200" s="1" t="s">
        <v>74</v>
      </c>
      <c r="BS200" s="1" t="s">
        <v>2191</v>
      </c>
      <c r="BT200" s="1" t="str">
        <f>HYPERLINK("https%3A%2F%2Fwww.webofscience.com%2Fwos%2Fwoscc%2Ffull-record%2FWOS:000850730600001","View Full Record in Web of Science")</f>
        <v>View Full Record in Web of Science</v>
      </c>
    </row>
    <row r="201" ht="12.75" customHeight="1">
      <c r="A201" s="1" t="s">
        <v>72</v>
      </c>
      <c r="B201" s="1" t="s">
        <v>2192</v>
      </c>
      <c r="C201" s="1" t="s">
        <v>74</v>
      </c>
      <c r="D201" s="1" t="s">
        <v>74</v>
      </c>
      <c r="E201" s="1" t="s">
        <v>74</v>
      </c>
      <c r="F201" s="1" t="s">
        <v>2193</v>
      </c>
      <c r="G201" s="1" t="s">
        <v>74</v>
      </c>
      <c r="H201" s="1" t="s">
        <v>74</v>
      </c>
      <c r="I201" s="1" t="s">
        <v>2194</v>
      </c>
      <c r="J201" s="1" t="s">
        <v>2195</v>
      </c>
      <c r="K201" s="1" t="s">
        <v>74</v>
      </c>
      <c r="L201" s="1" t="s">
        <v>74</v>
      </c>
      <c r="M201" s="1" t="s">
        <v>74</v>
      </c>
      <c r="N201" s="1" t="s">
        <v>74</v>
      </c>
      <c r="O201" s="1" t="s">
        <v>74</v>
      </c>
      <c r="P201" s="1" t="s">
        <v>74</v>
      </c>
      <c r="Q201" s="1" t="s">
        <v>74</v>
      </c>
      <c r="R201" s="1" t="s">
        <v>74</v>
      </c>
      <c r="S201" s="1" t="s">
        <v>74</v>
      </c>
      <c r="T201" s="1" t="s">
        <v>74</v>
      </c>
      <c r="U201" s="1" t="s">
        <v>74</v>
      </c>
      <c r="V201" s="1" t="s">
        <v>2196</v>
      </c>
      <c r="W201" s="1" t="s">
        <v>74</v>
      </c>
      <c r="X201" s="1" t="s">
        <v>74</v>
      </c>
      <c r="Y201" s="1" t="s">
        <v>74</v>
      </c>
      <c r="Z201" s="1" t="s">
        <v>74</v>
      </c>
      <c r="AA201" s="1" t="s">
        <v>2197</v>
      </c>
      <c r="AB201" s="1" t="s">
        <v>2198</v>
      </c>
      <c r="AC201" s="1" t="s">
        <v>74</v>
      </c>
      <c r="AD201" s="1" t="s">
        <v>74</v>
      </c>
      <c r="AE201" s="1" t="s">
        <v>74</v>
      </c>
      <c r="AF201" s="1" t="s">
        <v>74</v>
      </c>
      <c r="AG201" s="1" t="s">
        <v>74</v>
      </c>
      <c r="AH201" s="1" t="s">
        <v>74</v>
      </c>
      <c r="AI201" s="1" t="s">
        <v>74</v>
      </c>
      <c r="AJ201" s="1" t="s">
        <v>74</v>
      </c>
      <c r="AK201" s="1" t="s">
        <v>74</v>
      </c>
      <c r="AL201" s="1" t="s">
        <v>74</v>
      </c>
      <c r="AM201" s="1" t="s">
        <v>74</v>
      </c>
      <c r="AN201" s="1" t="s">
        <v>74</v>
      </c>
      <c r="AO201" s="1" t="s">
        <v>2199</v>
      </c>
      <c r="AP201" s="1" t="s">
        <v>2200</v>
      </c>
      <c r="AQ201" s="1" t="s">
        <v>74</v>
      </c>
      <c r="AR201" s="1" t="s">
        <v>74</v>
      </c>
      <c r="AS201" s="1" t="s">
        <v>74</v>
      </c>
      <c r="AT201" s="1" t="s">
        <v>438</v>
      </c>
      <c r="AU201" s="1">
        <v>2022.0</v>
      </c>
      <c r="AV201" s="1">
        <v>17.0</v>
      </c>
      <c r="AW201" s="1">
        <v>4.0</v>
      </c>
      <c r="AX201" s="1" t="s">
        <v>74</v>
      </c>
      <c r="AY201" s="1" t="s">
        <v>74</v>
      </c>
      <c r="AZ201" s="1" t="s">
        <v>74</v>
      </c>
      <c r="BA201" s="1" t="s">
        <v>74</v>
      </c>
      <c r="BB201" s="1" t="s">
        <v>74</v>
      </c>
      <c r="BC201" s="1" t="s">
        <v>74</v>
      </c>
      <c r="BD201" s="1" t="s">
        <v>2201</v>
      </c>
      <c r="BE201" s="1" t="s">
        <v>2202</v>
      </c>
      <c r="BF201" s="2" t="str">
        <f>HYPERLINK("http://dx.doi.org/10.1177/1934578X221091671","http://dx.doi.org/10.1177/1934578X221091671")</f>
        <v>http://dx.doi.org/10.1177/1934578X221091671</v>
      </c>
      <c r="BG201" s="1" t="s">
        <v>74</v>
      </c>
      <c r="BH201" s="1" t="s">
        <v>74</v>
      </c>
      <c r="BI201" s="1" t="s">
        <v>74</v>
      </c>
      <c r="BJ201" s="1" t="s">
        <v>74</v>
      </c>
      <c r="BK201" s="1" t="s">
        <v>74</v>
      </c>
      <c r="BL201" s="1" t="s">
        <v>74</v>
      </c>
      <c r="BM201" s="1" t="s">
        <v>74</v>
      </c>
      <c r="BN201" s="1" t="s">
        <v>74</v>
      </c>
      <c r="BO201" s="1" t="s">
        <v>74</v>
      </c>
      <c r="BP201" s="1" t="s">
        <v>74</v>
      </c>
      <c r="BQ201" s="1" t="s">
        <v>74</v>
      </c>
      <c r="BR201" s="1" t="s">
        <v>74</v>
      </c>
      <c r="BS201" s="1" t="s">
        <v>2203</v>
      </c>
      <c r="BT201" s="1" t="str">
        <f>HYPERLINK("https%3A%2F%2Fwww.webofscience.com%2Fwos%2Fwoscc%2Ffull-record%2FWOS:000786386000001","View Full Record in Web of Science")</f>
        <v>View Full Record in Web of Science</v>
      </c>
    </row>
    <row r="202" ht="12.75" customHeight="1">
      <c r="A202" s="1" t="s">
        <v>72</v>
      </c>
      <c r="B202" s="1" t="s">
        <v>2204</v>
      </c>
      <c r="C202" s="1" t="s">
        <v>74</v>
      </c>
      <c r="D202" s="1" t="s">
        <v>74</v>
      </c>
      <c r="E202" s="1" t="s">
        <v>74</v>
      </c>
      <c r="F202" s="1" t="s">
        <v>2205</v>
      </c>
      <c r="G202" s="1" t="s">
        <v>74</v>
      </c>
      <c r="H202" s="1" t="s">
        <v>74</v>
      </c>
      <c r="I202" s="1" t="s">
        <v>2206</v>
      </c>
      <c r="J202" s="1" t="s">
        <v>2207</v>
      </c>
      <c r="K202" s="1" t="s">
        <v>74</v>
      </c>
      <c r="L202" s="1" t="s">
        <v>74</v>
      </c>
      <c r="M202" s="1" t="s">
        <v>74</v>
      </c>
      <c r="N202" s="1" t="s">
        <v>74</v>
      </c>
      <c r="O202" s="1" t="s">
        <v>74</v>
      </c>
      <c r="P202" s="1" t="s">
        <v>74</v>
      </c>
      <c r="Q202" s="1" t="s">
        <v>74</v>
      </c>
      <c r="R202" s="1" t="s">
        <v>74</v>
      </c>
      <c r="S202" s="1" t="s">
        <v>74</v>
      </c>
      <c r="T202" s="1" t="s">
        <v>74</v>
      </c>
      <c r="U202" s="1" t="s">
        <v>74</v>
      </c>
      <c r="V202" s="1" t="s">
        <v>2208</v>
      </c>
      <c r="W202" s="1" t="s">
        <v>74</v>
      </c>
      <c r="X202" s="1" t="s">
        <v>74</v>
      </c>
      <c r="Y202" s="1" t="s">
        <v>74</v>
      </c>
      <c r="Z202" s="1" t="s">
        <v>74</v>
      </c>
      <c r="AA202" s="1" t="s">
        <v>2209</v>
      </c>
      <c r="AB202" s="1" t="s">
        <v>2210</v>
      </c>
      <c r="AC202" s="1" t="s">
        <v>74</v>
      </c>
      <c r="AD202" s="1" t="s">
        <v>74</v>
      </c>
      <c r="AE202" s="1" t="s">
        <v>74</v>
      </c>
      <c r="AF202" s="1" t="s">
        <v>74</v>
      </c>
      <c r="AG202" s="1" t="s">
        <v>74</v>
      </c>
      <c r="AH202" s="1" t="s">
        <v>74</v>
      </c>
      <c r="AI202" s="1" t="s">
        <v>74</v>
      </c>
      <c r="AJ202" s="1" t="s">
        <v>74</v>
      </c>
      <c r="AK202" s="1" t="s">
        <v>74</v>
      </c>
      <c r="AL202" s="1" t="s">
        <v>74</v>
      </c>
      <c r="AM202" s="1" t="s">
        <v>74</v>
      </c>
      <c r="AN202" s="1" t="s">
        <v>74</v>
      </c>
      <c r="AO202" s="1" t="s">
        <v>2211</v>
      </c>
      <c r="AP202" s="1" t="s">
        <v>2212</v>
      </c>
      <c r="AQ202" s="1" t="s">
        <v>74</v>
      </c>
      <c r="AR202" s="1" t="s">
        <v>74</v>
      </c>
      <c r="AS202" s="1" t="s">
        <v>74</v>
      </c>
      <c r="AT202" s="1" t="s">
        <v>215</v>
      </c>
      <c r="AU202" s="1">
        <v>2022.0</v>
      </c>
      <c r="AV202" s="1">
        <v>542.0</v>
      </c>
      <c r="AW202" s="1" t="s">
        <v>74</v>
      </c>
      <c r="AX202" s="1" t="s">
        <v>74</v>
      </c>
      <c r="AY202" s="1" t="s">
        <v>74</v>
      </c>
      <c r="AZ202" s="1" t="s">
        <v>74</v>
      </c>
      <c r="BA202" s="1" t="s">
        <v>74</v>
      </c>
      <c r="BB202" s="1" t="s">
        <v>74</v>
      </c>
      <c r="BC202" s="1" t="s">
        <v>74</v>
      </c>
      <c r="BD202" s="1">
        <v>168495.0</v>
      </c>
      <c r="BE202" s="1" t="s">
        <v>2213</v>
      </c>
      <c r="BF202" s="2" t="str">
        <f>HYPERLINK("http://dx.doi.org/10.1016/j.jmmm.2021.168495","http://dx.doi.org/10.1016/j.jmmm.2021.168495")</f>
        <v>http://dx.doi.org/10.1016/j.jmmm.2021.168495</v>
      </c>
      <c r="BG202" s="1" t="s">
        <v>74</v>
      </c>
      <c r="BH202" s="1" t="s">
        <v>98</v>
      </c>
      <c r="BI202" s="1" t="s">
        <v>74</v>
      </c>
      <c r="BJ202" s="1" t="s">
        <v>74</v>
      </c>
      <c r="BK202" s="1" t="s">
        <v>74</v>
      </c>
      <c r="BL202" s="1" t="s">
        <v>74</v>
      </c>
      <c r="BM202" s="1" t="s">
        <v>74</v>
      </c>
      <c r="BN202" s="1" t="s">
        <v>74</v>
      </c>
      <c r="BO202" s="1" t="s">
        <v>74</v>
      </c>
      <c r="BP202" s="1" t="s">
        <v>74</v>
      </c>
      <c r="BQ202" s="1" t="s">
        <v>74</v>
      </c>
      <c r="BR202" s="1" t="s">
        <v>74</v>
      </c>
      <c r="BS202" s="1" t="s">
        <v>2214</v>
      </c>
      <c r="BT202" s="1" t="str">
        <f>HYPERLINK("https%3A%2F%2Fwww.webofscience.com%2Fwos%2Fwoscc%2Ffull-record%2FWOS:000710666900001","View Full Record in Web of Science")</f>
        <v>View Full Record in Web of Science</v>
      </c>
    </row>
    <row r="203" ht="12.75" customHeight="1">
      <c r="A203" s="1" t="s">
        <v>72</v>
      </c>
      <c r="B203" s="1" t="s">
        <v>2215</v>
      </c>
      <c r="C203" s="1" t="s">
        <v>74</v>
      </c>
      <c r="D203" s="1" t="s">
        <v>74</v>
      </c>
      <c r="E203" s="1" t="s">
        <v>74</v>
      </c>
      <c r="F203" s="1" t="s">
        <v>2216</v>
      </c>
      <c r="G203" s="1" t="s">
        <v>74</v>
      </c>
      <c r="H203" s="1" t="s">
        <v>74</v>
      </c>
      <c r="I203" s="1" t="s">
        <v>2217</v>
      </c>
      <c r="J203" s="1" t="s">
        <v>1420</v>
      </c>
      <c r="K203" s="1" t="s">
        <v>74</v>
      </c>
      <c r="L203" s="1" t="s">
        <v>74</v>
      </c>
      <c r="M203" s="1" t="s">
        <v>74</v>
      </c>
      <c r="N203" s="1" t="s">
        <v>74</v>
      </c>
      <c r="O203" s="1" t="s">
        <v>74</v>
      </c>
      <c r="P203" s="1" t="s">
        <v>74</v>
      </c>
      <c r="Q203" s="1" t="s">
        <v>74</v>
      </c>
      <c r="R203" s="1" t="s">
        <v>74</v>
      </c>
      <c r="S203" s="1" t="s">
        <v>74</v>
      </c>
      <c r="T203" s="1" t="s">
        <v>74</v>
      </c>
      <c r="U203" s="1" t="s">
        <v>74</v>
      </c>
      <c r="V203" s="1" t="s">
        <v>2218</v>
      </c>
      <c r="W203" s="1" t="s">
        <v>74</v>
      </c>
      <c r="X203" s="1" t="s">
        <v>74</v>
      </c>
      <c r="Y203" s="1" t="s">
        <v>74</v>
      </c>
      <c r="Z203" s="1" t="s">
        <v>74</v>
      </c>
      <c r="AA203" s="1" t="s">
        <v>2219</v>
      </c>
      <c r="AB203" s="1" t="s">
        <v>2220</v>
      </c>
      <c r="AC203" s="1" t="s">
        <v>74</v>
      </c>
      <c r="AD203" s="1" t="s">
        <v>74</v>
      </c>
      <c r="AE203" s="1" t="s">
        <v>74</v>
      </c>
      <c r="AF203" s="1" t="s">
        <v>74</v>
      </c>
      <c r="AG203" s="1" t="s">
        <v>74</v>
      </c>
      <c r="AH203" s="1" t="s">
        <v>74</v>
      </c>
      <c r="AI203" s="1" t="s">
        <v>74</v>
      </c>
      <c r="AJ203" s="1" t="s">
        <v>74</v>
      </c>
      <c r="AK203" s="1" t="s">
        <v>74</v>
      </c>
      <c r="AL203" s="1" t="s">
        <v>74</v>
      </c>
      <c r="AM203" s="1" t="s">
        <v>74</v>
      </c>
      <c r="AN203" s="1" t="s">
        <v>74</v>
      </c>
      <c r="AO203" s="1" t="s">
        <v>1424</v>
      </c>
      <c r="AP203" s="1" t="s">
        <v>1425</v>
      </c>
      <c r="AQ203" s="1" t="s">
        <v>74</v>
      </c>
      <c r="AR203" s="1" t="s">
        <v>74</v>
      </c>
      <c r="AS203" s="1" t="s">
        <v>74</v>
      </c>
      <c r="AT203" s="1" t="s">
        <v>74</v>
      </c>
      <c r="AU203" s="1">
        <v>2021.0</v>
      </c>
      <c r="AV203" s="1">
        <v>45.0</v>
      </c>
      <c r="AW203" s="1" t="s">
        <v>74</v>
      </c>
      <c r="AX203" s="1" t="s">
        <v>74</v>
      </c>
      <c r="AY203" s="1" t="s">
        <v>74</v>
      </c>
      <c r="AZ203" s="1" t="s">
        <v>74</v>
      </c>
      <c r="BA203" s="1" t="s">
        <v>74</v>
      </c>
      <c r="BB203" s="1" t="s">
        <v>74</v>
      </c>
      <c r="BC203" s="1" t="s">
        <v>74</v>
      </c>
      <c r="BD203" s="1" t="s">
        <v>2221</v>
      </c>
      <c r="BE203" s="1" t="s">
        <v>2222</v>
      </c>
      <c r="BF203" s="2" t="str">
        <f>HYPERLINK("http://dx.doi.org/10.26633/RPSP.2021.86","http://dx.doi.org/10.26633/RPSP.2021.86")</f>
        <v>http://dx.doi.org/10.26633/RPSP.2021.86</v>
      </c>
      <c r="BG203" s="1" t="s">
        <v>74</v>
      </c>
      <c r="BH203" s="1" t="s">
        <v>74</v>
      </c>
      <c r="BI203" s="1" t="s">
        <v>74</v>
      </c>
      <c r="BJ203" s="1" t="s">
        <v>74</v>
      </c>
      <c r="BK203" s="1" t="s">
        <v>74</v>
      </c>
      <c r="BL203" s="1" t="s">
        <v>74</v>
      </c>
      <c r="BM203" s="1" t="s">
        <v>74</v>
      </c>
      <c r="BN203" s="1">
        <v>3.4475883E7</v>
      </c>
      <c r="BO203" s="1" t="s">
        <v>74</v>
      </c>
      <c r="BP203" s="1" t="s">
        <v>74</v>
      </c>
      <c r="BQ203" s="1" t="s">
        <v>74</v>
      </c>
      <c r="BR203" s="1" t="s">
        <v>74</v>
      </c>
      <c r="BS203" s="1" t="s">
        <v>2223</v>
      </c>
      <c r="BT203" s="1" t="str">
        <f>HYPERLINK("https%3A%2F%2Fwww.webofscience.com%2Fwos%2Fwoscc%2Ffull-record%2FWOS:001072843500001","View Full Record in Web of Science")</f>
        <v>View Full Record in Web of Science</v>
      </c>
    </row>
    <row r="204" ht="12.75" customHeight="1">
      <c r="A204" s="1" t="s">
        <v>72</v>
      </c>
      <c r="B204" s="1" t="s">
        <v>2224</v>
      </c>
      <c r="C204" s="1" t="s">
        <v>74</v>
      </c>
      <c r="D204" s="1" t="s">
        <v>74</v>
      </c>
      <c r="E204" s="1" t="s">
        <v>74</v>
      </c>
      <c r="F204" s="1" t="s">
        <v>2225</v>
      </c>
      <c r="G204" s="1" t="s">
        <v>74</v>
      </c>
      <c r="H204" s="1" t="s">
        <v>74</v>
      </c>
      <c r="I204" s="1" t="s">
        <v>2226</v>
      </c>
      <c r="J204" s="1" t="s">
        <v>1734</v>
      </c>
      <c r="K204" s="1" t="s">
        <v>74</v>
      </c>
      <c r="L204" s="1" t="s">
        <v>74</v>
      </c>
      <c r="M204" s="1" t="s">
        <v>74</v>
      </c>
      <c r="N204" s="1" t="s">
        <v>74</v>
      </c>
      <c r="O204" s="1" t="s">
        <v>74</v>
      </c>
      <c r="P204" s="1" t="s">
        <v>74</v>
      </c>
      <c r="Q204" s="1" t="s">
        <v>74</v>
      </c>
      <c r="R204" s="1" t="s">
        <v>74</v>
      </c>
      <c r="S204" s="1" t="s">
        <v>74</v>
      </c>
      <c r="T204" s="1" t="s">
        <v>74</v>
      </c>
      <c r="U204" s="1" t="s">
        <v>74</v>
      </c>
      <c r="V204" s="1" t="s">
        <v>2227</v>
      </c>
      <c r="W204" s="1" t="s">
        <v>74</v>
      </c>
      <c r="X204" s="1" t="s">
        <v>74</v>
      </c>
      <c r="Y204" s="1" t="s">
        <v>74</v>
      </c>
      <c r="Z204" s="1" t="s">
        <v>74</v>
      </c>
      <c r="AA204" s="1" t="s">
        <v>2228</v>
      </c>
      <c r="AB204" s="1" t="s">
        <v>2229</v>
      </c>
      <c r="AC204" s="1" t="s">
        <v>74</v>
      </c>
      <c r="AD204" s="1" t="s">
        <v>74</v>
      </c>
      <c r="AE204" s="1" t="s">
        <v>74</v>
      </c>
      <c r="AF204" s="1" t="s">
        <v>74</v>
      </c>
      <c r="AG204" s="1" t="s">
        <v>74</v>
      </c>
      <c r="AH204" s="1" t="s">
        <v>74</v>
      </c>
      <c r="AI204" s="1" t="s">
        <v>74</v>
      </c>
      <c r="AJ204" s="1" t="s">
        <v>74</v>
      </c>
      <c r="AK204" s="1" t="s">
        <v>74</v>
      </c>
      <c r="AL204" s="1" t="s">
        <v>74</v>
      </c>
      <c r="AM204" s="1" t="s">
        <v>74</v>
      </c>
      <c r="AN204" s="1" t="s">
        <v>74</v>
      </c>
      <c r="AO204" s="1" t="s">
        <v>1737</v>
      </c>
      <c r="AP204" s="1" t="s">
        <v>1738</v>
      </c>
      <c r="AQ204" s="1" t="s">
        <v>74</v>
      </c>
      <c r="AR204" s="1" t="s">
        <v>74</v>
      </c>
      <c r="AS204" s="1" t="s">
        <v>74</v>
      </c>
      <c r="AT204" s="1" t="s">
        <v>411</v>
      </c>
      <c r="AU204" s="1">
        <v>2020.0</v>
      </c>
      <c r="AV204" s="1">
        <v>148.0</v>
      </c>
      <c r="AW204" s="1">
        <v>11.0</v>
      </c>
      <c r="AX204" s="1" t="s">
        <v>74</v>
      </c>
      <c r="AY204" s="1" t="s">
        <v>74</v>
      </c>
      <c r="AZ204" s="1" t="s">
        <v>74</v>
      </c>
      <c r="BA204" s="1" t="s">
        <v>74</v>
      </c>
      <c r="BB204" s="1">
        <v>1614.0</v>
      </c>
      <c r="BC204" s="1">
        <v>1618.0</v>
      </c>
      <c r="BD204" s="1" t="s">
        <v>74</v>
      </c>
      <c r="BE204" s="1" t="s">
        <v>74</v>
      </c>
      <c r="BF204" s="1" t="s">
        <v>74</v>
      </c>
      <c r="BG204" s="1" t="s">
        <v>74</v>
      </c>
      <c r="BH204" s="1" t="s">
        <v>74</v>
      </c>
      <c r="BI204" s="1" t="s">
        <v>74</v>
      </c>
      <c r="BJ204" s="1" t="s">
        <v>74</v>
      </c>
      <c r="BK204" s="1" t="s">
        <v>74</v>
      </c>
      <c r="BL204" s="1" t="s">
        <v>74</v>
      </c>
      <c r="BM204" s="1" t="s">
        <v>74</v>
      </c>
      <c r="BN204" s="1">
        <v>3.3844767E7</v>
      </c>
      <c r="BO204" s="1" t="s">
        <v>74</v>
      </c>
      <c r="BP204" s="1" t="s">
        <v>74</v>
      </c>
      <c r="BQ204" s="1" t="s">
        <v>74</v>
      </c>
      <c r="BR204" s="1" t="s">
        <v>74</v>
      </c>
      <c r="BS204" s="1" t="s">
        <v>2230</v>
      </c>
      <c r="BT204" s="1" t="str">
        <f>HYPERLINK("https%3A%2F%2Fwww.webofscience.com%2Fwos%2Fwoscc%2Ffull-record%2FWOS:000637311000009","View Full Record in Web of Science")</f>
        <v>View Full Record in Web of Science</v>
      </c>
    </row>
    <row r="205" ht="12.75" customHeight="1">
      <c r="A205" s="1" t="s">
        <v>72</v>
      </c>
      <c r="B205" s="1" t="s">
        <v>2231</v>
      </c>
      <c r="C205" s="1" t="s">
        <v>74</v>
      </c>
      <c r="D205" s="1" t="s">
        <v>74</v>
      </c>
      <c r="E205" s="1" t="s">
        <v>74</v>
      </c>
      <c r="F205" s="1" t="s">
        <v>2232</v>
      </c>
      <c r="G205" s="1" t="s">
        <v>74</v>
      </c>
      <c r="H205" s="1" t="s">
        <v>74</v>
      </c>
      <c r="I205" s="1" t="s">
        <v>2233</v>
      </c>
      <c r="J205" s="1" t="s">
        <v>599</v>
      </c>
      <c r="K205" s="1" t="s">
        <v>74</v>
      </c>
      <c r="L205" s="1" t="s">
        <v>74</v>
      </c>
      <c r="M205" s="1" t="s">
        <v>74</v>
      </c>
      <c r="N205" s="1" t="s">
        <v>74</v>
      </c>
      <c r="O205" s="1" t="s">
        <v>74</v>
      </c>
      <c r="P205" s="1" t="s">
        <v>74</v>
      </c>
      <c r="Q205" s="1" t="s">
        <v>74</v>
      </c>
      <c r="R205" s="1" t="s">
        <v>74</v>
      </c>
      <c r="S205" s="1" t="s">
        <v>74</v>
      </c>
      <c r="T205" s="1" t="s">
        <v>74</v>
      </c>
      <c r="U205" s="1" t="s">
        <v>74</v>
      </c>
      <c r="V205" s="1" t="s">
        <v>2234</v>
      </c>
      <c r="W205" s="1" t="s">
        <v>74</v>
      </c>
      <c r="X205" s="1" t="s">
        <v>74</v>
      </c>
      <c r="Y205" s="1" t="s">
        <v>74</v>
      </c>
      <c r="Z205" s="1" t="s">
        <v>74</v>
      </c>
      <c r="AA205" s="1" t="s">
        <v>2235</v>
      </c>
      <c r="AB205" s="1" t="s">
        <v>2236</v>
      </c>
      <c r="AC205" s="1" t="s">
        <v>74</v>
      </c>
      <c r="AD205" s="1" t="s">
        <v>74</v>
      </c>
      <c r="AE205" s="1" t="s">
        <v>74</v>
      </c>
      <c r="AF205" s="1" t="s">
        <v>74</v>
      </c>
      <c r="AG205" s="1" t="s">
        <v>74</v>
      </c>
      <c r="AH205" s="1" t="s">
        <v>74</v>
      </c>
      <c r="AI205" s="1" t="s">
        <v>74</v>
      </c>
      <c r="AJ205" s="1" t="s">
        <v>74</v>
      </c>
      <c r="AK205" s="1" t="s">
        <v>74</v>
      </c>
      <c r="AL205" s="1" t="s">
        <v>74</v>
      </c>
      <c r="AM205" s="1" t="s">
        <v>74</v>
      </c>
      <c r="AN205" s="1" t="s">
        <v>74</v>
      </c>
      <c r="AO205" s="1" t="s">
        <v>601</v>
      </c>
      <c r="AP205" s="1" t="s">
        <v>602</v>
      </c>
      <c r="AQ205" s="1" t="s">
        <v>74</v>
      </c>
      <c r="AR205" s="1" t="s">
        <v>74</v>
      </c>
      <c r="AS205" s="1" t="s">
        <v>74</v>
      </c>
      <c r="AT205" s="1" t="s">
        <v>259</v>
      </c>
      <c r="AU205" s="1">
        <v>2019.0</v>
      </c>
      <c r="AV205" s="1">
        <v>33.0</v>
      </c>
      <c r="AW205" s="1">
        <v>8.0</v>
      </c>
      <c r="AX205" s="1" t="s">
        <v>74</v>
      </c>
      <c r="AY205" s="1" t="s">
        <v>74</v>
      </c>
      <c r="AZ205" s="1" t="s">
        <v>74</v>
      </c>
      <c r="BA205" s="1" t="s">
        <v>74</v>
      </c>
      <c r="BB205" s="1">
        <v>9434.0</v>
      </c>
      <c r="BC205" s="1">
        <v>9452.0</v>
      </c>
      <c r="BD205" s="1" t="s">
        <v>74</v>
      </c>
      <c r="BE205" s="1" t="s">
        <v>2237</v>
      </c>
      <c r="BF205" s="2" t="str">
        <f>HYPERLINK("http://dx.doi.org/10.1096/fj.201900136R","http://dx.doi.org/10.1096/fj.201900136R")</f>
        <v>http://dx.doi.org/10.1096/fj.201900136R</v>
      </c>
      <c r="BG205" s="1" t="s">
        <v>74</v>
      </c>
      <c r="BH205" s="1" t="s">
        <v>74</v>
      </c>
      <c r="BI205" s="1" t="s">
        <v>74</v>
      </c>
      <c r="BJ205" s="1" t="s">
        <v>74</v>
      </c>
      <c r="BK205" s="1" t="s">
        <v>74</v>
      </c>
      <c r="BL205" s="1" t="s">
        <v>74</v>
      </c>
      <c r="BM205" s="1" t="s">
        <v>74</v>
      </c>
      <c r="BN205" s="1">
        <v>3.1112396E7</v>
      </c>
      <c r="BO205" s="1" t="s">
        <v>74</v>
      </c>
      <c r="BP205" s="1" t="s">
        <v>74</v>
      </c>
      <c r="BQ205" s="1" t="s">
        <v>74</v>
      </c>
      <c r="BR205" s="1" t="s">
        <v>74</v>
      </c>
      <c r="BS205" s="1" t="s">
        <v>2238</v>
      </c>
      <c r="BT205" s="1" t="str">
        <f>HYPERLINK("https%3A%2F%2Fwww.webofscience.com%2Fwos%2Fwoscc%2Ffull-record%2FWOS:000478832900057","View Full Record in Web of Science")</f>
        <v>View Full Record in Web of Science</v>
      </c>
    </row>
    <row r="206" ht="12.75" customHeight="1">
      <c r="A206" s="1" t="s">
        <v>647</v>
      </c>
      <c r="B206" s="1" t="s">
        <v>2239</v>
      </c>
      <c r="C206" s="1" t="s">
        <v>74</v>
      </c>
      <c r="D206" s="1" t="s">
        <v>74</v>
      </c>
      <c r="E206" s="1" t="s">
        <v>649</v>
      </c>
      <c r="F206" s="1" t="s">
        <v>2240</v>
      </c>
      <c r="G206" s="1" t="s">
        <v>74</v>
      </c>
      <c r="H206" s="1" t="s">
        <v>74</v>
      </c>
      <c r="I206" s="1" t="s">
        <v>2241</v>
      </c>
      <c r="J206" s="1" t="s">
        <v>2242</v>
      </c>
      <c r="K206" s="1" t="s">
        <v>74</v>
      </c>
      <c r="L206" s="1" t="s">
        <v>74</v>
      </c>
      <c r="M206" s="1" t="s">
        <v>74</v>
      </c>
      <c r="N206" s="1" t="s">
        <v>74</v>
      </c>
      <c r="O206" s="1" t="s">
        <v>2243</v>
      </c>
      <c r="P206" s="1" t="s">
        <v>2244</v>
      </c>
      <c r="Q206" s="1" t="s">
        <v>2245</v>
      </c>
      <c r="R206" s="1" t="s">
        <v>2246</v>
      </c>
      <c r="S206" s="1" t="s">
        <v>74</v>
      </c>
      <c r="T206" s="1" t="s">
        <v>74</v>
      </c>
      <c r="U206" s="1" t="s">
        <v>74</v>
      </c>
      <c r="V206" s="1" t="s">
        <v>2247</v>
      </c>
      <c r="W206" s="1" t="s">
        <v>74</v>
      </c>
      <c r="X206" s="1" t="s">
        <v>74</v>
      </c>
      <c r="Y206" s="1" t="s">
        <v>74</v>
      </c>
      <c r="Z206" s="1" t="s">
        <v>74</v>
      </c>
      <c r="AA206" s="1" t="s">
        <v>2248</v>
      </c>
      <c r="AB206" s="1" t="s">
        <v>2249</v>
      </c>
      <c r="AC206" s="1" t="s">
        <v>74</v>
      </c>
      <c r="AD206" s="1" t="s">
        <v>74</v>
      </c>
      <c r="AE206" s="1" t="s">
        <v>74</v>
      </c>
      <c r="AF206" s="1" t="s">
        <v>74</v>
      </c>
      <c r="AG206" s="1" t="s">
        <v>74</v>
      </c>
      <c r="AH206" s="1" t="s">
        <v>74</v>
      </c>
      <c r="AI206" s="1" t="s">
        <v>74</v>
      </c>
      <c r="AJ206" s="1" t="s">
        <v>74</v>
      </c>
      <c r="AK206" s="1" t="s">
        <v>74</v>
      </c>
      <c r="AL206" s="1" t="s">
        <v>74</v>
      </c>
      <c r="AM206" s="1" t="s">
        <v>74</v>
      </c>
      <c r="AN206" s="1" t="s">
        <v>74</v>
      </c>
      <c r="AO206" s="1" t="s">
        <v>74</v>
      </c>
      <c r="AP206" s="1" t="s">
        <v>74</v>
      </c>
      <c r="AQ206" s="1" t="s">
        <v>2250</v>
      </c>
      <c r="AR206" s="1" t="s">
        <v>74</v>
      </c>
      <c r="AS206" s="1" t="s">
        <v>74</v>
      </c>
      <c r="AT206" s="1" t="s">
        <v>74</v>
      </c>
      <c r="AU206" s="1">
        <v>2019.0</v>
      </c>
      <c r="AV206" s="1" t="s">
        <v>74</v>
      </c>
      <c r="AW206" s="1" t="s">
        <v>74</v>
      </c>
      <c r="AX206" s="1" t="s">
        <v>74</v>
      </c>
      <c r="AY206" s="1" t="s">
        <v>74</v>
      </c>
      <c r="AZ206" s="1" t="s">
        <v>74</v>
      </c>
      <c r="BA206" s="1" t="s">
        <v>74</v>
      </c>
      <c r="BB206" s="1" t="s">
        <v>74</v>
      </c>
      <c r="BC206" s="1" t="s">
        <v>74</v>
      </c>
      <c r="BD206" s="1" t="s">
        <v>74</v>
      </c>
      <c r="BE206" s="1" t="s">
        <v>74</v>
      </c>
      <c r="BF206" s="1" t="s">
        <v>74</v>
      </c>
      <c r="BG206" s="1" t="s">
        <v>74</v>
      </c>
      <c r="BH206" s="1" t="s">
        <v>74</v>
      </c>
      <c r="BI206" s="1" t="s">
        <v>74</v>
      </c>
      <c r="BJ206" s="1" t="s">
        <v>74</v>
      </c>
      <c r="BK206" s="1" t="s">
        <v>74</v>
      </c>
      <c r="BL206" s="1" t="s">
        <v>74</v>
      </c>
      <c r="BM206" s="1" t="s">
        <v>74</v>
      </c>
      <c r="BN206" s="1" t="s">
        <v>74</v>
      </c>
      <c r="BO206" s="1" t="s">
        <v>74</v>
      </c>
      <c r="BP206" s="1" t="s">
        <v>74</v>
      </c>
      <c r="BQ206" s="1" t="s">
        <v>74</v>
      </c>
      <c r="BR206" s="1" t="s">
        <v>74</v>
      </c>
      <c r="BS206" s="1" t="s">
        <v>2251</v>
      </c>
      <c r="BT206" s="1" t="str">
        <f>HYPERLINK("https%3A%2F%2Fwww.webofscience.com%2Fwos%2Fwoscc%2Ffull-record%2FWOS:000542919100144","View Full Record in Web of Science")</f>
        <v>View Full Record in Web of Science</v>
      </c>
    </row>
    <row r="207" ht="12.75" customHeight="1">
      <c r="A207" s="1" t="s">
        <v>647</v>
      </c>
      <c r="B207" s="1" t="s">
        <v>2252</v>
      </c>
      <c r="C207" s="1" t="s">
        <v>74</v>
      </c>
      <c r="D207" s="1" t="s">
        <v>2253</v>
      </c>
      <c r="E207" s="1" t="s">
        <v>74</v>
      </c>
      <c r="F207" s="1" t="s">
        <v>2254</v>
      </c>
      <c r="G207" s="1" t="s">
        <v>74</v>
      </c>
      <c r="H207" s="1" t="s">
        <v>74</v>
      </c>
      <c r="I207" s="1" t="s">
        <v>2255</v>
      </c>
      <c r="J207" s="1" t="s">
        <v>2256</v>
      </c>
      <c r="K207" s="1" t="s">
        <v>2257</v>
      </c>
      <c r="L207" s="1" t="s">
        <v>74</v>
      </c>
      <c r="M207" s="1" t="s">
        <v>74</v>
      </c>
      <c r="N207" s="1" t="s">
        <v>74</v>
      </c>
      <c r="O207" s="1" t="s">
        <v>2258</v>
      </c>
      <c r="P207" s="1" t="s">
        <v>2259</v>
      </c>
      <c r="Q207" s="1" t="s">
        <v>2260</v>
      </c>
      <c r="R207" s="1" t="s">
        <v>74</v>
      </c>
      <c r="S207" s="1" t="s">
        <v>2261</v>
      </c>
      <c r="T207" s="1" t="s">
        <v>74</v>
      </c>
      <c r="U207" s="1" t="s">
        <v>74</v>
      </c>
      <c r="V207" s="1" t="s">
        <v>2262</v>
      </c>
      <c r="W207" s="1" t="s">
        <v>74</v>
      </c>
      <c r="X207" s="1" t="s">
        <v>74</v>
      </c>
      <c r="Y207" s="1" t="s">
        <v>74</v>
      </c>
      <c r="Z207" s="1" t="s">
        <v>74</v>
      </c>
      <c r="AA207" s="1" t="s">
        <v>2263</v>
      </c>
      <c r="AB207" s="1" t="s">
        <v>74</v>
      </c>
      <c r="AC207" s="1" t="s">
        <v>74</v>
      </c>
      <c r="AD207" s="1" t="s">
        <v>74</v>
      </c>
      <c r="AE207" s="1" t="s">
        <v>74</v>
      </c>
      <c r="AF207" s="1" t="s">
        <v>74</v>
      </c>
      <c r="AG207" s="1" t="s">
        <v>74</v>
      </c>
      <c r="AH207" s="1" t="s">
        <v>74</v>
      </c>
      <c r="AI207" s="1" t="s">
        <v>74</v>
      </c>
      <c r="AJ207" s="1" t="s">
        <v>74</v>
      </c>
      <c r="AK207" s="1" t="s">
        <v>74</v>
      </c>
      <c r="AL207" s="1" t="s">
        <v>74</v>
      </c>
      <c r="AM207" s="1" t="s">
        <v>74</v>
      </c>
      <c r="AN207" s="1" t="s">
        <v>74</v>
      </c>
      <c r="AO207" s="1" t="s">
        <v>2264</v>
      </c>
      <c r="AP207" s="1" t="s">
        <v>74</v>
      </c>
      <c r="AQ207" s="1" t="s">
        <v>2265</v>
      </c>
      <c r="AR207" s="1" t="s">
        <v>74</v>
      </c>
      <c r="AS207" s="1" t="s">
        <v>74</v>
      </c>
      <c r="AT207" s="1" t="s">
        <v>74</v>
      </c>
      <c r="AU207" s="1">
        <v>2015.0</v>
      </c>
      <c r="AV207" s="1" t="s">
        <v>74</v>
      </c>
      <c r="AW207" s="1" t="s">
        <v>74</v>
      </c>
      <c r="AX207" s="1" t="s">
        <v>74</v>
      </c>
      <c r="AY207" s="1" t="s">
        <v>74</v>
      </c>
      <c r="AZ207" s="1" t="s">
        <v>74</v>
      </c>
      <c r="BA207" s="1" t="s">
        <v>74</v>
      </c>
      <c r="BB207" s="1">
        <v>560.0</v>
      </c>
      <c r="BC207" s="1">
        <v>566.0</v>
      </c>
      <c r="BD207" s="1" t="s">
        <v>74</v>
      </c>
      <c r="BE207" s="1" t="s">
        <v>74</v>
      </c>
      <c r="BF207" s="1" t="s">
        <v>74</v>
      </c>
      <c r="BG207" s="1" t="s">
        <v>74</v>
      </c>
      <c r="BH207" s="1" t="s">
        <v>74</v>
      </c>
      <c r="BI207" s="1" t="s">
        <v>74</v>
      </c>
      <c r="BJ207" s="1" t="s">
        <v>74</v>
      </c>
      <c r="BK207" s="1" t="s">
        <v>74</v>
      </c>
      <c r="BL207" s="1" t="s">
        <v>74</v>
      </c>
      <c r="BM207" s="1" t="s">
        <v>74</v>
      </c>
      <c r="BN207" s="1" t="s">
        <v>74</v>
      </c>
      <c r="BO207" s="1" t="s">
        <v>74</v>
      </c>
      <c r="BP207" s="1" t="s">
        <v>74</v>
      </c>
      <c r="BQ207" s="1" t="s">
        <v>74</v>
      </c>
      <c r="BR207" s="1" t="s">
        <v>74</v>
      </c>
      <c r="BS207" s="1" t="s">
        <v>2266</v>
      </c>
      <c r="BT207" s="1" t="str">
        <f>HYPERLINK("https%3A%2F%2Fwww.webofscience.com%2Fwos%2Fwoscc%2Ffull-record%2FWOS:000380459600007","View Full Record in Web of Science")</f>
        <v>View Full Record in Web of Science</v>
      </c>
    </row>
    <row r="208" ht="12.75" customHeight="1">
      <c r="A208" s="1" t="s">
        <v>72</v>
      </c>
      <c r="B208" s="1" t="s">
        <v>2267</v>
      </c>
      <c r="C208" s="1" t="s">
        <v>74</v>
      </c>
      <c r="D208" s="1" t="s">
        <v>74</v>
      </c>
      <c r="E208" s="1" t="s">
        <v>74</v>
      </c>
      <c r="F208" s="1" t="s">
        <v>2268</v>
      </c>
      <c r="G208" s="1" t="s">
        <v>74</v>
      </c>
      <c r="H208" s="1" t="s">
        <v>74</v>
      </c>
      <c r="I208" s="1" t="s">
        <v>2269</v>
      </c>
      <c r="J208" s="1" t="s">
        <v>2270</v>
      </c>
      <c r="K208" s="1" t="s">
        <v>74</v>
      </c>
      <c r="L208" s="1" t="s">
        <v>74</v>
      </c>
      <c r="M208" s="1" t="s">
        <v>74</v>
      </c>
      <c r="N208" s="1" t="s">
        <v>74</v>
      </c>
      <c r="O208" s="1" t="s">
        <v>74</v>
      </c>
      <c r="P208" s="1" t="s">
        <v>74</v>
      </c>
      <c r="Q208" s="1" t="s">
        <v>74</v>
      </c>
      <c r="R208" s="1" t="s">
        <v>74</v>
      </c>
      <c r="S208" s="1" t="s">
        <v>74</v>
      </c>
      <c r="T208" s="1" t="s">
        <v>74</v>
      </c>
      <c r="U208" s="1" t="s">
        <v>74</v>
      </c>
      <c r="V208" s="1" t="s">
        <v>2271</v>
      </c>
      <c r="W208" s="1" t="s">
        <v>74</v>
      </c>
      <c r="X208" s="1" t="s">
        <v>74</v>
      </c>
      <c r="Y208" s="1" t="s">
        <v>74</v>
      </c>
      <c r="Z208" s="1" t="s">
        <v>74</v>
      </c>
      <c r="AA208" s="1" t="s">
        <v>2272</v>
      </c>
      <c r="AB208" s="1" t="s">
        <v>2273</v>
      </c>
      <c r="AC208" s="1" t="s">
        <v>74</v>
      </c>
      <c r="AD208" s="1" t="s">
        <v>74</v>
      </c>
      <c r="AE208" s="1" t="s">
        <v>74</v>
      </c>
      <c r="AF208" s="1" t="s">
        <v>74</v>
      </c>
      <c r="AG208" s="1" t="s">
        <v>74</v>
      </c>
      <c r="AH208" s="1" t="s">
        <v>74</v>
      </c>
      <c r="AI208" s="1" t="s">
        <v>74</v>
      </c>
      <c r="AJ208" s="1" t="s">
        <v>74</v>
      </c>
      <c r="AK208" s="1" t="s">
        <v>74</v>
      </c>
      <c r="AL208" s="1" t="s">
        <v>74</v>
      </c>
      <c r="AM208" s="1" t="s">
        <v>74</v>
      </c>
      <c r="AN208" s="1" t="s">
        <v>74</v>
      </c>
      <c r="AO208" s="1" t="s">
        <v>2274</v>
      </c>
      <c r="AP208" s="1" t="s">
        <v>74</v>
      </c>
      <c r="AQ208" s="1" t="s">
        <v>74</v>
      </c>
      <c r="AR208" s="1" t="s">
        <v>74</v>
      </c>
      <c r="AS208" s="1" t="s">
        <v>74</v>
      </c>
      <c r="AT208" s="1" t="s">
        <v>438</v>
      </c>
      <c r="AU208" s="1">
        <v>2012.0</v>
      </c>
      <c r="AV208" s="1">
        <v>89.0</v>
      </c>
      <c r="AW208" s="1" t="s">
        <v>74</v>
      </c>
      <c r="AX208" s="1" t="s">
        <v>74</v>
      </c>
      <c r="AY208" s="1" t="s">
        <v>74</v>
      </c>
      <c r="AZ208" s="1" t="s">
        <v>74</v>
      </c>
      <c r="BA208" s="1" t="s">
        <v>74</v>
      </c>
      <c r="BB208" s="1">
        <v>222.0</v>
      </c>
      <c r="BC208" s="1">
        <v>230.0</v>
      </c>
      <c r="BD208" s="1" t="s">
        <v>74</v>
      </c>
      <c r="BE208" s="1" t="s">
        <v>2275</v>
      </c>
      <c r="BF208" s="2" t="str">
        <f>HYPERLINK("http://dx.doi.org/10.1016/j.saa.2011.12.032","http://dx.doi.org/10.1016/j.saa.2011.12.032")</f>
        <v>http://dx.doi.org/10.1016/j.saa.2011.12.032</v>
      </c>
      <c r="BG208" s="1" t="s">
        <v>74</v>
      </c>
      <c r="BH208" s="1" t="s">
        <v>74</v>
      </c>
      <c r="BI208" s="1" t="s">
        <v>74</v>
      </c>
      <c r="BJ208" s="1" t="s">
        <v>74</v>
      </c>
      <c r="BK208" s="1" t="s">
        <v>74</v>
      </c>
      <c r="BL208" s="1" t="s">
        <v>74</v>
      </c>
      <c r="BM208" s="1" t="s">
        <v>74</v>
      </c>
      <c r="BN208" s="1">
        <v>2.226111E7</v>
      </c>
      <c r="BO208" s="1" t="s">
        <v>74</v>
      </c>
      <c r="BP208" s="1" t="s">
        <v>74</v>
      </c>
      <c r="BQ208" s="1" t="s">
        <v>74</v>
      </c>
      <c r="BR208" s="1" t="s">
        <v>74</v>
      </c>
      <c r="BS208" s="1" t="s">
        <v>2276</v>
      </c>
      <c r="BT208" s="1" t="str">
        <f>HYPERLINK("https%3A%2F%2Fwww.webofscience.com%2Fwos%2Fwoscc%2Ffull-record%2FWOS:000301471600032","View Full Record in Web of Science")</f>
        <v>View Full Record in Web of Science</v>
      </c>
    </row>
    <row r="209" ht="12.75" customHeight="1">
      <c r="A209" s="1" t="s">
        <v>72</v>
      </c>
      <c r="B209" s="1" t="s">
        <v>2277</v>
      </c>
      <c r="C209" s="1" t="s">
        <v>74</v>
      </c>
      <c r="D209" s="1" t="s">
        <v>74</v>
      </c>
      <c r="E209" s="1" t="s">
        <v>74</v>
      </c>
      <c r="F209" s="1" t="s">
        <v>2278</v>
      </c>
      <c r="G209" s="1" t="s">
        <v>74</v>
      </c>
      <c r="H209" s="1" t="s">
        <v>74</v>
      </c>
      <c r="I209" s="1" t="s">
        <v>2279</v>
      </c>
      <c r="J209" s="1" t="s">
        <v>572</v>
      </c>
      <c r="K209" s="1" t="s">
        <v>74</v>
      </c>
      <c r="L209" s="1" t="s">
        <v>74</v>
      </c>
      <c r="M209" s="1" t="s">
        <v>74</v>
      </c>
      <c r="N209" s="1" t="s">
        <v>74</v>
      </c>
      <c r="O209" s="1" t="s">
        <v>74</v>
      </c>
      <c r="P209" s="1" t="s">
        <v>74</v>
      </c>
      <c r="Q209" s="1" t="s">
        <v>74</v>
      </c>
      <c r="R209" s="1" t="s">
        <v>74</v>
      </c>
      <c r="S209" s="1" t="s">
        <v>74</v>
      </c>
      <c r="T209" s="1" t="s">
        <v>74</v>
      </c>
      <c r="U209" s="1" t="s">
        <v>74</v>
      </c>
      <c r="V209" s="1" t="s">
        <v>2280</v>
      </c>
      <c r="W209" s="1" t="s">
        <v>74</v>
      </c>
      <c r="X209" s="1" t="s">
        <v>74</v>
      </c>
      <c r="Y209" s="1" t="s">
        <v>74</v>
      </c>
      <c r="Z209" s="1" t="s">
        <v>74</v>
      </c>
      <c r="AA209" s="1" t="s">
        <v>2281</v>
      </c>
      <c r="AB209" s="1" t="s">
        <v>2282</v>
      </c>
      <c r="AC209" s="1" t="s">
        <v>74</v>
      </c>
      <c r="AD209" s="1" t="s">
        <v>74</v>
      </c>
      <c r="AE209" s="1" t="s">
        <v>74</v>
      </c>
      <c r="AF209" s="1" t="s">
        <v>74</v>
      </c>
      <c r="AG209" s="1" t="s">
        <v>74</v>
      </c>
      <c r="AH209" s="1" t="s">
        <v>74</v>
      </c>
      <c r="AI209" s="1" t="s">
        <v>74</v>
      </c>
      <c r="AJ209" s="1" t="s">
        <v>74</v>
      </c>
      <c r="AK209" s="1" t="s">
        <v>74</v>
      </c>
      <c r="AL209" s="1" t="s">
        <v>74</v>
      </c>
      <c r="AM209" s="1" t="s">
        <v>74</v>
      </c>
      <c r="AN209" s="1" t="s">
        <v>74</v>
      </c>
      <c r="AO209" s="1" t="s">
        <v>575</v>
      </c>
      <c r="AP209" s="1" t="s">
        <v>576</v>
      </c>
      <c r="AQ209" s="1" t="s">
        <v>74</v>
      </c>
      <c r="AR209" s="1" t="s">
        <v>74</v>
      </c>
      <c r="AS209" s="1" t="s">
        <v>74</v>
      </c>
      <c r="AT209" s="1" t="s">
        <v>2283</v>
      </c>
      <c r="AU209" s="1">
        <v>2009.0</v>
      </c>
      <c r="AV209" s="1">
        <v>257.0</v>
      </c>
      <c r="AW209" s="1">
        <v>11.0</v>
      </c>
      <c r="AX209" s="1" t="s">
        <v>74</v>
      </c>
      <c r="AY209" s="1" t="s">
        <v>74</v>
      </c>
      <c r="AZ209" s="1" t="s">
        <v>74</v>
      </c>
      <c r="BA209" s="1" t="s">
        <v>74</v>
      </c>
      <c r="BB209" s="1">
        <v>3454.0</v>
      </c>
      <c r="BC209" s="1">
        <v>3487.0</v>
      </c>
      <c r="BD209" s="1" t="s">
        <v>74</v>
      </c>
      <c r="BE209" s="1" t="s">
        <v>2284</v>
      </c>
      <c r="BF209" s="2" t="str">
        <f>HYPERLINK("http://dx.doi.org/10.1016/j.jfa.2009.07.017","http://dx.doi.org/10.1016/j.jfa.2009.07.017")</f>
        <v>http://dx.doi.org/10.1016/j.jfa.2009.07.017</v>
      </c>
      <c r="BG209" s="1" t="s">
        <v>74</v>
      </c>
      <c r="BH209" s="1" t="s">
        <v>74</v>
      </c>
      <c r="BI209" s="1" t="s">
        <v>74</v>
      </c>
      <c r="BJ209" s="1" t="s">
        <v>74</v>
      </c>
      <c r="BK209" s="1" t="s">
        <v>74</v>
      </c>
      <c r="BL209" s="1" t="s">
        <v>74</v>
      </c>
      <c r="BM209" s="1" t="s">
        <v>74</v>
      </c>
      <c r="BN209" s="1" t="s">
        <v>74</v>
      </c>
      <c r="BO209" s="1" t="s">
        <v>74</v>
      </c>
      <c r="BP209" s="1" t="s">
        <v>74</v>
      </c>
      <c r="BQ209" s="1" t="s">
        <v>74</v>
      </c>
      <c r="BR209" s="1" t="s">
        <v>74</v>
      </c>
      <c r="BS209" s="1" t="s">
        <v>2285</v>
      </c>
      <c r="BT209" s="1" t="str">
        <f>HYPERLINK("https%3A%2F%2Fwww.webofscience.com%2Fwos%2Fwoscc%2Ffull-record%2FWOS:000271678700005","View Full Record in Web of Science")</f>
        <v>View Full Record in Web of Science</v>
      </c>
    </row>
    <row r="210" ht="12.75" customHeight="1">
      <c r="A210" s="1" t="s">
        <v>72</v>
      </c>
      <c r="B210" s="1" t="s">
        <v>2286</v>
      </c>
      <c r="C210" s="1" t="s">
        <v>74</v>
      </c>
      <c r="D210" s="1" t="s">
        <v>74</v>
      </c>
      <c r="E210" s="1" t="s">
        <v>74</v>
      </c>
      <c r="F210" s="1" t="s">
        <v>2287</v>
      </c>
      <c r="G210" s="1" t="s">
        <v>74</v>
      </c>
      <c r="H210" s="1" t="s">
        <v>74</v>
      </c>
      <c r="I210" s="1" t="s">
        <v>2288</v>
      </c>
      <c r="J210" s="1" t="s">
        <v>2289</v>
      </c>
      <c r="K210" s="1" t="s">
        <v>74</v>
      </c>
      <c r="L210" s="1" t="s">
        <v>74</v>
      </c>
      <c r="M210" s="1" t="s">
        <v>74</v>
      </c>
      <c r="N210" s="1" t="s">
        <v>74</v>
      </c>
      <c r="O210" s="1" t="s">
        <v>74</v>
      </c>
      <c r="P210" s="1" t="s">
        <v>74</v>
      </c>
      <c r="Q210" s="1" t="s">
        <v>74</v>
      </c>
      <c r="R210" s="1" t="s">
        <v>74</v>
      </c>
      <c r="S210" s="1" t="s">
        <v>74</v>
      </c>
      <c r="T210" s="1" t="s">
        <v>74</v>
      </c>
      <c r="U210" s="1" t="s">
        <v>74</v>
      </c>
      <c r="V210" s="1" t="s">
        <v>2290</v>
      </c>
      <c r="W210" s="1" t="s">
        <v>74</v>
      </c>
      <c r="X210" s="1" t="s">
        <v>74</v>
      </c>
      <c r="Y210" s="1" t="s">
        <v>74</v>
      </c>
      <c r="Z210" s="1" t="s">
        <v>74</v>
      </c>
      <c r="AA210" s="1" t="s">
        <v>2291</v>
      </c>
      <c r="AB210" s="1" t="s">
        <v>2292</v>
      </c>
      <c r="AC210" s="1" t="s">
        <v>74</v>
      </c>
      <c r="AD210" s="1" t="s">
        <v>74</v>
      </c>
      <c r="AE210" s="1" t="s">
        <v>74</v>
      </c>
      <c r="AF210" s="1" t="s">
        <v>74</v>
      </c>
      <c r="AG210" s="1" t="s">
        <v>74</v>
      </c>
      <c r="AH210" s="1" t="s">
        <v>74</v>
      </c>
      <c r="AI210" s="1" t="s">
        <v>74</v>
      </c>
      <c r="AJ210" s="1" t="s">
        <v>74</v>
      </c>
      <c r="AK210" s="1" t="s">
        <v>74</v>
      </c>
      <c r="AL210" s="1" t="s">
        <v>74</v>
      </c>
      <c r="AM210" s="1" t="s">
        <v>74</v>
      </c>
      <c r="AN210" s="1" t="s">
        <v>74</v>
      </c>
      <c r="AO210" s="1" t="s">
        <v>2293</v>
      </c>
      <c r="AP210" s="1" t="s">
        <v>2294</v>
      </c>
      <c r="AQ210" s="1" t="s">
        <v>74</v>
      </c>
      <c r="AR210" s="1" t="s">
        <v>74</v>
      </c>
      <c r="AS210" s="1" t="s">
        <v>74</v>
      </c>
      <c r="AT210" s="1" t="s">
        <v>2295</v>
      </c>
      <c r="AU210" s="1">
        <v>2009.0</v>
      </c>
      <c r="AV210" s="1">
        <v>45.0</v>
      </c>
      <c r="AW210" s="1">
        <v>5.0</v>
      </c>
      <c r="AX210" s="1" t="s">
        <v>74</v>
      </c>
      <c r="AY210" s="1" t="s">
        <v>74</v>
      </c>
      <c r="AZ210" s="1" t="s">
        <v>74</v>
      </c>
      <c r="BA210" s="1" t="s">
        <v>74</v>
      </c>
      <c r="BB210" s="1">
        <v>375.0</v>
      </c>
      <c r="BC210" s="1">
        <v>383.0</v>
      </c>
      <c r="BD210" s="1" t="s">
        <v>74</v>
      </c>
      <c r="BE210" s="1" t="s">
        <v>2296</v>
      </c>
      <c r="BF210" s="2" t="str">
        <f>HYPERLINK("http://dx.doi.org/10.3989/revmetalm.0853","http://dx.doi.org/10.3989/revmetalm.0853")</f>
        <v>http://dx.doi.org/10.3989/revmetalm.0853</v>
      </c>
      <c r="BG210" s="1" t="s">
        <v>74</v>
      </c>
      <c r="BH210" s="1" t="s">
        <v>74</v>
      </c>
      <c r="BI210" s="1" t="s">
        <v>74</v>
      </c>
      <c r="BJ210" s="1" t="s">
        <v>74</v>
      </c>
      <c r="BK210" s="1" t="s">
        <v>74</v>
      </c>
      <c r="BL210" s="1" t="s">
        <v>74</v>
      </c>
      <c r="BM210" s="1" t="s">
        <v>74</v>
      </c>
      <c r="BN210" s="1" t="s">
        <v>74</v>
      </c>
      <c r="BO210" s="1" t="s">
        <v>74</v>
      </c>
      <c r="BP210" s="1" t="s">
        <v>74</v>
      </c>
      <c r="BQ210" s="1" t="s">
        <v>74</v>
      </c>
      <c r="BR210" s="1" t="s">
        <v>74</v>
      </c>
      <c r="BS210" s="1" t="s">
        <v>2297</v>
      </c>
      <c r="BT210" s="1" t="str">
        <f>HYPERLINK("https%3A%2F%2Fwww.webofscience.com%2Fwos%2Fwoscc%2Ffull-record%2FWOS:000272496300006","View Full Record in Web of Science")</f>
        <v>View Full Record in Web of Science</v>
      </c>
    </row>
    <row r="211" ht="12.75" customHeight="1">
      <c r="A211" s="1" t="s">
        <v>647</v>
      </c>
      <c r="B211" s="1" t="s">
        <v>2298</v>
      </c>
      <c r="C211" s="1" t="s">
        <v>74</v>
      </c>
      <c r="D211" s="1" t="s">
        <v>2299</v>
      </c>
      <c r="E211" s="1" t="s">
        <v>74</v>
      </c>
      <c r="F211" s="1" t="s">
        <v>2300</v>
      </c>
      <c r="G211" s="1" t="s">
        <v>74</v>
      </c>
      <c r="H211" s="1" t="s">
        <v>74</v>
      </c>
      <c r="I211" s="1" t="s">
        <v>2301</v>
      </c>
      <c r="J211" s="1" t="s">
        <v>2302</v>
      </c>
      <c r="K211" s="1" t="s">
        <v>74</v>
      </c>
      <c r="L211" s="1" t="s">
        <v>74</v>
      </c>
      <c r="M211" s="1" t="s">
        <v>74</v>
      </c>
      <c r="N211" s="1" t="s">
        <v>74</v>
      </c>
      <c r="O211" s="1" t="s">
        <v>2303</v>
      </c>
      <c r="P211" s="1" t="s">
        <v>2304</v>
      </c>
      <c r="Q211" s="1" t="s">
        <v>2305</v>
      </c>
      <c r="R211" s="1" t="s">
        <v>74</v>
      </c>
      <c r="S211" s="1" t="s">
        <v>74</v>
      </c>
      <c r="T211" s="1" t="s">
        <v>74</v>
      </c>
      <c r="U211" s="1" t="s">
        <v>74</v>
      </c>
      <c r="V211" s="1" t="s">
        <v>2306</v>
      </c>
      <c r="W211" s="1" t="s">
        <v>74</v>
      </c>
      <c r="X211" s="1" t="s">
        <v>74</v>
      </c>
      <c r="Y211" s="1" t="s">
        <v>74</v>
      </c>
      <c r="Z211" s="1" t="s">
        <v>74</v>
      </c>
      <c r="AA211" s="1" t="s">
        <v>2307</v>
      </c>
      <c r="AB211" s="1" t="s">
        <v>2308</v>
      </c>
      <c r="AC211" s="1" t="s">
        <v>74</v>
      </c>
      <c r="AD211" s="1" t="s">
        <v>74</v>
      </c>
      <c r="AE211" s="1" t="s">
        <v>74</v>
      </c>
      <c r="AF211" s="1" t="s">
        <v>74</v>
      </c>
      <c r="AG211" s="1" t="s">
        <v>74</v>
      </c>
      <c r="AH211" s="1" t="s">
        <v>74</v>
      </c>
      <c r="AI211" s="1" t="s">
        <v>74</v>
      </c>
      <c r="AJ211" s="1" t="s">
        <v>74</v>
      </c>
      <c r="AK211" s="1" t="s">
        <v>74</v>
      </c>
      <c r="AL211" s="1" t="s">
        <v>74</v>
      </c>
      <c r="AM211" s="1" t="s">
        <v>74</v>
      </c>
      <c r="AN211" s="1" t="s">
        <v>74</v>
      </c>
      <c r="AO211" s="1" t="s">
        <v>74</v>
      </c>
      <c r="AP211" s="1" t="s">
        <v>74</v>
      </c>
      <c r="AQ211" s="1" t="s">
        <v>2309</v>
      </c>
      <c r="AR211" s="1" t="s">
        <v>74</v>
      </c>
      <c r="AS211" s="1" t="s">
        <v>74</v>
      </c>
      <c r="AT211" s="1" t="s">
        <v>74</v>
      </c>
      <c r="AU211" s="1">
        <v>2009.0</v>
      </c>
      <c r="AV211" s="1" t="s">
        <v>74</v>
      </c>
      <c r="AW211" s="1" t="s">
        <v>74</v>
      </c>
      <c r="AX211" s="1" t="s">
        <v>74</v>
      </c>
      <c r="AY211" s="1" t="s">
        <v>74</v>
      </c>
      <c r="AZ211" s="1" t="s">
        <v>74</v>
      </c>
      <c r="BA211" s="1" t="s">
        <v>74</v>
      </c>
      <c r="BB211" s="1">
        <v>359.0</v>
      </c>
      <c r="BC211" s="1" t="s">
        <v>661</v>
      </c>
      <c r="BD211" s="1" t="s">
        <v>74</v>
      </c>
      <c r="BE211" s="1" t="s">
        <v>2310</v>
      </c>
      <c r="BF211" s="2" t="str">
        <f>HYPERLINK("http://dx.doi.org/10.1109/EDM.2009.5174011","http://dx.doi.org/10.1109/EDM.2009.5174011")</f>
        <v>http://dx.doi.org/10.1109/EDM.2009.5174011</v>
      </c>
      <c r="BG211" s="1" t="s">
        <v>74</v>
      </c>
      <c r="BH211" s="1" t="s">
        <v>74</v>
      </c>
      <c r="BI211" s="1" t="s">
        <v>74</v>
      </c>
      <c r="BJ211" s="1" t="s">
        <v>74</v>
      </c>
      <c r="BK211" s="1" t="s">
        <v>74</v>
      </c>
      <c r="BL211" s="1" t="s">
        <v>74</v>
      </c>
      <c r="BM211" s="1" t="s">
        <v>74</v>
      </c>
      <c r="BN211" s="1" t="s">
        <v>74</v>
      </c>
      <c r="BO211" s="1" t="s">
        <v>74</v>
      </c>
      <c r="BP211" s="1" t="s">
        <v>74</v>
      </c>
      <c r="BQ211" s="1" t="s">
        <v>74</v>
      </c>
      <c r="BR211" s="1" t="s">
        <v>74</v>
      </c>
      <c r="BS211" s="1" t="s">
        <v>2311</v>
      </c>
      <c r="BT211" s="1" t="str">
        <f>HYPERLINK("https%3A%2F%2Fwww.webofscience.com%2Fwos%2Fwoscc%2Ffull-record%2FWOS:000273519100096","View Full Record in Web of Science")</f>
        <v>View Full Record in Web of Science</v>
      </c>
    </row>
    <row r="212" ht="12.75" customHeight="1">
      <c r="A212" s="1" t="s">
        <v>72</v>
      </c>
      <c r="B212" s="1" t="s">
        <v>2312</v>
      </c>
      <c r="C212" s="1" t="s">
        <v>74</v>
      </c>
      <c r="D212" s="1" t="s">
        <v>74</v>
      </c>
      <c r="E212" s="1" t="s">
        <v>74</v>
      </c>
      <c r="F212" s="1" t="s">
        <v>2313</v>
      </c>
      <c r="G212" s="1" t="s">
        <v>74</v>
      </c>
      <c r="H212" s="1" t="s">
        <v>74</v>
      </c>
      <c r="I212" s="1" t="s">
        <v>2314</v>
      </c>
      <c r="J212" s="1" t="s">
        <v>2315</v>
      </c>
      <c r="K212" s="1" t="s">
        <v>74</v>
      </c>
      <c r="L212" s="1" t="s">
        <v>74</v>
      </c>
      <c r="M212" s="1" t="s">
        <v>74</v>
      </c>
      <c r="N212" s="1" t="s">
        <v>74</v>
      </c>
      <c r="O212" s="1" t="s">
        <v>74</v>
      </c>
      <c r="P212" s="1" t="s">
        <v>74</v>
      </c>
      <c r="Q212" s="1" t="s">
        <v>74</v>
      </c>
      <c r="R212" s="1" t="s">
        <v>74</v>
      </c>
      <c r="S212" s="1" t="s">
        <v>74</v>
      </c>
      <c r="T212" s="1" t="s">
        <v>74</v>
      </c>
      <c r="U212" s="1" t="s">
        <v>74</v>
      </c>
      <c r="V212" s="1" t="s">
        <v>2316</v>
      </c>
      <c r="W212" s="1" t="s">
        <v>74</v>
      </c>
      <c r="X212" s="1" t="s">
        <v>74</v>
      </c>
      <c r="Y212" s="1" t="s">
        <v>74</v>
      </c>
      <c r="Z212" s="1" t="s">
        <v>74</v>
      </c>
      <c r="AA212" s="1" t="s">
        <v>2317</v>
      </c>
      <c r="AB212" s="1" t="s">
        <v>2318</v>
      </c>
      <c r="AC212" s="1" t="s">
        <v>74</v>
      </c>
      <c r="AD212" s="1" t="s">
        <v>74</v>
      </c>
      <c r="AE212" s="1" t="s">
        <v>74</v>
      </c>
      <c r="AF212" s="1" t="s">
        <v>74</v>
      </c>
      <c r="AG212" s="1" t="s">
        <v>74</v>
      </c>
      <c r="AH212" s="1" t="s">
        <v>74</v>
      </c>
      <c r="AI212" s="1" t="s">
        <v>74</v>
      </c>
      <c r="AJ212" s="1" t="s">
        <v>74</v>
      </c>
      <c r="AK212" s="1" t="s">
        <v>74</v>
      </c>
      <c r="AL212" s="1" t="s">
        <v>74</v>
      </c>
      <c r="AM212" s="1" t="s">
        <v>74</v>
      </c>
      <c r="AN212" s="1" t="s">
        <v>74</v>
      </c>
      <c r="AO212" s="1" t="s">
        <v>2319</v>
      </c>
      <c r="AP212" s="1" t="s">
        <v>74</v>
      </c>
      <c r="AQ212" s="1" t="s">
        <v>74</v>
      </c>
      <c r="AR212" s="1" t="s">
        <v>74</v>
      </c>
      <c r="AS212" s="1" t="s">
        <v>74</v>
      </c>
      <c r="AT212" s="1" t="s">
        <v>259</v>
      </c>
      <c r="AU212" s="1">
        <v>2006.0</v>
      </c>
      <c r="AV212" s="1">
        <v>62.0</v>
      </c>
      <c r="AW212" s="1" t="s">
        <v>74</v>
      </c>
      <c r="AX212" s="1">
        <v>8.0</v>
      </c>
      <c r="AY212" s="1" t="s">
        <v>74</v>
      </c>
      <c r="AZ212" s="1" t="s">
        <v>74</v>
      </c>
      <c r="BA212" s="1" t="s">
        <v>74</v>
      </c>
      <c r="BB212" s="1" t="s">
        <v>2320</v>
      </c>
      <c r="BC212" s="1" t="s">
        <v>2321</v>
      </c>
      <c r="BD212" s="1" t="s">
        <v>74</v>
      </c>
      <c r="BE212" s="1" t="s">
        <v>2322</v>
      </c>
      <c r="BF212" s="2" t="str">
        <f>HYPERLINK("http://dx.doi.org/10.1107/S1600536806028285","http://dx.doi.org/10.1107/S1600536806028285")</f>
        <v>http://dx.doi.org/10.1107/S1600536806028285</v>
      </c>
      <c r="BG212" s="1" t="s">
        <v>74</v>
      </c>
      <c r="BH212" s="1" t="s">
        <v>74</v>
      </c>
      <c r="BI212" s="1" t="s">
        <v>74</v>
      </c>
      <c r="BJ212" s="1" t="s">
        <v>74</v>
      </c>
      <c r="BK212" s="1" t="s">
        <v>74</v>
      </c>
      <c r="BL212" s="1" t="s">
        <v>74</v>
      </c>
      <c r="BM212" s="1" t="s">
        <v>74</v>
      </c>
      <c r="BN212" s="1" t="s">
        <v>74</v>
      </c>
      <c r="BO212" s="1" t="s">
        <v>74</v>
      </c>
      <c r="BP212" s="1" t="s">
        <v>74</v>
      </c>
      <c r="BQ212" s="1" t="s">
        <v>74</v>
      </c>
      <c r="BR212" s="1" t="s">
        <v>74</v>
      </c>
      <c r="BS212" s="1" t="s">
        <v>2323</v>
      </c>
      <c r="BT212" s="1" t="str">
        <f>HYPERLINK("https%3A%2F%2Fwww.webofscience.com%2Fwos%2Fwoscc%2Ffull-record%2FWOS:000239392200269","View Full Record in Web of Science")</f>
        <v>View Full Record in Web of Science</v>
      </c>
    </row>
    <row r="213" ht="12.75" customHeight="1">
      <c r="A213" s="1" t="s">
        <v>72</v>
      </c>
      <c r="B213" s="1" t="s">
        <v>2324</v>
      </c>
      <c r="C213" s="1" t="s">
        <v>74</v>
      </c>
      <c r="D213" s="1" t="s">
        <v>74</v>
      </c>
      <c r="E213" s="1" t="s">
        <v>74</v>
      </c>
      <c r="F213" s="1" t="s">
        <v>2324</v>
      </c>
      <c r="G213" s="1" t="s">
        <v>74</v>
      </c>
      <c r="H213" s="1" t="s">
        <v>74</v>
      </c>
      <c r="I213" s="1" t="s">
        <v>2325</v>
      </c>
      <c r="J213" s="1" t="s">
        <v>2326</v>
      </c>
      <c r="K213" s="1" t="s">
        <v>74</v>
      </c>
      <c r="L213" s="1" t="s">
        <v>74</v>
      </c>
      <c r="M213" s="1" t="s">
        <v>74</v>
      </c>
      <c r="N213" s="1" t="s">
        <v>74</v>
      </c>
      <c r="O213" s="1" t="s">
        <v>74</v>
      </c>
      <c r="P213" s="1" t="s">
        <v>74</v>
      </c>
      <c r="Q213" s="1" t="s">
        <v>74</v>
      </c>
      <c r="R213" s="1" t="s">
        <v>74</v>
      </c>
      <c r="S213" s="1" t="s">
        <v>74</v>
      </c>
      <c r="T213" s="1" t="s">
        <v>74</v>
      </c>
      <c r="U213" s="1" t="s">
        <v>74</v>
      </c>
      <c r="V213" s="1" t="s">
        <v>2327</v>
      </c>
      <c r="W213" s="1" t="s">
        <v>74</v>
      </c>
      <c r="X213" s="1" t="s">
        <v>74</v>
      </c>
      <c r="Y213" s="1" t="s">
        <v>74</v>
      </c>
      <c r="Z213" s="1" t="s">
        <v>74</v>
      </c>
      <c r="AA213" s="1" t="s">
        <v>74</v>
      </c>
      <c r="AB213" s="1" t="s">
        <v>74</v>
      </c>
      <c r="AC213" s="1" t="s">
        <v>74</v>
      </c>
      <c r="AD213" s="1" t="s">
        <v>74</v>
      </c>
      <c r="AE213" s="1" t="s">
        <v>74</v>
      </c>
      <c r="AF213" s="1" t="s">
        <v>74</v>
      </c>
      <c r="AG213" s="1" t="s">
        <v>74</v>
      </c>
      <c r="AH213" s="1" t="s">
        <v>74</v>
      </c>
      <c r="AI213" s="1" t="s">
        <v>74</v>
      </c>
      <c r="AJ213" s="1" t="s">
        <v>74</v>
      </c>
      <c r="AK213" s="1" t="s">
        <v>74</v>
      </c>
      <c r="AL213" s="1" t="s">
        <v>74</v>
      </c>
      <c r="AM213" s="1" t="s">
        <v>74</v>
      </c>
      <c r="AN213" s="1" t="s">
        <v>74</v>
      </c>
      <c r="AO213" s="1" t="s">
        <v>2328</v>
      </c>
      <c r="AP213" s="1" t="s">
        <v>2329</v>
      </c>
      <c r="AQ213" s="1" t="s">
        <v>74</v>
      </c>
      <c r="AR213" s="1" t="s">
        <v>74</v>
      </c>
      <c r="AS213" s="1" t="s">
        <v>74</v>
      </c>
      <c r="AT213" s="1" t="s">
        <v>74</v>
      </c>
      <c r="AU213" s="1">
        <v>2005.0</v>
      </c>
      <c r="AV213" s="1">
        <v>88.0</v>
      </c>
      <c r="AW213" s="1">
        <v>11.0</v>
      </c>
      <c r="AX213" s="1" t="s">
        <v>74</v>
      </c>
      <c r="AY213" s="1" t="s">
        <v>74</v>
      </c>
      <c r="AZ213" s="1" t="s">
        <v>74</v>
      </c>
      <c r="BA213" s="1" t="s">
        <v>74</v>
      </c>
      <c r="BB213" s="1">
        <v>2842.0</v>
      </c>
      <c r="BC213" s="1">
        <v>2860.0</v>
      </c>
      <c r="BD213" s="1" t="s">
        <v>74</v>
      </c>
      <c r="BE213" s="1" t="s">
        <v>2330</v>
      </c>
      <c r="BF213" s="2" t="str">
        <f>HYPERLINK("http://dx.doi.org/10.1002/hlca.200590227","http://dx.doi.org/10.1002/hlca.200590227")</f>
        <v>http://dx.doi.org/10.1002/hlca.200590227</v>
      </c>
      <c r="BG213" s="1" t="s">
        <v>74</v>
      </c>
      <c r="BH213" s="1" t="s">
        <v>74</v>
      </c>
      <c r="BI213" s="1" t="s">
        <v>74</v>
      </c>
      <c r="BJ213" s="1" t="s">
        <v>74</v>
      </c>
      <c r="BK213" s="1" t="s">
        <v>74</v>
      </c>
      <c r="BL213" s="1" t="s">
        <v>74</v>
      </c>
      <c r="BM213" s="1" t="s">
        <v>74</v>
      </c>
      <c r="BN213" s="1" t="s">
        <v>74</v>
      </c>
      <c r="BO213" s="1" t="s">
        <v>74</v>
      </c>
      <c r="BP213" s="1" t="s">
        <v>74</v>
      </c>
      <c r="BQ213" s="1" t="s">
        <v>74</v>
      </c>
      <c r="BR213" s="1" t="s">
        <v>74</v>
      </c>
      <c r="BS213" s="1" t="s">
        <v>2331</v>
      </c>
      <c r="BT213" s="1" t="str">
        <f>HYPERLINK("https%3A%2F%2Fwww.webofscience.com%2Fwos%2Fwoscc%2Ffull-record%2FWOS:000233767500004","View Full Record in Web of Science")</f>
        <v>View Full Record in Web of Science</v>
      </c>
    </row>
    <row r="214" ht="12.75" customHeight="1">
      <c r="A214" s="1" t="s">
        <v>72</v>
      </c>
      <c r="B214" s="1" t="s">
        <v>2332</v>
      </c>
      <c r="C214" s="1" t="s">
        <v>74</v>
      </c>
      <c r="D214" s="1" t="s">
        <v>74</v>
      </c>
      <c r="E214" s="1" t="s">
        <v>74</v>
      </c>
      <c r="F214" s="1" t="s">
        <v>2332</v>
      </c>
      <c r="G214" s="1" t="s">
        <v>74</v>
      </c>
      <c r="H214" s="1" t="s">
        <v>74</v>
      </c>
      <c r="I214" s="1" t="s">
        <v>2333</v>
      </c>
      <c r="J214" s="1" t="s">
        <v>2334</v>
      </c>
      <c r="K214" s="1" t="s">
        <v>74</v>
      </c>
      <c r="L214" s="1" t="s">
        <v>74</v>
      </c>
      <c r="M214" s="1" t="s">
        <v>74</v>
      </c>
      <c r="N214" s="1" t="s">
        <v>74</v>
      </c>
      <c r="O214" s="1" t="s">
        <v>74</v>
      </c>
      <c r="P214" s="1" t="s">
        <v>74</v>
      </c>
      <c r="Q214" s="1" t="s">
        <v>74</v>
      </c>
      <c r="R214" s="1" t="s">
        <v>74</v>
      </c>
      <c r="S214" s="1" t="s">
        <v>74</v>
      </c>
      <c r="T214" s="1" t="s">
        <v>74</v>
      </c>
      <c r="U214" s="1" t="s">
        <v>74</v>
      </c>
      <c r="V214" s="1" t="s">
        <v>2335</v>
      </c>
      <c r="W214" s="1" t="s">
        <v>74</v>
      </c>
      <c r="X214" s="1" t="s">
        <v>74</v>
      </c>
      <c r="Y214" s="1" t="s">
        <v>74</v>
      </c>
      <c r="Z214" s="1" t="s">
        <v>74</v>
      </c>
      <c r="AA214" s="1" t="s">
        <v>2336</v>
      </c>
      <c r="AB214" s="1" t="s">
        <v>2337</v>
      </c>
      <c r="AC214" s="1" t="s">
        <v>74</v>
      </c>
      <c r="AD214" s="1" t="s">
        <v>74</v>
      </c>
      <c r="AE214" s="1" t="s">
        <v>74</v>
      </c>
      <c r="AF214" s="1" t="s">
        <v>74</v>
      </c>
      <c r="AG214" s="1" t="s">
        <v>74</v>
      </c>
      <c r="AH214" s="1" t="s">
        <v>74</v>
      </c>
      <c r="AI214" s="1" t="s">
        <v>74</v>
      </c>
      <c r="AJ214" s="1" t="s">
        <v>74</v>
      </c>
      <c r="AK214" s="1" t="s">
        <v>74</v>
      </c>
      <c r="AL214" s="1" t="s">
        <v>74</v>
      </c>
      <c r="AM214" s="1" t="s">
        <v>74</v>
      </c>
      <c r="AN214" s="1" t="s">
        <v>74</v>
      </c>
      <c r="AO214" s="1" t="s">
        <v>2338</v>
      </c>
      <c r="AP214" s="1" t="s">
        <v>2339</v>
      </c>
      <c r="AQ214" s="1" t="s">
        <v>74</v>
      </c>
      <c r="AR214" s="1" t="s">
        <v>74</v>
      </c>
      <c r="AS214" s="1" t="s">
        <v>74</v>
      </c>
      <c r="AT214" s="1" t="s">
        <v>2340</v>
      </c>
      <c r="AU214" s="1">
        <v>2002.0</v>
      </c>
      <c r="AV214" s="1">
        <v>28.0</v>
      </c>
      <c r="AW214" s="1">
        <v>2.0</v>
      </c>
      <c r="AX214" s="1" t="s">
        <v>74</v>
      </c>
      <c r="AY214" s="1" t="s">
        <v>74</v>
      </c>
      <c r="AZ214" s="1" t="s">
        <v>74</v>
      </c>
      <c r="BA214" s="1" t="s">
        <v>74</v>
      </c>
      <c r="BB214" s="1">
        <v>287.0</v>
      </c>
      <c r="BC214" s="1">
        <v>297.0</v>
      </c>
      <c r="BD214" s="1" t="s">
        <v>2341</v>
      </c>
      <c r="BE214" s="1" t="s">
        <v>2342</v>
      </c>
      <c r="BF214" s="2" t="str">
        <f>HYPERLINK("http://dx.doi.org/10.1016/S0924-2031(02)00004-8","http://dx.doi.org/10.1016/S0924-2031(02)00004-8")</f>
        <v>http://dx.doi.org/10.1016/S0924-2031(02)00004-8</v>
      </c>
      <c r="BG214" s="1" t="s">
        <v>74</v>
      </c>
      <c r="BH214" s="1" t="s">
        <v>74</v>
      </c>
      <c r="BI214" s="1" t="s">
        <v>74</v>
      </c>
      <c r="BJ214" s="1" t="s">
        <v>74</v>
      </c>
      <c r="BK214" s="1" t="s">
        <v>74</v>
      </c>
      <c r="BL214" s="1" t="s">
        <v>74</v>
      </c>
      <c r="BM214" s="1" t="s">
        <v>74</v>
      </c>
      <c r="BN214" s="1" t="s">
        <v>74</v>
      </c>
      <c r="BO214" s="1" t="s">
        <v>74</v>
      </c>
      <c r="BP214" s="1" t="s">
        <v>74</v>
      </c>
      <c r="BQ214" s="1" t="s">
        <v>74</v>
      </c>
      <c r="BR214" s="1" t="s">
        <v>74</v>
      </c>
      <c r="BS214" s="1" t="s">
        <v>2343</v>
      </c>
      <c r="BT214" s="1" t="str">
        <f>HYPERLINK("https%3A%2F%2Fwww.webofscience.com%2Fwos%2Fwoscc%2Ffull-record%2FWOS:000175852000008","View Full Record in Web of Science")</f>
        <v>View Full Record in Web of Science</v>
      </c>
    </row>
    <row r="215" ht="12.75" customHeight="1">
      <c r="A215" s="1" t="s">
        <v>72</v>
      </c>
      <c r="B215" s="1" t="s">
        <v>2344</v>
      </c>
      <c r="C215" s="1" t="s">
        <v>74</v>
      </c>
      <c r="D215" s="1" t="s">
        <v>74</v>
      </c>
      <c r="E215" s="1" t="s">
        <v>74</v>
      </c>
      <c r="F215" s="1" t="s">
        <v>2345</v>
      </c>
      <c r="G215" s="1" t="s">
        <v>74</v>
      </c>
      <c r="H215" s="1" t="s">
        <v>74</v>
      </c>
      <c r="I215" s="1" t="s">
        <v>2346</v>
      </c>
      <c r="J215" s="1" t="s">
        <v>2347</v>
      </c>
      <c r="K215" s="1" t="s">
        <v>74</v>
      </c>
      <c r="L215" s="1" t="s">
        <v>74</v>
      </c>
      <c r="M215" s="1" t="s">
        <v>74</v>
      </c>
      <c r="N215" s="1" t="s">
        <v>74</v>
      </c>
      <c r="O215" s="1" t="s">
        <v>74</v>
      </c>
      <c r="P215" s="1" t="s">
        <v>74</v>
      </c>
      <c r="Q215" s="1" t="s">
        <v>74</v>
      </c>
      <c r="R215" s="1" t="s">
        <v>74</v>
      </c>
      <c r="S215" s="1" t="s">
        <v>74</v>
      </c>
      <c r="T215" s="1" t="s">
        <v>74</v>
      </c>
      <c r="U215" s="1" t="s">
        <v>74</v>
      </c>
      <c r="V215" s="1" t="s">
        <v>2348</v>
      </c>
      <c r="W215" s="1" t="s">
        <v>74</v>
      </c>
      <c r="X215" s="1" t="s">
        <v>74</v>
      </c>
      <c r="Y215" s="1" t="s">
        <v>74</v>
      </c>
      <c r="Z215" s="1" t="s">
        <v>74</v>
      </c>
      <c r="AA215" s="1" t="s">
        <v>2349</v>
      </c>
      <c r="AB215" s="1" t="s">
        <v>74</v>
      </c>
      <c r="AC215" s="1" t="s">
        <v>74</v>
      </c>
      <c r="AD215" s="1" t="s">
        <v>74</v>
      </c>
      <c r="AE215" s="1" t="s">
        <v>74</v>
      </c>
      <c r="AF215" s="1" t="s">
        <v>74</v>
      </c>
      <c r="AG215" s="1" t="s">
        <v>74</v>
      </c>
      <c r="AH215" s="1" t="s">
        <v>74</v>
      </c>
      <c r="AI215" s="1" t="s">
        <v>74</v>
      </c>
      <c r="AJ215" s="1" t="s">
        <v>74</v>
      </c>
      <c r="AK215" s="1" t="s">
        <v>74</v>
      </c>
      <c r="AL215" s="1" t="s">
        <v>74</v>
      </c>
      <c r="AM215" s="1" t="s">
        <v>74</v>
      </c>
      <c r="AN215" s="1" t="s">
        <v>74</v>
      </c>
      <c r="AO215" s="1" t="s">
        <v>2350</v>
      </c>
      <c r="AP215" s="1" t="s">
        <v>74</v>
      </c>
      <c r="AQ215" s="1" t="s">
        <v>74</v>
      </c>
      <c r="AR215" s="1" t="s">
        <v>74</v>
      </c>
      <c r="AS215" s="1" t="s">
        <v>74</v>
      </c>
      <c r="AT215" s="1" t="s">
        <v>2351</v>
      </c>
      <c r="AU215" s="1">
        <v>2025.0</v>
      </c>
      <c r="AV215" s="1">
        <v>2025.0</v>
      </c>
      <c r="AW215" s="1">
        <v>2.0</v>
      </c>
      <c r="AX215" s="1" t="s">
        <v>74</v>
      </c>
      <c r="AY215" s="1" t="s">
        <v>74</v>
      </c>
      <c r="AZ215" s="1" t="s">
        <v>74</v>
      </c>
      <c r="BA215" s="1" t="s">
        <v>74</v>
      </c>
      <c r="BB215" s="1" t="s">
        <v>74</v>
      </c>
      <c r="BC215" s="1" t="s">
        <v>74</v>
      </c>
      <c r="BD215" s="1">
        <v>23302.0</v>
      </c>
      <c r="BE215" s="1" t="s">
        <v>2352</v>
      </c>
      <c r="BF215" s="2" t="str">
        <f>HYPERLINK("http://dx.doi.org/10.1088/1742-5468/adac3d","http://dx.doi.org/10.1088/1742-5468/adac3d")</f>
        <v>http://dx.doi.org/10.1088/1742-5468/adac3d</v>
      </c>
      <c r="BG215" s="1" t="s">
        <v>74</v>
      </c>
      <c r="BH215" s="1" t="s">
        <v>74</v>
      </c>
      <c r="BI215" s="1" t="s">
        <v>74</v>
      </c>
      <c r="BJ215" s="1" t="s">
        <v>74</v>
      </c>
      <c r="BK215" s="1" t="s">
        <v>74</v>
      </c>
      <c r="BL215" s="1" t="s">
        <v>74</v>
      </c>
      <c r="BM215" s="1" t="s">
        <v>74</v>
      </c>
      <c r="BN215" s="1" t="s">
        <v>74</v>
      </c>
      <c r="BO215" s="1" t="s">
        <v>74</v>
      </c>
      <c r="BP215" s="1" t="s">
        <v>74</v>
      </c>
      <c r="BQ215" s="1" t="s">
        <v>74</v>
      </c>
      <c r="BR215" s="1" t="s">
        <v>74</v>
      </c>
      <c r="BS215" s="1" t="s">
        <v>2353</v>
      </c>
      <c r="BT215" s="1" t="str">
        <f>HYPERLINK("https%3A%2F%2Fwww.webofscience.com%2Fwos%2Fwoscc%2Ffull-record%2FWOS:001413070300001","View Full Record in Web of Science")</f>
        <v>View Full Record in Web of Science</v>
      </c>
    </row>
    <row r="216" ht="12.75" customHeight="1">
      <c r="A216" s="1" t="s">
        <v>72</v>
      </c>
      <c r="B216" s="1" t="s">
        <v>2354</v>
      </c>
      <c r="C216" s="1" t="s">
        <v>74</v>
      </c>
      <c r="D216" s="1" t="s">
        <v>74</v>
      </c>
      <c r="E216" s="1" t="s">
        <v>74</v>
      </c>
      <c r="F216" s="1" t="s">
        <v>2355</v>
      </c>
      <c r="G216" s="1" t="s">
        <v>74</v>
      </c>
      <c r="H216" s="1" t="s">
        <v>74</v>
      </c>
      <c r="I216" s="1" t="s">
        <v>2356</v>
      </c>
      <c r="J216" s="1" t="s">
        <v>321</v>
      </c>
      <c r="K216" s="1" t="s">
        <v>74</v>
      </c>
      <c r="L216" s="1" t="s">
        <v>74</v>
      </c>
      <c r="M216" s="1" t="s">
        <v>74</v>
      </c>
      <c r="N216" s="1" t="s">
        <v>74</v>
      </c>
      <c r="O216" s="1" t="s">
        <v>74</v>
      </c>
      <c r="P216" s="1" t="s">
        <v>74</v>
      </c>
      <c r="Q216" s="1" t="s">
        <v>74</v>
      </c>
      <c r="R216" s="1" t="s">
        <v>74</v>
      </c>
      <c r="S216" s="1" t="s">
        <v>74</v>
      </c>
      <c r="T216" s="1" t="s">
        <v>74</v>
      </c>
      <c r="U216" s="1" t="s">
        <v>74</v>
      </c>
      <c r="V216" s="1" t="s">
        <v>2357</v>
      </c>
      <c r="W216" s="1" t="s">
        <v>74</v>
      </c>
      <c r="X216" s="1" t="s">
        <v>74</v>
      </c>
      <c r="Y216" s="1" t="s">
        <v>74</v>
      </c>
      <c r="Z216" s="1" t="s">
        <v>74</v>
      </c>
      <c r="AA216" s="1" t="s">
        <v>2358</v>
      </c>
      <c r="AB216" s="1" t="s">
        <v>2359</v>
      </c>
      <c r="AC216" s="1" t="s">
        <v>74</v>
      </c>
      <c r="AD216" s="1" t="s">
        <v>74</v>
      </c>
      <c r="AE216" s="1" t="s">
        <v>74</v>
      </c>
      <c r="AF216" s="1" t="s">
        <v>74</v>
      </c>
      <c r="AG216" s="1" t="s">
        <v>74</v>
      </c>
      <c r="AH216" s="1" t="s">
        <v>74</v>
      </c>
      <c r="AI216" s="1" t="s">
        <v>74</v>
      </c>
      <c r="AJ216" s="1" t="s">
        <v>74</v>
      </c>
      <c r="AK216" s="1" t="s">
        <v>74</v>
      </c>
      <c r="AL216" s="1" t="s">
        <v>74</v>
      </c>
      <c r="AM216" s="1" t="s">
        <v>74</v>
      </c>
      <c r="AN216" s="1" t="s">
        <v>74</v>
      </c>
      <c r="AO216" s="1" t="s">
        <v>325</v>
      </c>
      <c r="AP216" s="1" t="s">
        <v>326</v>
      </c>
      <c r="AQ216" s="1" t="s">
        <v>74</v>
      </c>
      <c r="AR216" s="1" t="s">
        <v>74</v>
      </c>
      <c r="AS216" s="1" t="s">
        <v>74</v>
      </c>
      <c r="AT216" s="1" t="s">
        <v>2360</v>
      </c>
      <c r="AU216" s="1">
        <v>2024.0</v>
      </c>
      <c r="AV216" s="1">
        <v>110.0</v>
      </c>
      <c r="AW216" s="1">
        <v>10.0</v>
      </c>
      <c r="AX216" s="1" t="s">
        <v>74</v>
      </c>
      <c r="AY216" s="1" t="s">
        <v>74</v>
      </c>
      <c r="AZ216" s="1" t="s">
        <v>74</v>
      </c>
      <c r="BA216" s="1" t="s">
        <v>74</v>
      </c>
      <c r="BB216" s="1" t="s">
        <v>74</v>
      </c>
      <c r="BC216" s="1" t="s">
        <v>74</v>
      </c>
      <c r="BD216" s="1">
        <v>104070.0</v>
      </c>
      <c r="BE216" s="1" t="s">
        <v>2361</v>
      </c>
      <c r="BF216" s="2" t="str">
        <f>HYPERLINK("http://dx.doi.org/10.1103/PhysRevD.110.104070","http://dx.doi.org/10.1103/PhysRevD.110.104070")</f>
        <v>http://dx.doi.org/10.1103/PhysRevD.110.104070</v>
      </c>
      <c r="BG216" s="1" t="s">
        <v>74</v>
      </c>
      <c r="BH216" s="1" t="s">
        <v>74</v>
      </c>
      <c r="BI216" s="1" t="s">
        <v>74</v>
      </c>
      <c r="BJ216" s="1" t="s">
        <v>74</v>
      </c>
      <c r="BK216" s="1" t="s">
        <v>74</v>
      </c>
      <c r="BL216" s="1" t="s">
        <v>74</v>
      </c>
      <c r="BM216" s="1" t="s">
        <v>74</v>
      </c>
      <c r="BN216" s="1" t="s">
        <v>74</v>
      </c>
      <c r="BO216" s="1" t="s">
        <v>74</v>
      </c>
      <c r="BP216" s="1" t="s">
        <v>74</v>
      </c>
      <c r="BQ216" s="1" t="s">
        <v>74</v>
      </c>
      <c r="BR216" s="1" t="s">
        <v>74</v>
      </c>
      <c r="BS216" s="1" t="s">
        <v>2362</v>
      </c>
      <c r="BT216" s="1" t="str">
        <f>HYPERLINK("https%3A%2F%2Fwww.webofscience.com%2Fwos%2Fwoscc%2Ffull-record%2FWOS:001419970200016","View Full Record in Web of Science")</f>
        <v>View Full Record in Web of Science</v>
      </c>
    </row>
    <row r="217" ht="12.75" customHeight="1">
      <c r="A217" s="1" t="s">
        <v>72</v>
      </c>
      <c r="B217" s="1" t="s">
        <v>2363</v>
      </c>
      <c r="C217" s="1" t="s">
        <v>74</v>
      </c>
      <c r="D217" s="1" t="s">
        <v>74</v>
      </c>
      <c r="E217" s="1" t="s">
        <v>74</v>
      </c>
      <c r="F217" s="1" t="s">
        <v>2364</v>
      </c>
      <c r="G217" s="1" t="s">
        <v>74</v>
      </c>
      <c r="H217" s="1" t="s">
        <v>74</v>
      </c>
      <c r="I217" s="1" t="s">
        <v>2365</v>
      </c>
      <c r="J217" s="1" t="s">
        <v>2366</v>
      </c>
      <c r="K217" s="1" t="s">
        <v>74</v>
      </c>
      <c r="L217" s="1" t="s">
        <v>74</v>
      </c>
      <c r="M217" s="1" t="s">
        <v>74</v>
      </c>
      <c r="N217" s="1" t="s">
        <v>74</v>
      </c>
      <c r="O217" s="1" t="s">
        <v>74</v>
      </c>
      <c r="P217" s="1" t="s">
        <v>74</v>
      </c>
      <c r="Q217" s="1" t="s">
        <v>74</v>
      </c>
      <c r="R217" s="1" t="s">
        <v>74</v>
      </c>
      <c r="S217" s="1" t="s">
        <v>74</v>
      </c>
      <c r="T217" s="1" t="s">
        <v>74</v>
      </c>
      <c r="U217" s="1" t="s">
        <v>74</v>
      </c>
      <c r="V217" s="1" t="s">
        <v>2367</v>
      </c>
      <c r="W217" s="1" t="s">
        <v>74</v>
      </c>
      <c r="X217" s="1" t="s">
        <v>74</v>
      </c>
      <c r="Y217" s="1" t="s">
        <v>74</v>
      </c>
      <c r="Z217" s="1" t="s">
        <v>74</v>
      </c>
      <c r="AA217" s="1" t="s">
        <v>2368</v>
      </c>
      <c r="AB217" s="1" t="s">
        <v>2369</v>
      </c>
      <c r="AC217" s="1" t="s">
        <v>74</v>
      </c>
      <c r="AD217" s="1" t="s">
        <v>74</v>
      </c>
      <c r="AE217" s="1" t="s">
        <v>74</v>
      </c>
      <c r="AF217" s="1" t="s">
        <v>74</v>
      </c>
      <c r="AG217" s="1" t="s">
        <v>74</v>
      </c>
      <c r="AH217" s="1" t="s">
        <v>74</v>
      </c>
      <c r="AI217" s="1" t="s">
        <v>74</v>
      </c>
      <c r="AJ217" s="1" t="s">
        <v>74</v>
      </c>
      <c r="AK217" s="1" t="s">
        <v>74</v>
      </c>
      <c r="AL217" s="1" t="s">
        <v>74</v>
      </c>
      <c r="AM217" s="1" t="s">
        <v>74</v>
      </c>
      <c r="AN217" s="1" t="s">
        <v>74</v>
      </c>
      <c r="AO217" s="1" t="s">
        <v>74</v>
      </c>
      <c r="AP217" s="1" t="s">
        <v>2370</v>
      </c>
      <c r="AQ217" s="1" t="s">
        <v>74</v>
      </c>
      <c r="AR217" s="1" t="s">
        <v>74</v>
      </c>
      <c r="AS217" s="1" t="s">
        <v>74</v>
      </c>
      <c r="AT217" s="1" t="s">
        <v>464</v>
      </c>
      <c r="AU217" s="1">
        <v>2024.0</v>
      </c>
      <c r="AV217" s="1">
        <v>26.0</v>
      </c>
      <c r="AW217" s="1">
        <v>1.0</v>
      </c>
      <c r="AX217" s="1" t="s">
        <v>74</v>
      </c>
      <c r="AY217" s="1" t="s">
        <v>74</v>
      </c>
      <c r="AZ217" s="1" t="s">
        <v>74</v>
      </c>
      <c r="BA217" s="1" t="s">
        <v>74</v>
      </c>
      <c r="BB217" s="1" t="s">
        <v>74</v>
      </c>
      <c r="BC217" s="1" t="s">
        <v>74</v>
      </c>
      <c r="BD217" s="1">
        <v>81.0</v>
      </c>
      <c r="BE217" s="1" t="s">
        <v>2371</v>
      </c>
      <c r="BF217" s="2" t="str">
        <f>HYPERLINK("http://dx.doi.org/10.3390/e26010081","http://dx.doi.org/10.3390/e26010081")</f>
        <v>http://dx.doi.org/10.3390/e26010081</v>
      </c>
      <c r="BG217" s="1" t="s">
        <v>74</v>
      </c>
      <c r="BH217" s="1" t="s">
        <v>74</v>
      </c>
      <c r="BI217" s="1" t="s">
        <v>74</v>
      </c>
      <c r="BJ217" s="1" t="s">
        <v>74</v>
      </c>
      <c r="BK217" s="1" t="s">
        <v>74</v>
      </c>
      <c r="BL217" s="1" t="s">
        <v>74</v>
      </c>
      <c r="BM217" s="1" t="s">
        <v>74</v>
      </c>
      <c r="BN217" s="1">
        <v>3.8248206E7</v>
      </c>
      <c r="BO217" s="1" t="s">
        <v>74</v>
      </c>
      <c r="BP217" s="1" t="s">
        <v>74</v>
      </c>
      <c r="BQ217" s="1" t="s">
        <v>74</v>
      </c>
      <c r="BR217" s="1" t="s">
        <v>74</v>
      </c>
      <c r="BS217" s="1" t="s">
        <v>2372</v>
      </c>
      <c r="BT217" s="1" t="str">
        <f>HYPERLINK("https%3A%2F%2Fwww.webofscience.com%2Fwos%2Fwoscc%2Ffull-record%2FWOS:001148820300001","View Full Record in Web of Science")</f>
        <v>View Full Record in Web of Science</v>
      </c>
    </row>
    <row r="218" ht="12.75" customHeight="1">
      <c r="A218" s="1" t="s">
        <v>72</v>
      </c>
      <c r="B218" s="1" t="s">
        <v>2373</v>
      </c>
      <c r="C218" s="1" t="s">
        <v>74</v>
      </c>
      <c r="D218" s="1" t="s">
        <v>74</v>
      </c>
      <c r="E218" s="1" t="s">
        <v>74</v>
      </c>
      <c r="F218" s="1" t="s">
        <v>2374</v>
      </c>
      <c r="G218" s="1" t="s">
        <v>74</v>
      </c>
      <c r="H218" s="1" t="s">
        <v>74</v>
      </c>
      <c r="I218" s="1" t="s">
        <v>2375</v>
      </c>
      <c r="J218" s="1" t="s">
        <v>2376</v>
      </c>
      <c r="K218" s="1" t="s">
        <v>74</v>
      </c>
      <c r="L218" s="1" t="s">
        <v>74</v>
      </c>
      <c r="M218" s="1" t="s">
        <v>74</v>
      </c>
      <c r="N218" s="1" t="s">
        <v>74</v>
      </c>
      <c r="O218" s="1" t="s">
        <v>74</v>
      </c>
      <c r="P218" s="1" t="s">
        <v>74</v>
      </c>
      <c r="Q218" s="1" t="s">
        <v>74</v>
      </c>
      <c r="R218" s="1" t="s">
        <v>74</v>
      </c>
      <c r="S218" s="1" t="s">
        <v>74</v>
      </c>
      <c r="T218" s="1" t="s">
        <v>74</v>
      </c>
      <c r="U218" s="1" t="s">
        <v>74</v>
      </c>
      <c r="V218" s="1" t="s">
        <v>2377</v>
      </c>
      <c r="W218" s="1" t="s">
        <v>74</v>
      </c>
      <c r="X218" s="1" t="s">
        <v>74</v>
      </c>
      <c r="Y218" s="1" t="s">
        <v>74</v>
      </c>
      <c r="Z218" s="1" t="s">
        <v>74</v>
      </c>
      <c r="AA218" s="1" t="s">
        <v>2378</v>
      </c>
      <c r="AB218" s="1" t="s">
        <v>2379</v>
      </c>
      <c r="AC218" s="1" t="s">
        <v>74</v>
      </c>
      <c r="AD218" s="1" t="s">
        <v>74</v>
      </c>
      <c r="AE218" s="1" t="s">
        <v>74</v>
      </c>
      <c r="AF218" s="1" t="s">
        <v>74</v>
      </c>
      <c r="AG218" s="1" t="s">
        <v>74</v>
      </c>
      <c r="AH218" s="1" t="s">
        <v>74</v>
      </c>
      <c r="AI218" s="1" t="s">
        <v>74</v>
      </c>
      <c r="AJ218" s="1" t="s">
        <v>74</v>
      </c>
      <c r="AK218" s="1" t="s">
        <v>74</v>
      </c>
      <c r="AL218" s="1" t="s">
        <v>74</v>
      </c>
      <c r="AM218" s="1" t="s">
        <v>74</v>
      </c>
      <c r="AN218" s="1" t="s">
        <v>74</v>
      </c>
      <c r="AO218" s="1" t="s">
        <v>2380</v>
      </c>
      <c r="AP218" s="1" t="s">
        <v>2381</v>
      </c>
      <c r="AQ218" s="1" t="s">
        <v>74</v>
      </c>
      <c r="AR218" s="1" t="s">
        <v>74</v>
      </c>
      <c r="AS218" s="1" t="s">
        <v>74</v>
      </c>
      <c r="AT218" s="1" t="s">
        <v>215</v>
      </c>
      <c r="AU218" s="1">
        <v>2024.0</v>
      </c>
      <c r="AV218" s="1">
        <v>971.0</v>
      </c>
      <c r="AW218" s="1" t="s">
        <v>74</v>
      </c>
      <c r="AX218" s="1" t="s">
        <v>74</v>
      </c>
      <c r="AY218" s="1" t="s">
        <v>74</v>
      </c>
      <c r="AZ218" s="1" t="s">
        <v>74</v>
      </c>
      <c r="BA218" s="1" t="s">
        <v>74</v>
      </c>
      <c r="BB218" s="1" t="s">
        <v>74</v>
      </c>
      <c r="BC218" s="1" t="s">
        <v>74</v>
      </c>
      <c r="BD218" s="1">
        <v>172603.0</v>
      </c>
      <c r="BE218" s="1" t="s">
        <v>2382</v>
      </c>
      <c r="BF218" s="2" t="str">
        <f>HYPERLINK("http://dx.doi.org/10.1016/j.jallcom.2023.172603","http://dx.doi.org/10.1016/j.jallcom.2023.172603")</f>
        <v>http://dx.doi.org/10.1016/j.jallcom.2023.172603</v>
      </c>
      <c r="BG218" s="1" t="s">
        <v>74</v>
      </c>
      <c r="BH218" s="1" t="s">
        <v>2383</v>
      </c>
      <c r="BI218" s="1" t="s">
        <v>74</v>
      </c>
      <c r="BJ218" s="1" t="s">
        <v>74</v>
      </c>
      <c r="BK218" s="1" t="s">
        <v>74</v>
      </c>
      <c r="BL218" s="1" t="s">
        <v>74</v>
      </c>
      <c r="BM218" s="1" t="s">
        <v>74</v>
      </c>
      <c r="BN218" s="1" t="s">
        <v>74</v>
      </c>
      <c r="BO218" s="1" t="s">
        <v>74</v>
      </c>
      <c r="BP218" s="1" t="s">
        <v>74</v>
      </c>
      <c r="BQ218" s="1" t="s">
        <v>74</v>
      </c>
      <c r="BR218" s="1" t="s">
        <v>74</v>
      </c>
      <c r="BS218" s="1" t="s">
        <v>2384</v>
      </c>
      <c r="BT218" s="1" t="str">
        <f>HYPERLINK("https%3A%2F%2Fwww.webofscience.com%2Fwos%2Fwoscc%2Ffull-record%2FWOS:001112782300001","View Full Record in Web of Science")</f>
        <v>View Full Record in Web of Science</v>
      </c>
    </row>
    <row r="219" ht="12.75" customHeight="1">
      <c r="A219" s="1" t="s">
        <v>72</v>
      </c>
      <c r="B219" s="1" t="s">
        <v>2385</v>
      </c>
      <c r="C219" s="1" t="s">
        <v>74</v>
      </c>
      <c r="D219" s="1" t="s">
        <v>74</v>
      </c>
      <c r="E219" s="1" t="s">
        <v>74</v>
      </c>
      <c r="F219" s="1" t="s">
        <v>2386</v>
      </c>
      <c r="G219" s="1" t="s">
        <v>74</v>
      </c>
      <c r="H219" s="1" t="s">
        <v>74</v>
      </c>
      <c r="I219" s="1" t="s">
        <v>2387</v>
      </c>
      <c r="J219" s="1" t="s">
        <v>2388</v>
      </c>
      <c r="K219" s="1" t="s">
        <v>74</v>
      </c>
      <c r="L219" s="1" t="s">
        <v>74</v>
      </c>
      <c r="M219" s="1" t="s">
        <v>74</v>
      </c>
      <c r="N219" s="1" t="s">
        <v>74</v>
      </c>
      <c r="O219" s="1" t="s">
        <v>74</v>
      </c>
      <c r="P219" s="1" t="s">
        <v>74</v>
      </c>
      <c r="Q219" s="1" t="s">
        <v>74</v>
      </c>
      <c r="R219" s="1" t="s">
        <v>74</v>
      </c>
      <c r="S219" s="1" t="s">
        <v>74</v>
      </c>
      <c r="T219" s="1" t="s">
        <v>74</v>
      </c>
      <c r="U219" s="1" t="s">
        <v>74</v>
      </c>
      <c r="V219" s="1" t="s">
        <v>2389</v>
      </c>
      <c r="W219" s="1" t="s">
        <v>74</v>
      </c>
      <c r="X219" s="1" t="s">
        <v>74</v>
      </c>
      <c r="Y219" s="1" t="s">
        <v>74</v>
      </c>
      <c r="Z219" s="1" t="s">
        <v>74</v>
      </c>
      <c r="AA219" s="1" t="s">
        <v>2390</v>
      </c>
      <c r="AB219" s="1" t="s">
        <v>2391</v>
      </c>
      <c r="AC219" s="1" t="s">
        <v>74</v>
      </c>
      <c r="AD219" s="1" t="s">
        <v>74</v>
      </c>
      <c r="AE219" s="1" t="s">
        <v>74</v>
      </c>
      <c r="AF219" s="1" t="s">
        <v>74</v>
      </c>
      <c r="AG219" s="1" t="s">
        <v>74</v>
      </c>
      <c r="AH219" s="1" t="s">
        <v>74</v>
      </c>
      <c r="AI219" s="1" t="s">
        <v>74</v>
      </c>
      <c r="AJ219" s="1" t="s">
        <v>74</v>
      </c>
      <c r="AK219" s="1" t="s">
        <v>74</v>
      </c>
      <c r="AL219" s="1" t="s">
        <v>74</v>
      </c>
      <c r="AM219" s="1" t="s">
        <v>74</v>
      </c>
      <c r="AN219" s="1" t="s">
        <v>74</v>
      </c>
      <c r="AO219" s="1" t="s">
        <v>2392</v>
      </c>
      <c r="AP219" s="1" t="s">
        <v>2393</v>
      </c>
      <c r="AQ219" s="1" t="s">
        <v>74</v>
      </c>
      <c r="AR219" s="1" t="s">
        <v>74</v>
      </c>
      <c r="AS219" s="1" t="s">
        <v>74</v>
      </c>
      <c r="AT219" s="1" t="s">
        <v>316</v>
      </c>
      <c r="AU219" s="1">
        <v>2023.0</v>
      </c>
      <c r="AV219" s="1">
        <v>38.0</v>
      </c>
      <c r="AW219" s="1">
        <v>10.0</v>
      </c>
      <c r="AX219" s="1" t="s">
        <v>74</v>
      </c>
      <c r="AY219" s="1" t="s">
        <v>74</v>
      </c>
      <c r="AZ219" s="1" t="s">
        <v>74</v>
      </c>
      <c r="BA219" s="1" t="s">
        <v>74</v>
      </c>
      <c r="BB219" s="1">
        <v>12091.0</v>
      </c>
      <c r="BC219" s="1">
        <v>12103.0</v>
      </c>
      <c r="BD219" s="1" t="s">
        <v>74</v>
      </c>
      <c r="BE219" s="1" t="s">
        <v>2394</v>
      </c>
      <c r="BF219" s="2" t="str">
        <f>HYPERLINK("http://dx.doi.org/10.1109/TPEL.2023.3288490","http://dx.doi.org/10.1109/TPEL.2023.3288490")</f>
        <v>http://dx.doi.org/10.1109/TPEL.2023.3288490</v>
      </c>
      <c r="BG219" s="1" t="s">
        <v>74</v>
      </c>
      <c r="BH219" s="1" t="s">
        <v>74</v>
      </c>
      <c r="BI219" s="1" t="s">
        <v>74</v>
      </c>
      <c r="BJ219" s="1" t="s">
        <v>74</v>
      </c>
      <c r="BK219" s="1" t="s">
        <v>74</v>
      </c>
      <c r="BL219" s="1" t="s">
        <v>74</v>
      </c>
      <c r="BM219" s="1" t="s">
        <v>74</v>
      </c>
      <c r="BN219" s="1" t="s">
        <v>74</v>
      </c>
      <c r="BO219" s="1" t="s">
        <v>74</v>
      </c>
      <c r="BP219" s="1" t="s">
        <v>74</v>
      </c>
      <c r="BQ219" s="1" t="s">
        <v>74</v>
      </c>
      <c r="BR219" s="1" t="s">
        <v>74</v>
      </c>
      <c r="BS219" s="1" t="s">
        <v>2395</v>
      </c>
      <c r="BT219" s="1" t="str">
        <f>HYPERLINK("https%3A%2F%2Fwww.webofscience.com%2Fwos%2Fwoscc%2Ffull-record%2FWOS:001068815100033","View Full Record in Web of Science")</f>
        <v>View Full Record in Web of Science</v>
      </c>
    </row>
    <row r="220" ht="12.75" customHeight="1">
      <c r="A220" s="1" t="s">
        <v>733</v>
      </c>
      <c r="B220" s="1" t="s">
        <v>2396</v>
      </c>
      <c r="C220" s="1" t="s">
        <v>74</v>
      </c>
      <c r="D220" s="1" t="s">
        <v>2397</v>
      </c>
      <c r="E220" s="1" t="s">
        <v>74</v>
      </c>
      <c r="F220" s="1" t="s">
        <v>2398</v>
      </c>
      <c r="G220" s="1" t="s">
        <v>74</v>
      </c>
      <c r="H220" s="1" t="s">
        <v>74</v>
      </c>
      <c r="I220" s="1" t="s">
        <v>2399</v>
      </c>
      <c r="J220" s="1" t="s">
        <v>2400</v>
      </c>
      <c r="K220" s="1" t="s">
        <v>2401</v>
      </c>
      <c r="L220" s="1" t="s">
        <v>74</v>
      </c>
      <c r="M220" s="1" t="s">
        <v>74</v>
      </c>
      <c r="N220" s="1" t="s">
        <v>74</v>
      </c>
      <c r="O220" s="1" t="s">
        <v>74</v>
      </c>
      <c r="P220" s="1" t="s">
        <v>74</v>
      </c>
      <c r="Q220" s="1" t="s">
        <v>74</v>
      </c>
      <c r="R220" s="1" t="s">
        <v>74</v>
      </c>
      <c r="S220" s="1" t="s">
        <v>74</v>
      </c>
      <c r="T220" s="1" t="s">
        <v>74</v>
      </c>
      <c r="U220" s="1" t="s">
        <v>74</v>
      </c>
      <c r="V220" s="1" t="s">
        <v>74</v>
      </c>
      <c r="W220" s="1" t="s">
        <v>74</v>
      </c>
      <c r="X220" s="1" t="s">
        <v>74</v>
      </c>
      <c r="Y220" s="1" t="s">
        <v>74</v>
      </c>
      <c r="Z220" s="1" t="s">
        <v>74</v>
      </c>
      <c r="AA220" s="1" t="s">
        <v>2402</v>
      </c>
      <c r="AB220" s="1" t="s">
        <v>74</v>
      </c>
      <c r="AC220" s="1" t="s">
        <v>74</v>
      </c>
      <c r="AD220" s="1" t="s">
        <v>74</v>
      </c>
      <c r="AE220" s="1" t="s">
        <v>74</v>
      </c>
      <c r="AF220" s="1" t="s">
        <v>74</v>
      </c>
      <c r="AG220" s="1" t="s">
        <v>74</v>
      </c>
      <c r="AH220" s="1" t="s">
        <v>74</v>
      </c>
      <c r="AI220" s="1" t="s">
        <v>74</v>
      </c>
      <c r="AJ220" s="1" t="s">
        <v>74</v>
      </c>
      <c r="AK220" s="1" t="s">
        <v>74</v>
      </c>
      <c r="AL220" s="1" t="s">
        <v>74</v>
      </c>
      <c r="AM220" s="1" t="s">
        <v>74</v>
      </c>
      <c r="AN220" s="1" t="s">
        <v>74</v>
      </c>
      <c r="AO220" s="1" t="s">
        <v>74</v>
      </c>
      <c r="AP220" s="1" t="s">
        <v>74</v>
      </c>
      <c r="AQ220" s="1" t="s">
        <v>2403</v>
      </c>
      <c r="AR220" s="1" t="s">
        <v>74</v>
      </c>
      <c r="AS220" s="1" t="s">
        <v>74</v>
      </c>
      <c r="AT220" s="1" t="s">
        <v>74</v>
      </c>
      <c r="AU220" s="1">
        <v>2023.0</v>
      </c>
      <c r="AV220" s="1" t="s">
        <v>74</v>
      </c>
      <c r="AW220" s="1" t="s">
        <v>74</v>
      </c>
      <c r="AX220" s="1" t="s">
        <v>74</v>
      </c>
      <c r="AY220" s="1" t="s">
        <v>74</v>
      </c>
      <c r="AZ220" s="1" t="s">
        <v>74</v>
      </c>
      <c r="BA220" s="1" t="s">
        <v>74</v>
      </c>
      <c r="BB220" s="1">
        <v>109.0</v>
      </c>
      <c r="BC220" s="1">
        <v>135.0</v>
      </c>
      <c r="BD220" s="1" t="s">
        <v>74</v>
      </c>
      <c r="BE220" s="1" t="s">
        <v>74</v>
      </c>
      <c r="BF220" s="1" t="s">
        <v>74</v>
      </c>
      <c r="BG220" s="1" t="s">
        <v>2404</v>
      </c>
      <c r="BH220" s="1" t="s">
        <v>74</v>
      </c>
      <c r="BI220" s="1" t="s">
        <v>74</v>
      </c>
      <c r="BJ220" s="1" t="s">
        <v>74</v>
      </c>
      <c r="BK220" s="1" t="s">
        <v>74</v>
      </c>
      <c r="BL220" s="1" t="s">
        <v>74</v>
      </c>
      <c r="BM220" s="1" t="s">
        <v>74</v>
      </c>
      <c r="BN220" s="1" t="s">
        <v>74</v>
      </c>
      <c r="BO220" s="1" t="s">
        <v>74</v>
      </c>
      <c r="BP220" s="1" t="s">
        <v>74</v>
      </c>
      <c r="BQ220" s="1" t="s">
        <v>74</v>
      </c>
      <c r="BR220" s="1" t="s">
        <v>74</v>
      </c>
      <c r="BS220" s="1" t="s">
        <v>2405</v>
      </c>
      <c r="BT220" s="1" t="str">
        <f>HYPERLINK("https%3A%2F%2Fwww.webofscience.com%2Fwos%2Fwoscc%2Ffull-record%2FWOS:001152249800006","View Full Record in Web of Science")</f>
        <v>View Full Record in Web of Science</v>
      </c>
    </row>
    <row r="221" ht="12.75" customHeight="1">
      <c r="A221" s="1" t="s">
        <v>72</v>
      </c>
      <c r="B221" s="1" t="s">
        <v>2406</v>
      </c>
      <c r="C221" s="1" t="s">
        <v>74</v>
      </c>
      <c r="D221" s="1" t="s">
        <v>74</v>
      </c>
      <c r="E221" s="1" t="s">
        <v>74</v>
      </c>
      <c r="F221" s="1" t="s">
        <v>2407</v>
      </c>
      <c r="G221" s="1" t="s">
        <v>74</v>
      </c>
      <c r="H221" s="1" t="s">
        <v>74</v>
      </c>
      <c r="I221" s="1" t="s">
        <v>2408</v>
      </c>
      <c r="J221" s="1" t="s">
        <v>2409</v>
      </c>
      <c r="K221" s="1" t="s">
        <v>74</v>
      </c>
      <c r="L221" s="1" t="s">
        <v>74</v>
      </c>
      <c r="M221" s="1" t="s">
        <v>74</v>
      </c>
      <c r="N221" s="1" t="s">
        <v>74</v>
      </c>
      <c r="O221" s="1" t="s">
        <v>74</v>
      </c>
      <c r="P221" s="1" t="s">
        <v>74</v>
      </c>
      <c r="Q221" s="1" t="s">
        <v>74</v>
      </c>
      <c r="R221" s="1" t="s">
        <v>74</v>
      </c>
      <c r="S221" s="1" t="s">
        <v>74</v>
      </c>
      <c r="T221" s="1" t="s">
        <v>74</v>
      </c>
      <c r="U221" s="1" t="s">
        <v>74</v>
      </c>
      <c r="V221" s="1" t="s">
        <v>2410</v>
      </c>
      <c r="W221" s="1" t="s">
        <v>74</v>
      </c>
      <c r="X221" s="1" t="s">
        <v>74</v>
      </c>
      <c r="Y221" s="1" t="s">
        <v>74</v>
      </c>
      <c r="Z221" s="1" t="s">
        <v>74</v>
      </c>
      <c r="AA221" s="1" t="s">
        <v>2411</v>
      </c>
      <c r="AB221" s="1" t="s">
        <v>2412</v>
      </c>
      <c r="AC221" s="1" t="s">
        <v>74</v>
      </c>
      <c r="AD221" s="1" t="s">
        <v>74</v>
      </c>
      <c r="AE221" s="1" t="s">
        <v>74</v>
      </c>
      <c r="AF221" s="1" t="s">
        <v>74</v>
      </c>
      <c r="AG221" s="1" t="s">
        <v>74</v>
      </c>
      <c r="AH221" s="1" t="s">
        <v>74</v>
      </c>
      <c r="AI221" s="1" t="s">
        <v>74</v>
      </c>
      <c r="AJ221" s="1" t="s">
        <v>74</v>
      </c>
      <c r="AK221" s="1" t="s">
        <v>74</v>
      </c>
      <c r="AL221" s="1" t="s">
        <v>74</v>
      </c>
      <c r="AM221" s="1" t="s">
        <v>74</v>
      </c>
      <c r="AN221" s="1" t="s">
        <v>74</v>
      </c>
      <c r="AO221" s="1" t="s">
        <v>2413</v>
      </c>
      <c r="AP221" s="1" t="s">
        <v>2414</v>
      </c>
      <c r="AQ221" s="1" t="s">
        <v>74</v>
      </c>
      <c r="AR221" s="1" t="s">
        <v>74</v>
      </c>
      <c r="AS221" s="1" t="s">
        <v>74</v>
      </c>
      <c r="AT221" s="1" t="s">
        <v>438</v>
      </c>
      <c r="AU221" s="1">
        <v>2022.0</v>
      </c>
      <c r="AV221" s="1">
        <v>104.0</v>
      </c>
      <c r="AW221" s="1" t="s">
        <v>74</v>
      </c>
      <c r="AX221" s="1" t="s">
        <v>74</v>
      </c>
      <c r="AY221" s="1" t="s">
        <v>74</v>
      </c>
      <c r="AZ221" s="1" t="s">
        <v>74</v>
      </c>
      <c r="BA221" s="1" t="s">
        <v>74</v>
      </c>
      <c r="BB221" s="1">
        <v>701.0</v>
      </c>
      <c r="BC221" s="1">
        <v>720.0</v>
      </c>
      <c r="BD221" s="1" t="s">
        <v>74</v>
      </c>
      <c r="BE221" s="1" t="s">
        <v>2415</v>
      </c>
      <c r="BF221" s="2" t="str">
        <f>HYPERLINK("http://dx.doi.org/10.1016/j.apm.2021.12.020","http://dx.doi.org/10.1016/j.apm.2021.12.020")</f>
        <v>http://dx.doi.org/10.1016/j.apm.2021.12.020</v>
      </c>
      <c r="BG221" s="1" t="s">
        <v>74</v>
      </c>
      <c r="BH221" s="1" t="s">
        <v>74</v>
      </c>
      <c r="BI221" s="1" t="s">
        <v>74</v>
      </c>
      <c r="BJ221" s="1" t="s">
        <v>74</v>
      </c>
      <c r="BK221" s="1" t="s">
        <v>74</v>
      </c>
      <c r="BL221" s="1" t="s">
        <v>74</v>
      </c>
      <c r="BM221" s="1" t="s">
        <v>74</v>
      </c>
      <c r="BN221" s="1" t="s">
        <v>74</v>
      </c>
      <c r="BO221" s="1" t="s">
        <v>74</v>
      </c>
      <c r="BP221" s="1" t="s">
        <v>74</v>
      </c>
      <c r="BQ221" s="1" t="s">
        <v>74</v>
      </c>
      <c r="BR221" s="1" t="s">
        <v>74</v>
      </c>
      <c r="BS221" s="1" t="s">
        <v>2416</v>
      </c>
      <c r="BT221" s="1" t="str">
        <f>HYPERLINK("https%3A%2F%2Fwww.webofscience.com%2Fwos%2Fwoscc%2Ffull-record%2FWOS:000799846300005","View Full Record in Web of Science")</f>
        <v>View Full Record in Web of Science</v>
      </c>
    </row>
    <row r="222" ht="12.75" customHeight="1">
      <c r="A222" s="1" t="s">
        <v>72</v>
      </c>
      <c r="B222" s="1" t="s">
        <v>2417</v>
      </c>
      <c r="C222" s="1" t="s">
        <v>74</v>
      </c>
      <c r="D222" s="1" t="s">
        <v>74</v>
      </c>
      <c r="E222" s="1" t="s">
        <v>74</v>
      </c>
      <c r="F222" s="1" t="s">
        <v>2418</v>
      </c>
      <c r="G222" s="1" t="s">
        <v>74</v>
      </c>
      <c r="H222" s="1" t="s">
        <v>74</v>
      </c>
      <c r="I222" s="1" t="s">
        <v>2419</v>
      </c>
      <c r="J222" s="1" t="s">
        <v>149</v>
      </c>
      <c r="K222" s="1" t="s">
        <v>74</v>
      </c>
      <c r="L222" s="1" t="s">
        <v>74</v>
      </c>
      <c r="M222" s="1" t="s">
        <v>74</v>
      </c>
      <c r="N222" s="1" t="s">
        <v>74</v>
      </c>
      <c r="O222" s="1" t="s">
        <v>74</v>
      </c>
      <c r="P222" s="1" t="s">
        <v>74</v>
      </c>
      <c r="Q222" s="1" t="s">
        <v>74</v>
      </c>
      <c r="R222" s="1" t="s">
        <v>74</v>
      </c>
      <c r="S222" s="1" t="s">
        <v>74</v>
      </c>
      <c r="T222" s="1" t="s">
        <v>74</v>
      </c>
      <c r="U222" s="1" t="s">
        <v>74</v>
      </c>
      <c r="V222" s="1" t="s">
        <v>2420</v>
      </c>
      <c r="W222" s="1" t="s">
        <v>74</v>
      </c>
      <c r="X222" s="1" t="s">
        <v>74</v>
      </c>
      <c r="Y222" s="1" t="s">
        <v>74</v>
      </c>
      <c r="Z222" s="1" t="s">
        <v>74</v>
      </c>
      <c r="AA222" s="1" t="s">
        <v>2421</v>
      </c>
      <c r="AB222" s="1" t="s">
        <v>2422</v>
      </c>
      <c r="AC222" s="1" t="s">
        <v>74</v>
      </c>
      <c r="AD222" s="1" t="s">
        <v>74</v>
      </c>
      <c r="AE222" s="1" t="s">
        <v>74</v>
      </c>
      <c r="AF222" s="1" t="s">
        <v>74</v>
      </c>
      <c r="AG222" s="1" t="s">
        <v>74</v>
      </c>
      <c r="AH222" s="1" t="s">
        <v>74</v>
      </c>
      <c r="AI222" s="1" t="s">
        <v>74</v>
      </c>
      <c r="AJ222" s="1" t="s">
        <v>74</v>
      </c>
      <c r="AK222" s="1" t="s">
        <v>74</v>
      </c>
      <c r="AL222" s="1" t="s">
        <v>74</v>
      </c>
      <c r="AM222" s="1" t="s">
        <v>74</v>
      </c>
      <c r="AN222" s="1" t="s">
        <v>74</v>
      </c>
      <c r="AO222" s="1" t="s">
        <v>153</v>
      </c>
      <c r="AP222" s="1" t="s">
        <v>154</v>
      </c>
      <c r="AQ222" s="1" t="s">
        <v>74</v>
      </c>
      <c r="AR222" s="1" t="s">
        <v>74</v>
      </c>
      <c r="AS222" s="1" t="s">
        <v>74</v>
      </c>
      <c r="AT222" s="1" t="s">
        <v>398</v>
      </c>
      <c r="AU222" s="1">
        <v>2022.0</v>
      </c>
      <c r="AV222" s="1">
        <v>143.0</v>
      </c>
      <c r="AW222" s="1" t="s">
        <v>74</v>
      </c>
      <c r="AX222" s="1" t="s">
        <v>74</v>
      </c>
      <c r="AY222" s="1" t="s">
        <v>74</v>
      </c>
      <c r="AZ222" s="1" t="s">
        <v>74</v>
      </c>
      <c r="BA222" s="1" t="s">
        <v>74</v>
      </c>
      <c r="BB222" s="1" t="s">
        <v>74</v>
      </c>
      <c r="BC222" s="1" t="s">
        <v>74</v>
      </c>
      <c r="BD222" s="1">
        <v>107950.0</v>
      </c>
      <c r="BE222" s="1" t="s">
        <v>2423</v>
      </c>
      <c r="BF222" s="2" t="str">
        <f>HYPERLINK("http://dx.doi.org/10.1016/j.bioelechem.2021.107950","http://dx.doi.org/10.1016/j.bioelechem.2021.107950")</f>
        <v>http://dx.doi.org/10.1016/j.bioelechem.2021.107950</v>
      </c>
      <c r="BG222" s="1" t="s">
        <v>74</v>
      </c>
      <c r="BH222" s="1" t="s">
        <v>2424</v>
      </c>
      <c r="BI222" s="1" t="s">
        <v>74</v>
      </c>
      <c r="BJ222" s="1" t="s">
        <v>74</v>
      </c>
      <c r="BK222" s="1" t="s">
        <v>74</v>
      </c>
      <c r="BL222" s="1" t="s">
        <v>74</v>
      </c>
      <c r="BM222" s="1" t="s">
        <v>74</v>
      </c>
      <c r="BN222" s="1">
        <v>3.459263E7</v>
      </c>
      <c r="BO222" s="1" t="s">
        <v>74</v>
      </c>
      <c r="BP222" s="1" t="s">
        <v>74</v>
      </c>
      <c r="BQ222" s="1" t="s">
        <v>74</v>
      </c>
      <c r="BR222" s="1" t="s">
        <v>74</v>
      </c>
      <c r="BS222" s="1" t="s">
        <v>2425</v>
      </c>
      <c r="BT222" s="1" t="str">
        <f>HYPERLINK("https%3A%2F%2Fwww.webofscience.com%2Fwos%2Fwoscc%2Ffull-record%2FWOS:000704980800007","View Full Record in Web of Science")</f>
        <v>View Full Record in Web of Science</v>
      </c>
    </row>
    <row r="223" ht="12.75" customHeight="1">
      <c r="A223" s="1" t="s">
        <v>72</v>
      </c>
      <c r="B223" s="1" t="s">
        <v>2426</v>
      </c>
      <c r="C223" s="1" t="s">
        <v>74</v>
      </c>
      <c r="D223" s="1" t="s">
        <v>74</v>
      </c>
      <c r="E223" s="1" t="s">
        <v>74</v>
      </c>
      <c r="F223" s="1" t="s">
        <v>2427</v>
      </c>
      <c r="G223" s="1" t="s">
        <v>74</v>
      </c>
      <c r="H223" s="1" t="s">
        <v>74</v>
      </c>
      <c r="I223" s="1" t="s">
        <v>2428</v>
      </c>
      <c r="J223" s="1" t="s">
        <v>686</v>
      </c>
      <c r="K223" s="1" t="s">
        <v>74</v>
      </c>
      <c r="L223" s="1" t="s">
        <v>74</v>
      </c>
      <c r="M223" s="1" t="s">
        <v>74</v>
      </c>
      <c r="N223" s="1" t="s">
        <v>74</v>
      </c>
      <c r="O223" s="1" t="s">
        <v>74</v>
      </c>
      <c r="P223" s="1" t="s">
        <v>74</v>
      </c>
      <c r="Q223" s="1" t="s">
        <v>74</v>
      </c>
      <c r="R223" s="1" t="s">
        <v>74</v>
      </c>
      <c r="S223" s="1" t="s">
        <v>74</v>
      </c>
      <c r="T223" s="1" t="s">
        <v>74</v>
      </c>
      <c r="U223" s="1" t="s">
        <v>74</v>
      </c>
      <c r="V223" s="1" t="s">
        <v>2429</v>
      </c>
      <c r="W223" s="1" t="s">
        <v>74</v>
      </c>
      <c r="X223" s="1" t="s">
        <v>74</v>
      </c>
      <c r="Y223" s="1" t="s">
        <v>74</v>
      </c>
      <c r="Z223" s="1" t="s">
        <v>74</v>
      </c>
      <c r="AA223" s="1" t="s">
        <v>2430</v>
      </c>
      <c r="AB223" s="1" t="s">
        <v>2431</v>
      </c>
      <c r="AC223" s="1" t="s">
        <v>74</v>
      </c>
      <c r="AD223" s="1" t="s">
        <v>74</v>
      </c>
      <c r="AE223" s="1" t="s">
        <v>74</v>
      </c>
      <c r="AF223" s="1" t="s">
        <v>74</v>
      </c>
      <c r="AG223" s="1" t="s">
        <v>74</v>
      </c>
      <c r="AH223" s="1" t="s">
        <v>74</v>
      </c>
      <c r="AI223" s="1" t="s">
        <v>74</v>
      </c>
      <c r="AJ223" s="1" t="s">
        <v>74</v>
      </c>
      <c r="AK223" s="1" t="s">
        <v>74</v>
      </c>
      <c r="AL223" s="1" t="s">
        <v>74</v>
      </c>
      <c r="AM223" s="1" t="s">
        <v>74</v>
      </c>
      <c r="AN223" s="1" t="s">
        <v>74</v>
      </c>
      <c r="AO223" s="1" t="s">
        <v>693</v>
      </c>
      <c r="AP223" s="1" t="s">
        <v>694</v>
      </c>
      <c r="AQ223" s="1" t="s">
        <v>74</v>
      </c>
      <c r="AR223" s="1" t="s">
        <v>74</v>
      </c>
      <c r="AS223" s="1" t="s">
        <v>74</v>
      </c>
      <c r="AT223" s="1" t="s">
        <v>438</v>
      </c>
      <c r="AU223" s="1">
        <v>2020.0</v>
      </c>
      <c r="AV223" s="1">
        <v>150.0</v>
      </c>
      <c r="AW223" s="1" t="s">
        <v>74</v>
      </c>
      <c r="AX223" s="1" t="s">
        <v>74</v>
      </c>
      <c r="AY223" s="1" t="s">
        <v>74</v>
      </c>
      <c r="AZ223" s="1" t="s">
        <v>74</v>
      </c>
      <c r="BA223" s="1" t="s">
        <v>74</v>
      </c>
      <c r="BB223" s="1">
        <v>40.0</v>
      </c>
      <c r="BC223" s="1">
        <v>52.0</v>
      </c>
      <c r="BD223" s="1" t="s">
        <v>74</v>
      </c>
      <c r="BE223" s="1" t="s">
        <v>2432</v>
      </c>
      <c r="BF223" s="2" t="str">
        <f>HYPERLINK("http://dx.doi.org/10.1016/j.freeradbiomed.2020.02.006","http://dx.doi.org/10.1016/j.freeradbiomed.2020.02.006")</f>
        <v>http://dx.doi.org/10.1016/j.freeradbiomed.2020.02.006</v>
      </c>
      <c r="BG223" s="1" t="s">
        <v>74</v>
      </c>
      <c r="BH223" s="1" t="s">
        <v>74</v>
      </c>
      <c r="BI223" s="1" t="s">
        <v>74</v>
      </c>
      <c r="BJ223" s="1" t="s">
        <v>74</v>
      </c>
      <c r="BK223" s="1" t="s">
        <v>74</v>
      </c>
      <c r="BL223" s="1" t="s">
        <v>74</v>
      </c>
      <c r="BM223" s="1" t="s">
        <v>74</v>
      </c>
      <c r="BN223" s="1">
        <v>3.2081747E7</v>
      </c>
      <c r="BO223" s="1" t="s">
        <v>74</v>
      </c>
      <c r="BP223" s="1" t="s">
        <v>74</v>
      </c>
      <c r="BQ223" s="1" t="s">
        <v>74</v>
      </c>
      <c r="BR223" s="1" t="s">
        <v>74</v>
      </c>
      <c r="BS223" s="1" t="s">
        <v>2433</v>
      </c>
      <c r="BT223" s="1" t="str">
        <f>HYPERLINK("https%3A%2F%2Fwww.webofscience.com%2Fwos%2Fwoscc%2Ffull-record%2FWOS:000569787100005","View Full Record in Web of Science")</f>
        <v>View Full Record in Web of Science</v>
      </c>
    </row>
    <row r="224" ht="12.75" customHeight="1">
      <c r="A224" s="1" t="s">
        <v>72</v>
      </c>
      <c r="B224" s="1" t="s">
        <v>2434</v>
      </c>
      <c r="C224" s="1" t="s">
        <v>74</v>
      </c>
      <c r="D224" s="1" t="s">
        <v>74</v>
      </c>
      <c r="E224" s="1" t="s">
        <v>74</v>
      </c>
      <c r="F224" s="1" t="s">
        <v>2435</v>
      </c>
      <c r="G224" s="1" t="s">
        <v>74</v>
      </c>
      <c r="H224" s="1" t="s">
        <v>74</v>
      </c>
      <c r="I224" s="1" t="s">
        <v>2436</v>
      </c>
      <c r="J224" s="1" t="s">
        <v>2437</v>
      </c>
      <c r="K224" s="1" t="s">
        <v>74</v>
      </c>
      <c r="L224" s="1" t="s">
        <v>74</v>
      </c>
      <c r="M224" s="1" t="s">
        <v>74</v>
      </c>
      <c r="N224" s="1" t="s">
        <v>74</v>
      </c>
      <c r="O224" s="1" t="s">
        <v>74</v>
      </c>
      <c r="P224" s="1" t="s">
        <v>74</v>
      </c>
      <c r="Q224" s="1" t="s">
        <v>74</v>
      </c>
      <c r="R224" s="1" t="s">
        <v>74</v>
      </c>
      <c r="S224" s="1" t="s">
        <v>74</v>
      </c>
      <c r="T224" s="1" t="s">
        <v>74</v>
      </c>
      <c r="U224" s="1" t="s">
        <v>74</v>
      </c>
      <c r="V224" s="1" t="s">
        <v>2438</v>
      </c>
      <c r="W224" s="1" t="s">
        <v>74</v>
      </c>
      <c r="X224" s="1" t="s">
        <v>74</v>
      </c>
      <c r="Y224" s="1" t="s">
        <v>74</v>
      </c>
      <c r="Z224" s="1" t="s">
        <v>74</v>
      </c>
      <c r="AA224" s="1" t="s">
        <v>2439</v>
      </c>
      <c r="AB224" s="1" t="s">
        <v>2440</v>
      </c>
      <c r="AC224" s="1" t="s">
        <v>74</v>
      </c>
      <c r="AD224" s="1" t="s">
        <v>74</v>
      </c>
      <c r="AE224" s="1" t="s">
        <v>74</v>
      </c>
      <c r="AF224" s="1" t="s">
        <v>74</v>
      </c>
      <c r="AG224" s="1" t="s">
        <v>74</v>
      </c>
      <c r="AH224" s="1" t="s">
        <v>74</v>
      </c>
      <c r="AI224" s="1" t="s">
        <v>74</v>
      </c>
      <c r="AJ224" s="1" t="s">
        <v>74</v>
      </c>
      <c r="AK224" s="1" t="s">
        <v>74</v>
      </c>
      <c r="AL224" s="1" t="s">
        <v>74</v>
      </c>
      <c r="AM224" s="1" t="s">
        <v>74</v>
      </c>
      <c r="AN224" s="1" t="s">
        <v>74</v>
      </c>
      <c r="AO224" s="1" t="s">
        <v>2441</v>
      </c>
      <c r="AP224" s="1" t="s">
        <v>74</v>
      </c>
      <c r="AQ224" s="1" t="s">
        <v>74</v>
      </c>
      <c r="AR224" s="1" t="s">
        <v>74</v>
      </c>
      <c r="AS224" s="1" t="s">
        <v>74</v>
      </c>
      <c r="AT224" s="1" t="s">
        <v>2442</v>
      </c>
      <c r="AU224" s="1">
        <v>2018.0</v>
      </c>
      <c r="AV224" s="1">
        <v>6.0</v>
      </c>
      <c r="AW224" s="1" t="s">
        <v>74</v>
      </c>
      <c r="AX224" s="1" t="s">
        <v>74</v>
      </c>
      <c r="AY224" s="1" t="s">
        <v>74</v>
      </c>
      <c r="AZ224" s="1" t="s">
        <v>74</v>
      </c>
      <c r="BA224" s="1" t="s">
        <v>74</v>
      </c>
      <c r="BB224" s="1" t="s">
        <v>74</v>
      </c>
      <c r="BC224" s="1" t="s">
        <v>74</v>
      </c>
      <c r="BD224" s="1" t="s">
        <v>2443</v>
      </c>
      <c r="BE224" s="1" t="s">
        <v>2444</v>
      </c>
      <c r="BF224" s="2" t="str">
        <f>HYPERLINK("http://dx.doi.org/10.7717/peerj.4402","http://dx.doi.org/10.7717/peerj.4402")</f>
        <v>http://dx.doi.org/10.7717/peerj.4402</v>
      </c>
      <c r="BG224" s="1" t="s">
        <v>74</v>
      </c>
      <c r="BH224" s="1" t="s">
        <v>74</v>
      </c>
      <c r="BI224" s="1" t="s">
        <v>74</v>
      </c>
      <c r="BJ224" s="1" t="s">
        <v>74</v>
      </c>
      <c r="BK224" s="1" t="s">
        <v>74</v>
      </c>
      <c r="BL224" s="1" t="s">
        <v>74</v>
      </c>
      <c r="BM224" s="1" t="s">
        <v>74</v>
      </c>
      <c r="BN224" s="1">
        <v>2.9479501E7</v>
      </c>
      <c r="BO224" s="1" t="s">
        <v>74</v>
      </c>
      <c r="BP224" s="1" t="s">
        <v>74</v>
      </c>
      <c r="BQ224" s="1" t="s">
        <v>74</v>
      </c>
      <c r="BR224" s="1" t="s">
        <v>74</v>
      </c>
      <c r="BS224" s="1" t="s">
        <v>2445</v>
      </c>
      <c r="BT224" s="1" t="str">
        <f>HYPERLINK("https%3A%2F%2Fwww.webofscience.com%2Fwos%2Fwoscc%2Ffull-record%2FWOS:000426515100005","View Full Record in Web of Science")</f>
        <v>View Full Record in Web of Science</v>
      </c>
    </row>
    <row r="225" ht="12.75" customHeight="1">
      <c r="A225" s="1" t="s">
        <v>647</v>
      </c>
      <c r="B225" s="1" t="s">
        <v>2446</v>
      </c>
      <c r="C225" s="1" t="s">
        <v>74</v>
      </c>
      <c r="D225" s="1" t="s">
        <v>74</v>
      </c>
      <c r="E225" s="1" t="s">
        <v>649</v>
      </c>
      <c r="F225" s="1" t="s">
        <v>2447</v>
      </c>
      <c r="G225" s="1" t="s">
        <v>74</v>
      </c>
      <c r="H225" s="1" t="s">
        <v>74</v>
      </c>
      <c r="I225" s="1" t="s">
        <v>2448</v>
      </c>
      <c r="J225" s="1" t="s">
        <v>2449</v>
      </c>
      <c r="K225" s="1" t="s">
        <v>74</v>
      </c>
      <c r="L225" s="1" t="s">
        <v>74</v>
      </c>
      <c r="M225" s="1" t="s">
        <v>74</v>
      </c>
      <c r="N225" s="1" t="s">
        <v>74</v>
      </c>
      <c r="O225" s="1" t="s">
        <v>2450</v>
      </c>
      <c r="P225" s="1" t="s">
        <v>2451</v>
      </c>
      <c r="Q225" s="1" t="s">
        <v>2452</v>
      </c>
      <c r="R225" s="1" t="s">
        <v>2453</v>
      </c>
      <c r="S225" s="1" t="s">
        <v>74</v>
      </c>
      <c r="T225" s="1" t="s">
        <v>74</v>
      </c>
      <c r="U225" s="1" t="s">
        <v>74</v>
      </c>
      <c r="V225" s="1" t="s">
        <v>2454</v>
      </c>
      <c r="W225" s="1" t="s">
        <v>74</v>
      </c>
      <c r="X225" s="1" t="s">
        <v>74</v>
      </c>
      <c r="Y225" s="1" t="s">
        <v>74</v>
      </c>
      <c r="Z225" s="1" t="s">
        <v>74</v>
      </c>
      <c r="AA225" s="1" t="s">
        <v>2455</v>
      </c>
      <c r="AB225" s="1" t="s">
        <v>2456</v>
      </c>
      <c r="AC225" s="1" t="s">
        <v>74</v>
      </c>
      <c r="AD225" s="1" t="s">
        <v>74</v>
      </c>
      <c r="AE225" s="1" t="s">
        <v>74</v>
      </c>
      <c r="AF225" s="1" t="s">
        <v>74</v>
      </c>
      <c r="AG225" s="1" t="s">
        <v>74</v>
      </c>
      <c r="AH225" s="1" t="s">
        <v>74</v>
      </c>
      <c r="AI225" s="1" t="s">
        <v>74</v>
      </c>
      <c r="AJ225" s="1" t="s">
        <v>74</v>
      </c>
      <c r="AK225" s="1" t="s">
        <v>74</v>
      </c>
      <c r="AL225" s="1" t="s">
        <v>74</v>
      </c>
      <c r="AM225" s="1" t="s">
        <v>74</v>
      </c>
      <c r="AN225" s="1" t="s">
        <v>74</v>
      </c>
      <c r="AO225" s="1" t="s">
        <v>74</v>
      </c>
      <c r="AP225" s="1" t="s">
        <v>74</v>
      </c>
      <c r="AQ225" s="1" t="s">
        <v>2457</v>
      </c>
      <c r="AR225" s="1" t="s">
        <v>74</v>
      </c>
      <c r="AS225" s="1" t="s">
        <v>74</v>
      </c>
      <c r="AT225" s="1" t="s">
        <v>74</v>
      </c>
      <c r="AU225" s="1">
        <v>2018.0</v>
      </c>
      <c r="AV225" s="1" t="s">
        <v>74</v>
      </c>
      <c r="AW225" s="1" t="s">
        <v>74</v>
      </c>
      <c r="AX225" s="1" t="s">
        <v>74</v>
      </c>
      <c r="AY225" s="1" t="s">
        <v>74</v>
      </c>
      <c r="AZ225" s="1" t="s">
        <v>74</v>
      </c>
      <c r="BA225" s="1" t="s">
        <v>74</v>
      </c>
      <c r="BB225" s="1" t="s">
        <v>74</v>
      </c>
      <c r="BC225" s="1" t="s">
        <v>74</v>
      </c>
      <c r="BD225" s="1" t="s">
        <v>74</v>
      </c>
      <c r="BE225" s="1" t="s">
        <v>74</v>
      </c>
      <c r="BF225" s="1" t="s">
        <v>74</v>
      </c>
      <c r="BG225" s="1" t="s">
        <v>74</v>
      </c>
      <c r="BH225" s="1" t="s">
        <v>74</v>
      </c>
      <c r="BI225" s="1" t="s">
        <v>74</v>
      </c>
      <c r="BJ225" s="1" t="s">
        <v>74</v>
      </c>
      <c r="BK225" s="1" t="s">
        <v>74</v>
      </c>
      <c r="BL225" s="1" t="s">
        <v>74</v>
      </c>
      <c r="BM225" s="1" t="s">
        <v>74</v>
      </c>
      <c r="BN225" s="1" t="s">
        <v>74</v>
      </c>
      <c r="BO225" s="1" t="s">
        <v>74</v>
      </c>
      <c r="BP225" s="1" t="s">
        <v>74</v>
      </c>
      <c r="BQ225" s="1" t="s">
        <v>74</v>
      </c>
      <c r="BR225" s="1" t="s">
        <v>74</v>
      </c>
      <c r="BS225" s="1" t="s">
        <v>2458</v>
      </c>
      <c r="BT225" s="1" t="str">
        <f>HYPERLINK("https%3A%2F%2Fwww.webofscience.com%2Fwos%2Fwoscc%2Ffull-record%2FWOS:000681513900079","View Full Record in Web of Science")</f>
        <v>View Full Record in Web of Science</v>
      </c>
    </row>
    <row r="226" ht="12.75" customHeight="1">
      <c r="A226" s="1" t="s">
        <v>72</v>
      </c>
      <c r="B226" s="1" t="s">
        <v>2459</v>
      </c>
      <c r="C226" s="1" t="s">
        <v>74</v>
      </c>
      <c r="D226" s="1" t="s">
        <v>74</v>
      </c>
      <c r="E226" s="1" t="s">
        <v>74</v>
      </c>
      <c r="F226" s="1" t="s">
        <v>2460</v>
      </c>
      <c r="G226" s="1" t="s">
        <v>74</v>
      </c>
      <c r="H226" s="1" t="s">
        <v>74</v>
      </c>
      <c r="I226" s="1" t="s">
        <v>2461</v>
      </c>
      <c r="J226" s="1" t="s">
        <v>2462</v>
      </c>
      <c r="K226" s="1" t="s">
        <v>74</v>
      </c>
      <c r="L226" s="1" t="s">
        <v>74</v>
      </c>
      <c r="M226" s="1" t="s">
        <v>74</v>
      </c>
      <c r="N226" s="1" t="s">
        <v>74</v>
      </c>
      <c r="O226" s="1" t="s">
        <v>74</v>
      </c>
      <c r="P226" s="1" t="s">
        <v>74</v>
      </c>
      <c r="Q226" s="1" t="s">
        <v>74</v>
      </c>
      <c r="R226" s="1" t="s">
        <v>74</v>
      </c>
      <c r="S226" s="1" t="s">
        <v>74</v>
      </c>
      <c r="T226" s="1" t="s">
        <v>74</v>
      </c>
      <c r="U226" s="1" t="s">
        <v>74</v>
      </c>
      <c r="V226" s="1" t="s">
        <v>2463</v>
      </c>
      <c r="W226" s="1" t="s">
        <v>74</v>
      </c>
      <c r="X226" s="1" t="s">
        <v>74</v>
      </c>
      <c r="Y226" s="1" t="s">
        <v>74</v>
      </c>
      <c r="Z226" s="1" t="s">
        <v>74</v>
      </c>
      <c r="AA226" s="1" t="s">
        <v>2464</v>
      </c>
      <c r="AB226" s="1" t="s">
        <v>2465</v>
      </c>
      <c r="AC226" s="1" t="s">
        <v>74</v>
      </c>
      <c r="AD226" s="1" t="s">
        <v>74</v>
      </c>
      <c r="AE226" s="1" t="s">
        <v>74</v>
      </c>
      <c r="AF226" s="1" t="s">
        <v>74</v>
      </c>
      <c r="AG226" s="1" t="s">
        <v>74</v>
      </c>
      <c r="AH226" s="1" t="s">
        <v>74</v>
      </c>
      <c r="AI226" s="1" t="s">
        <v>74</v>
      </c>
      <c r="AJ226" s="1" t="s">
        <v>74</v>
      </c>
      <c r="AK226" s="1" t="s">
        <v>74</v>
      </c>
      <c r="AL226" s="1" t="s">
        <v>74</v>
      </c>
      <c r="AM226" s="1" t="s">
        <v>74</v>
      </c>
      <c r="AN226" s="1" t="s">
        <v>74</v>
      </c>
      <c r="AO226" s="1" t="s">
        <v>2466</v>
      </c>
      <c r="AP226" s="1" t="s">
        <v>2467</v>
      </c>
      <c r="AQ226" s="1" t="s">
        <v>74</v>
      </c>
      <c r="AR226" s="1" t="s">
        <v>74</v>
      </c>
      <c r="AS226" s="1" t="s">
        <v>74</v>
      </c>
      <c r="AT226" s="1" t="s">
        <v>74</v>
      </c>
      <c r="AU226" s="1">
        <v>2018.0</v>
      </c>
      <c r="AV226" s="1">
        <v>31.0</v>
      </c>
      <c r="AW226" s="1">
        <v>4.0</v>
      </c>
      <c r="AX226" s="1" t="s">
        <v>74</v>
      </c>
      <c r="AY226" s="1" t="s">
        <v>74</v>
      </c>
      <c r="AZ226" s="1" t="s">
        <v>74</v>
      </c>
      <c r="BA226" s="1" t="s">
        <v>74</v>
      </c>
      <c r="BB226" s="1">
        <v>373.0</v>
      </c>
      <c r="BC226" s="1">
        <v>387.0</v>
      </c>
      <c r="BD226" s="1" t="s">
        <v>74</v>
      </c>
      <c r="BE226" s="1" t="s">
        <v>2468</v>
      </c>
      <c r="BF226" s="2" t="str">
        <f>HYPERLINK("http://dx.doi.org/10.20937/ATM.2018.31.04.05","http://dx.doi.org/10.20937/ATM.2018.31.04.05")</f>
        <v>http://dx.doi.org/10.20937/ATM.2018.31.04.05</v>
      </c>
      <c r="BG226" s="1" t="s">
        <v>74</v>
      </c>
      <c r="BH226" s="1" t="s">
        <v>74</v>
      </c>
      <c r="BI226" s="1" t="s">
        <v>74</v>
      </c>
      <c r="BJ226" s="1" t="s">
        <v>74</v>
      </c>
      <c r="BK226" s="1" t="s">
        <v>74</v>
      </c>
      <c r="BL226" s="1" t="s">
        <v>74</v>
      </c>
      <c r="BM226" s="1" t="s">
        <v>74</v>
      </c>
      <c r="BN226" s="1" t="s">
        <v>74</v>
      </c>
      <c r="BO226" s="1" t="s">
        <v>74</v>
      </c>
      <c r="BP226" s="1" t="s">
        <v>74</v>
      </c>
      <c r="BQ226" s="1" t="s">
        <v>74</v>
      </c>
      <c r="BR226" s="1" t="s">
        <v>74</v>
      </c>
      <c r="BS226" s="1" t="s">
        <v>2469</v>
      </c>
      <c r="BT226" s="1" t="str">
        <f>HYPERLINK("https%3A%2F%2Fwww.webofscience.com%2Fwos%2Fwoscc%2Ffull-record%2FWOS:000456947300003","View Full Record in Web of Science")</f>
        <v>View Full Record in Web of Science</v>
      </c>
    </row>
    <row r="227" ht="12.75" customHeight="1">
      <c r="A227" s="1" t="s">
        <v>647</v>
      </c>
      <c r="B227" s="1" t="s">
        <v>2470</v>
      </c>
      <c r="C227" s="1" t="s">
        <v>74</v>
      </c>
      <c r="D227" s="1" t="s">
        <v>74</v>
      </c>
      <c r="E227" s="1" t="s">
        <v>649</v>
      </c>
      <c r="F227" s="1" t="s">
        <v>2471</v>
      </c>
      <c r="G227" s="1" t="s">
        <v>74</v>
      </c>
      <c r="H227" s="1" t="s">
        <v>74</v>
      </c>
      <c r="I227" s="1" t="s">
        <v>2472</v>
      </c>
      <c r="J227" s="1" t="s">
        <v>2473</v>
      </c>
      <c r="K227" s="1" t="s">
        <v>2474</v>
      </c>
      <c r="L227" s="1" t="s">
        <v>74</v>
      </c>
      <c r="M227" s="1" t="s">
        <v>74</v>
      </c>
      <c r="N227" s="1" t="s">
        <v>74</v>
      </c>
      <c r="O227" s="1" t="s">
        <v>2475</v>
      </c>
      <c r="P227" s="1" t="s">
        <v>2476</v>
      </c>
      <c r="Q227" s="1" t="s">
        <v>2477</v>
      </c>
      <c r="R227" s="1" t="s">
        <v>74</v>
      </c>
      <c r="S227" s="1" t="s">
        <v>74</v>
      </c>
      <c r="T227" s="1" t="s">
        <v>74</v>
      </c>
      <c r="U227" s="1" t="s">
        <v>74</v>
      </c>
      <c r="V227" s="1" t="s">
        <v>2478</v>
      </c>
      <c r="W227" s="1" t="s">
        <v>74</v>
      </c>
      <c r="X227" s="1" t="s">
        <v>74</v>
      </c>
      <c r="Y227" s="1" t="s">
        <v>74</v>
      </c>
      <c r="Z227" s="1" t="s">
        <v>74</v>
      </c>
      <c r="AA227" s="1" t="s">
        <v>2479</v>
      </c>
      <c r="AB227" s="1" t="s">
        <v>74</v>
      </c>
      <c r="AC227" s="1" t="s">
        <v>74</v>
      </c>
      <c r="AD227" s="1" t="s">
        <v>74</v>
      </c>
      <c r="AE227" s="1" t="s">
        <v>74</v>
      </c>
      <c r="AF227" s="1" t="s">
        <v>74</v>
      </c>
      <c r="AG227" s="1" t="s">
        <v>74</v>
      </c>
      <c r="AH227" s="1" t="s">
        <v>74</v>
      </c>
      <c r="AI227" s="1" t="s">
        <v>74</v>
      </c>
      <c r="AJ227" s="1" t="s">
        <v>74</v>
      </c>
      <c r="AK227" s="1" t="s">
        <v>74</v>
      </c>
      <c r="AL227" s="1" t="s">
        <v>74</v>
      </c>
      <c r="AM227" s="1" t="s">
        <v>74</v>
      </c>
      <c r="AN227" s="1" t="s">
        <v>74</v>
      </c>
      <c r="AO227" s="1" t="s">
        <v>2480</v>
      </c>
      <c r="AP227" s="1" t="s">
        <v>74</v>
      </c>
      <c r="AQ227" s="1" t="s">
        <v>74</v>
      </c>
      <c r="AR227" s="1" t="s">
        <v>74</v>
      </c>
      <c r="AS227" s="1" t="s">
        <v>74</v>
      </c>
      <c r="AT227" s="1" t="s">
        <v>74</v>
      </c>
      <c r="AU227" s="1">
        <v>2016.0</v>
      </c>
      <c r="AV227" s="1" t="s">
        <v>74</v>
      </c>
      <c r="AW227" s="1" t="s">
        <v>74</v>
      </c>
      <c r="AX227" s="1" t="s">
        <v>74</v>
      </c>
      <c r="AY227" s="1" t="s">
        <v>74</v>
      </c>
      <c r="AZ227" s="1" t="s">
        <v>74</v>
      </c>
      <c r="BA227" s="1" t="s">
        <v>74</v>
      </c>
      <c r="BB227" s="1" t="s">
        <v>74</v>
      </c>
      <c r="BC227" s="1" t="s">
        <v>74</v>
      </c>
      <c r="BD227" s="1" t="s">
        <v>74</v>
      </c>
      <c r="BE227" s="1" t="s">
        <v>74</v>
      </c>
      <c r="BF227" s="1" t="s">
        <v>74</v>
      </c>
      <c r="BG227" s="1" t="s">
        <v>74</v>
      </c>
      <c r="BH227" s="1" t="s">
        <v>74</v>
      </c>
      <c r="BI227" s="1" t="s">
        <v>74</v>
      </c>
      <c r="BJ227" s="1" t="s">
        <v>74</v>
      </c>
      <c r="BK227" s="1" t="s">
        <v>74</v>
      </c>
      <c r="BL227" s="1" t="s">
        <v>74</v>
      </c>
      <c r="BM227" s="1" t="s">
        <v>74</v>
      </c>
      <c r="BN227" s="1" t="s">
        <v>74</v>
      </c>
      <c r="BO227" s="1" t="s">
        <v>74</v>
      </c>
      <c r="BP227" s="1" t="s">
        <v>74</v>
      </c>
      <c r="BQ227" s="1" t="s">
        <v>74</v>
      </c>
      <c r="BR227" s="1" t="s">
        <v>74</v>
      </c>
      <c r="BS227" s="1" t="s">
        <v>2481</v>
      </c>
      <c r="BT227" s="1" t="str">
        <f>HYPERLINK("https%3A%2F%2Fwww.webofscience.com%2Fwos%2Fwoscc%2Ffull-record%2FWOS:000386637300186","View Full Record in Web of Science")</f>
        <v>View Full Record in Web of Science</v>
      </c>
    </row>
    <row r="228" ht="12.75" customHeight="1">
      <c r="A228" s="1" t="s">
        <v>72</v>
      </c>
      <c r="B228" s="1" t="s">
        <v>2482</v>
      </c>
      <c r="C228" s="1" t="s">
        <v>74</v>
      </c>
      <c r="D228" s="1" t="s">
        <v>74</v>
      </c>
      <c r="E228" s="1" t="s">
        <v>74</v>
      </c>
      <c r="F228" s="1" t="s">
        <v>2483</v>
      </c>
      <c r="G228" s="1" t="s">
        <v>74</v>
      </c>
      <c r="H228" s="1" t="s">
        <v>74</v>
      </c>
      <c r="I228" s="1" t="s">
        <v>2484</v>
      </c>
      <c r="J228" s="1" t="s">
        <v>2485</v>
      </c>
      <c r="K228" s="1" t="s">
        <v>74</v>
      </c>
      <c r="L228" s="1" t="s">
        <v>74</v>
      </c>
      <c r="M228" s="1" t="s">
        <v>74</v>
      </c>
      <c r="N228" s="1" t="s">
        <v>74</v>
      </c>
      <c r="O228" s="1" t="s">
        <v>74</v>
      </c>
      <c r="P228" s="1" t="s">
        <v>74</v>
      </c>
      <c r="Q228" s="1" t="s">
        <v>74</v>
      </c>
      <c r="R228" s="1" t="s">
        <v>74</v>
      </c>
      <c r="S228" s="1" t="s">
        <v>74</v>
      </c>
      <c r="T228" s="1" t="s">
        <v>74</v>
      </c>
      <c r="U228" s="1" t="s">
        <v>74</v>
      </c>
      <c r="V228" s="1" t="s">
        <v>2486</v>
      </c>
      <c r="W228" s="1" t="s">
        <v>74</v>
      </c>
      <c r="X228" s="1" t="s">
        <v>74</v>
      </c>
      <c r="Y228" s="1" t="s">
        <v>74</v>
      </c>
      <c r="Z228" s="1" t="s">
        <v>74</v>
      </c>
      <c r="AA228" s="1" t="s">
        <v>2487</v>
      </c>
      <c r="AB228" s="1" t="s">
        <v>74</v>
      </c>
      <c r="AC228" s="1" t="s">
        <v>74</v>
      </c>
      <c r="AD228" s="1" t="s">
        <v>74</v>
      </c>
      <c r="AE228" s="1" t="s">
        <v>74</v>
      </c>
      <c r="AF228" s="1" t="s">
        <v>74</v>
      </c>
      <c r="AG228" s="1" t="s">
        <v>74</v>
      </c>
      <c r="AH228" s="1" t="s">
        <v>74</v>
      </c>
      <c r="AI228" s="1" t="s">
        <v>74</v>
      </c>
      <c r="AJ228" s="1" t="s">
        <v>74</v>
      </c>
      <c r="AK228" s="1" t="s">
        <v>74</v>
      </c>
      <c r="AL228" s="1" t="s">
        <v>74</v>
      </c>
      <c r="AM228" s="1" t="s">
        <v>74</v>
      </c>
      <c r="AN228" s="1" t="s">
        <v>74</v>
      </c>
      <c r="AO228" s="1" t="s">
        <v>2488</v>
      </c>
      <c r="AP228" s="1" t="s">
        <v>74</v>
      </c>
      <c r="AQ228" s="1" t="s">
        <v>74</v>
      </c>
      <c r="AR228" s="1" t="s">
        <v>74</v>
      </c>
      <c r="AS228" s="1" t="s">
        <v>74</v>
      </c>
      <c r="AT228" s="1" t="s">
        <v>74</v>
      </c>
      <c r="AU228" s="1">
        <v>2015.0</v>
      </c>
      <c r="AV228" s="1">
        <v>2.0</v>
      </c>
      <c r="AW228" s="1">
        <v>40.0</v>
      </c>
      <c r="AX228" s="1" t="s">
        <v>74</v>
      </c>
      <c r="AY228" s="1" t="s">
        <v>74</v>
      </c>
      <c r="AZ228" s="1" t="s">
        <v>74</v>
      </c>
      <c r="BA228" s="1" t="s">
        <v>74</v>
      </c>
      <c r="BB228" s="1">
        <v>94.0</v>
      </c>
      <c r="BC228" s="1">
        <v>102.0</v>
      </c>
      <c r="BD228" s="1" t="s">
        <v>74</v>
      </c>
      <c r="BE228" s="1" t="s">
        <v>74</v>
      </c>
      <c r="BF228" s="1" t="s">
        <v>74</v>
      </c>
      <c r="BG228" s="1" t="s">
        <v>74</v>
      </c>
      <c r="BH228" s="1" t="s">
        <v>74</v>
      </c>
      <c r="BI228" s="1" t="s">
        <v>74</v>
      </c>
      <c r="BJ228" s="1" t="s">
        <v>74</v>
      </c>
      <c r="BK228" s="1" t="s">
        <v>74</v>
      </c>
      <c r="BL228" s="1" t="s">
        <v>74</v>
      </c>
      <c r="BM228" s="1" t="s">
        <v>74</v>
      </c>
      <c r="BN228" s="1" t="s">
        <v>74</v>
      </c>
      <c r="BO228" s="1" t="s">
        <v>74</v>
      </c>
      <c r="BP228" s="1" t="s">
        <v>74</v>
      </c>
      <c r="BQ228" s="1" t="s">
        <v>74</v>
      </c>
      <c r="BR228" s="1" t="s">
        <v>74</v>
      </c>
      <c r="BS228" s="1" t="s">
        <v>2489</v>
      </c>
      <c r="BT228" s="1" t="str">
        <f>HYPERLINK("https%3A%2F%2Fwww.webofscience.com%2Fwos%2Fwoscc%2Ffull-record%2FWOS:000368900800009","View Full Record in Web of Science")</f>
        <v>View Full Record in Web of Science</v>
      </c>
    </row>
    <row r="229" ht="12.75" customHeight="1">
      <c r="A229" s="1" t="s">
        <v>72</v>
      </c>
      <c r="B229" s="1" t="s">
        <v>2490</v>
      </c>
      <c r="C229" s="1" t="s">
        <v>74</v>
      </c>
      <c r="D229" s="1" t="s">
        <v>74</v>
      </c>
      <c r="E229" s="1" t="s">
        <v>74</v>
      </c>
      <c r="F229" s="1" t="s">
        <v>2491</v>
      </c>
      <c r="G229" s="1" t="s">
        <v>74</v>
      </c>
      <c r="H229" s="1" t="s">
        <v>74</v>
      </c>
      <c r="I229" s="1" t="s">
        <v>2492</v>
      </c>
      <c r="J229" s="1" t="s">
        <v>2493</v>
      </c>
      <c r="K229" s="1" t="s">
        <v>74</v>
      </c>
      <c r="L229" s="1" t="s">
        <v>74</v>
      </c>
      <c r="M229" s="1" t="s">
        <v>74</v>
      </c>
      <c r="N229" s="1" t="s">
        <v>74</v>
      </c>
      <c r="O229" s="1" t="s">
        <v>74</v>
      </c>
      <c r="P229" s="1" t="s">
        <v>74</v>
      </c>
      <c r="Q229" s="1" t="s">
        <v>74</v>
      </c>
      <c r="R229" s="1" t="s">
        <v>74</v>
      </c>
      <c r="S229" s="1" t="s">
        <v>74</v>
      </c>
      <c r="T229" s="1" t="s">
        <v>74</v>
      </c>
      <c r="U229" s="1" t="s">
        <v>74</v>
      </c>
      <c r="V229" s="1" t="s">
        <v>2494</v>
      </c>
      <c r="W229" s="1" t="s">
        <v>74</v>
      </c>
      <c r="X229" s="1" t="s">
        <v>74</v>
      </c>
      <c r="Y229" s="1" t="s">
        <v>74</v>
      </c>
      <c r="Z229" s="1" t="s">
        <v>74</v>
      </c>
      <c r="AA229" s="1" t="s">
        <v>2495</v>
      </c>
      <c r="AB229" s="1" t="s">
        <v>2496</v>
      </c>
      <c r="AC229" s="1" t="s">
        <v>74</v>
      </c>
      <c r="AD229" s="1" t="s">
        <v>74</v>
      </c>
      <c r="AE229" s="1" t="s">
        <v>74</v>
      </c>
      <c r="AF229" s="1" t="s">
        <v>74</v>
      </c>
      <c r="AG229" s="1" t="s">
        <v>74</v>
      </c>
      <c r="AH229" s="1" t="s">
        <v>74</v>
      </c>
      <c r="AI229" s="1" t="s">
        <v>74</v>
      </c>
      <c r="AJ229" s="1" t="s">
        <v>74</v>
      </c>
      <c r="AK229" s="1" t="s">
        <v>74</v>
      </c>
      <c r="AL229" s="1" t="s">
        <v>74</v>
      </c>
      <c r="AM229" s="1" t="s">
        <v>74</v>
      </c>
      <c r="AN229" s="1" t="s">
        <v>74</v>
      </c>
      <c r="AO229" s="1" t="s">
        <v>2497</v>
      </c>
      <c r="AP229" s="1" t="s">
        <v>2498</v>
      </c>
      <c r="AQ229" s="1" t="s">
        <v>74</v>
      </c>
      <c r="AR229" s="1" t="s">
        <v>74</v>
      </c>
      <c r="AS229" s="1" t="s">
        <v>74</v>
      </c>
      <c r="AT229" s="1" t="s">
        <v>74</v>
      </c>
      <c r="AU229" s="1">
        <v>2014.0</v>
      </c>
      <c r="AV229" s="1">
        <v>50.0</v>
      </c>
      <c r="AW229" s="1">
        <v>32.0</v>
      </c>
      <c r="AX229" s="1" t="s">
        <v>74</v>
      </c>
      <c r="AY229" s="1" t="s">
        <v>74</v>
      </c>
      <c r="AZ229" s="1" t="s">
        <v>74</v>
      </c>
      <c r="BA229" s="1" t="s">
        <v>74</v>
      </c>
      <c r="BB229" s="1">
        <v>4168.0</v>
      </c>
      <c r="BC229" s="1">
        <v>4171.0</v>
      </c>
      <c r="BD229" s="1" t="s">
        <v>74</v>
      </c>
      <c r="BE229" s="1" t="s">
        <v>2499</v>
      </c>
      <c r="BF229" s="2" t="str">
        <f>HYPERLINK("http://dx.doi.org/10.1039/c4cc00571f","http://dx.doi.org/10.1039/c4cc00571f")</f>
        <v>http://dx.doi.org/10.1039/c4cc00571f</v>
      </c>
      <c r="BG229" s="1" t="s">
        <v>74</v>
      </c>
      <c r="BH229" s="1" t="s">
        <v>74</v>
      </c>
      <c r="BI229" s="1" t="s">
        <v>74</v>
      </c>
      <c r="BJ229" s="1" t="s">
        <v>74</v>
      </c>
      <c r="BK229" s="1" t="s">
        <v>74</v>
      </c>
      <c r="BL229" s="1" t="s">
        <v>74</v>
      </c>
      <c r="BM229" s="1" t="s">
        <v>74</v>
      </c>
      <c r="BN229" s="1">
        <v>2.4618747E7</v>
      </c>
      <c r="BO229" s="1" t="s">
        <v>74</v>
      </c>
      <c r="BP229" s="1" t="s">
        <v>74</v>
      </c>
      <c r="BQ229" s="1" t="s">
        <v>74</v>
      </c>
      <c r="BR229" s="1" t="s">
        <v>74</v>
      </c>
      <c r="BS229" s="1" t="s">
        <v>2500</v>
      </c>
      <c r="BT229" s="1" t="str">
        <f>HYPERLINK("https%3A%2F%2Fwww.webofscience.com%2Fwos%2Fwoscc%2Ffull-record%2FWOS:000333522700005","View Full Record in Web of Science")</f>
        <v>View Full Record in Web of Science</v>
      </c>
    </row>
    <row r="230" ht="12.75" customHeight="1">
      <c r="A230" s="1" t="s">
        <v>72</v>
      </c>
      <c r="B230" s="1" t="s">
        <v>2501</v>
      </c>
      <c r="C230" s="1" t="s">
        <v>74</v>
      </c>
      <c r="D230" s="1" t="s">
        <v>74</v>
      </c>
      <c r="E230" s="1" t="s">
        <v>74</v>
      </c>
      <c r="F230" s="1" t="s">
        <v>2502</v>
      </c>
      <c r="G230" s="1" t="s">
        <v>74</v>
      </c>
      <c r="H230" s="1" t="s">
        <v>74</v>
      </c>
      <c r="I230" s="1" t="s">
        <v>2503</v>
      </c>
      <c r="J230" s="1" t="s">
        <v>2504</v>
      </c>
      <c r="K230" s="1" t="s">
        <v>74</v>
      </c>
      <c r="L230" s="1" t="s">
        <v>74</v>
      </c>
      <c r="M230" s="1" t="s">
        <v>74</v>
      </c>
      <c r="N230" s="1" t="s">
        <v>74</v>
      </c>
      <c r="O230" s="1" t="s">
        <v>74</v>
      </c>
      <c r="P230" s="1" t="s">
        <v>74</v>
      </c>
      <c r="Q230" s="1" t="s">
        <v>74</v>
      </c>
      <c r="R230" s="1" t="s">
        <v>74</v>
      </c>
      <c r="S230" s="1" t="s">
        <v>74</v>
      </c>
      <c r="T230" s="1" t="s">
        <v>74</v>
      </c>
      <c r="U230" s="1" t="s">
        <v>74</v>
      </c>
      <c r="V230" s="1" t="s">
        <v>2505</v>
      </c>
      <c r="W230" s="1" t="s">
        <v>74</v>
      </c>
      <c r="X230" s="1" t="s">
        <v>74</v>
      </c>
      <c r="Y230" s="1" t="s">
        <v>74</v>
      </c>
      <c r="Z230" s="1" t="s">
        <v>74</v>
      </c>
      <c r="AA230" s="1" t="s">
        <v>2506</v>
      </c>
      <c r="AB230" s="1" t="s">
        <v>2507</v>
      </c>
      <c r="AC230" s="1" t="s">
        <v>74</v>
      </c>
      <c r="AD230" s="1" t="s">
        <v>74</v>
      </c>
      <c r="AE230" s="1" t="s">
        <v>74</v>
      </c>
      <c r="AF230" s="1" t="s">
        <v>74</v>
      </c>
      <c r="AG230" s="1" t="s">
        <v>74</v>
      </c>
      <c r="AH230" s="1" t="s">
        <v>74</v>
      </c>
      <c r="AI230" s="1" t="s">
        <v>74</v>
      </c>
      <c r="AJ230" s="1" t="s">
        <v>74</v>
      </c>
      <c r="AK230" s="1" t="s">
        <v>74</v>
      </c>
      <c r="AL230" s="1" t="s">
        <v>74</v>
      </c>
      <c r="AM230" s="1" t="s">
        <v>74</v>
      </c>
      <c r="AN230" s="1" t="s">
        <v>74</v>
      </c>
      <c r="AO230" s="1" t="s">
        <v>2508</v>
      </c>
      <c r="AP230" s="1" t="s">
        <v>2509</v>
      </c>
      <c r="AQ230" s="1" t="s">
        <v>74</v>
      </c>
      <c r="AR230" s="1" t="s">
        <v>74</v>
      </c>
      <c r="AS230" s="1" t="s">
        <v>74</v>
      </c>
      <c r="AT230" s="1" t="s">
        <v>2510</v>
      </c>
      <c r="AU230" s="1">
        <v>2013.0</v>
      </c>
      <c r="AV230" s="1">
        <v>32.0</v>
      </c>
      <c r="AW230" s="1">
        <v>16.0</v>
      </c>
      <c r="AX230" s="1" t="s">
        <v>74</v>
      </c>
      <c r="AY230" s="1" t="s">
        <v>74</v>
      </c>
      <c r="AZ230" s="1" t="s">
        <v>74</v>
      </c>
      <c r="BA230" s="1" t="s">
        <v>74</v>
      </c>
      <c r="BB230" s="1">
        <v>2287.0</v>
      </c>
      <c r="BC230" s="1">
        <v>2299.0</v>
      </c>
      <c r="BD230" s="1" t="s">
        <v>74</v>
      </c>
      <c r="BE230" s="1" t="s">
        <v>2511</v>
      </c>
      <c r="BF230" s="2" t="str">
        <f>HYPERLINK("http://dx.doi.org/10.1038/emboj.2013.166","http://dx.doi.org/10.1038/emboj.2013.166")</f>
        <v>http://dx.doi.org/10.1038/emboj.2013.166</v>
      </c>
      <c r="BG230" s="1" t="s">
        <v>74</v>
      </c>
      <c r="BH230" s="1" t="s">
        <v>74</v>
      </c>
      <c r="BI230" s="1" t="s">
        <v>74</v>
      </c>
      <c r="BJ230" s="1" t="s">
        <v>74</v>
      </c>
      <c r="BK230" s="1" t="s">
        <v>74</v>
      </c>
      <c r="BL230" s="1" t="s">
        <v>74</v>
      </c>
      <c r="BM230" s="1" t="s">
        <v>74</v>
      </c>
      <c r="BN230" s="1">
        <v>2.3881099E7</v>
      </c>
      <c r="BO230" s="1" t="s">
        <v>74</v>
      </c>
      <c r="BP230" s="1" t="s">
        <v>74</v>
      </c>
      <c r="BQ230" s="1" t="s">
        <v>74</v>
      </c>
      <c r="BR230" s="1" t="s">
        <v>74</v>
      </c>
      <c r="BS230" s="1" t="s">
        <v>2512</v>
      </c>
      <c r="BT230" s="1" t="str">
        <f>HYPERLINK("https%3A%2F%2Fwww.webofscience.com%2Fwos%2Fwoscc%2Ffull-record%2FWOS:000323178900010","View Full Record in Web of Science")</f>
        <v>View Full Record in Web of Science</v>
      </c>
    </row>
    <row r="231" ht="12.75" customHeight="1">
      <c r="A231" s="1" t="s">
        <v>72</v>
      </c>
      <c r="B231" s="1" t="s">
        <v>2513</v>
      </c>
      <c r="C231" s="1" t="s">
        <v>74</v>
      </c>
      <c r="D231" s="1" t="s">
        <v>74</v>
      </c>
      <c r="E231" s="1" t="s">
        <v>74</v>
      </c>
      <c r="F231" s="1" t="s">
        <v>2514</v>
      </c>
      <c r="G231" s="1" t="s">
        <v>74</v>
      </c>
      <c r="H231" s="1" t="s">
        <v>74</v>
      </c>
      <c r="I231" s="1" t="s">
        <v>2515</v>
      </c>
      <c r="J231" s="1" t="s">
        <v>2516</v>
      </c>
      <c r="K231" s="1" t="s">
        <v>74</v>
      </c>
      <c r="L231" s="1" t="s">
        <v>74</v>
      </c>
      <c r="M231" s="1" t="s">
        <v>74</v>
      </c>
      <c r="N231" s="1" t="s">
        <v>74</v>
      </c>
      <c r="O231" s="1" t="s">
        <v>74</v>
      </c>
      <c r="P231" s="1" t="s">
        <v>74</v>
      </c>
      <c r="Q231" s="1" t="s">
        <v>74</v>
      </c>
      <c r="R231" s="1" t="s">
        <v>74</v>
      </c>
      <c r="S231" s="1" t="s">
        <v>74</v>
      </c>
      <c r="T231" s="1" t="s">
        <v>74</v>
      </c>
      <c r="U231" s="1" t="s">
        <v>74</v>
      </c>
      <c r="V231" s="1" t="s">
        <v>2517</v>
      </c>
      <c r="W231" s="1" t="s">
        <v>74</v>
      </c>
      <c r="X231" s="1" t="s">
        <v>74</v>
      </c>
      <c r="Y231" s="1" t="s">
        <v>74</v>
      </c>
      <c r="Z231" s="1" t="s">
        <v>74</v>
      </c>
      <c r="AA231" s="1" t="s">
        <v>2518</v>
      </c>
      <c r="AB231" s="1" t="s">
        <v>2519</v>
      </c>
      <c r="AC231" s="1" t="s">
        <v>74</v>
      </c>
      <c r="AD231" s="1" t="s">
        <v>74</v>
      </c>
      <c r="AE231" s="1" t="s">
        <v>74</v>
      </c>
      <c r="AF231" s="1" t="s">
        <v>74</v>
      </c>
      <c r="AG231" s="1" t="s">
        <v>74</v>
      </c>
      <c r="AH231" s="1" t="s">
        <v>74</v>
      </c>
      <c r="AI231" s="1" t="s">
        <v>74</v>
      </c>
      <c r="AJ231" s="1" t="s">
        <v>74</v>
      </c>
      <c r="AK231" s="1" t="s">
        <v>74</v>
      </c>
      <c r="AL231" s="1" t="s">
        <v>74</v>
      </c>
      <c r="AM231" s="1" t="s">
        <v>74</v>
      </c>
      <c r="AN231" s="1" t="s">
        <v>74</v>
      </c>
      <c r="AO231" s="1" t="s">
        <v>2520</v>
      </c>
      <c r="AP231" s="1" t="s">
        <v>2521</v>
      </c>
      <c r="AQ231" s="1" t="s">
        <v>74</v>
      </c>
      <c r="AR231" s="1" t="s">
        <v>74</v>
      </c>
      <c r="AS231" s="1" t="s">
        <v>74</v>
      </c>
      <c r="AT231" s="1" t="s">
        <v>1009</v>
      </c>
      <c r="AU231" s="1">
        <v>2012.0</v>
      </c>
      <c r="AV231" s="1">
        <v>16.0</v>
      </c>
      <c r="AW231" s="1" t="s">
        <v>1042</v>
      </c>
      <c r="AX231" s="1" t="s">
        <v>74</v>
      </c>
      <c r="AY231" s="1" t="s">
        <v>74</v>
      </c>
      <c r="AZ231" s="1" t="s">
        <v>74</v>
      </c>
      <c r="BA231" s="1" t="s">
        <v>74</v>
      </c>
      <c r="BB231" s="1">
        <v>761.0</v>
      </c>
      <c r="BC231" s="1">
        <v>784.0</v>
      </c>
      <c r="BD231" s="1" t="s">
        <v>74</v>
      </c>
      <c r="BE231" s="1" t="s">
        <v>2522</v>
      </c>
      <c r="BF231" s="2" t="str">
        <f>HYPERLINK("http://dx.doi.org/10.1142/S1088424612300091","http://dx.doi.org/10.1142/S1088424612300091")</f>
        <v>http://dx.doi.org/10.1142/S1088424612300091</v>
      </c>
      <c r="BG231" s="1" t="s">
        <v>74</v>
      </c>
      <c r="BH231" s="1" t="s">
        <v>74</v>
      </c>
      <c r="BI231" s="1" t="s">
        <v>74</v>
      </c>
      <c r="BJ231" s="1" t="s">
        <v>74</v>
      </c>
      <c r="BK231" s="1" t="s">
        <v>74</v>
      </c>
      <c r="BL231" s="1" t="s">
        <v>74</v>
      </c>
      <c r="BM231" s="1" t="s">
        <v>74</v>
      </c>
      <c r="BN231" s="1" t="s">
        <v>74</v>
      </c>
      <c r="BO231" s="1" t="s">
        <v>74</v>
      </c>
      <c r="BP231" s="1" t="s">
        <v>74</v>
      </c>
      <c r="BQ231" s="1" t="s">
        <v>74</v>
      </c>
      <c r="BR231" s="1" t="s">
        <v>74</v>
      </c>
      <c r="BS231" s="1" t="s">
        <v>2523</v>
      </c>
      <c r="BT231" s="1" t="str">
        <f>HYPERLINK("https%3A%2F%2Fwww.webofscience.com%2Fwos%2Fwoscc%2Ffull-record%2FWOS:000307022900006","View Full Record in Web of Science")</f>
        <v>View Full Record in Web of Science</v>
      </c>
    </row>
    <row r="232" ht="12.75" customHeight="1">
      <c r="A232" s="1" t="s">
        <v>72</v>
      </c>
      <c r="B232" s="1" t="s">
        <v>2524</v>
      </c>
      <c r="C232" s="1" t="s">
        <v>74</v>
      </c>
      <c r="D232" s="1" t="s">
        <v>74</v>
      </c>
      <c r="E232" s="1" t="s">
        <v>74</v>
      </c>
      <c r="F232" s="1" t="s">
        <v>2525</v>
      </c>
      <c r="G232" s="1" t="s">
        <v>74</v>
      </c>
      <c r="H232" s="1" t="s">
        <v>74</v>
      </c>
      <c r="I232" s="1" t="s">
        <v>2526</v>
      </c>
      <c r="J232" s="1" t="s">
        <v>2207</v>
      </c>
      <c r="K232" s="1" t="s">
        <v>74</v>
      </c>
      <c r="L232" s="1" t="s">
        <v>74</v>
      </c>
      <c r="M232" s="1" t="s">
        <v>74</v>
      </c>
      <c r="N232" s="1" t="s">
        <v>74</v>
      </c>
      <c r="O232" s="1" t="s">
        <v>74</v>
      </c>
      <c r="P232" s="1" t="s">
        <v>74</v>
      </c>
      <c r="Q232" s="1" t="s">
        <v>74</v>
      </c>
      <c r="R232" s="1" t="s">
        <v>74</v>
      </c>
      <c r="S232" s="1" t="s">
        <v>74</v>
      </c>
      <c r="T232" s="1" t="s">
        <v>74</v>
      </c>
      <c r="U232" s="1" t="s">
        <v>74</v>
      </c>
      <c r="V232" s="1" t="s">
        <v>2527</v>
      </c>
      <c r="W232" s="1" t="s">
        <v>74</v>
      </c>
      <c r="X232" s="1" t="s">
        <v>74</v>
      </c>
      <c r="Y232" s="1" t="s">
        <v>74</v>
      </c>
      <c r="Z232" s="1" t="s">
        <v>74</v>
      </c>
      <c r="AA232" s="1" t="s">
        <v>2528</v>
      </c>
      <c r="AB232" s="1" t="s">
        <v>2529</v>
      </c>
      <c r="AC232" s="1" t="s">
        <v>74</v>
      </c>
      <c r="AD232" s="1" t="s">
        <v>74</v>
      </c>
      <c r="AE232" s="1" t="s">
        <v>74</v>
      </c>
      <c r="AF232" s="1" t="s">
        <v>74</v>
      </c>
      <c r="AG232" s="1" t="s">
        <v>74</v>
      </c>
      <c r="AH232" s="1" t="s">
        <v>74</v>
      </c>
      <c r="AI232" s="1" t="s">
        <v>74</v>
      </c>
      <c r="AJ232" s="1" t="s">
        <v>74</v>
      </c>
      <c r="AK232" s="1" t="s">
        <v>74</v>
      </c>
      <c r="AL232" s="1" t="s">
        <v>74</v>
      </c>
      <c r="AM232" s="1" t="s">
        <v>74</v>
      </c>
      <c r="AN232" s="1" t="s">
        <v>74</v>
      </c>
      <c r="AO232" s="1" t="s">
        <v>2211</v>
      </c>
      <c r="AP232" s="1" t="s">
        <v>2212</v>
      </c>
      <c r="AQ232" s="1" t="s">
        <v>74</v>
      </c>
      <c r="AR232" s="1" t="s">
        <v>74</v>
      </c>
      <c r="AS232" s="1" t="s">
        <v>74</v>
      </c>
      <c r="AT232" s="1" t="s">
        <v>96</v>
      </c>
      <c r="AU232" s="1">
        <v>2011.0</v>
      </c>
      <c r="AV232" s="1">
        <v>323.0</v>
      </c>
      <c r="AW232" s="1">
        <v>6.0</v>
      </c>
      <c r="AX232" s="1" t="s">
        <v>74</v>
      </c>
      <c r="AY232" s="1" t="s">
        <v>74</v>
      </c>
      <c r="AZ232" s="1" t="s">
        <v>74</v>
      </c>
      <c r="BA232" s="1" t="s">
        <v>74</v>
      </c>
      <c r="BB232" s="1">
        <v>691.0</v>
      </c>
      <c r="BC232" s="1">
        <v>698.0</v>
      </c>
      <c r="BD232" s="1" t="s">
        <v>74</v>
      </c>
      <c r="BE232" s="1" t="s">
        <v>2530</v>
      </c>
      <c r="BF232" s="2" t="str">
        <f>HYPERLINK("http://dx.doi.org/10.1016/j.jmmm.2010.10.022","http://dx.doi.org/10.1016/j.jmmm.2010.10.022")</f>
        <v>http://dx.doi.org/10.1016/j.jmmm.2010.10.022</v>
      </c>
      <c r="BG232" s="1" t="s">
        <v>74</v>
      </c>
      <c r="BH232" s="1" t="s">
        <v>74</v>
      </c>
      <c r="BI232" s="1" t="s">
        <v>74</v>
      </c>
      <c r="BJ232" s="1" t="s">
        <v>74</v>
      </c>
      <c r="BK232" s="1" t="s">
        <v>74</v>
      </c>
      <c r="BL232" s="1" t="s">
        <v>74</v>
      </c>
      <c r="BM232" s="1" t="s">
        <v>74</v>
      </c>
      <c r="BN232" s="1" t="s">
        <v>74</v>
      </c>
      <c r="BO232" s="1" t="s">
        <v>74</v>
      </c>
      <c r="BP232" s="1" t="s">
        <v>74</v>
      </c>
      <c r="BQ232" s="1" t="s">
        <v>74</v>
      </c>
      <c r="BR232" s="1" t="s">
        <v>74</v>
      </c>
      <c r="BS232" s="1" t="s">
        <v>2531</v>
      </c>
      <c r="BT232" s="1" t="str">
        <f>HYPERLINK("https%3A%2F%2Fwww.webofscience.com%2Fwos%2Fwoscc%2Ffull-record%2FWOS:000285573500006","View Full Record in Web of Science")</f>
        <v>View Full Record in Web of Science</v>
      </c>
    </row>
    <row r="233" ht="12.75" customHeight="1">
      <c r="A233" s="1" t="s">
        <v>72</v>
      </c>
      <c r="B233" s="1" t="s">
        <v>2532</v>
      </c>
      <c r="C233" s="1" t="s">
        <v>74</v>
      </c>
      <c r="D233" s="1" t="s">
        <v>74</v>
      </c>
      <c r="E233" s="1" t="s">
        <v>74</v>
      </c>
      <c r="F233" s="1" t="s">
        <v>2533</v>
      </c>
      <c r="G233" s="1" t="s">
        <v>74</v>
      </c>
      <c r="H233" s="1" t="s">
        <v>74</v>
      </c>
      <c r="I233" s="1" t="s">
        <v>2534</v>
      </c>
      <c r="J233" s="1" t="s">
        <v>2535</v>
      </c>
      <c r="K233" s="1" t="s">
        <v>74</v>
      </c>
      <c r="L233" s="1" t="s">
        <v>74</v>
      </c>
      <c r="M233" s="1" t="s">
        <v>74</v>
      </c>
      <c r="N233" s="1" t="s">
        <v>74</v>
      </c>
      <c r="O233" s="1" t="s">
        <v>74</v>
      </c>
      <c r="P233" s="1" t="s">
        <v>74</v>
      </c>
      <c r="Q233" s="1" t="s">
        <v>74</v>
      </c>
      <c r="R233" s="1" t="s">
        <v>74</v>
      </c>
      <c r="S233" s="1" t="s">
        <v>74</v>
      </c>
      <c r="T233" s="1" t="s">
        <v>74</v>
      </c>
      <c r="U233" s="1" t="s">
        <v>74</v>
      </c>
      <c r="V233" s="1" t="s">
        <v>2536</v>
      </c>
      <c r="W233" s="1" t="s">
        <v>74</v>
      </c>
      <c r="X233" s="1" t="s">
        <v>74</v>
      </c>
      <c r="Y233" s="1" t="s">
        <v>74</v>
      </c>
      <c r="Z233" s="1" t="s">
        <v>74</v>
      </c>
      <c r="AA233" s="1" t="s">
        <v>2537</v>
      </c>
      <c r="AB233" s="1" t="s">
        <v>2538</v>
      </c>
      <c r="AC233" s="1" t="s">
        <v>74</v>
      </c>
      <c r="AD233" s="1" t="s">
        <v>74</v>
      </c>
      <c r="AE233" s="1" t="s">
        <v>74</v>
      </c>
      <c r="AF233" s="1" t="s">
        <v>74</v>
      </c>
      <c r="AG233" s="1" t="s">
        <v>74</v>
      </c>
      <c r="AH233" s="1" t="s">
        <v>74</v>
      </c>
      <c r="AI233" s="1" t="s">
        <v>74</v>
      </c>
      <c r="AJ233" s="1" t="s">
        <v>74</v>
      </c>
      <c r="AK233" s="1" t="s">
        <v>74</v>
      </c>
      <c r="AL233" s="1" t="s">
        <v>74</v>
      </c>
      <c r="AM233" s="1" t="s">
        <v>74</v>
      </c>
      <c r="AN233" s="1" t="s">
        <v>74</v>
      </c>
      <c r="AO233" s="1" t="s">
        <v>2539</v>
      </c>
      <c r="AP233" s="1" t="s">
        <v>2540</v>
      </c>
      <c r="AQ233" s="1" t="s">
        <v>74</v>
      </c>
      <c r="AR233" s="1" t="s">
        <v>74</v>
      </c>
      <c r="AS233" s="1" t="s">
        <v>74</v>
      </c>
      <c r="AT233" s="1" t="s">
        <v>464</v>
      </c>
      <c r="AU233" s="1">
        <v>2009.0</v>
      </c>
      <c r="AV233" s="1">
        <v>82.0</v>
      </c>
      <c r="AW233" s="1">
        <v>1.0</v>
      </c>
      <c r="AX233" s="1" t="s">
        <v>74</v>
      </c>
      <c r="AY233" s="1" t="s">
        <v>74</v>
      </c>
      <c r="AZ233" s="1" t="s">
        <v>74</v>
      </c>
      <c r="BA233" s="1" t="s">
        <v>74</v>
      </c>
      <c r="BB233" s="1">
        <v>101.0</v>
      </c>
      <c r="BC233" s="1">
        <v>105.0</v>
      </c>
      <c r="BD233" s="1" t="s">
        <v>74</v>
      </c>
      <c r="BE233" s="1" t="s">
        <v>2541</v>
      </c>
      <c r="BF233" s="2" t="str">
        <f>HYPERLINK("http://dx.doi.org/10.1007/s00128-008-9568-5","http://dx.doi.org/10.1007/s00128-008-9568-5")</f>
        <v>http://dx.doi.org/10.1007/s00128-008-9568-5</v>
      </c>
      <c r="BG233" s="1" t="s">
        <v>74</v>
      </c>
      <c r="BH233" s="1" t="s">
        <v>74</v>
      </c>
      <c r="BI233" s="1" t="s">
        <v>74</v>
      </c>
      <c r="BJ233" s="1" t="s">
        <v>74</v>
      </c>
      <c r="BK233" s="1" t="s">
        <v>74</v>
      </c>
      <c r="BL233" s="1" t="s">
        <v>74</v>
      </c>
      <c r="BM233" s="1" t="s">
        <v>74</v>
      </c>
      <c r="BN233" s="1">
        <v>1.884132E7</v>
      </c>
      <c r="BO233" s="1" t="s">
        <v>74</v>
      </c>
      <c r="BP233" s="1" t="s">
        <v>74</v>
      </c>
      <c r="BQ233" s="1" t="s">
        <v>74</v>
      </c>
      <c r="BR233" s="1" t="s">
        <v>74</v>
      </c>
      <c r="BS233" s="1" t="s">
        <v>2542</v>
      </c>
      <c r="BT233" s="1" t="str">
        <f>HYPERLINK("https%3A%2F%2Fwww.webofscience.com%2Fwos%2Fwoscc%2Ffull-record%2FWOS:000261831400020","View Full Record in Web of Science")</f>
        <v>View Full Record in Web of Science</v>
      </c>
    </row>
    <row r="234" ht="12.75" customHeight="1">
      <c r="A234" s="1" t="s">
        <v>72</v>
      </c>
      <c r="B234" s="1" t="s">
        <v>2543</v>
      </c>
      <c r="C234" s="1" t="s">
        <v>74</v>
      </c>
      <c r="D234" s="1" t="s">
        <v>74</v>
      </c>
      <c r="E234" s="1" t="s">
        <v>74</v>
      </c>
      <c r="F234" s="1" t="s">
        <v>2543</v>
      </c>
      <c r="G234" s="1" t="s">
        <v>74</v>
      </c>
      <c r="H234" s="1" t="s">
        <v>74</v>
      </c>
      <c r="I234" s="1" t="s">
        <v>2544</v>
      </c>
      <c r="J234" s="1" t="s">
        <v>2545</v>
      </c>
      <c r="K234" s="1" t="s">
        <v>74</v>
      </c>
      <c r="L234" s="1" t="s">
        <v>74</v>
      </c>
      <c r="M234" s="1" t="s">
        <v>74</v>
      </c>
      <c r="N234" s="1" t="s">
        <v>74</v>
      </c>
      <c r="O234" s="1" t="s">
        <v>74</v>
      </c>
      <c r="P234" s="1" t="s">
        <v>74</v>
      </c>
      <c r="Q234" s="1" t="s">
        <v>74</v>
      </c>
      <c r="R234" s="1" t="s">
        <v>74</v>
      </c>
      <c r="S234" s="1" t="s">
        <v>74</v>
      </c>
      <c r="T234" s="1" t="s">
        <v>74</v>
      </c>
      <c r="U234" s="1" t="s">
        <v>74</v>
      </c>
      <c r="V234" s="1" t="s">
        <v>2546</v>
      </c>
      <c r="W234" s="1" t="s">
        <v>74</v>
      </c>
      <c r="X234" s="1" t="s">
        <v>74</v>
      </c>
      <c r="Y234" s="1" t="s">
        <v>74</v>
      </c>
      <c r="Z234" s="1" t="s">
        <v>74</v>
      </c>
      <c r="AA234" s="1" t="s">
        <v>2547</v>
      </c>
      <c r="AB234" s="1" t="s">
        <v>2548</v>
      </c>
      <c r="AC234" s="1" t="s">
        <v>74</v>
      </c>
      <c r="AD234" s="1" t="s">
        <v>74</v>
      </c>
      <c r="AE234" s="1" t="s">
        <v>74</v>
      </c>
      <c r="AF234" s="1" t="s">
        <v>74</v>
      </c>
      <c r="AG234" s="1" t="s">
        <v>74</v>
      </c>
      <c r="AH234" s="1" t="s">
        <v>74</v>
      </c>
      <c r="AI234" s="1" t="s">
        <v>74</v>
      </c>
      <c r="AJ234" s="1" t="s">
        <v>74</v>
      </c>
      <c r="AK234" s="1" t="s">
        <v>74</v>
      </c>
      <c r="AL234" s="1" t="s">
        <v>74</v>
      </c>
      <c r="AM234" s="1" t="s">
        <v>74</v>
      </c>
      <c r="AN234" s="1" t="s">
        <v>74</v>
      </c>
      <c r="AO234" s="1" t="s">
        <v>2549</v>
      </c>
      <c r="AP234" s="1" t="s">
        <v>2550</v>
      </c>
      <c r="AQ234" s="1" t="s">
        <v>74</v>
      </c>
      <c r="AR234" s="1" t="s">
        <v>74</v>
      </c>
      <c r="AS234" s="1" t="s">
        <v>74</v>
      </c>
      <c r="AT234" s="1" t="s">
        <v>250</v>
      </c>
      <c r="AU234" s="1">
        <v>2005.0</v>
      </c>
      <c r="AV234" s="1">
        <v>16.0</v>
      </c>
      <c r="AW234" s="1">
        <v>6.0</v>
      </c>
      <c r="AX234" s="1" t="s">
        <v>74</v>
      </c>
      <c r="AY234" s="1" t="s">
        <v>74</v>
      </c>
      <c r="AZ234" s="1" t="s">
        <v>74</v>
      </c>
      <c r="BA234" s="1" t="s">
        <v>74</v>
      </c>
      <c r="BB234" s="1">
        <v>471.0</v>
      </c>
      <c r="BC234" s="1">
        <v>477.0</v>
      </c>
      <c r="BD234" s="1" t="s">
        <v>74</v>
      </c>
      <c r="BE234" s="1" t="s">
        <v>2551</v>
      </c>
      <c r="BF234" s="2" t="str">
        <f>HYPERLINK("http://dx.doi.org/10.1111/j.1399-3038.2005.00318.x","http://dx.doi.org/10.1111/j.1399-3038.2005.00318.x")</f>
        <v>http://dx.doi.org/10.1111/j.1399-3038.2005.00318.x</v>
      </c>
      <c r="BG234" s="1" t="s">
        <v>74</v>
      </c>
      <c r="BH234" s="1" t="s">
        <v>74</v>
      </c>
      <c r="BI234" s="1" t="s">
        <v>74</v>
      </c>
      <c r="BJ234" s="1" t="s">
        <v>74</v>
      </c>
      <c r="BK234" s="1" t="s">
        <v>74</v>
      </c>
      <c r="BL234" s="1" t="s">
        <v>74</v>
      </c>
      <c r="BM234" s="1" t="s">
        <v>74</v>
      </c>
      <c r="BN234" s="1">
        <v>1.6176393E7</v>
      </c>
      <c r="BO234" s="1" t="s">
        <v>74</v>
      </c>
      <c r="BP234" s="1" t="s">
        <v>74</v>
      </c>
      <c r="BQ234" s="1" t="s">
        <v>74</v>
      </c>
      <c r="BR234" s="1" t="s">
        <v>74</v>
      </c>
      <c r="BS234" s="1" t="s">
        <v>2552</v>
      </c>
      <c r="BT234" s="1" t="str">
        <f>HYPERLINK("https%3A%2F%2Fwww.webofscience.com%2Fwos%2Fwoscc%2Ffull-record%2FWOS:000232006200003","View Full Record in Web of Science")</f>
        <v>View Full Record in Web of Science</v>
      </c>
    </row>
    <row r="235" ht="12.75" customHeight="1">
      <c r="A235" s="1" t="s">
        <v>72</v>
      </c>
      <c r="B235" s="1" t="s">
        <v>2553</v>
      </c>
      <c r="C235" s="1" t="s">
        <v>74</v>
      </c>
      <c r="D235" s="1" t="s">
        <v>74</v>
      </c>
      <c r="E235" s="1" t="s">
        <v>74</v>
      </c>
      <c r="F235" s="1" t="s">
        <v>2553</v>
      </c>
      <c r="G235" s="1" t="s">
        <v>74</v>
      </c>
      <c r="H235" s="1" t="s">
        <v>74</v>
      </c>
      <c r="I235" s="1" t="s">
        <v>2554</v>
      </c>
      <c r="J235" s="1" t="s">
        <v>2555</v>
      </c>
      <c r="K235" s="1" t="s">
        <v>74</v>
      </c>
      <c r="L235" s="1" t="s">
        <v>74</v>
      </c>
      <c r="M235" s="1" t="s">
        <v>74</v>
      </c>
      <c r="N235" s="1" t="s">
        <v>74</v>
      </c>
      <c r="O235" s="1" t="s">
        <v>74</v>
      </c>
      <c r="P235" s="1" t="s">
        <v>74</v>
      </c>
      <c r="Q235" s="1" t="s">
        <v>74</v>
      </c>
      <c r="R235" s="1" t="s">
        <v>74</v>
      </c>
      <c r="S235" s="1" t="s">
        <v>74</v>
      </c>
      <c r="T235" s="1" t="s">
        <v>74</v>
      </c>
      <c r="U235" s="1" t="s">
        <v>74</v>
      </c>
      <c r="V235" s="1" t="s">
        <v>2556</v>
      </c>
      <c r="W235" s="1" t="s">
        <v>74</v>
      </c>
      <c r="X235" s="1" t="s">
        <v>74</v>
      </c>
      <c r="Y235" s="1" t="s">
        <v>74</v>
      </c>
      <c r="Z235" s="1" t="s">
        <v>74</v>
      </c>
      <c r="AA235" s="1" t="s">
        <v>2557</v>
      </c>
      <c r="AB235" s="1" t="s">
        <v>2558</v>
      </c>
      <c r="AC235" s="1" t="s">
        <v>74</v>
      </c>
      <c r="AD235" s="1" t="s">
        <v>74</v>
      </c>
      <c r="AE235" s="1" t="s">
        <v>74</v>
      </c>
      <c r="AF235" s="1" t="s">
        <v>74</v>
      </c>
      <c r="AG235" s="1" t="s">
        <v>74</v>
      </c>
      <c r="AH235" s="1" t="s">
        <v>74</v>
      </c>
      <c r="AI235" s="1" t="s">
        <v>74</v>
      </c>
      <c r="AJ235" s="1" t="s">
        <v>74</v>
      </c>
      <c r="AK235" s="1" t="s">
        <v>74</v>
      </c>
      <c r="AL235" s="1" t="s">
        <v>74</v>
      </c>
      <c r="AM235" s="1" t="s">
        <v>74</v>
      </c>
      <c r="AN235" s="1" t="s">
        <v>74</v>
      </c>
      <c r="AO235" s="1" t="s">
        <v>2559</v>
      </c>
      <c r="AP235" s="1" t="s">
        <v>2560</v>
      </c>
      <c r="AQ235" s="1" t="s">
        <v>74</v>
      </c>
      <c r="AR235" s="1" t="s">
        <v>74</v>
      </c>
      <c r="AS235" s="1" t="s">
        <v>74</v>
      </c>
      <c r="AT235" s="1" t="s">
        <v>2561</v>
      </c>
      <c r="AU235" s="1">
        <v>2004.0</v>
      </c>
      <c r="AV235" s="1">
        <v>1008.0</v>
      </c>
      <c r="AW235" s="1">
        <v>2.0</v>
      </c>
      <c r="AX235" s="1" t="s">
        <v>74</v>
      </c>
      <c r="AY235" s="1" t="s">
        <v>74</v>
      </c>
      <c r="AZ235" s="1" t="s">
        <v>74</v>
      </c>
      <c r="BA235" s="1" t="s">
        <v>74</v>
      </c>
      <c r="BB235" s="1">
        <v>288.0</v>
      </c>
      <c r="BC235" s="1">
        <v>292.0</v>
      </c>
      <c r="BD235" s="1" t="s">
        <v>74</v>
      </c>
      <c r="BE235" s="1" t="s">
        <v>2562</v>
      </c>
      <c r="BF235" s="2" t="str">
        <f>HYPERLINK("http://dx.doi.org/10.1016/j.brainres.2004.02.041","http://dx.doi.org/10.1016/j.brainres.2004.02.041")</f>
        <v>http://dx.doi.org/10.1016/j.brainres.2004.02.041</v>
      </c>
      <c r="BG235" s="1" t="s">
        <v>74</v>
      </c>
      <c r="BH235" s="1" t="s">
        <v>74</v>
      </c>
      <c r="BI235" s="1" t="s">
        <v>74</v>
      </c>
      <c r="BJ235" s="1" t="s">
        <v>74</v>
      </c>
      <c r="BK235" s="1" t="s">
        <v>74</v>
      </c>
      <c r="BL235" s="1" t="s">
        <v>74</v>
      </c>
      <c r="BM235" s="1" t="s">
        <v>74</v>
      </c>
      <c r="BN235" s="1">
        <v>1.5145768E7</v>
      </c>
      <c r="BO235" s="1" t="s">
        <v>74</v>
      </c>
      <c r="BP235" s="1" t="s">
        <v>74</v>
      </c>
      <c r="BQ235" s="1" t="s">
        <v>74</v>
      </c>
      <c r="BR235" s="1" t="s">
        <v>74</v>
      </c>
      <c r="BS235" s="1" t="s">
        <v>2563</v>
      </c>
      <c r="BT235" s="1" t="str">
        <f>HYPERLINK("https%3A%2F%2Fwww.webofscience.com%2Fwos%2Fwoscc%2Ffull-record%2FWOS:000221938900019","View Full Record in Web of Science")</f>
        <v>View Full Record in Web of Science</v>
      </c>
    </row>
    <row r="236" ht="12.75" customHeight="1">
      <c r="A236" s="1" t="s">
        <v>72</v>
      </c>
      <c r="B236" s="1" t="s">
        <v>2564</v>
      </c>
      <c r="C236" s="1" t="s">
        <v>74</v>
      </c>
      <c r="D236" s="1" t="s">
        <v>74</v>
      </c>
      <c r="E236" s="1" t="s">
        <v>74</v>
      </c>
      <c r="F236" s="1" t="s">
        <v>2564</v>
      </c>
      <c r="G236" s="1" t="s">
        <v>74</v>
      </c>
      <c r="H236" s="1" t="s">
        <v>74</v>
      </c>
      <c r="I236" s="1" t="s">
        <v>2565</v>
      </c>
      <c r="J236" s="1" t="s">
        <v>2566</v>
      </c>
      <c r="K236" s="1" t="s">
        <v>74</v>
      </c>
      <c r="L236" s="1" t="s">
        <v>74</v>
      </c>
      <c r="M236" s="1" t="s">
        <v>74</v>
      </c>
      <c r="N236" s="1" t="s">
        <v>74</v>
      </c>
      <c r="O236" s="1" t="s">
        <v>74</v>
      </c>
      <c r="P236" s="1" t="s">
        <v>74</v>
      </c>
      <c r="Q236" s="1" t="s">
        <v>74</v>
      </c>
      <c r="R236" s="1" t="s">
        <v>74</v>
      </c>
      <c r="S236" s="1" t="s">
        <v>74</v>
      </c>
      <c r="T236" s="1" t="s">
        <v>74</v>
      </c>
      <c r="U236" s="1" t="s">
        <v>74</v>
      </c>
      <c r="V236" s="1" t="s">
        <v>74</v>
      </c>
      <c r="W236" s="1" t="s">
        <v>74</v>
      </c>
      <c r="X236" s="1" t="s">
        <v>74</v>
      </c>
      <c r="Y236" s="1" t="s">
        <v>74</v>
      </c>
      <c r="Z236" s="1" t="s">
        <v>74</v>
      </c>
      <c r="AA236" s="1" t="s">
        <v>2567</v>
      </c>
      <c r="AB236" s="1" t="s">
        <v>2568</v>
      </c>
      <c r="AC236" s="1" t="s">
        <v>74</v>
      </c>
      <c r="AD236" s="1" t="s">
        <v>74</v>
      </c>
      <c r="AE236" s="1" t="s">
        <v>74</v>
      </c>
      <c r="AF236" s="1" t="s">
        <v>74</v>
      </c>
      <c r="AG236" s="1" t="s">
        <v>74</v>
      </c>
      <c r="AH236" s="1" t="s">
        <v>74</v>
      </c>
      <c r="AI236" s="1" t="s">
        <v>74</v>
      </c>
      <c r="AJ236" s="1" t="s">
        <v>74</v>
      </c>
      <c r="AK236" s="1" t="s">
        <v>74</v>
      </c>
      <c r="AL236" s="1" t="s">
        <v>74</v>
      </c>
      <c r="AM236" s="1" t="s">
        <v>74</v>
      </c>
      <c r="AN236" s="1" t="s">
        <v>74</v>
      </c>
      <c r="AO236" s="1" t="s">
        <v>2569</v>
      </c>
      <c r="AP236" s="1" t="s">
        <v>74</v>
      </c>
      <c r="AQ236" s="1" t="s">
        <v>74</v>
      </c>
      <c r="AR236" s="1" t="s">
        <v>74</v>
      </c>
      <c r="AS236" s="1" t="s">
        <v>74</v>
      </c>
      <c r="AT236" s="1" t="s">
        <v>74</v>
      </c>
      <c r="AU236" s="1">
        <v>1997.0</v>
      </c>
      <c r="AV236" s="1">
        <v>140.0</v>
      </c>
      <c r="AW236" s="1">
        <v>3.0</v>
      </c>
      <c r="AX236" s="1" t="s">
        <v>74</v>
      </c>
      <c r="AY236" s="1" t="s">
        <v>74</v>
      </c>
      <c r="AZ236" s="1" t="s">
        <v>74</v>
      </c>
      <c r="BA236" s="1" t="s">
        <v>74</v>
      </c>
      <c r="BB236" s="1">
        <v>253.0</v>
      </c>
      <c r="BC236" s="1">
        <v>284.0</v>
      </c>
      <c r="BD236" s="1" t="s">
        <v>74</v>
      </c>
      <c r="BE236" s="1" t="s">
        <v>2570</v>
      </c>
      <c r="BF236" s="2" t="str">
        <f>HYPERLINK("http://dx.doi.org/10.1007/s002050050066","http://dx.doi.org/10.1007/s002050050066")</f>
        <v>http://dx.doi.org/10.1007/s002050050066</v>
      </c>
      <c r="BG236" s="1" t="s">
        <v>74</v>
      </c>
      <c r="BH236" s="1" t="s">
        <v>74</v>
      </c>
      <c r="BI236" s="1" t="s">
        <v>74</v>
      </c>
      <c r="BJ236" s="1" t="s">
        <v>74</v>
      </c>
      <c r="BK236" s="1" t="s">
        <v>74</v>
      </c>
      <c r="BL236" s="1" t="s">
        <v>74</v>
      </c>
      <c r="BM236" s="1" t="s">
        <v>74</v>
      </c>
      <c r="BN236" s="1" t="s">
        <v>74</v>
      </c>
      <c r="BO236" s="1" t="s">
        <v>74</v>
      </c>
      <c r="BP236" s="1" t="s">
        <v>74</v>
      </c>
      <c r="BQ236" s="1" t="s">
        <v>74</v>
      </c>
      <c r="BR236" s="1" t="s">
        <v>74</v>
      </c>
      <c r="BS236" s="1" t="s">
        <v>2571</v>
      </c>
      <c r="BT236" s="1" t="str">
        <f>HYPERLINK("https%3A%2F%2Fwww.webofscience.com%2Fwos%2Fwoscc%2Ffull-record%2FWOS:000071150100003","View Full Record in Web of Science")</f>
        <v>View Full Record in Web of Science</v>
      </c>
    </row>
    <row r="237" ht="12.75" customHeight="1">
      <c r="A237" s="1" t="s">
        <v>72</v>
      </c>
      <c r="B237" s="1" t="s">
        <v>2572</v>
      </c>
      <c r="C237" s="1" t="s">
        <v>74</v>
      </c>
      <c r="D237" s="1" t="s">
        <v>74</v>
      </c>
      <c r="E237" s="1" t="s">
        <v>74</v>
      </c>
      <c r="F237" s="1" t="s">
        <v>2573</v>
      </c>
      <c r="G237" s="1" t="s">
        <v>74</v>
      </c>
      <c r="H237" s="1" t="s">
        <v>74</v>
      </c>
      <c r="I237" s="1" t="s">
        <v>2574</v>
      </c>
      <c r="J237" s="1" t="s">
        <v>2575</v>
      </c>
      <c r="K237" s="1" t="s">
        <v>74</v>
      </c>
      <c r="L237" s="1" t="s">
        <v>74</v>
      </c>
      <c r="M237" s="1" t="s">
        <v>74</v>
      </c>
      <c r="N237" s="1" t="s">
        <v>74</v>
      </c>
      <c r="O237" s="1" t="s">
        <v>74</v>
      </c>
      <c r="P237" s="1" t="s">
        <v>74</v>
      </c>
      <c r="Q237" s="1" t="s">
        <v>74</v>
      </c>
      <c r="R237" s="1" t="s">
        <v>74</v>
      </c>
      <c r="S237" s="1" t="s">
        <v>74</v>
      </c>
      <c r="T237" s="1" t="s">
        <v>74</v>
      </c>
      <c r="U237" s="1" t="s">
        <v>74</v>
      </c>
      <c r="V237" s="1" t="s">
        <v>2576</v>
      </c>
      <c r="W237" s="1" t="s">
        <v>74</v>
      </c>
      <c r="X237" s="1" t="s">
        <v>74</v>
      </c>
      <c r="Y237" s="1" t="s">
        <v>74</v>
      </c>
      <c r="Z237" s="1" t="s">
        <v>74</v>
      </c>
      <c r="AA237" s="1" t="s">
        <v>2577</v>
      </c>
      <c r="AB237" s="1" t="s">
        <v>2578</v>
      </c>
      <c r="AC237" s="1" t="s">
        <v>74</v>
      </c>
      <c r="AD237" s="1" t="s">
        <v>74</v>
      </c>
      <c r="AE237" s="1" t="s">
        <v>74</v>
      </c>
      <c r="AF237" s="1" t="s">
        <v>74</v>
      </c>
      <c r="AG237" s="1" t="s">
        <v>74</v>
      </c>
      <c r="AH237" s="1" t="s">
        <v>74</v>
      </c>
      <c r="AI237" s="1" t="s">
        <v>74</v>
      </c>
      <c r="AJ237" s="1" t="s">
        <v>74</v>
      </c>
      <c r="AK237" s="1" t="s">
        <v>74</v>
      </c>
      <c r="AL237" s="1" t="s">
        <v>74</v>
      </c>
      <c r="AM237" s="1" t="s">
        <v>74</v>
      </c>
      <c r="AN237" s="1" t="s">
        <v>74</v>
      </c>
      <c r="AO237" s="1" t="s">
        <v>2579</v>
      </c>
      <c r="AP237" s="1" t="s">
        <v>2580</v>
      </c>
      <c r="AQ237" s="1" t="s">
        <v>74</v>
      </c>
      <c r="AR237" s="1" t="s">
        <v>74</v>
      </c>
      <c r="AS237" s="1" t="s">
        <v>74</v>
      </c>
      <c r="AT237" s="1" t="s">
        <v>2581</v>
      </c>
      <c r="AU237" s="1">
        <v>2025.0</v>
      </c>
      <c r="AV237" s="1">
        <v>64.0</v>
      </c>
      <c r="AW237" s="1">
        <v>7.0</v>
      </c>
      <c r="AX237" s="1" t="s">
        <v>74</v>
      </c>
      <c r="AY237" s="1" t="s">
        <v>74</v>
      </c>
      <c r="AZ237" s="1" t="s">
        <v>74</v>
      </c>
      <c r="BA237" s="1" t="s">
        <v>74</v>
      </c>
      <c r="BB237" s="1">
        <v>3495.0</v>
      </c>
      <c r="BC237" s="1">
        <v>3505.0</v>
      </c>
      <c r="BD237" s="1" t="s">
        <v>74</v>
      </c>
      <c r="BE237" s="1" t="s">
        <v>2582</v>
      </c>
      <c r="BF237" s="2" t="str">
        <f>HYPERLINK("http://dx.doi.org/10.1021/acs.inorgchem.4c05103","http://dx.doi.org/10.1021/acs.inorgchem.4c05103")</f>
        <v>http://dx.doi.org/10.1021/acs.inorgchem.4c05103</v>
      </c>
      <c r="BG237" s="1" t="s">
        <v>74</v>
      </c>
      <c r="BH237" s="1" t="s">
        <v>2583</v>
      </c>
      <c r="BI237" s="1" t="s">
        <v>74</v>
      </c>
      <c r="BJ237" s="1" t="s">
        <v>74</v>
      </c>
      <c r="BK237" s="1" t="s">
        <v>74</v>
      </c>
      <c r="BL237" s="1" t="s">
        <v>74</v>
      </c>
      <c r="BM237" s="1" t="s">
        <v>74</v>
      </c>
      <c r="BN237" s="1">
        <v>3.9943812E7</v>
      </c>
      <c r="BO237" s="1" t="s">
        <v>74</v>
      </c>
      <c r="BP237" s="1" t="s">
        <v>74</v>
      </c>
      <c r="BQ237" s="1" t="s">
        <v>74</v>
      </c>
      <c r="BR237" s="1" t="s">
        <v>74</v>
      </c>
      <c r="BS237" s="1" t="s">
        <v>2584</v>
      </c>
      <c r="BT237" s="1" t="str">
        <f>HYPERLINK("https%3A%2F%2Fwww.webofscience.com%2Fwos%2Fwoscc%2Ffull-record%2FWOS:001421779200001","View Full Record in Web of Science")</f>
        <v>View Full Record in Web of Science</v>
      </c>
    </row>
    <row r="238" ht="12.75" customHeight="1">
      <c r="A238" s="1" t="s">
        <v>72</v>
      </c>
      <c r="B238" s="1" t="s">
        <v>2585</v>
      </c>
      <c r="C238" s="1" t="s">
        <v>74</v>
      </c>
      <c r="D238" s="1" t="s">
        <v>74</v>
      </c>
      <c r="E238" s="1" t="s">
        <v>74</v>
      </c>
      <c r="F238" s="1" t="s">
        <v>2586</v>
      </c>
      <c r="G238" s="1" t="s">
        <v>74</v>
      </c>
      <c r="H238" s="1" t="s">
        <v>74</v>
      </c>
      <c r="I238" s="1" t="s">
        <v>2587</v>
      </c>
      <c r="J238" s="1" t="s">
        <v>2143</v>
      </c>
      <c r="K238" s="1" t="s">
        <v>74</v>
      </c>
      <c r="L238" s="1" t="s">
        <v>74</v>
      </c>
      <c r="M238" s="1" t="s">
        <v>74</v>
      </c>
      <c r="N238" s="1" t="s">
        <v>74</v>
      </c>
      <c r="O238" s="1" t="s">
        <v>74</v>
      </c>
      <c r="P238" s="1" t="s">
        <v>74</v>
      </c>
      <c r="Q238" s="1" t="s">
        <v>74</v>
      </c>
      <c r="R238" s="1" t="s">
        <v>74</v>
      </c>
      <c r="S238" s="1" t="s">
        <v>74</v>
      </c>
      <c r="T238" s="1" t="s">
        <v>74</v>
      </c>
      <c r="U238" s="1" t="s">
        <v>74</v>
      </c>
      <c r="V238" s="1" t="s">
        <v>2588</v>
      </c>
      <c r="W238" s="1" t="s">
        <v>74</v>
      </c>
      <c r="X238" s="1" t="s">
        <v>74</v>
      </c>
      <c r="Y238" s="1" t="s">
        <v>74</v>
      </c>
      <c r="Z238" s="1" t="s">
        <v>74</v>
      </c>
      <c r="AA238" s="1" t="s">
        <v>2589</v>
      </c>
      <c r="AB238" s="1" t="s">
        <v>2590</v>
      </c>
      <c r="AC238" s="1" t="s">
        <v>74</v>
      </c>
      <c r="AD238" s="1" t="s">
        <v>74</v>
      </c>
      <c r="AE238" s="1" t="s">
        <v>74</v>
      </c>
      <c r="AF238" s="1" t="s">
        <v>74</v>
      </c>
      <c r="AG238" s="1" t="s">
        <v>74</v>
      </c>
      <c r="AH238" s="1" t="s">
        <v>74</v>
      </c>
      <c r="AI238" s="1" t="s">
        <v>74</v>
      </c>
      <c r="AJ238" s="1" t="s">
        <v>74</v>
      </c>
      <c r="AK238" s="1" t="s">
        <v>74</v>
      </c>
      <c r="AL238" s="1" t="s">
        <v>74</v>
      </c>
      <c r="AM238" s="1" t="s">
        <v>74</v>
      </c>
      <c r="AN238" s="1" t="s">
        <v>74</v>
      </c>
      <c r="AO238" s="1" t="s">
        <v>74</v>
      </c>
      <c r="AP238" s="1" t="s">
        <v>2147</v>
      </c>
      <c r="AQ238" s="1" t="s">
        <v>74</v>
      </c>
      <c r="AR238" s="1" t="s">
        <v>74</v>
      </c>
      <c r="AS238" s="1" t="s">
        <v>74</v>
      </c>
      <c r="AT238" s="1" t="s">
        <v>559</v>
      </c>
      <c r="AU238" s="1">
        <v>2024.0</v>
      </c>
      <c r="AV238" s="1">
        <v>8.0</v>
      </c>
      <c r="AW238" s="1">
        <v>12.0</v>
      </c>
      <c r="AX238" s="1" t="s">
        <v>74</v>
      </c>
      <c r="AY238" s="1" t="s">
        <v>74</v>
      </c>
      <c r="AZ238" s="1" t="s">
        <v>74</v>
      </c>
      <c r="BA238" s="1" t="s">
        <v>74</v>
      </c>
      <c r="BB238" s="1" t="s">
        <v>74</v>
      </c>
      <c r="BC238" s="1" t="s">
        <v>74</v>
      </c>
      <c r="BD238" s="1">
        <v>706.0</v>
      </c>
      <c r="BE238" s="1" t="s">
        <v>2591</v>
      </c>
      <c r="BF238" s="2" t="str">
        <f>HYPERLINK("http://dx.doi.org/10.3390/fractalfract8120706","http://dx.doi.org/10.3390/fractalfract8120706")</f>
        <v>http://dx.doi.org/10.3390/fractalfract8120706</v>
      </c>
      <c r="BG238" s="1" t="s">
        <v>74</v>
      </c>
      <c r="BH238" s="1" t="s">
        <v>74</v>
      </c>
      <c r="BI238" s="1" t="s">
        <v>74</v>
      </c>
      <c r="BJ238" s="1" t="s">
        <v>74</v>
      </c>
      <c r="BK238" s="1" t="s">
        <v>74</v>
      </c>
      <c r="BL238" s="1" t="s">
        <v>74</v>
      </c>
      <c r="BM238" s="1" t="s">
        <v>74</v>
      </c>
      <c r="BN238" s="1" t="s">
        <v>74</v>
      </c>
      <c r="BO238" s="1" t="s">
        <v>74</v>
      </c>
      <c r="BP238" s="1" t="s">
        <v>74</v>
      </c>
      <c r="BQ238" s="1" t="s">
        <v>74</v>
      </c>
      <c r="BR238" s="1" t="s">
        <v>74</v>
      </c>
      <c r="BS238" s="1" t="s">
        <v>2592</v>
      </c>
      <c r="BT238" s="1" t="str">
        <f>HYPERLINK("https%3A%2F%2Fwww.webofscience.com%2Fwos%2Fwoscc%2Ffull-record%2FWOS:001384365700001","View Full Record in Web of Science")</f>
        <v>View Full Record in Web of Science</v>
      </c>
    </row>
    <row r="239" ht="12.75" customHeight="1">
      <c r="A239" s="1" t="s">
        <v>72</v>
      </c>
      <c r="B239" s="1" t="s">
        <v>2593</v>
      </c>
      <c r="C239" s="1" t="s">
        <v>74</v>
      </c>
      <c r="D239" s="1" t="s">
        <v>74</v>
      </c>
      <c r="E239" s="1" t="s">
        <v>74</v>
      </c>
      <c r="F239" s="1" t="s">
        <v>2594</v>
      </c>
      <c r="G239" s="1" t="s">
        <v>74</v>
      </c>
      <c r="H239" s="1" t="s">
        <v>74</v>
      </c>
      <c r="I239" s="1" t="s">
        <v>2595</v>
      </c>
      <c r="J239" s="1" t="s">
        <v>2596</v>
      </c>
      <c r="K239" s="1" t="s">
        <v>74</v>
      </c>
      <c r="L239" s="1" t="s">
        <v>74</v>
      </c>
      <c r="M239" s="1" t="s">
        <v>74</v>
      </c>
      <c r="N239" s="1" t="s">
        <v>74</v>
      </c>
      <c r="O239" s="1" t="s">
        <v>74</v>
      </c>
      <c r="P239" s="1" t="s">
        <v>74</v>
      </c>
      <c r="Q239" s="1" t="s">
        <v>74</v>
      </c>
      <c r="R239" s="1" t="s">
        <v>74</v>
      </c>
      <c r="S239" s="1" t="s">
        <v>74</v>
      </c>
      <c r="T239" s="1" t="s">
        <v>74</v>
      </c>
      <c r="U239" s="1" t="s">
        <v>74</v>
      </c>
      <c r="V239" s="1" t="s">
        <v>2597</v>
      </c>
      <c r="W239" s="1" t="s">
        <v>74</v>
      </c>
      <c r="X239" s="1" t="s">
        <v>74</v>
      </c>
      <c r="Y239" s="1" t="s">
        <v>74</v>
      </c>
      <c r="Z239" s="1" t="s">
        <v>74</v>
      </c>
      <c r="AA239" s="1" t="s">
        <v>2598</v>
      </c>
      <c r="AB239" s="1" t="s">
        <v>74</v>
      </c>
      <c r="AC239" s="1" t="s">
        <v>74</v>
      </c>
      <c r="AD239" s="1" t="s">
        <v>74</v>
      </c>
      <c r="AE239" s="1" t="s">
        <v>74</v>
      </c>
      <c r="AF239" s="1" t="s">
        <v>74</v>
      </c>
      <c r="AG239" s="1" t="s">
        <v>74</v>
      </c>
      <c r="AH239" s="1" t="s">
        <v>74</v>
      </c>
      <c r="AI239" s="1" t="s">
        <v>74</v>
      </c>
      <c r="AJ239" s="1" t="s">
        <v>74</v>
      </c>
      <c r="AK239" s="1" t="s">
        <v>74</v>
      </c>
      <c r="AL239" s="1" t="s">
        <v>74</v>
      </c>
      <c r="AM239" s="1" t="s">
        <v>74</v>
      </c>
      <c r="AN239" s="1" t="s">
        <v>74</v>
      </c>
      <c r="AO239" s="1" t="s">
        <v>2599</v>
      </c>
      <c r="AP239" s="1" t="s">
        <v>2600</v>
      </c>
      <c r="AQ239" s="1" t="s">
        <v>74</v>
      </c>
      <c r="AR239" s="1" t="s">
        <v>74</v>
      </c>
      <c r="AS239" s="1" t="s">
        <v>74</v>
      </c>
      <c r="AT239" s="1" t="s">
        <v>2601</v>
      </c>
      <c r="AU239" s="1">
        <v>2024.0</v>
      </c>
      <c r="AV239" s="1">
        <v>72.0</v>
      </c>
      <c r="AW239" s="1">
        <v>2.0</v>
      </c>
      <c r="AX239" s="1" t="s">
        <v>74</v>
      </c>
      <c r="AY239" s="1" t="s">
        <v>74</v>
      </c>
      <c r="AZ239" s="1" t="s">
        <v>74</v>
      </c>
      <c r="BA239" s="1" t="s">
        <v>74</v>
      </c>
      <c r="BB239" s="1">
        <v>1178.0</v>
      </c>
      <c r="BC239" s="1">
        <v>1189.0</v>
      </c>
      <c r="BD239" s="1" t="s">
        <v>74</v>
      </c>
      <c r="BE239" s="1" t="s">
        <v>2602</v>
      </c>
      <c r="BF239" s="2" t="str">
        <f>HYPERLINK("http://dx.doi.org/10.1021/acs.jafc.3c07604","http://dx.doi.org/10.1021/acs.jafc.3c07604")</f>
        <v>http://dx.doi.org/10.1021/acs.jafc.3c07604</v>
      </c>
      <c r="BG239" s="1" t="s">
        <v>74</v>
      </c>
      <c r="BH239" s="1" t="s">
        <v>74</v>
      </c>
      <c r="BI239" s="1" t="s">
        <v>74</v>
      </c>
      <c r="BJ239" s="1" t="s">
        <v>74</v>
      </c>
      <c r="BK239" s="1" t="s">
        <v>74</v>
      </c>
      <c r="BL239" s="1" t="s">
        <v>74</v>
      </c>
      <c r="BM239" s="1" t="s">
        <v>74</v>
      </c>
      <c r="BN239" s="1">
        <v>3.8183288E7</v>
      </c>
      <c r="BO239" s="1" t="s">
        <v>74</v>
      </c>
      <c r="BP239" s="1" t="s">
        <v>74</v>
      </c>
      <c r="BQ239" s="1" t="s">
        <v>74</v>
      </c>
      <c r="BR239" s="1" t="s">
        <v>74</v>
      </c>
      <c r="BS239" s="1" t="s">
        <v>2603</v>
      </c>
      <c r="BT239" s="1" t="str">
        <f>HYPERLINK("https%3A%2F%2Fwww.webofscience.com%2Fwos%2Fwoscc%2Ffull-record%2FWOS:001144562000001","View Full Record in Web of Science")</f>
        <v>View Full Record in Web of Science</v>
      </c>
    </row>
    <row r="240" ht="12.75" customHeight="1">
      <c r="A240" s="1" t="s">
        <v>72</v>
      </c>
      <c r="B240" s="1" t="s">
        <v>2604</v>
      </c>
      <c r="C240" s="1" t="s">
        <v>74</v>
      </c>
      <c r="D240" s="1" t="s">
        <v>74</v>
      </c>
      <c r="E240" s="1" t="s">
        <v>74</v>
      </c>
      <c r="F240" s="1" t="s">
        <v>2605</v>
      </c>
      <c r="G240" s="1" t="s">
        <v>74</v>
      </c>
      <c r="H240" s="1" t="s">
        <v>74</v>
      </c>
      <c r="I240" s="1" t="s">
        <v>2606</v>
      </c>
      <c r="J240" s="1" t="s">
        <v>2607</v>
      </c>
      <c r="K240" s="1" t="s">
        <v>74</v>
      </c>
      <c r="L240" s="1" t="s">
        <v>74</v>
      </c>
      <c r="M240" s="1" t="s">
        <v>74</v>
      </c>
      <c r="N240" s="1" t="s">
        <v>74</v>
      </c>
      <c r="O240" s="1" t="s">
        <v>74</v>
      </c>
      <c r="P240" s="1" t="s">
        <v>74</v>
      </c>
      <c r="Q240" s="1" t="s">
        <v>74</v>
      </c>
      <c r="R240" s="1" t="s">
        <v>74</v>
      </c>
      <c r="S240" s="1" t="s">
        <v>74</v>
      </c>
      <c r="T240" s="1" t="s">
        <v>74</v>
      </c>
      <c r="U240" s="1" t="s">
        <v>74</v>
      </c>
      <c r="V240" s="1" t="s">
        <v>2608</v>
      </c>
      <c r="W240" s="1" t="s">
        <v>74</v>
      </c>
      <c r="X240" s="1" t="s">
        <v>74</v>
      </c>
      <c r="Y240" s="1" t="s">
        <v>74</v>
      </c>
      <c r="Z240" s="1" t="s">
        <v>74</v>
      </c>
      <c r="AA240" s="1" t="s">
        <v>2609</v>
      </c>
      <c r="AB240" s="1" t="s">
        <v>2610</v>
      </c>
      <c r="AC240" s="1" t="s">
        <v>74</v>
      </c>
      <c r="AD240" s="1" t="s">
        <v>74</v>
      </c>
      <c r="AE240" s="1" t="s">
        <v>74</v>
      </c>
      <c r="AF240" s="1" t="s">
        <v>74</v>
      </c>
      <c r="AG240" s="1" t="s">
        <v>74</v>
      </c>
      <c r="AH240" s="1" t="s">
        <v>74</v>
      </c>
      <c r="AI240" s="1" t="s">
        <v>74</v>
      </c>
      <c r="AJ240" s="1" t="s">
        <v>74</v>
      </c>
      <c r="AK240" s="1" t="s">
        <v>74</v>
      </c>
      <c r="AL240" s="1" t="s">
        <v>74</v>
      </c>
      <c r="AM240" s="1" t="s">
        <v>74</v>
      </c>
      <c r="AN240" s="1" t="s">
        <v>74</v>
      </c>
      <c r="AO240" s="1" t="s">
        <v>74</v>
      </c>
      <c r="AP240" s="1" t="s">
        <v>2611</v>
      </c>
      <c r="AQ240" s="1" t="s">
        <v>74</v>
      </c>
      <c r="AR240" s="1" t="s">
        <v>74</v>
      </c>
      <c r="AS240" s="1" t="s">
        <v>74</v>
      </c>
      <c r="AT240" s="1" t="s">
        <v>96</v>
      </c>
      <c r="AU240" s="1">
        <v>2023.0</v>
      </c>
      <c r="AV240" s="1">
        <v>13.0</v>
      </c>
      <c r="AW240" s="1">
        <v>3.0</v>
      </c>
      <c r="AX240" s="1" t="s">
        <v>74</v>
      </c>
      <c r="AY240" s="1" t="s">
        <v>74</v>
      </c>
      <c r="AZ240" s="1" t="s">
        <v>74</v>
      </c>
      <c r="BA240" s="1" t="s">
        <v>74</v>
      </c>
      <c r="BB240" s="1" t="s">
        <v>74</v>
      </c>
      <c r="BC240" s="1" t="s">
        <v>74</v>
      </c>
      <c r="BD240" s="1">
        <v>264.0</v>
      </c>
      <c r="BE240" s="1" t="s">
        <v>2612</v>
      </c>
      <c r="BF240" s="2" t="str">
        <f>HYPERLINK("http://dx.doi.org/10.3390/membranes13030264","http://dx.doi.org/10.3390/membranes13030264")</f>
        <v>http://dx.doi.org/10.3390/membranes13030264</v>
      </c>
      <c r="BG240" s="1" t="s">
        <v>74</v>
      </c>
      <c r="BH240" s="1" t="s">
        <v>74</v>
      </c>
      <c r="BI240" s="1" t="s">
        <v>74</v>
      </c>
      <c r="BJ240" s="1" t="s">
        <v>74</v>
      </c>
      <c r="BK240" s="1" t="s">
        <v>74</v>
      </c>
      <c r="BL240" s="1" t="s">
        <v>74</v>
      </c>
      <c r="BM240" s="1" t="s">
        <v>74</v>
      </c>
      <c r="BN240" s="1">
        <v>3.698465E7</v>
      </c>
      <c r="BO240" s="1" t="s">
        <v>74</v>
      </c>
      <c r="BP240" s="1" t="s">
        <v>74</v>
      </c>
      <c r="BQ240" s="1" t="s">
        <v>74</v>
      </c>
      <c r="BR240" s="1" t="s">
        <v>74</v>
      </c>
      <c r="BS240" s="1" t="s">
        <v>2613</v>
      </c>
      <c r="BT240" s="1" t="str">
        <f>HYPERLINK("https%3A%2F%2Fwww.webofscience.com%2Fwos%2Fwoscc%2Ffull-record%2FWOS:000960102600001","View Full Record in Web of Science")</f>
        <v>View Full Record in Web of Science</v>
      </c>
    </row>
    <row r="241" ht="12.75" customHeight="1">
      <c r="A241" s="1" t="s">
        <v>72</v>
      </c>
      <c r="B241" s="1" t="s">
        <v>2614</v>
      </c>
      <c r="C241" s="1" t="s">
        <v>74</v>
      </c>
      <c r="D241" s="1" t="s">
        <v>74</v>
      </c>
      <c r="E241" s="1" t="s">
        <v>74</v>
      </c>
      <c r="F241" s="1" t="s">
        <v>2615</v>
      </c>
      <c r="G241" s="1" t="s">
        <v>74</v>
      </c>
      <c r="H241" s="1" t="s">
        <v>74</v>
      </c>
      <c r="I241" s="1" t="s">
        <v>2616</v>
      </c>
      <c r="J241" s="1" t="s">
        <v>2617</v>
      </c>
      <c r="K241" s="1" t="s">
        <v>74</v>
      </c>
      <c r="L241" s="1" t="s">
        <v>74</v>
      </c>
      <c r="M241" s="1" t="s">
        <v>74</v>
      </c>
      <c r="N241" s="1" t="s">
        <v>74</v>
      </c>
      <c r="O241" s="1" t="s">
        <v>74</v>
      </c>
      <c r="P241" s="1" t="s">
        <v>74</v>
      </c>
      <c r="Q241" s="1" t="s">
        <v>74</v>
      </c>
      <c r="R241" s="1" t="s">
        <v>74</v>
      </c>
      <c r="S241" s="1" t="s">
        <v>74</v>
      </c>
      <c r="T241" s="1" t="s">
        <v>74</v>
      </c>
      <c r="U241" s="1" t="s">
        <v>74</v>
      </c>
      <c r="V241" s="1" t="s">
        <v>2618</v>
      </c>
      <c r="W241" s="1" t="s">
        <v>74</v>
      </c>
      <c r="X241" s="1" t="s">
        <v>74</v>
      </c>
      <c r="Y241" s="1" t="s">
        <v>74</v>
      </c>
      <c r="Z241" s="1" t="s">
        <v>74</v>
      </c>
      <c r="AA241" s="1" t="s">
        <v>2619</v>
      </c>
      <c r="AB241" s="1" t="s">
        <v>2620</v>
      </c>
      <c r="AC241" s="1" t="s">
        <v>74</v>
      </c>
      <c r="AD241" s="1" t="s">
        <v>74</v>
      </c>
      <c r="AE241" s="1" t="s">
        <v>74</v>
      </c>
      <c r="AF241" s="1" t="s">
        <v>74</v>
      </c>
      <c r="AG241" s="1" t="s">
        <v>74</v>
      </c>
      <c r="AH241" s="1" t="s">
        <v>74</v>
      </c>
      <c r="AI241" s="1" t="s">
        <v>74</v>
      </c>
      <c r="AJ241" s="1" t="s">
        <v>74</v>
      </c>
      <c r="AK241" s="1" t="s">
        <v>74</v>
      </c>
      <c r="AL241" s="1" t="s">
        <v>74</v>
      </c>
      <c r="AM241" s="1" t="s">
        <v>74</v>
      </c>
      <c r="AN241" s="1" t="s">
        <v>74</v>
      </c>
      <c r="AO241" s="1" t="s">
        <v>74</v>
      </c>
      <c r="AP241" s="1" t="s">
        <v>2621</v>
      </c>
      <c r="AQ241" s="1" t="s">
        <v>74</v>
      </c>
      <c r="AR241" s="1" t="s">
        <v>74</v>
      </c>
      <c r="AS241" s="1" t="s">
        <v>74</v>
      </c>
      <c r="AT241" s="1" t="s">
        <v>2622</v>
      </c>
      <c r="AU241" s="1">
        <v>2022.0</v>
      </c>
      <c r="AV241" s="1">
        <v>4.0</v>
      </c>
      <c r="AW241" s="1">
        <v>4.0</v>
      </c>
      <c r="AX241" s="1" t="s">
        <v>74</v>
      </c>
      <c r="AY241" s="1" t="s">
        <v>74</v>
      </c>
      <c r="AZ241" s="1" t="s">
        <v>74</v>
      </c>
      <c r="BA241" s="1" t="s">
        <v>74</v>
      </c>
      <c r="BB241" s="1" t="s">
        <v>74</v>
      </c>
      <c r="BC241" s="1" t="s">
        <v>74</v>
      </c>
      <c r="BD241" s="1">
        <v>43204.0</v>
      </c>
      <c r="BE241" s="1" t="s">
        <v>2623</v>
      </c>
      <c r="BF241" s="2" t="str">
        <f>HYPERLINK("http://dx.doi.org/10.1103/PhysRevResearch.4.043204","http://dx.doi.org/10.1103/PhysRevResearch.4.043204")</f>
        <v>http://dx.doi.org/10.1103/PhysRevResearch.4.043204</v>
      </c>
      <c r="BG241" s="1" t="s">
        <v>74</v>
      </c>
      <c r="BH241" s="1" t="s">
        <v>74</v>
      </c>
      <c r="BI241" s="1" t="s">
        <v>74</v>
      </c>
      <c r="BJ241" s="1" t="s">
        <v>74</v>
      </c>
      <c r="BK241" s="1" t="s">
        <v>74</v>
      </c>
      <c r="BL241" s="1" t="s">
        <v>74</v>
      </c>
      <c r="BM241" s="1" t="s">
        <v>74</v>
      </c>
      <c r="BN241" s="1" t="s">
        <v>74</v>
      </c>
      <c r="BO241" s="1" t="s">
        <v>74</v>
      </c>
      <c r="BP241" s="1" t="s">
        <v>74</v>
      </c>
      <c r="BQ241" s="1" t="s">
        <v>74</v>
      </c>
      <c r="BR241" s="1" t="s">
        <v>74</v>
      </c>
      <c r="BS241" s="1" t="s">
        <v>2624</v>
      </c>
      <c r="BT241" s="1" t="str">
        <f>HYPERLINK("https%3A%2F%2Fwww.webofscience.com%2Fwos%2Fwoscc%2Ffull-record%2FWOS:000905081700001","View Full Record in Web of Science")</f>
        <v>View Full Record in Web of Science</v>
      </c>
    </row>
    <row r="242" ht="12.75" customHeight="1">
      <c r="A242" s="1" t="s">
        <v>72</v>
      </c>
      <c r="B242" s="1" t="s">
        <v>2625</v>
      </c>
      <c r="C242" s="1" t="s">
        <v>74</v>
      </c>
      <c r="D242" s="1" t="s">
        <v>74</v>
      </c>
      <c r="E242" s="1" t="s">
        <v>74</v>
      </c>
      <c r="F242" s="1" t="s">
        <v>2626</v>
      </c>
      <c r="G242" s="1" t="s">
        <v>74</v>
      </c>
      <c r="H242" s="1" t="s">
        <v>74</v>
      </c>
      <c r="I242" s="1" t="s">
        <v>2627</v>
      </c>
      <c r="J242" s="1" t="s">
        <v>630</v>
      </c>
      <c r="K242" s="1" t="s">
        <v>74</v>
      </c>
      <c r="L242" s="1" t="s">
        <v>74</v>
      </c>
      <c r="M242" s="1" t="s">
        <v>74</v>
      </c>
      <c r="N242" s="1" t="s">
        <v>74</v>
      </c>
      <c r="O242" s="1" t="s">
        <v>74</v>
      </c>
      <c r="P242" s="1" t="s">
        <v>74</v>
      </c>
      <c r="Q242" s="1" t="s">
        <v>74</v>
      </c>
      <c r="R242" s="1" t="s">
        <v>74</v>
      </c>
      <c r="S242" s="1" t="s">
        <v>74</v>
      </c>
      <c r="T242" s="1" t="s">
        <v>74</v>
      </c>
      <c r="U242" s="1" t="s">
        <v>74</v>
      </c>
      <c r="V242" s="1" t="s">
        <v>2628</v>
      </c>
      <c r="W242" s="1" t="s">
        <v>74</v>
      </c>
      <c r="X242" s="1" t="s">
        <v>74</v>
      </c>
      <c r="Y242" s="1" t="s">
        <v>74</v>
      </c>
      <c r="Z242" s="1" t="s">
        <v>74</v>
      </c>
      <c r="AA242" s="1" t="s">
        <v>2629</v>
      </c>
      <c r="AB242" s="1" t="s">
        <v>2630</v>
      </c>
      <c r="AC242" s="1" t="s">
        <v>74</v>
      </c>
      <c r="AD242" s="1" t="s">
        <v>74</v>
      </c>
      <c r="AE242" s="1" t="s">
        <v>74</v>
      </c>
      <c r="AF242" s="1" t="s">
        <v>74</v>
      </c>
      <c r="AG242" s="1" t="s">
        <v>74</v>
      </c>
      <c r="AH242" s="1" t="s">
        <v>74</v>
      </c>
      <c r="AI242" s="1" t="s">
        <v>74</v>
      </c>
      <c r="AJ242" s="1" t="s">
        <v>74</v>
      </c>
      <c r="AK242" s="1" t="s">
        <v>74</v>
      </c>
      <c r="AL242" s="1" t="s">
        <v>74</v>
      </c>
      <c r="AM242" s="1" t="s">
        <v>74</v>
      </c>
      <c r="AN242" s="1" t="s">
        <v>74</v>
      </c>
      <c r="AO242" s="1" t="s">
        <v>74</v>
      </c>
      <c r="AP242" s="1" t="s">
        <v>634</v>
      </c>
      <c r="AQ242" s="1" t="s">
        <v>74</v>
      </c>
      <c r="AR242" s="1" t="s">
        <v>74</v>
      </c>
      <c r="AS242" s="1" t="s">
        <v>74</v>
      </c>
      <c r="AT242" s="1" t="s">
        <v>559</v>
      </c>
      <c r="AU242" s="1">
        <v>2022.0</v>
      </c>
      <c r="AV242" s="1">
        <v>15.0</v>
      </c>
      <c r="AW242" s="1">
        <v>24.0</v>
      </c>
      <c r="AX242" s="1" t="s">
        <v>74</v>
      </c>
      <c r="AY242" s="1" t="s">
        <v>74</v>
      </c>
      <c r="AZ242" s="1" t="s">
        <v>74</v>
      </c>
      <c r="BA242" s="1" t="s">
        <v>74</v>
      </c>
      <c r="BB242" s="1" t="s">
        <v>74</v>
      </c>
      <c r="BC242" s="1" t="s">
        <v>74</v>
      </c>
      <c r="BD242" s="1">
        <v>9044.0</v>
      </c>
      <c r="BE242" s="1" t="s">
        <v>2631</v>
      </c>
      <c r="BF242" s="2" t="str">
        <f>HYPERLINK("http://dx.doi.org/10.3390/ma15249044","http://dx.doi.org/10.3390/ma15249044")</f>
        <v>http://dx.doi.org/10.3390/ma15249044</v>
      </c>
      <c r="BG242" s="1" t="s">
        <v>74</v>
      </c>
      <c r="BH242" s="1" t="s">
        <v>74</v>
      </c>
      <c r="BI242" s="1" t="s">
        <v>74</v>
      </c>
      <c r="BJ242" s="1" t="s">
        <v>74</v>
      </c>
      <c r="BK242" s="1" t="s">
        <v>74</v>
      </c>
      <c r="BL242" s="1" t="s">
        <v>74</v>
      </c>
      <c r="BM242" s="1" t="s">
        <v>74</v>
      </c>
      <c r="BN242" s="1">
        <v>3.6556849E7</v>
      </c>
      <c r="BO242" s="1" t="s">
        <v>74</v>
      </c>
      <c r="BP242" s="1" t="s">
        <v>74</v>
      </c>
      <c r="BQ242" s="1" t="s">
        <v>74</v>
      </c>
      <c r="BR242" s="1" t="s">
        <v>74</v>
      </c>
      <c r="BS242" s="1" t="s">
        <v>2632</v>
      </c>
      <c r="BT242" s="1" t="str">
        <f>HYPERLINK("https%3A%2F%2Fwww.webofscience.com%2Fwos%2Fwoscc%2Ffull-record%2FWOS:000904465600001","View Full Record in Web of Science")</f>
        <v>View Full Record in Web of Science</v>
      </c>
    </row>
    <row r="243" ht="12.75" customHeight="1">
      <c r="A243" s="1" t="s">
        <v>72</v>
      </c>
      <c r="B243" s="1" t="s">
        <v>2633</v>
      </c>
      <c r="C243" s="1" t="s">
        <v>74</v>
      </c>
      <c r="D243" s="1" t="s">
        <v>74</v>
      </c>
      <c r="E243" s="1" t="s">
        <v>74</v>
      </c>
      <c r="F243" s="1" t="s">
        <v>2634</v>
      </c>
      <c r="G243" s="1" t="s">
        <v>74</v>
      </c>
      <c r="H243" s="1" t="s">
        <v>74</v>
      </c>
      <c r="I243" s="1" t="s">
        <v>2635</v>
      </c>
      <c r="J243" s="1" t="s">
        <v>2636</v>
      </c>
      <c r="K243" s="1" t="s">
        <v>74</v>
      </c>
      <c r="L243" s="1" t="s">
        <v>74</v>
      </c>
      <c r="M243" s="1" t="s">
        <v>74</v>
      </c>
      <c r="N243" s="1" t="s">
        <v>74</v>
      </c>
      <c r="O243" s="1" t="s">
        <v>74</v>
      </c>
      <c r="P243" s="1" t="s">
        <v>74</v>
      </c>
      <c r="Q243" s="1" t="s">
        <v>74</v>
      </c>
      <c r="R243" s="1" t="s">
        <v>74</v>
      </c>
      <c r="S243" s="1" t="s">
        <v>74</v>
      </c>
      <c r="T243" s="1" t="s">
        <v>74</v>
      </c>
      <c r="U243" s="1" t="s">
        <v>74</v>
      </c>
      <c r="V243" s="1" t="s">
        <v>2637</v>
      </c>
      <c r="W243" s="1" t="s">
        <v>74</v>
      </c>
      <c r="X243" s="1" t="s">
        <v>74</v>
      </c>
      <c r="Y243" s="1" t="s">
        <v>74</v>
      </c>
      <c r="Z243" s="1" t="s">
        <v>74</v>
      </c>
      <c r="AA243" s="1" t="s">
        <v>2638</v>
      </c>
      <c r="AB243" s="1" t="s">
        <v>2639</v>
      </c>
      <c r="AC243" s="1" t="s">
        <v>74</v>
      </c>
      <c r="AD243" s="1" t="s">
        <v>74</v>
      </c>
      <c r="AE243" s="1" t="s">
        <v>74</v>
      </c>
      <c r="AF243" s="1" t="s">
        <v>74</v>
      </c>
      <c r="AG243" s="1" t="s">
        <v>74</v>
      </c>
      <c r="AH243" s="1" t="s">
        <v>74</v>
      </c>
      <c r="AI243" s="1" t="s">
        <v>74</v>
      </c>
      <c r="AJ243" s="1" t="s">
        <v>74</v>
      </c>
      <c r="AK243" s="1" t="s">
        <v>74</v>
      </c>
      <c r="AL243" s="1" t="s">
        <v>74</v>
      </c>
      <c r="AM243" s="1" t="s">
        <v>74</v>
      </c>
      <c r="AN243" s="1" t="s">
        <v>74</v>
      </c>
      <c r="AO243" s="1" t="s">
        <v>2640</v>
      </c>
      <c r="AP243" s="1" t="s">
        <v>2641</v>
      </c>
      <c r="AQ243" s="1" t="s">
        <v>74</v>
      </c>
      <c r="AR243" s="1" t="s">
        <v>74</v>
      </c>
      <c r="AS243" s="1" t="s">
        <v>74</v>
      </c>
      <c r="AT243" s="1" t="s">
        <v>411</v>
      </c>
      <c r="AU243" s="1">
        <v>2022.0</v>
      </c>
      <c r="AV243" s="1">
        <v>69.0</v>
      </c>
      <c r="AW243" s="1">
        <v>6.0</v>
      </c>
      <c r="AX243" s="1" t="s">
        <v>74</v>
      </c>
      <c r="AY243" s="1" t="s">
        <v>74</v>
      </c>
      <c r="AZ243" s="1" t="s">
        <v>74</v>
      </c>
      <c r="BA243" s="1" t="s">
        <v>74</v>
      </c>
      <c r="BB243" s="1">
        <v>3737.0</v>
      </c>
      <c r="BC243" s="1">
        <v>3748.0</v>
      </c>
      <c r="BD243" s="1" t="s">
        <v>74</v>
      </c>
      <c r="BE243" s="1" t="s">
        <v>2642</v>
      </c>
      <c r="BF243" s="2" t="str">
        <f>HYPERLINK("http://dx.doi.org/10.1111/tbed.14743","http://dx.doi.org/10.1111/tbed.14743")</f>
        <v>http://dx.doi.org/10.1111/tbed.14743</v>
      </c>
      <c r="BG243" s="1" t="s">
        <v>74</v>
      </c>
      <c r="BH243" s="1" t="s">
        <v>1470</v>
      </c>
      <c r="BI243" s="1" t="s">
        <v>74</v>
      </c>
      <c r="BJ243" s="1" t="s">
        <v>74</v>
      </c>
      <c r="BK243" s="1" t="s">
        <v>74</v>
      </c>
      <c r="BL243" s="1" t="s">
        <v>74</v>
      </c>
      <c r="BM243" s="1" t="s">
        <v>74</v>
      </c>
      <c r="BN243" s="1">
        <v>3.6317891E7</v>
      </c>
      <c r="BO243" s="1" t="s">
        <v>74</v>
      </c>
      <c r="BP243" s="1" t="s">
        <v>74</v>
      </c>
      <c r="BQ243" s="1" t="s">
        <v>74</v>
      </c>
      <c r="BR243" s="1" t="s">
        <v>74</v>
      </c>
      <c r="BS243" s="1" t="s">
        <v>2643</v>
      </c>
      <c r="BT243" s="1" t="str">
        <f>HYPERLINK("https%3A%2F%2Fwww.webofscience.com%2Fwos%2Fwoscc%2Ffull-record%2FWOS:000881755800001","View Full Record in Web of Science")</f>
        <v>View Full Record in Web of Science</v>
      </c>
    </row>
    <row r="244" ht="12.75" customHeight="1">
      <c r="A244" s="1" t="s">
        <v>72</v>
      </c>
      <c r="B244" s="1" t="s">
        <v>2644</v>
      </c>
      <c r="C244" s="1" t="s">
        <v>74</v>
      </c>
      <c r="D244" s="1" t="s">
        <v>74</v>
      </c>
      <c r="E244" s="1" t="s">
        <v>74</v>
      </c>
      <c r="F244" s="1" t="s">
        <v>2645</v>
      </c>
      <c r="G244" s="1" t="s">
        <v>74</v>
      </c>
      <c r="H244" s="1" t="s">
        <v>74</v>
      </c>
      <c r="I244" s="1" t="s">
        <v>2646</v>
      </c>
      <c r="J244" s="1" t="s">
        <v>332</v>
      </c>
      <c r="K244" s="1" t="s">
        <v>74</v>
      </c>
      <c r="L244" s="1" t="s">
        <v>74</v>
      </c>
      <c r="M244" s="1" t="s">
        <v>74</v>
      </c>
      <c r="N244" s="1" t="s">
        <v>74</v>
      </c>
      <c r="O244" s="1" t="s">
        <v>74</v>
      </c>
      <c r="P244" s="1" t="s">
        <v>74</v>
      </c>
      <c r="Q244" s="1" t="s">
        <v>74</v>
      </c>
      <c r="R244" s="1" t="s">
        <v>74</v>
      </c>
      <c r="S244" s="1" t="s">
        <v>74</v>
      </c>
      <c r="T244" s="1" t="s">
        <v>74</v>
      </c>
      <c r="U244" s="1" t="s">
        <v>74</v>
      </c>
      <c r="V244" s="1" t="s">
        <v>2647</v>
      </c>
      <c r="W244" s="1" t="s">
        <v>74</v>
      </c>
      <c r="X244" s="1" t="s">
        <v>74</v>
      </c>
      <c r="Y244" s="1" t="s">
        <v>74</v>
      </c>
      <c r="Z244" s="1" t="s">
        <v>74</v>
      </c>
      <c r="AA244" s="1" t="s">
        <v>2648</v>
      </c>
      <c r="AB244" s="1" t="s">
        <v>2649</v>
      </c>
      <c r="AC244" s="1" t="s">
        <v>74</v>
      </c>
      <c r="AD244" s="1" t="s">
        <v>74</v>
      </c>
      <c r="AE244" s="1" t="s">
        <v>74</v>
      </c>
      <c r="AF244" s="1" t="s">
        <v>74</v>
      </c>
      <c r="AG244" s="1" t="s">
        <v>74</v>
      </c>
      <c r="AH244" s="1" t="s">
        <v>74</v>
      </c>
      <c r="AI244" s="1" t="s">
        <v>74</v>
      </c>
      <c r="AJ244" s="1" t="s">
        <v>74</v>
      </c>
      <c r="AK244" s="1" t="s">
        <v>74</v>
      </c>
      <c r="AL244" s="1" t="s">
        <v>74</v>
      </c>
      <c r="AM244" s="1" t="s">
        <v>74</v>
      </c>
      <c r="AN244" s="1" t="s">
        <v>74</v>
      </c>
      <c r="AO244" s="1" t="s">
        <v>336</v>
      </c>
      <c r="AP244" s="1" t="s">
        <v>337</v>
      </c>
      <c r="AQ244" s="1" t="s">
        <v>74</v>
      </c>
      <c r="AR244" s="1" t="s">
        <v>74</v>
      </c>
      <c r="AS244" s="1" t="s">
        <v>74</v>
      </c>
      <c r="AT244" s="1" t="s">
        <v>2650</v>
      </c>
      <c r="AU244" s="1">
        <v>2021.0</v>
      </c>
      <c r="AV244" s="1">
        <v>391.0</v>
      </c>
      <c r="AW244" s="1" t="s">
        <v>74</v>
      </c>
      <c r="AX244" s="1" t="s">
        <v>74</v>
      </c>
      <c r="AY244" s="1" t="s">
        <v>74</v>
      </c>
      <c r="AZ244" s="1" t="s">
        <v>74</v>
      </c>
      <c r="BA244" s="1" t="s">
        <v>74</v>
      </c>
      <c r="BB244" s="1" t="s">
        <v>74</v>
      </c>
      <c r="BC244" s="1" t="s">
        <v>74</v>
      </c>
      <c r="BD244" s="1">
        <v>138905.0</v>
      </c>
      <c r="BE244" s="1" t="s">
        <v>2651</v>
      </c>
      <c r="BF244" s="2" t="str">
        <f>HYPERLINK("http://dx.doi.org/10.1016/j.electacta.2021.138905","http://dx.doi.org/10.1016/j.electacta.2021.138905")</f>
        <v>http://dx.doi.org/10.1016/j.electacta.2021.138905</v>
      </c>
      <c r="BG244" s="1" t="s">
        <v>74</v>
      </c>
      <c r="BH244" s="1" t="s">
        <v>2652</v>
      </c>
      <c r="BI244" s="1" t="s">
        <v>74</v>
      </c>
      <c r="BJ244" s="1" t="s">
        <v>74</v>
      </c>
      <c r="BK244" s="1" t="s">
        <v>74</v>
      </c>
      <c r="BL244" s="1" t="s">
        <v>74</v>
      </c>
      <c r="BM244" s="1" t="s">
        <v>74</v>
      </c>
      <c r="BN244" s="1" t="s">
        <v>74</v>
      </c>
      <c r="BO244" s="1" t="s">
        <v>74</v>
      </c>
      <c r="BP244" s="1" t="s">
        <v>74</v>
      </c>
      <c r="BQ244" s="1" t="s">
        <v>74</v>
      </c>
      <c r="BR244" s="1" t="s">
        <v>74</v>
      </c>
      <c r="BS244" s="1" t="s">
        <v>2653</v>
      </c>
      <c r="BT244" s="1" t="str">
        <f>HYPERLINK("https%3A%2F%2Fwww.webofscience.com%2Fwos%2Fwoscc%2Ffull-record%2FWOS:000686747600008","View Full Record in Web of Science")</f>
        <v>View Full Record in Web of Science</v>
      </c>
    </row>
    <row r="245" ht="12.75" customHeight="1">
      <c r="A245" s="1" t="s">
        <v>72</v>
      </c>
      <c r="B245" s="1" t="s">
        <v>2654</v>
      </c>
      <c r="C245" s="1" t="s">
        <v>74</v>
      </c>
      <c r="D245" s="1" t="s">
        <v>74</v>
      </c>
      <c r="E245" s="1" t="s">
        <v>74</v>
      </c>
      <c r="F245" s="1" t="s">
        <v>2655</v>
      </c>
      <c r="G245" s="1" t="s">
        <v>74</v>
      </c>
      <c r="H245" s="1" t="s">
        <v>74</v>
      </c>
      <c r="I245" s="1" t="s">
        <v>2656</v>
      </c>
      <c r="J245" s="1" t="s">
        <v>1590</v>
      </c>
      <c r="K245" s="1" t="s">
        <v>74</v>
      </c>
      <c r="L245" s="1" t="s">
        <v>74</v>
      </c>
      <c r="M245" s="1" t="s">
        <v>74</v>
      </c>
      <c r="N245" s="1" t="s">
        <v>74</v>
      </c>
      <c r="O245" s="1" t="s">
        <v>74</v>
      </c>
      <c r="P245" s="1" t="s">
        <v>74</v>
      </c>
      <c r="Q245" s="1" t="s">
        <v>74</v>
      </c>
      <c r="R245" s="1" t="s">
        <v>74</v>
      </c>
      <c r="S245" s="1" t="s">
        <v>74</v>
      </c>
      <c r="T245" s="1" t="s">
        <v>74</v>
      </c>
      <c r="U245" s="1" t="s">
        <v>74</v>
      </c>
      <c r="V245" s="1" t="s">
        <v>2657</v>
      </c>
      <c r="W245" s="1" t="s">
        <v>74</v>
      </c>
      <c r="X245" s="1" t="s">
        <v>74</v>
      </c>
      <c r="Y245" s="1" t="s">
        <v>74</v>
      </c>
      <c r="Z245" s="1" t="s">
        <v>74</v>
      </c>
      <c r="AA245" s="1" t="s">
        <v>2658</v>
      </c>
      <c r="AB245" s="1" t="s">
        <v>2659</v>
      </c>
      <c r="AC245" s="1" t="s">
        <v>74</v>
      </c>
      <c r="AD245" s="1" t="s">
        <v>74</v>
      </c>
      <c r="AE245" s="1" t="s">
        <v>74</v>
      </c>
      <c r="AF245" s="1" t="s">
        <v>74</v>
      </c>
      <c r="AG245" s="1" t="s">
        <v>74</v>
      </c>
      <c r="AH245" s="1" t="s">
        <v>74</v>
      </c>
      <c r="AI245" s="1" t="s">
        <v>74</v>
      </c>
      <c r="AJ245" s="1" t="s">
        <v>74</v>
      </c>
      <c r="AK245" s="1" t="s">
        <v>74</v>
      </c>
      <c r="AL245" s="1" t="s">
        <v>74</v>
      </c>
      <c r="AM245" s="1" t="s">
        <v>74</v>
      </c>
      <c r="AN245" s="1" t="s">
        <v>74</v>
      </c>
      <c r="AO245" s="1" t="s">
        <v>1594</v>
      </c>
      <c r="AP245" s="1" t="s">
        <v>1595</v>
      </c>
      <c r="AQ245" s="1" t="s">
        <v>74</v>
      </c>
      <c r="AR245" s="1" t="s">
        <v>74</v>
      </c>
      <c r="AS245" s="1" t="s">
        <v>74</v>
      </c>
      <c r="AT245" s="1" t="s">
        <v>2660</v>
      </c>
      <c r="AU245" s="1">
        <v>2021.0</v>
      </c>
      <c r="AV245" s="1">
        <v>103.0</v>
      </c>
      <c r="AW245" s="1">
        <v>5.0</v>
      </c>
      <c r="AX245" s="1" t="s">
        <v>74</v>
      </c>
      <c r="AY245" s="1" t="s">
        <v>74</v>
      </c>
      <c r="AZ245" s="1" t="s">
        <v>74</v>
      </c>
      <c r="BA245" s="1" t="s">
        <v>74</v>
      </c>
      <c r="BB245" s="1" t="s">
        <v>74</v>
      </c>
      <c r="BC245" s="1" t="s">
        <v>74</v>
      </c>
      <c r="BD245" s="1">
        <v>53708.0</v>
      </c>
      <c r="BE245" s="1" t="s">
        <v>2661</v>
      </c>
      <c r="BF245" s="2" t="str">
        <f>HYPERLINK("http://dx.doi.org/10.1103/PhysRevA.103.053708","http://dx.doi.org/10.1103/PhysRevA.103.053708")</f>
        <v>http://dx.doi.org/10.1103/PhysRevA.103.053708</v>
      </c>
      <c r="BG245" s="1" t="s">
        <v>74</v>
      </c>
      <c r="BH245" s="1" t="s">
        <v>74</v>
      </c>
      <c r="BI245" s="1" t="s">
        <v>74</v>
      </c>
      <c r="BJ245" s="1" t="s">
        <v>74</v>
      </c>
      <c r="BK245" s="1" t="s">
        <v>74</v>
      </c>
      <c r="BL245" s="1" t="s">
        <v>74</v>
      </c>
      <c r="BM245" s="1" t="s">
        <v>74</v>
      </c>
      <c r="BN245" s="1" t="s">
        <v>74</v>
      </c>
      <c r="BO245" s="1" t="s">
        <v>74</v>
      </c>
      <c r="BP245" s="1" t="s">
        <v>74</v>
      </c>
      <c r="BQ245" s="1" t="s">
        <v>74</v>
      </c>
      <c r="BR245" s="1" t="s">
        <v>74</v>
      </c>
      <c r="BS245" s="1" t="s">
        <v>2662</v>
      </c>
      <c r="BT245" s="1" t="str">
        <f>HYPERLINK("https%3A%2F%2Fwww.webofscience.com%2Fwos%2Fwoscc%2Ffull-record%2FWOS:000653164900006","View Full Record in Web of Science")</f>
        <v>View Full Record in Web of Science</v>
      </c>
    </row>
    <row r="246" ht="12.75" customHeight="1">
      <c r="A246" s="1" t="s">
        <v>72</v>
      </c>
      <c r="B246" s="1" t="s">
        <v>2663</v>
      </c>
      <c r="C246" s="1" t="s">
        <v>74</v>
      </c>
      <c r="D246" s="1" t="s">
        <v>74</v>
      </c>
      <c r="E246" s="1" t="s">
        <v>74</v>
      </c>
      <c r="F246" s="1" t="s">
        <v>2664</v>
      </c>
      <c r="G246" s="1" t="s">
        <v>74</v>
      </c>
      <c r="H246" s="1" t="s">
        <v>74</v>
      </c>
      <c r="I246" s="1" t="s">
        <v>2665</v>
      </c>
      <c r="J246" s="1" t="s">
        <v>2666</v>
      </c>
      <c r="K246" s="1" t="s">
        <v>74</v>
      </c>
      <c r="L246" s="1" t="s">
        <v>74</v>
      </c>
      <c r="M246" s="1" t="s">
        <v>74</v>
      </c>
      <c r="N246" s="1" t="s">
        <v>74</v>
      </c>
      <c r="O246" s="1" t="s">
        <v>74</v>
      </c>
      <c r="P246" s="1" t="s">
        <v>74</v>
      </c>
      <c r="Q246" s="1" t="s">
        <v>74</v>
      </c>
      <c r="R246" s="1" t="s">
        <v>74</v>
      </c>
      <c r="S246" s="1" t="s">
        <v>74</v>
      </c>
      <c r="T246" s="1" t="s">
        <v>74</v>
      </c>
      <c r="U246" s="1" t="s">
        <v>74</v>
      </c>
      <c r="V246" s="1" t="s">
        <v>2667</v>
      </c>
      <c r="W246" s="1" t="s">
        <v>74</v>
      </c>
      <c r="X246" s="1" t="s">
        <v>74</v>
      </c>
      <c r="Y246" s="1" t="s">
        <v>74</v>
      </c>
      <c r="Z246" s="1" t="s">
        <v>74</v>
      </c>
      <c r="AA246" s="1" t="s">
        <v>2668</v>
      </c>
      <c r="AB246" s="1" t="s">
        <v>2669</v>
      </c>
      <c r="AC246" s="1" t="s">
        <v>74</v>
      </c>
      <c r="AD246" s="1" t="s">
        <v>74</v>
      </c>
      <c r="AE246" s="1" t="s">
        <v>74</v>
      </c>
      <c r="AF246" s="1" t="s">
        <v>74</v>
      </c>
      <c r="AG246" s="1" t="s">
        <v>74</v>
      </c>
      <c r="AH246" s="1" t="s">
        <v>74</v>
      </c>
      <c r="AI246" s="1" t="s">
        <v>74</v>
      </c>
      <c r="AJ246" s="1" t="s">
        <v>74</v>
      </c>
      <c r="AK246" s="1" t="s">
        <v>74</v>
      </c>
      <c r="AL246" s="1" t="s">
        <v>74</v>
      </c>
      <c r="AM246" s="1" t="s">
        <v>74</v>
      </c>
      <c r="AN246" s="1" t="s">
        <v>74</v>
      </c>
      <c r="AO246" s="1" t="s">
        <v>2670</v>
      </c>
      <c r="AP246" s="1" t="s">
        <v>74</v>
      </c>
      <c r="AQ246" s="1" t="s">
        <v>74</v>
      </c>
      <c r="AR246" s="1" t="s">
        <v>74</v>
      </c>
      <c r="AS246" s="1" t="s">
        <v>74</v>
      </c>
      <c r="AT246" s="1" t="s">
        <v>1720</v>
      </c>
      <c r="AU246" s="1">
        <v>2021.0</v>
      </c>
      <c r="AV246" s="1">
        <v>8.0</v>
      </c>
      <c r="AW246" s="1">
        <v>1.0</v>
      </c>
      <c r="AX246" s="1" t="s">
        <v>74</v>
      </c>
      <c r="AY246" s="1" t="s">
        <v>74</v>
      </c>
      <c r="AZ246" s="1" t="s">
        <v>74</v>
      </c>
      <c r="BA246" s="1" t="s">
        <v>74</v>
      </c>
      <c r="BB246" s="1" t="s">
        <v>74</v>
      </c>
      <c r="BC246" s="1" t="s">
        <v>74</v>
      </c>
      <c r="BD246" s="1">
        <v>1875534.0</v>
      </c>
      <c r="BE246" s="1" t="s">
        <v>2671</v>
      </c>
      <c r="BF246" s="2" t="str">
        <f>HYPERLINK("http://dx.doi.org/10.1080/23311916.2021.1875534","http://dx.doi.org/10.1080/23311916.2021.1875534")</f>
        <v>http://dx.doi.org/10.1080/23311916.2021.1875534</v>
      </c>
      <c r="BG246" s="1" t="s">
        <v>74</v>
      </c>
      <c r="BH246" s="1" t="s">
        <v>74</v>
      </c>
      <c r="BI246" s="1" t="s">
        <v>74</v>
      </c>
      <c r="BJ246" s="1" t="s">
        <v>74</v>
      </c>
      <c r="BK246" s="1" t="s">
        <v>74</v>
      </c>
      <c r="BL246" s="1" t="s">
        <v>74</v>
      </c>
      <c r="BM246" s="1" t="s">
        <v>74</v>
      </c>
      <c r="BN246" s="1" t="s">
        <v>74</v>
      </c>
      <c r="BO246" s="1" t="s">
        <v>74</v>
      </c>
      <c r="BP246" s="1" t="s">
        <v>74</v>
      </c>
      <c r="BQ246" s="1" t="s">
        <v>74</v>
      </c>
      <c r="BR246" s="1" t="s">
        <v>74</v>
      </c>
      <c r="BS246" s="1" t="s">
        <v>2672</v>
      </c>
      <c r="BT246" s="1" t="str">
        <f>HYPERLINK("https%3A%2F%2Fwww.webofscience.com%2Fwos%2Fwoscc%2Ffull-record%2FWOS:000612744900001","View Full Record in Web of Science")</f>
        <v>View Full Record in Web of Science</v>
      </c>
    </row>
    <row r="247" ht="12.75" customHeight="1">
      <c r="A247" s="1" t="s">
        <v>72</v>
      </c>
      <c r="B247" s="1" t="s">
        <v>2673</v>
      </c>
      <c r="C247" s="1" t="s">
        <v>74</v>
      </c>
      <c r="D247" s="1" t="s">
        <v>74</v>
      </c>
      <c r="E247" s="1" t="s">
        <v>74</v>
      </c>
      <c r="F247" s="1" t="s">
        <v>2674</v>
      </c>
      <c r="G247" s="1" t="s">
        <v>74</v>
      </c>
      <c r="H247" s="1" t="s">
        <v>74</v>
      </c>
      <c r="I247" s="1" t="s">
        <v>2675</v>
      </c>
      <c r="J247" s="1" t="s">
        <v>2676</v>
      </c>
      <c r="K247" s="1" t="s">
        <v>74</v>
      </c>
      <c r="L247" s="1" t="s">
        <v>74</v>
      </c>
      <c r="M247" s="1" t="s">
        <v>74</v>
      </c>
      <c r="N247" s="1" t="s">
        <v>74</v>
      </c>
      <c r="O247" s="1" t="s">
        <v>74</v>
      </c>
      <c r="P247" s="1" t="s">
        <v>74</v>
      </c>
      <c r="Q247" s="1" t="s">
        <v>74</v>
      </c>
      <c r="R247" s="1" t="s">
        <v>74</v>
      </c>
      <c r="S247" s="1" t="s">
        <v>74</v>
      </c>
      <c r="T247" s="1" t="s">
        <v>74</v>
      </c>
      <c r="U247" s="1" t="s">
        <v>74</v>
      </c>
      <c r="V247" s="1" t="s">
        <v>2677</v>
      </c>
      <c r="W247" s="1" t="s">
        <v>74</v>
      </c>
      <c r="X247" s="1" t="s">
        <v>74</v>
      </c>
      <c r="Y247" s="1" t="s">
        <v>74</v>
      </c>
      <c r="Z247" s="1" t="s">
        <v>74</v>
      </c>
      <c r="AA247" s="1" t="s">
        <v>2678</v>
      </c>
      <c r="AB247" s="1" t="s">
        <v>74</v>
      </c>
      <c r="AC247" s="1" t="s">
        <v>74</v>
      </c>
      <c r="AD247" s="1" t="s">
        <v>74</v>
      </c>
      <c r="AE247" s="1" t="s">
        <v>74</v>
      </c>
      <c r="AF247" s="1" t="s">
        <v>74</v>
      </c>
      <c r="AG247" s="1" t="s">
        <v>74</v>
      </c>
      <c r="AH247" s="1" t="s">
        <v>74</v>
      </c>
      <c r="AI247" s="1" t="s">
        <v>74</v>
      </c>
      <c r="AJ247" s="1" t="s">
        <v>74</v>
      </c>
      <c r="AK247" s="1" t="s">
        <v>74</v>
      </c>
      <c r="AL247" s="1" t="s">
        <v>74</v>
      </c>
      <c r="AM247" s="1" t="s">
        <v>74</v>
      </c>
      <c r="AN247" s="1" t="s">
        <v>74</v>
      </c>
      <c r="AO247" s="1" t="s">
        <v>2679</v>
      </c>
      <c r="AP247" s="1" t="s">
        <v>74</v>
      </c>
      <c r="AQ247" s="1" t="s">
        <v>74</v>
      </c>
      <c r="AR247" s="1" t="s">
        <v>74</v>
      </c>
      <c r="AS247" s="1" t="s">
        <v>74</v>
      </c>
      <c r="AT247" s="1" t="s">
        <v>74</v>
      </c>
      <c r="AU247" s="1">
        <v>2021.0</v>
      </c>
      <c r="AV247" s="1" t="s">
        <v>74</v>
      </c>
      <c r="AW247" s="1">
        <v>67.0</v>
      </c>
      <c r="AX247" s="1" t="s">
        <v>74</v>
      </c>
      <c r="AY247" s="1" t="s">
        <v>74</v>
      </c>
      <c r="AZ247" s="1" t="s">
        <v>74</v>
      </c>
      <c r="BA247" s="1" t="s">
        <v>74</v>
      </c>
      <c r="BB247" s="1" t="s">
        <v>74</v>
      </c>
      <c r="BC247" s="1" t="s">
        <v>74</v>
      </c>
      <c r="BD247" s="1" t="s">
        <v>2680</v>
      </c>
      <c r="BE247" s="1" t="s">
        <v>2681</v>
      </c>
      <c r="BF247" s="2" t="str">
        <f>HYPERLINK("http://dx.doi.org/10.22199/issn.0718-1043-2021-0002","http://dx.doi.org/10.22199/issn.0718-1043-2021-0002")</f>
        <v>http://dx.doi.org/10.22199/issn.0718-1043-2021-0002</v>
      </c>
      <c r="BG247" s="1" t="s">
        <v>74</v>
      </c>
      <c r="BH247" s="1" t="s">
        <v>74</v>
      </c>
      <c r="BI247" s="1" t="s">
        <v>74</v>
      </c>
      <c r="BJ247" s="1" t="s">
        <v>74</v>
      </c>
      <c r="BK247" s="1" t="s">
        <v>74</v>
      </c>
      <c r="BL247" s="1" t="s">
        <v>74</v>
      </c>
      <c r="BM247" s="1" t="s">
        <v>74</v>
      </c>
      <c r="BN247" s="1" t="s">
        <v>74</v>
      </c>
      <c r="BO247" s="1" t="s">
        <v>74</v>
      </c>
      <c r="BP247" s="1" t="s">
        <v>74</v>
      </c>
      <c r="BQ247" s="1" t="s">
        <v>74</v>
      </c>
      <c r="BR247" s="1" t="s">
        <v>74</v>
      </c>
      <c r="BS247" s="1" t="s">
        <v>2682</v>
      </c>
      <c r="BT247" s="1" t="str">
        <f>HYPERLINK("https%3A%2F%2Fwww.webofscience.com%2Fwos%2Fwoscc%2Ffull-record%2FWOS:000728072300001","View Full Record in Web of Science")</f>
        <v>View Full Record in Web of Science</v>
      </c>
    </row>
    <row r="248" ht="12.75" customHeight="1">
      <c r="A248" s="1" t="s">
        <v>72</v>
      </c>
      <c r="B248" s="1" t="s">
        <v>2683</v>
      </c>
      <c r="C248" s="1" t="s">
        <v>74</v>
      </c>
      <c r="D248" s="1" t="s">
        <v>74</v>
      </c>
      <c r="E248" s="1" t="s">
        <v>74</v>
      </c>
      <c r="F248" s="1" t="s">
        <v>2684</v>
      </c>
      <c r="G248" s="1" t="s">
        <v>74</v>
      </c>
      <c r="H248" s="1" t="s">
        <v>74</v>
      </c>
      <c r="I248" s="1" t="s">
        <v>2685</v>
      </c>
      <c r="J248" s="1" t="s">
        <v>1163</v>
      </c>
      <c r="K248" s="1" t="s">
        <v>74</v>
      </c>
      <c r="L248" s="1" t="s">
        <v>74</v>
      </c>
      <c r="M248" s="1" t="s">
        <v>74</v>
      </c>
      <c r="N248" s="1" t="s">
        <v>74</v>
      </c>
      <c r="O248" s="1" t="s">
        <v>74</v>
      </c>
      <c r="P248" s="1" t="s">
        <v>74</v>
      </c>
      <c r="Q248" s="1" t="s">
        <v>74</v>
      </c>
      <c r="R248" s="1" t="s">
        <v>74</v>
      </c>
      <c r="S248" s="1" t="s">
        <v>74</v>
      </c>
      <c r="T248" s="1" t="s">
        <v>74</v>
      </c>
      <c r="U248" s="1" t="s">
        <v>74</v>
      </c>
      <c r="V248" s="1" t="s">
        <v>2686</v>
      </c>
      <c r="W248" s="1" t="s">
        <v>74</v>
      </c>
      <c r="X248" s="1" t="s">
        <v>74</v>
      </c>
      <c r="Y248" s="1" t="s">
        <v>74</v>
      </c>
      <c r="Z248" s="1" t="s">
        <v>74</v>
      </c>
      <c r="AA248" s="1" t="s">
        <v>2687</v>
      </c>
      <c r="AB248" s="1" t="s">
        <v>2688</v>
      </c>
      <c r="AC248" s="1" t="s">
        <v>74</v>
      </c>
      <c r="AD248" s="1" t="s">
        <v>74</v>
      </c>
      <c r="AE248" s="1" t="s">
        <v>74</v>
      </c>
      <c r="AF248" s="1" t="s">
        <v>74</v>
      </c>
      <c r="AG248" s="1" t="s">
        <v>74</v>
      </c>
      <c r="AH248" s="1" t="s">
        <v>74</v>
      </c>
      <c r="AI248" s="1" t="s">
        <v>74</v>
      </c>
      <c r="AJ248" s="1" t="s">
        <v>74</v>
      </c>
      <c r="AK248" s="1" t="s">
        <v>74</v>
      </c>
      <c r="AL248" s="1" t="s">
        <v>74</v>
      </c>
      <c r="AM248" s="1" t="s">
        <v>74</v>
      </c>
      <c r="AN248" s="1" t="s">
        <v>74</v>
      </c>
      <c r="AO248" s="1" t="s">
        <v>74</v>
      </c>
      <c r="AP248" s="1" t="s">
        <v>1167</v>
      </c>
      <c r="AQ248" s="1" t="s">
        <v>74</v>
      </c>
      <c r="AR248" s="1" t="s">
        <v>74</v>
      </c>
      <c r="AS248" s="1" t="s">
        <v>74</v>
      </c>
      <c r="AT248" s="1" t="s">
        <v>398</v>
      </c>
      <c r="AU248" s="1">
        <v>2020.0</v>
      </c>
      <c r="AV248" s="1">
        <v>12.0</v>
      </c>
      <c r="AW248" s="1">
        <v>2.0</v>
      </c>
      <c r="AX248" s="1" t="s">
        <v>74</v>
      </c>
      <c r="AY248" s="1" t="s">
        <v>74</v>
      </c>
      <c r="AZ248" s="1" t="s">
        <v>74</v>
      </c>
      <c r="BA248" s="1" t="s">
        <v>74</v>
      </c>
      <c r="BB248" s="1" t="s">
        <v>74</v>
      </c>
      <c r="BC248" s="1" t="s">
        <v>74</v>
      </c>
      <c r="BD248" s="1">
        <v>415.0</v>
      </c>
      <c r="BE248" s="1" t="s">
        <v>2689</v>
      </c>
      <c r="BF248" s="2" t="str">
        <f>HYPERLINK("http://dx.doi.org/10.3390/nu12020415","http://dx.doi.org/10.3390/nu12020415")</f>
        <v>http://dx.doi.org/10.3390/nu12020415</v>
      </c>
      <c r="BG248" s="1" t="s">
        <v>74</v>
      </c>
      <c r="BH248" s="1" t="s">
        <v>74</v>
      </c>
      <c r="BI248" s="1" t="s">
        <v>74</v>
      </c>
      <c r="BJ248" s="1" t="s">
        <v>74</v>
      </c>
      <c r="BK248" s="1" t="s">
        <v>74</v>
      </c>
      <c r="BL248" s="1" t="s">
        <v>74</v>
      </c>
      <c r="BM248" s="1" t="s">
        <v>74</v>
      </c>
      <c r="BN248" s="1">
        <v>3.2033484E7</v>
      </c>
      <c r="BO248" s="1" t="s">
        <v>74</v>
      </c>
      <c r="BP248" s="1" t="s">
        <v>74</v>
      </c>
      <c r="BQ248" s="1" t="s">
        <v>74</v>
      </c>
      <c r="BR248" s="1" t="s">
        <v>74</v>
      </c>
      <c r="BS248" s="1" t="s">
        <v>2690</v>
      </c>
      <c r="BT248" s="1" t="str">
        <f>HYPERLINK("https%3A%2F%2Fwww.webofscience.com%2Fwos%2Fwoscc%2Ffull-record%2FWOS:000522458700142","View Full Record in Web of Science")</f>
        <v>View Full Record in Web of Science</v>
      </c>
    </row>
    <row r="249" ht="12.75" customHeight="1">
      <c r="A249" s="1" t="s">
        <v>72</v>
      </c>
      <c r="B249" s="1" t="s">
        <v>2691</v>
      </c>
      <c r="C249" s="1" t="s">
        <v>74</v>
      </c>
      <c r="D249" s="1" t="s">
        <v>74</v>
      </c>
      <c r="E249" s="1" t="s">
        <v>74</v>
      </c>
      <c r="F249" s="1" t="s">
        <v>2692</v>
      </c>
      <c r="G249" s="1" t="s">
        <v>74</v>
      </c>
      <c r="H249" s="1" t="s">
        <v>74</v>
      </c>
      <c r="I249" s="1" t="s">
        <v>2693</v>
      </c>
      <c r="J249" s="1" t="s">
        <v>2694</v>
      </c>
      <c r="K249" s="1" t="s">
        <v>74</v>
      </c>
      <c r="L249" s="1" t="s">
        <v>74</v>
      </c>
      <c r="M249" s="1" t="s">
        <v>74</v>
      </c>
      <c r="N249" s="1" t="s">
        <v>74</v>
      </c>
      <c r="O249" s="1" t="s">
        <v>74</v>
      </c>
      <c r="P249" s="1" t="s">
        <v>74</v>
      </c>
      <c r="Q249" s="1" t="s">
        <v>74</v>
      </c>
      <c r="R249" s="1" t="s">
        <v>74</v>
      </c>
      <c r="S249" s="1" t="s">
        <v>74</v>
      </c>
      <c r="T249" s="1" t="s">
        <v>74</v>
      </c>
      <c r="U249" s="1" t="s">
        <v>74</v>
      </c>
      <c r="V249" s="1" t="s">
        <v>2695</v>
      </c>
      <c r="W249" s="1" t="s">
        <v>74</v>
      </c>
      <c r="X249" s="1" t="s">
        <v>74</v>
      </c>
      <c r="Y249" s="1" t="s">
        <v>74</v>
      </c>
      <c r="Z249" s="1" t="s">
        <v>74</v>
      </c>
      <c r="AA249" s="1" t="s">
        <v>2696</v>
      </c>
      <c r="AB249" s="1" t="s">
        <v>2697</v>
      </c>
      <c r="AC249" s="1" t="s">
        <v>74</v>
      </c>
      <c r="AD249" s="1" t="s">
        <v>74</v>
      </c>
      <c r="AE249" s="1" t="s">
        <v>74</v>
      </c>
      <c r="AF249" s="1" t="s">
        <v>74</v>
      </c>
      <c r="AG249" s="1" t="s">
        <v>74</v>
      </c>
      <c r="AH249" s="1" t="s">
        <v>74</v>
      </c>
      <c r="AI249" s="1" t="s">
        <v>74</v>
      </c>
      <c r="AJ249" s="1" t="s">
        <v>74</v>
      </c>
      <c r="AK249" s="1" t="s">
        <v>74</v>
      </c>
      <c r="AL249" s="1" t="s">
        <v>74</v>
      </c>
      <c r="AM249" s="1" t="s">
        <v>74</v>
      </c>
      <c r="AN249" s="1" t="s">
        <v>74</v>
      </c>
      <c r="AO249" s="1" t="s">
        <v>2698</v>
      </c>
      <c r="AP249" s="1" t="s">
        <v>74</v>
      </c>
      <c r="AQ249" s="1" t="s">
        <v>74</v>
      </c>
      <c r="AR249" s="1" t="s">
        <v>74</v>
      </c>
      <c r="AS249" s="1" t="s">
        <v>74</v>
      </c>
      <c r="AT249" s="1" t="s">
        <v>2699</v>
      </c>
      <c r="AU249" s="1">
        <v>2020.0</v>
      </c>
      <c r="AV249" s="1">
        <v>15.0</v>
      </c>
      <c r="AW249" s="1">
        <v>1.0</v>
      </c>
      <c r="AX249" s="1" t="s">
        <v>74</v>
      </c>
      <c r="AY249" s="1" t="s">
        <v>74</v>
      </c>
      <c r="AZ249" s="1" t="s">
        <v>74</v>
      </c>
      <c r="BA249" s="1" t="s">
        <v>74</v>
      </c>
      <c r="BB249" s="1">
        <v>4.0</v>
      </c>
      <c r="BC249" s="1">
        <v>13.0</v>
      </c>
      <c r="BD249" s="1" t="s">
        <v>74</v>
      </c>
      <c r="BE249" s="1" t="s">
        <v>2700</v>
      </c>
      <c r="BF249" s="2" t="str">
        <f>HYPERLINK("http://dx.doi.org/10.18002/rama.v15i1.6041","http://dx.doi.org/10.18002/rama.v15i1.6041")</f>
        <v>http://dx.doi.org/10.18002/rama.v15i1.6041</v>
      </c>
      <c r="BG249" s="1" t="s">
        <v>74</v>
      </c>
      <c r="BH249" s="1" t="s">
        <v>74</v>
      </c>
      <c r="BI249" s="1" t="s">
        <v>74</v>
      </c>
      <c r="BJ249" s="1" t="s">
        <v>74</v>
      </c>
      <c r="BK249" s="1" t="s">
        <v>74</v>
      </c>
      <c r="BL249" s="1" t="s">
        <v>74</v>
      </c>
      <c r="BM249" s="1" t="s">
        <v>74</v>
      </c>
      <c r="BN249" s="1" t="s">
        <v>74</v>
      </c>
      <c r="BO249" s="1" t="s">
        <v>74</v>
      </c>
      <c r="BP249" s="1" t="s">
        <v>74</v>
      </c>
      <c r="BQ249" s="1" t="s">
        <v>74</v>
      </c>
      <c r="BR249" s="1" t="s">
        <v>74</v>
      </c>
      <c r="BS249" s="1" t="s">
        <v>2701</v>
      </c>
      <c r="BT249" s="1" t="str">
        <f>HYPERLINK("https%3A%2F%2Fwww.webofscience.com%2Fwos%2Fwoscc%2Ffull-record%2FWOS:000567112000002","View Full Record in Web of Science")</f>
        <v>View Full Record in Web of Science</v>
      </c>
    </row>
    <row r="250" ht="12.75" customHeight="1">
      <c r="A250" s="1" t="s">
        <v>72</v>
      </c>
      <c r="B250" s="1" t="s">
        <v>2702</v>
      </c>
      <c r="C250" s="1" t="s">
        <v>74</v>
      </c>
      <c r="D250" s="1" t="s">
        <v>74</v>
      </c>
      <c r="E250" s="1" t="s">
        <v>74</v>
      </c>
      <c r="F250" s="1" t="s">
        <v>2703</v>
      </c>
      <c r="G250" s="1" t="s">
        <v>74</v>
      </c>
      <c r="H250" s="1" t="s">
        <v>74</v>
      </c>
      <c r="I250" s="1" t="s">
        <v>2704</v>
      </c>
      <c r="J250" s="1" t="s">
        <v>2705</v>
      </c>
      <c r="K250" s="1" t="s">
        <v>74</v>
      </c>
      <c r="L250" s="1" t="s">
        <v>74</v>
      </c>
      <c r="M250" s="1" t="s">
        <v>74</v>
      </c>
      <c r="N250" s="1" t="s">
        <v>74</v>
      </c>
      <c r="O250" s="1" t="s">
        <v>74</v>
      </c>
      <c r="P250" s="1" t="s">
        <v>74</v>
      </c>
      <c r="Q250" s="1" t="s">
        <v>74</v>
      </c>
      <c r="R250" s="1" t="s">
        <v>74</v>
      </c>
      <c r="S250" s="1" t="s">
        <v>74</v>
      </c>
      <c r="T250" s="1" t="s">
        <v>74</v>
      </c>
      <c r="U250" s="1" t="s">
        <v>74</v>
      </c>
      <c r="V250" s="1" t="s">
        <v>2706</v>
      </c>
      <c r="W250" s="1" t="s">
        <v>74</v>
      </c>
      <c r="X250" s="1" t="s">
        <v>74</v>
      </c>
      <c r="Y250" s="1" t="s">
        <v>74</v>
      </c>
      <c r="Z250" s="1" t="s">
        <v>74</v>
      </c>
      <c r="AA250" s="1" t="s">
        <v>2707</v>
      </c>
      <c r="AB250" s="1" t="s">
        <v>2708</v>
      </c>
      <c r="AC250" s="1" t="s">
        <v>74</v>
      </c>
      <c r="AD250" s="1" t="s">
        <v>74</v>
      </c>
      <c r="AE250" s="1" t="s">
        <v>74</v>
      </c>
      <c r="AF250" s="1" t="s">
        <v>74</v>
      </c>
      <c r="AG250" s="1" t="s">
        <v>74</v>
      </c>
      <c r="AH250" s="1" t="s">
        <v>74</v>
      </c>
      <c r="AI250" s="1" t="s">
        <v>74</v>
      </c>
      <c r="AJ250" s="1" t="s">
        <v>74</v>
      </c>
      <c r="AK250" s="1" t="s">
        <v>74</v>
      </c>
      <c r="AL250" s="1" t="s">
        <v>74</v>
      </c>
      <c r="AM250" s="1" t="s">
        <v>74</v>
      </c>
      <c r="AN250" s="1" t="s">
        <v>74</v>
      </c>
      <c r="AO250" s="1" t="s">
        <v>2709</v>
      </c>
      <c r="AP250" s="1" t="s">
        <v>2710</v>
      </c>
      <c r="AQ250" s="1" t="s">
        <v>74</v>
      </c>
      <c r="AR250" s="1" t="s">
        <v>74</v>
      </c>
      <c r="AS250" s="1" t="s">
        <v>74</v>
      </c>
      <c r="AT250" s="1" t="s">
        <v>2711</v>
      </c>
      <c r="AU250" s="1">
        <v>2019.0</v>
      </c>
      <c r="AV250" s="1">
        <v>39.0</v>
      </c>
      <c r="AW250" s="1">
        <v>41.0</v>
      </c>
      <c r="AX250" s="1" t="s">
        <v>74</v>
      </c>
      <c r="AY250" s="1" t="s">
        <v>74</v>
      </c>
      <c r="AZ250" s="1" t="s">
        <v>74</v>
      </c>
      <c r="BA250" s="1" t="s">
        <v>74</v>
      </c>
      <c r="BB250" s="1">
        <v>8177.0</v>
      </c>
      <c r="BC250" s="1">
        <v>8192.0</v>
      </c>
      <c r="BD250" s="1" t="s">
        <v>74</v>
      </c>
      <c r="BE250" s="1" t="s">
        <v>2712</v>
      </c>
      <c r="BF250" s="2" t="str">
        <f>HYPERLINK("http://dx.doi.org/10.1523/JNEUROSCI.0654-19.2019","http://dx.doi.org/10.1523/JNEUROSCI.0654-19.2019")</f>
        <v>http://dx.doi.org/10.1523/JNEUROSCI.0654-19.2019</v>
      </c>
      <c r="BG250" s="1" t="s">
        <v>74</v>
      </c>
      <c r="BH250" s="1" t="s">
        <v>74</v>
      </c>
      <c r="BI250" s="1" t="s">
        <v>74</v>
      </c>
      <c r="BJ250" s="1" t="s">
        <v>74</v>
      </c>
      <c r="BK250" s="1" t="s">
        <v>74</v>
      </c>
      <c r="BL250" s="1" t="s">
        <v>74</v>
      </c>
      <c r="BM250" s="1" t="s">
        <v>74</v>
      </c>
      <c r="BN250" s="1">
        <v>3.1471469E7</v>
      </c>
      <c r="BO250" s="1" t="s">
        <v>74</v>
      </c>
      <c r="BP250" s="1" t="s">
        <v>74</v>
      </c>
      <c r="BQ250" s="1" t="s">
        <v>74</v>
      </c>
      <c r="BR250" s="1" t="s">
        <v>74</v>
      </c>
      <c r="BS250" s="1" t="s">
        <v>2713</v>
      </c>
      <c r="BT250" s="1" t="str">
        <f>HYPERLINK("https%3A%2F%2Fwww.webofscience.com%2Fwos%2Fwoscc%2Ffull-record%2FWOS:000489258700015","View Full Record in Web of Science")</f>
        <v>View Full Record in Web of Science</v>
      </c>
    </row>
    <row r="251" ht="12.75" customHeight="1">
      <c r="A251" s="1" t="s">
        <v>72</v>
      </c>
      <c r="B251" s="1" t="s">
        <v>2714</v>
      </c>
      <c r="C251" s="1" t="s">
        <v>74</v>
      </c>
      <c r="D251" s="1" t="s">
        <v>74</v>
      </c>
      <c r="E251" s="1" t="s">
        <v>74</v>
      </c>
      <c r="F251" s="1" t="s">
        <v>2715</v>
      </c>
      <c r="G251" s="1" t="s">
        <v>74</v>
      </c>
      <c r="H251" s="1" t="s">
        <v>74</v>
      </c>
      <c r="I251" s="1" t="s">
        <v>2716</v>
      </c>
      <c r="J251" s="1" t="s">
        <v>174</v>
      </c>
      <c r="K251" s="1" t="s">
        <v>74</v>
      </c>
      <c r="L251" s="1" t="s">
        <v>74</v>
      </c>
      <c r="M251" s="1" t="s">
        <v>74</v>
      </c>
      <c r="N251" s="1" t="s">
        <v>74</v>
      </c>
      <c r="O251" s="1" t="s">
        <v>74</v>
      </c>
      <c r="P251" s="1" t="s">
        <v>74</v>
      </c>
      <c r="Q251" s="1" t="s">
        <v>74</v>
      </c>
      <c r="R251" s="1" t="s">
        <v>74</v>
      </c>
      <c r="S251" s="1" t="s">
        <v>74</v>
      </c>
      <c r="T251" s="1" t="s">
        <v>74</v>
      </c>
      <c r="U251" s="1" t="s">
        <v>74</v>
      </c>
      <c r="V251" s="1" t="s">
        <v>2717</v>
      </c>
      <c r="W251" s="1" t="s">
        <v>74</v>
      </c>
      <c r="X251" s="1" t="s">
        <v>74</v>
      </c>
      <c r="Y251" s="1" t="s">
        <v>74</v>
      </c>
      <c r="Z251" s="1" t="s">
        <v>74</v>
      </c>
      <c r="AA251" s="1" t="s">
        <v>2718</v>
      </c>
      <c r="AB251" s="1" t="s">
        <v>2719</v>
      </c>
      <c r="AC251" s="1" t="s">
        <v>74</v>
      </c>
      <c r="AD251" s="1" t="s">
        <v>74</v>
      </c>
      <c r="AE251" s="1" t="s">
        <v>74</v>
      </c>
      <c r="AF251" s="1" t="s">
        <v>74</v>
      </c>
      <c r="AG251" s="1" t="s">
        <v>74</v>
      </c>
      <c r="AH251" s="1" t="s">
        <v>74</v>
      </c>
      <c r="AI251" s="1" t="s">
        <v>74</v>
      </c>
      <c r="AJ251" s="1" t="s">
        <v>74</v>
      </c>
      <c r="AK251" s="1" t="s">
        <v>74</v>
      </c>
      <c r="AL251" s="1" t="s">
        <v>74</v>
      </c>
      <c r="AM251" s="1" t="s">
        <v>74</v>
      </c>
      <c r="AN251" s="1" t="s">
        <v>74</v>
      </c>
      <c r="AO251" s="1" t="s">
        <v>178</v>
      </c>
      <c r="AP251" s="1" t="s">
        <v>74</v>
      </c>
      <c r="AQ251" s="1" t="s">
        <v>74</v>
      </c>
      <c r="AR251" s="1" t="s">
        <v>74</v>
      </c>
      <c r="AS251" s="1" t="s">
        <v>74</v>
      </c>
      <c r="AT251" s="1" t="s">
        <v>1316</v>
      </c>
      <c r="AU251" s="1">
        <v>2013.0</v>
      </c>
      <c r="AV251" s="1">
        <v>8.0</v>
      </c>
      <c r="AW251" s="1">
        <v>4.0</v>
      </c>
      <c r="AX251" s="1" t="s">
        <v>74</v>
      </c>
      <c r="AY251" s="1" t="s">
        <v>74</v>
      </c>
      <c r="AZ251" s="1" t="s">
        <v>74</v>
      </c>
      <c r="BA251" s="1" t="s">
        <v>74</v>
      </c>
      <c r="BB251" s="1" t="s">
        <v>74</v>
      </c>
      <c r="BC251" s="1" t="s">
        <v>74</v>
      </c>
      <c r="BD251" s="1" t="s">
        <v>2720</v>
      </c>
      <c r="BE251" s="1" t="s">
        <v>2721</v>
      </c>
      <c r="BF251" s="2" t="str">
        <f>HYPERLINK("http://dx.doi.org/10.1371/journal.pone.0062588","http://dx.doi.org/10.1371/journal.pone.0062588")</f>
        <v>http://dx.doi.org/10.1371/journal.pone.0062588</v>
      </c>
      <c r="BG251" s="1" t="s">
        <v>74</v>
      </c>
      <c r="BH251" s="1" t="s">
        <v>74</v>
      </c>
      <c r="BI251" s="1" t="s">
        <v>74</v>
      </c>
      <c r="BJ251" s="1" t="s">
        <v>74</v>
      </c>
      <c r="BK251" s="1" t="s">
        <v>74</v>
      </c>
      <c r="BL251" s="1" t="s">
        <v>74</v>
      </c>
      <c r="BM251" s="1" t="s">
        <v>74</v>
      </c>
      <c r="BN251" s="1">
        <v>2.3638121E7</v>
      </c>
      <c r="BO251" s="1" t="s">
        <v>74</v>
      </c>
      <c r="BP251" s="1" t="s">
        <v>74</v>
      </c>
      <c r="BQ251" s="1" t="s">
        <v>74</v>
      </c>
      <c r="BR251" s="1" t="s">
        <v>74</v>
      </c>
      <c r="BS251" s="1" t="s">
        <v>2722</v>
      </c>
      <c r="BT251" s="1" t="str">
        <f>HYPERLINK("https%3A%2F%2Fwww.webofscience.com%2Fwos%2Fwoscc%2Ffull-record%2FWOS:000319077300080","View Full Record in Web of Science")</f>
        <v>View Full Record in Web of Science</v>
      </c>
    </row>
    <row r="252" ht="12.75" customHeight="1">
      <c r="A252" s="1" t="s">
        <v>72</v>
      </c>
      <c r="B252" s="1" t="s">
        <v>2723</v>
      </c>
      <c r="C252" s="1" t="s">
        <v>74</v>
      </c>
      <c r="D252" s="1" t="s">
        <v>74</v>
      </c>
      <c r="E252" s="1" t="s">
        <v>74</v>
      </c>
      <c r="F252" s="1" t="s">
        <v>2724</v>
      </c>
      <c r="G252" s="1" t="s">
        <v>74</v>
      </c>
      <c r="H252" s="1" t="s">
        <v>74</v>
      </c>
      <c r="I252" s="1" t="s">
        <v>2725</v>
      </c>
      <c r="J252" s="1" t="s">
        <v>2726</v>
      </c>
      <c r="K252" s="1" t="s">
        <v>74</v>
      </c>
      <c r="L252" s="1" t="s">
        <v>74</v>
      </c>
      <c r="M252" s="1" t="s">
        <v>74</v>
      </c>
      <c r="N252" s="1" t="s">
        <v>74</v>
      </c>
      <c r="O252" s="1" t="s">
        <v>74</v>
      </c>
      <c r="P252" s="1" t="s">
        <v>74</v>
      </c>
      <c r="Q252" s="1" t="s">
        <v>74</v>
      </c>
      <c r="R252" s="1" t="s">
        <v>74</v>
      </c>
      <c r="S252" s="1" t="s">
        <v>74</v>
      </c>
      <c r="T252" s="1" t="s">
        <v>74</v>
      </c>
      <c r="U252" s="1" t="s">
        <v>74</v>
      </c>
      <c r="V252" s="1" t="s">
        <v>2727</v>
      </c>
      <c r="W252" s="1" t="s">
        <v>74</v>
      </c>
      <c r="X252" s="1" t="s">
        <v>74</v>
      </c>
      <c r="Y252" s="1" t="s">
        <v>74</v>
      </c>
      <c r="Z252" s="1" t="s">
        <v>74</v>
      </c>
      <c r="AA252" s="1" t="s">
        <v>2728</v>
      </c>
      <c r="AB252" s="1" t="s">
        <v>2729</v>
      </c>
      <c r="AC252" s="1" t="s">
        <v>74</v>
      </c>
      <c r="AD252" s="1" t="s">
        <v>74</v>
      </c>
      <c r="AE252" s="1" t="s">
        <v>74</v>
      </c>
      <c r="AF252" s="1" t="s">
        <v>74</v>
      </c>
      <c r="AG252" s="1" t="s">
        <v>74</v>
      </c>
      <c r="AH252" s="1" t="s">
        <v>74</v>
      </c>
      <c r="AI252" s="1" t="s">
        <v>74</v>
      </c>
      <c r="AJ252" s="1" t="s">
        <v>74</v>
      </c>
      <c r="AK252" s="1" t="s">
        <v>74</v>
      </c>
      <c r="AL252" s="1" t="s">
        <v>74</v>
      </c>
      <c r="AM252" s="1" t="s">
        <v>74</v>
      </c>
      <c r="AN252" s="1" t="s">
        <v>74</v>
      </c>
      <c r="AO252" s="1" t="s">
        <v>2730</v>
      </c>
      <c r="AP252" s="1" t="s">
        <v>2731</v>
      </c>
      <c r="AQ252" s="1" t="s">
        <v>74</v>
      </c>
      <c r="AR252" s="1" t="s">
        <v>74</v>
      </c>
      <c r="AS252" s="1" t="s">
        <v>74</v>
      </c>
      <c r="AT252" s="1" t="s">
        <v>2732</v>
      </c>
      <c r="AU252" s="1">
        <v>2011.0</v>
      </c>
      <c r="AV252" s="1">
        <v>100.0</v>
      </c>
      <c r="AW252" s="1" t="s">
        <v>822</v>
      </c>
      <c r="AX252" s="1" t="s">
        <v>74</v>
      </c>
      <c r="AY252" s="1" t="s">
        <v>74</v>
      </c>
      <c r="AZ252" s="1" t="s">
        <v>74</v>
      </c>
      <c r="BA252" s="1" t="s">
        <v>74</v>
      </c>
      <c r="BB252" s="1">
        <v>124.0</v>
      </c>
      <c r="BC252" s="1">
        <v>129.0</v>
      </c>
      <c r="BD252" s="1" t="s">
        <v>74</v>
      </c>
      <c r="BE252" s="1" t="s">
        <v>2733</v>
      </c>
      <c r="BF252" s="2" t="str">
        <f>HYPERLINK("http://dx.doi.org/10.1016/j.minpro.2011.05.009","http://dx.doi.org/10.1016/j.minpro.2011.05.009")</f>
        <v>http://dx.doi.org/10.1016/j.minpro.2011.05.009</v>
      </c>
      <c r="BG252" s="1" t="s">
        <v>74</v>
      </c>
      <c r="BH252" s="1" t="s">
        <v>74</v>
      </c>
      <c r="BI252" s="1" t="s">
        <v>74</v>
      </c>
      <c r="BJ252" s="1" t="s">
        <v>74</v>
      </c>
      <c r="BK252" s="1" t="s">
        <v>74</v>
      </c>
      <c r="BL252" s="1" t="s">
        <v>74</v>
      </c>
      <c r="BM252" s="1" t="s">
        <v>74</v>
      </c>
      <c r="BN252" s="1" t="s">
        <v>74</v>
      </c>
      <c r="BO252" s="1" t="s">
        <v>74</v>
      </c>
      <c r="BP252" s="1" t="s">
        <v>74</v>
      </c>
      <c r="BQ252" s="1" t="s">
        <v>74</v>
      </c>
      <c r="BR252" s="1" t="s">
        <v>74</v>
      </c>
      <c r="BS252" s="1" t="s">
        <v>2734</v>
      </c>
      <c r="BT252" s="1" t="str">
        <f>HYPERLINK("https%3A%2F%2Fwww.webofscience.com%2Fwos%2Fwoscc%2Ffull-record%2FWOS:000295501700009","View Full Record in Web of Science")</f>
        <v>View Full Record in Web of Science</v>
      </c>
    </row>
    <row r="253" ht="12.75" customHeight="1">
      <c r="A253" s="1" t="s">
        <v>72</v>
      </c>
      <c r="B253" s="1" t="s">
        <v>2735</v>
      </c>
      <c r="C253" s="1" t="s">
        <v>74</v>
      </c>
      <c r="D253" s="1" t="s">
        <v>74</v>
      </c>
      <c r="E253" s="1" t="s">
        <v>74</v>
      </c>
      <c r="F253" s="1" t="s">
        <v>2736</v>
      </c>
      <c r="G253" s="1" t="s">
        <v>74</v>
      </c>
      <c r="H253" s="1" t="s">
        <v>74</v>
      </c>
      <c r="I253" s="1" t="s">
        <v>2737</v>
      </c>
      <c r="J253" s="1" t="s">
        <v>2738</v>
      </c>
      <c r="K253" s="1" t="s">
        <v>74</v>
      </c>
      <c r="L253" s="1" t="s">
        <v>74</v>
      </c>
      <c r="M253" s="1" t="s">
        <v>74</v>
      </c>
      <c r="N253" s="1" t="s">
        <v>74</v>
      </c>
      <c r="O253" s="1" t="s">
        <v>74</v>
      </c>
      <c r="P253" s="1" t="s">
        <v>74</v>
      </c>
      <c r="Q253" s="1" t="s">
        <v>74</v>
      </c>
      <c r="R253" s="1" t="s">
        <v>74</v>
      </c>
      <c r="S253" s="1" t="s">
        <v>74</v>
      </c>
      <c r="T253" s="1" t="s">
        <v>74</v>
      </c>
      <c r="U253" s="1" t="s">
        <v>74</v>
      </c>
      <c r="V253" s="1" t="s">
        <v>2739</v>
      </c>
      <c r="W253" s="1" t="s">
        <v>74</v>
      </c>
      <c r="X253" s="1" t="s">
        <v>74</v>
      </c>
      <c r="Y253" s="1" t="s">
        <v>74</v>
      </c>
      <c r="Z253" s="1" t="s">
        <v>74</v>
      </c>
      <c r="AA253" s="1" t="s">
        <v>2740</v>
      </c>
      <c r="AB253" s="1" t="s">
        <v>2741</v>
      </c>
      <c r="AC253" s="1" t="s">
        <v>74</v>
      </c>
      <c r="AD253" s="1" t="s">
        <v>74</v>
      </c>
      <c r="AE253" s="1" t="s">
        <v>74</v>
      </c>
      <c r="AF253" s="1" t="s">
        <v>74</v>
      </c>
      <c r="AG253" s="1" t="s">
        <v>74</v>
      </c>
      <c r="AH253" s="1" t="s">
        <v>74</v>
      </c>
      <c r="AI253" s="1" t="s">
        <v>74</v>
      </c>
      <c r="AJ253" s="1" t="s">
        <v>74</v>
      </c>
      <c r="AK253" s="1" t="s">
        <v>74</v>
      </c>
      <c r="AL253" s="1" t="s">
        <v>74</v>
      </c>
      <c r="AM253" s="1" t="s">
        <v>74</v>
      </c>
      <c r="AN253" s="1" t="s">
        <v>74</v>
      </c>
      <c r="AO253" s="1" t="s">
        <v>2742</v>
      </c>
      <c r="AP253" s="1" t="s">
        <v>2743</v>
      </c>
      <c r="AQ253" s="1" t="s">
        <v>74</v>
      </c>
      <c r="AR253" s="1" t="s">
        <v>74</v>
      </c>
      <c r="AS253" s="1" t="s">
        <v>74</v>
      </c>
      <c r="AT253" s="1" t="s">
        <v>438</v>
      </c>
      <c r="AU253" s="1">
        <v>2011.0</v>
      </c>
      <c r="AV253" s="1">
        <v>111.0</v>
      </c>
      <c r="AW253" s="1">
        <v>3.0</v>
      </c>
      <c r="AX253" s="1" t="s">
        <v>74</v>
      </c>
      <c r="AY253" s="1" t="s">
        <v>74</v>
      </c>
      <c r="AZ253" s="1" t="s">
        <v>74</v>
      </c>
      <c r="BA253" s="1" t="s">
        <v>74</v>
      </c>
      <c r="BB253" s="1">
        <v>388.0</v>
      </c>
      <c r="BC253" s="1">
        <v>393.0</v>
      </c>
      <c r="BD253" s="1" t="s">
        <v>74</v>
      </c>
      <c r="BE253" s="1" t="s">
        <v>2744</v>
      </c>
      <c r="BF253" s="2" t="str">
        <f>HYPERLINK("http://dx.doi.org/10.1016/j.envres.2011.01.003","http://dx.doi.org/10.1016/j.envres.2011.01.003")</f>
        <v>http://dx.doi.org/10.1016/j.envres.2011.01.003</v>
      </c>
      <c r="BG253" s="1" t="s">
        <v>74</v>
      </c>
      <c r="BH253" s="1" t="s">
        <v>74</v>
      </c>
      <c r="BI253" s="1" t="s">
        <v>74</v>
      </c>
      <c r="BJ253" s="1" t="s">
        <v>74</v>
      </c>
      <c r="BK253" s="1" t="s">
        <v>74</v>
      </c>
      <c r="BL253" s="1" t="s">
        <v>74</v>
      </c>
      <c r="BM253" s="1" t="s">
        <v>74</v>
      </c>
      <c r="BN253" s="1">
        <v>2.1256481E7</v>
      </c>
      <c r="BO253" s="1" t="s">
        <v>74</v>
      </c>
      <c r="BP253" s="1" t="s">
        <v>74</v>
      </c>
      <c r="BQ253" s="1" t="s">
        <v>74</v>
      </c>
      <c r="BR253" s="1" t="s">
        <v>74</v>
      </c>
      <c r="BS253" s="1" t="s">
        <v>2745</v>
      </c>
      <c r="BT253" s="1" t="str">
        <f>HYPERLINK("https%3A%2F%2Fwww.webofscience.com%2Fwos%2Fwoscc%2Ffull-record%2FWOS:000289026700009","View Full Record in Web of Science")</f>
        <v>View Full Record in Web of Science</v>
      </c>
    </row>
    <row r="254" ht="12.75" customHeight="1">
      <c r="A254" s="1" t="s">
        <v>72</v>
      </c>
      <c r="B254" s="1" t="s">
        <v>1012</v>
      </c>
      <c r="C254" s="1" t="s">
        <v>74</v>
      </c>
      <c r="D254" s="1" t="s">
        <v>74</v>
      </c>
      <c r="E254" s="1" t="s">
        <v>74</v>
      </c>
      <c r="F254" s="1" t="s">
        <v>1013</v>
      </c>
      <c r="G254" s="1" t="s">
        <v>74</v>
      </c>
      <c r="H254" s="1" t="s">
        <v>74</v>
      </c>
      <c r="I254" s="1" t="s">
        <v>2746</v>
      </c>
      <c r="J254" s="1" t="s">
        <v>2747</v>
      </c>
      <c r="K254" s="1" t="s">
        <v>74</v>
      </c>
      <c r="L254" s="1" t="s">
        <v>74</v>
      </c>
      <c r="M254" s="1" t="s">
        <v>74</v>
      </c>
      <c r="N254" s="1" t="s">
        <v>74</v>
      </c>
      <c r="O254" s="1" t="s">
        <v>74</v>
      </c>
      <c r="P254" s="1" t="s">
        <v>74</v>
      </c>
      <c r="Q254" s="1" t="s">
        <v>74</v>
      </c>
      <c r="R254" s="1" t="s">
        <v>74</v>
      </c>
      <c r="S254" s="1" t="s">
        <v>74</v>
      </c>
      <c r="T254" s="1" t="s">
        <v>74</v>
      </c>
      <c r="U254" s="1" t="s">
        <v>74</v>
      </c>
      <c r="V254" s="1" t="s">
        <v>2748</v>
      </c>
      <c r="W254" s="1" t="s">
        <v>74</v>
      </c>
      <c r="X254" s="1" t="s">
        <v>74</v>
      </c>
      <c r="Y254" s="1" t="s">
        <v>74</v>
      </c>
      <c r="Z254" s="1" t="s">
        <v>74</v>
      </c>
      <c r="AA254" s="1" t="s">
        <v>1017</v>
      </c>
      <c r="AB254" s="1" t="s">
        <v>1018</v>
      </c>
      <c r="AC254" s="1" t="s">
        <v>74</v>
      </c>
      <c r="AD254" s="1" t="s">
        <v>74</v>
      </c>
      <c r="AE254" s="1" t="s">
        <v>74</v>
      </c>
      <c r="AF254" s="1" t="s">
        <v>74</v>
      </c>
      <c r="AG254" s="1" t="s">
        <v>74</v>
      </c>
      <c r="AH254" s="1" t="s">
        <v>74</v>
      </c>
      <c r="AI254" s="1" t="s">
        <v>74</v>
      </c>
      <c r="AJ254" s="1" t="s">
        <v>74</v>
      </c>
      <c r="AK254" s="1" t="s">
        <v>74</v>
      </c>
      <c r="AL254" s="1" t="s">
        <v>74</v>
      </c>
      <c r="AM254" s="1" t="s">
        <v>74</v>
      </c>
      <c r="AN254" s="1" t="s">
        <v>74</v>
      </c>
      <c r="AO254" s="1" t="s">
        <v>2749</v>
      </c>
      <c r="AP254" s="1" t="s">
        <v>2750</v>
      </c>
      <c r="AQ254" s="1" t="s">
        <v>74</v>
      </c>
      <c r="AR254" s="1" t="s">
        <v>74</v>
      </c>
      <c r="AS254" s="1" t="s">
        <v>74</v>
      </c>
      <c r="AT254" s="1" t="s">
        <v>129</v>
      </c>
      <c r="AU254" s="1">
        <v>2008.0</v>
      </c>
      <c r="AV254" s="1">
        <v>19.0</v>
      </c>
      <c r="AW254" s="1">
        <v>1.0</v>
      </c>
      <c r="AX254" s="1" t="s">
        <v>74</v>
      </c>
      <c r="AY254" s="1" t="s">
        <v>74</v>
      </c>
      <c r="AZ254" s="1" t="s">
        <v>74</v>
      </c>
      <c r="BA254" s="1" t="s">
        <v>74</v>
      </c>
      <c r="BB254" s="1">
        <v>4.0</v>
      </c>
      <c r="BC254" s="1">
        <v>6.0</v>
      </c>
      <c r="BD254" s="1" t="s">
        <v>74</v>
      </c>
      <c r="BE254" s="1" t="s">
        <v>74</v>
      </c>
      <c r="BF254" s="1" t="s">
        <v>74</v>
      </c>
      <c r="BG254" s="1" t="s">
        <v>74</v>
      </c>
      <c r="BH254" s="1" t="s">
        <v>74</v>
      </c>
      <c r="BI254" s="1" t="s">
        <v>74</v>
      </c>
      <c r="BJ254" s="1" t="s">
        <v>74</v>
      </c>
      <c r="BK254" s="1" t="s">
        <v>74</v>
      </c>
      <c r="BL254" s="1" t="s">
        <v>74</v>
      </c>
      <c r="BM254" s="1" t="s">
        <v>74</v>
      </c>
      <c r="BN254" s="1" t="s">
        <v>74</v>
      </c>
      <c r="BO254" s="1" t="s">
        <v>74</v>
      </c>
      <c r="BP254" s="1" t="s">
        <v>74</v>
      </c>
      <c r="BQ254" s="1" t="s">
        <v>74</v>
      </c>
      <c r="BR254" s="1" t="s">
        <v>74</v>
      </c>
      <c r="BS254" s="1" t="s">
        <v>2751</v>
      </c>
      <c r="BT254" s="1" t="str">
        <f>HYPERLINK("https%3A%2F%2Fwww.webofscience.com%2Fwos%2Fwoscc%2Ffull-record%2FWOS:000254138100002","View Full Record in Web of Science")</f>
        <v>View Full Record in Web of Science</v>
      </c>
    </row>
    <row r="255" ht="12.75" customHeight="1">
      <c r="A255" s="1" t="s">
        <v>72</v>
      </c>
      <c r="B255" s="1" t="s">
        <v>2752</v>
      </c>
      <c r="C255" s="1" t="s">
        <v>74</v>
      </c>
      <c r="D255" s="1" t="s">
        <v>74</v>
      </c>
      <c r="E255" s="1" t="s">
        <v>74</v>
      </c>
      <c r="F255" s="1" t="s">
        <v>2752</v>
      </c>
      <c r="G255" s="1" t="s">
        <v>74</v>
      </c>
      <c r="H255" s="1" t="s">
        <v>74</v>
      </c>
      <c r="I255" s="1" t="s">
        <v>2753</v>
      </c>
      <c r="J255" s="1" t="s">
        <v>2754</v>
      </c>
      <c r="K255" s="1" t="s">
        <v>74</v>
      </c>
      <c r="L255" s="1" t="s">
        <v>74</v>
      </c>
      <c r="M255" s="1" t="s">
        <v>74</v>
      </c>
      <c r="N255" s="1" t="s">
        <v>74</v>
      </c>
      <c r="O255" s="1" t="s">
        <v>74</v>
      </c>
      <c r="P255" s="1" t="s">
        <v>74</v>
      </c>
      <c r="Q255" s="1" t="s">
        <v>74</v>
      </c>
      <c r="R255" s="1" t="s">
        <v>74</v>
      </c>
      <c r="S255" s="1" t="s">
        <v>74</v>
      </c>
      <c r="T255" s="1" t="s">
        <v>74</v>
      </c>
      <c r="U255" s="1" t="s">
        <v>74</v>
      </c>
      <c r="V255" s="1" t="s">
        <v>2755</v>
      </c>
      <c r="W255" s="1" t="s">
        <v>74</v>
      </c>
      <c r="X255" s="1" t="s">
        <v>74</v>
      </c>
      <c r="Y255" s="1" t="s">
        <v>74</v>
      </c>
      <c r="Z255" s="1" t="s">
        <v>74</v>
      </c>
      <c r="AA255" s="1" t="s">
        <v>2756</v>
      </c>
      <c r="AB255" s="1" t="s">
        <v>2757</v>
      </c>
      <c r="AC255" s="1" t="s">
        <v>74</v>
      </c>
      <c r="AD255" s="1" t="s">
        <v>74</v>
      </c>
      <c r="AE255" s="1" t="s">
        <v>74</v>
      </c>
      <c r="AF255" s="1" t="s">
        <v>74</v>
      </c>
      <c r="AG255" s="1" t="s">
        <v>74</v>
      </c>
      <c r="AH255" s="1" t="s">
        <v>74</v>
      </c>
      <c r="AI255" s="1" t="s">
        <v>74</v>
      </c>
      <c r="AJ255" s="1" t="s">
        <v>74</v>
      </c>
      <c r="AK255" s="1" t="s">
        <v>74</v>
      </c>
      <c r="AL255" s="1" t="s">
        <v>74</v>
      </c>
      <c r="AM255" s="1" t="s">
        <v>74</v>
      </c>
      <c r="AN255" s="1" t="s">
        <v>74</v>
      </c>
      <c r="AO255" s="1" t="s">
        <v>2758</v>
      </c>
      <c r="AP255" s="1" t="s">
        <v>2759</v>
      </c>
      <c r="AQ255" s="1" t="s">
        <v>74</v>
      </c>
      <c r="AR255" s="1" t="s">
        <v>74</v>
      </c>
      <c r="AS255" s="1" t="s">
        <v>74</v>
      </c>
      <c r="AT255" s="1" t="s">
        <v>577</v>
      </c>
      <c r="AU255" s="1">
        <v>2002.0</v>
      </c>
      <c r="AV255" s="1">
        <v>92.0</v>
      </c>
      <c r="AW255" s="1">
        <v>3.0</v>
      </c>
      <c r="AX255" s="1" t="s">
        <v>74</v>
      </c>
      <c r="AY255" s="1" t="s">
        <v>74</v>
      </c>
      <c r="AZ255" s="1" t="s">
        <v>74</v>
      </c>
      <c r="BA255" s="1" t="s">
        <v>74</v>
      </c>
      <c r="BB255" s="1">
        <v>1227.0</v>
      </c>
      <c r="BC255" s="1">
        <v>1231.0</v>
      </c>
      <c r="BD255" s="1" t="s">
        <v>74</v>
      </c>
      <c r="BE255" s="1" t="s">
        <v>2760</v>
      </c>
      <c r="BF255" s="2" t="str">
        <f>HYPERLINK("http://dx.doi.org/10.1063/1.1489495","http://dx.doi.org/10.1063/1.1489495")</f>
        <v>http://dx.doi.org/10.1063/1.1489495</v>
      </c>
      <c r="BG255" s="1" t="s">
        <v>74</v>
      </c>
      <c r="BH255" s="1" t="s">
        <v>74</v>
      </c>
      <c r="BI255" s="1" t="s">
        <v>74</v>
      </c>
      <c r="BJ255" s="1" t="s">
        <v>74</v>
      </c>
      <c r="BK255" s="1" t="s">
        <v>74</v>
      </c>
      <c r="BL255" s="1" t="s">
        <v>74</v>
      </c>
      <c r="BM255" s="1" t="s">
        <v>74</v>
      </c>
      <c r="BN255" s="1" t="s">
        <v>74</v>
      </c>
      <c r="BO255" s="1" t="s">
        <v>74</v>
      </c>
      <c r="BP255" s="1" t="s">
        <v>74</v>
      </c>
      <c r="BQ255" s="1" t="s">
        <v>74</v>
      </c>
      <c r="BR255" s="1" t="s">
        <v>74</v>
      </c>
      <c r="BS255" s="1" t="s">
        <v>2761</v>
      </c>
      <c r="BT255" s="1" t="str">
        <f>HYPERLINK("https%3A%2F%2Fwww.webofscience.com%2Fwos%2Fwoscc%2Ffull-record%2FWOS:000176907700010","View Full Record in Web of Science")</f>
        <v>View Full Record in Web of Science</v>
      </c>
    </row>
    <row r="256" ht="12.75" customHeight="1">
      <c r="A256" s="1" t="s">
        <v>72</v>
      </c>
      <c r="B256" s="1" t="s">
        <v>2762</v>
      </c>
      <c r="C256" s="1" t="s">
        <v>74</v>
      </c>
      <c r="D256" s="1" t="s">
        <v>74</v>
      </c>
      <c r="E256" s="1" t="s">
        <v>74</v>
      </c>
      <c r="F256" s="1" t="s">
        <v>2762</v>
      </c>
      <c r="G256" s="1" t="s">
        <v>74</v>
      </c>
      <c r="H256" s="1" t="s">
        <v>74</v>
      </c>
      <c r="I256" s="1" t="s">
        <v>2763</v>
      </c>
      <c r="J256" s="1" t="s">
        <v>2764</v>
      </c>
      <c r="K256" s="1" t="s">
        <v>74</v>
      </c>
      <c r="L256" s="1" t="s">
        <v>74</v>
      </c>
      <c r="M256" s="1" t="s">
        <v>74</v>
      </c>
      <c r="N256" s="1" t="s">
        <v>74</v>
      </c>
      <c r="O256" s="1" t="s">
        <v>74</v>
      </c>
      <c r="P256" s="1" t="s">
        <v>74</v>
      </c>
      <c r="Q256" s="1" t="s">
        <v>74</v>
      </c>
      <c r="R256" s="1" t="s">
        <v>74</v>
      </c>
      <c r="S256" s="1" t="s">
        <v>74</v>
      </c>
      <c r="T256" s="1" t="s">
        <v>74</v>
      </c>
      <c r="U256" s="1" t="s">
        <v>74</v>
      </c>
      <c r="V256" s="1" t="s">
        <v>2765</v>
      </c>
      <c r="W256" s="1" t="s">
        <v>74</v>
      </c>
      <c r="X256" s="1" t="s">
        <v>74</v>
      </c>
      <c r="Y256" s="1" t="s">
        <v>74</v>
      </c>
      <c r="Z256" s="1" t="s">
        <v>74</v>
      </c>
      <c r="AA256" s="1" t="s">
        <v>2766</v>
      </c>
      <c r="AB256" s="1" t="s">
        <v>2767</v>
      </c>
      <c r="AC256" s="1" t="s">
        <v>74</v>
      </c>
      <c r="AD256" s="1" t="s">
        <v>74</v>
      </c>
      <c r="AE256" s="1" t="s">
        <v>74</v>
      </c>
      <c r="AF256" s="1" t="s">
        <v>74</v>
      </c>
      <c r="AG256" s="1" t="s">
        <v>74</v>
      </c>
      <c r="AH256" s="1" t="s">
        <v>74</v>
      </c>
      <c r="AI256" s="1" t="s">
        <v>74</v>
      </c>
      <c r="AJ256" s="1" t="s">
        <v>74</v>
      </c>
      <c r="AK256" s="1" t="s">
        <v>74</v>
      </c>
      <c r="AL256" s="1" t="s">
        <v>74</v>
      </c>
      <c r="AM256" s="1" t="s">
        <v>74</v>
      </c>
      <c r="AN256" s="1" t="s">
        <v>74</v>
      </c>
      <c r="AO256" s="1" t="s">
        <v>2768</v>
      </c>
      <c r="AP256" s="1" t="s">
        <v>74</v>
      </c>
      <c r="AQ256" s="1" t="s">
        <v>74</v>
      </c>
      <c r="AR256" s="1" t="s">
        <v>74</v>
      </c>
      <c r="AS256" s="1" t="s">
        <v>74</v>
      </c>
      <c r="AT256" s="1" t="s">
        <v>2769</v>
      </c>
      <c r="AU256" s="1">
        <v>2001.0</v>
      </c>
      <c r="AV256" s="1">
        <v>39.0</v>
      </c>
      <c r="AW256" s="1">
        <v>3.0</v>
      </c>
      <c r="AX256" s="1" t="s">
        <v>74</v>
      </c>
      <c r="AY256" s="1" t="s">
        <v>74</v>
      </c>
      <c r="AZ256" s="1" t="s">
        <v>74</v>
      </c>
      <c r="BA256" s="1" t="s">
        <v>74</v>
      </c>
      <c r="BB256" s="1">
        <v>265.0</v>
      </c>
      <c r="BC256" s="1">
        <v>271.0</v>
      </c>
      <c r="BD256" s="1" t="s">
        <v>74</v>
      </c>
      <c r="BE256" s="1" t="s">
        <v>2770</v>
      </c>
      <c r="BF256" s="2" t="str">
        <f>HYPERLINK("http://dx.doi.org/10.1016/S0378-5122(01)00195-5","http://dx.doi.org/10.1016/S0378-5122(01)00195-5")</f>
        <v>http://dx.doi.org/10.1016/S0378-5122(01)00195-5</v>
      </c>
      <c r="BG256" s="1" t="s">
        <v>74</v>
      </c>
      <c r="BH256" s="1" t="s">
        <v>74</v>
      </c>
      <c r="BI256" s="1" t="s">
        <v>74</v>
      </c>
      <c r="BJ256" s="1" t="s">
        <v>74</v>
      </c>
      <c r="BK256" s="1" t="s">
        <v>74</v>
      </c>
      <c r="BL256" s="1" t="s">
        <v>74</v>
      </c>
      <c r="BM256" s="1" t="s">
        <v>74</v>
      </c>
      <c r="BN256" s="1">
        <v>1.1574187E7</v>
      </c>
      <c r="BO256" s="1" t="s">
        <v>74</v>
      </c>
      <c r="BP256" s="1" t="s">
        <v>74</v>
      </c>
      <c r="BQ256" s="1" t="s">
        <v>74</v>
      </c>
      <c r="BR256" s="1" t="s">
        <v>74</v>
      </c>
      <c r="BS256" s="1" t="s">
        <v>2771</v>
      </c>
      <c r="BT256" s="1" t="str">
        <f>HYPERLINK("https%3A%2F%2Fwww.webofscience.com%2Fwos%2Fwoscc%2Ffull-record%2FWOS:000171577900011","View Full Record in Web of Science")</f>
        <v>View Full Record in Web of Science</v>
      </c>
    </row>
    <row r="257" ht="12.75" customHeight="1">
      <c r="A257" s="1" t="s">
        <v>72</v>
      </c>
      <c r="B257" s="1" t="s">
        <v>2772</v>
      </c>
      <c r="C257" s="1" t="s">
        <v>74</v>
      </c>
      <c r="D257" s="1" t="s">
        <v>74</v>
      </c>
      <c r="E257" s="1" t="s">
        <v>74</v>
      </c>
      <c r="F257" s="1" t="s">
        <v>2773</v>
      </c>
      <c r="G257" s="1" t="s">
        <v>74</v>
      </c>
      <c r="H257" s="1" t="s">
        <v>74</v>
      </c>
      <c r="I257" s="1" t="s">
        <v>2774</v>
      </c>
      <c r="J257" s="1" t="s">
        <v>2775</v>
      </c>
      <c r="K257" s="1" t="s">
        <v>74</v>
      </c>
      <c r="L257" s="1" t="s">
        <v>74</v>
      </c>
      <c r="M257" s="1" t="s">
        <v>74</v>
      </c>
      <c r="N257" s="1" t="s">
        <v>74</v>
      </c>
      <c r="O257" s="1" t="s">
        <v>74</v>
      </c>
      <c r="P257" s="1" t="s">
        <v>74</v>
      </c>
      <c r="Q257" s="1" t="s">
        <v>74</v>
      </c>
      <c r="R257" s="1" t="s">
        <v>74</v>
      </c>
      <c r="S257" s="1" t="s">
        <v>74</v>
      </c>
      <c r="T257" s="1" t="s">
        <v>74</v>
      </c>
      <c r="U257" s="1" t="s">
        <v>74</v>
      </c>
      <c r="V257" s="1" t="s">
        <v>2776</v>
      </c>
      <c r="W257" s="1" t="s">
        <v>74</v>
      </c>
      <c r="X257" s="1" t="s">
        <v>74</v>
      </c>
      <c r="Y257" s="1" t="s">
        <v>74</v>
      </c>
      <c r="Z257" s="1" t="s">
        <v>74</v>
      </c>
      <c r="AA257" s="1" t="s">
        <v>2777</v>
      </c>
      <c r="AB257" s="1" t="s">
        <v>74</v>
      </c>
      <c r="AC257" s="1" t="s">
        <v>74</v>
      </c>
      <c r="AD257" s="1" t="s">
        <v>74</v>
      </c>
      <c r="AE257" s="1" t="s">
        <v>74</v>
      </c>
      <c r="AF257" s="1" t="s">
        <v>74</v>
      </c>
      <c r="AG257" s="1" t="s">
        <v>74</v>
      </c>
      <c r="AH257" s="1" t="s">
        <v>74</v>
      </c>
      <c r="AI257" s="1" t="s">
        <v>74</v>
      </c>
      <c r="AJ257" s="1" t="s">
        <v>74</v>
      </c>
      <c r="AK257" s="1" t="s">
        <v>74</v>
      </c>
      <c r="AL257" s="1" t="s">
        <v>74</v>
      </c>
      <c r="AM257" s="1" t="s">
        <v>74</v>
      </c>
      <c r="AN257" s="1" t="s">
        <v>74</v>
      </c>
      <c r="AO257" s="1" t="s">
        <v>2778</v>
      </c>
      <c r="AP257" s="1" t="s">
        <v>74</v>
      </c>
      <c r="AQ257" s="1" t="s">
        <v>74</v>
      </c>
      <c r="AR257" s="1" t="s">
        <v>74</v>
      </c>
      <c r="AS257" s="1" t="s">
        <v>74</v>
      </c>
      <c r="AT257" s="1" t="s">
        <v>2779</v>
      </c>
      <c r="AU257" s="1">
        <v>2025.0</v>
      </c>
      <c r="AV257" s="1">
        <v>7.0</v>
      </c>
      <c r="AW257" s="1">
        <v>4.0</v>
      </c>
      <c r="AX257" s="1" t="s">
        <v>74</v>
      </c>
      <c r="AY257" s="1" t="s">
        <v>74</v>
      </c>
      <c r="AZ257" s="1" t="s">
        <v>74</v>
      </c>
      <c r="BA257" s="1" t="s">
        <v>74</v>
      </c>
      <c r="BB257" s="1">
        <v>2396.0</v>
      </c>
      <c r="BC257" s="1">
        <v>2407.0</v>
      </c>
      <c r="BD257" s="1" t="s">
        <v>74</v>
      </c>
      <c r="BE257" s="1" t="s">
        <v>2780</v>
      </c>
      <c r="BF257" s="2" t="str">
        <f>HYPERLINK("http://dx.doi.org/10.1021/acsapm.4c03470","http://dx.doi.org/10.1021/acsapm.4c03470")</f>
        <v>http://dx.doi.org/10.1021/acsapm.4c03470</v>
      </c>
      <c r="BG257" s="1" t="s">
        <v>74</v>
      </c>
      <c r="BH257" s="1" t="s">
        <v>2583</v>
      </c>
      <c r="BI257" s="1" t="s">
        <v>74</v>
      </c>
      <c r="BJ257" s="1" t="s">
        <v>74</v>
      </c>
      <c r="BK257" s="1" t="s">
        <v>74</v>
      </c>
      <c r="BL257" s="1" t="s">
        <v>74</v>
      </c>
      <c r="BM257" s="1" t="s">
        <v>74</v>
      </c>
      <c r="BN257" s="1" t="s">
        <v>74</v>
      </c>
      <c r="BO257" s="1" t="s">
        <v>74</v>
      </c>
      <c r="BP257" s="1" t="s">
        <v>74</v>
      </c>
      <c r="BQ257" s="1" t="s">
        <v>74</v>
      </c>
      <c r="BR257" s="1" t="s">
        <v>74</v>
      </c>
      <c r="BS257" s="1" t="s">
        <v>2781</v>
      </c>
      <c r="BT257" s="1" t="str">
        <f>HYPERLINK("https%3A%2F%2Fwww.webofscience.com%2Fwos%2Fwoscc%2Ffull-record%2FWOS:001416523000001","View Full Record in Web of Science")</f>
        <v>View Full Record in Web of Science</v>
      </c>
    </row>
    <row r="258" ht="12.75" customHeight="1">
      <c r="A258" s="1" t="s">
        <v>72</v>
      </c>
      <c r="B258" s="1" t="s">
        <v>2782</v>
      </c>
      <c r="C258" s="1" t="s">
        <v>74</v>
      </c>
      <c r="D258" s="1" t="s">
        <v>74</v>
      </c>
      <c r="E258" s="1" t="s">
        <v>74</v>
      </c>
      <c r="F258" s="1" t="s">
        <v>2783</v>
      </c>
      <c r="G258" s="1" t="s">
        <v>74</v>
      </c>
      <c r="H258" s="1" t="s">
        <v>74</v>
      </c>
      <c r="I258" s="1" t="s">
        <v>2784</v>
      </c>
      <c r="J258" s="1" t="s">
        <v>2785</v>
      </c>
      <c r="K258" s="1" t="s">
        <v>74</v>
      </c>
      <c r="L258" s="1" t="s">
        <v>74</v>
      </c>
      <c r="M258" s="1" t="s">
        <v>74</v>
      </c>
      <c r="N258" s="1" t="s">
        <v>74</v>
      </c>
      <c r="O258" s="1" t="s">
        <v>74</v>
      </c>
      <c r="P258" s="1" t="s">
        <v>74</v>
      </c>
      <c r="Q258" s="1" t="s">
        <v>74</v>
      </c>
      <c r="R258" s="1" t="s">
        <v>74</v>
      </c>
      <c r="S258" s="1" t="s">
        <v>74</v>
      </c>
      <c r="T258" s="1" t="s">
        <v>74</v>
      </c>
      <c r="U258" s="1" t="s">
        <v>74</v>
      </c>
      <c r="V258" s="1" t="s">
        <v>2786</v>
      </c>
      <c r="W258" s="1" t="s">
        <v>74</v>
      </c>
      <c r="X258" s="1" t="s">
        <v>74</v>
      </c>
      <c r="Y258" s="1" t="s">
        <v>74</v>
      </c>
      <c r="Z258" s="1" t="s">
        <v>74</v>
      </c>
      <c r="AA258" s="1" t="s">
        <v>2787</v>
      </c>
      <c r="AB258" s="1" t="s">
        <v>2788</v>
      </c>
      <c r="AC258" s="1" t="s">
        <v>74</v>
      </c>
      <c r="AD258" s="1" t="s">
        <v>74</v>
      </c>
      <c r="AE258" s="1" t="s">
        <v>74</v>
      </c>
      <c r="AF258" s="1" t="s">
        <v>74</v>
      </c>
      <c r="AG258" s="1" t="s">
        <v>74</v>
      </c>
      <c r="AH258" s="1" t="s">
        <v>74</v>
      </c>
      <c r="AI258" s="1" t="s">
        <v>74</v>
      </c>
      <c r="AJ258" s="1" t="s">
        <v>74</v>
      </c>
      <c r="AK258" s="1" t="s">
        <v>74</v>
      </c>
      <c r="AL258" s="1" t="s">
        <v>74</v>
      </c>
      <c r="AM258" s="1" t="s">
        <v>74</v>
      </c>
      <c r="AN258" s="1" t="s">
        <v>74</v>
      </c>
      <c r="AO258" s="1" t="s">
        <v>2789</v>
      </c>
      <c r="AP258" s="1" t="s">
        <v>2790</v>
      </c>
      <c r="AQ258" s="1" t="s">
        <v>74</v>
      </c>
      <c r="AR258" s="1" t="s">
        <v>74</v>
      </c>
      <c r="AS258" s="1" t="s">
        <v>74</v>
      </c>
      <c r="AT258" s="1" t="s">
        <v>250</v>
      </c>
      <c r="AU258" s="1">
        <v>2024.0</v>
      </c>
      <c r="AV258" s="1">
        <v>38.0</v>
      </c>
      <c r="AW258" s="1">
        <v>5.0</v>
      </c>
      <c r="AX258" s="1" t="s">
        <v>74</v>
      </c>
      <c r="AY258" s="1" t="s">
        <v>74</v>
      </c>
      <c r="AZ258" s="1" t="s">
        <v>74</v>
      </c>
      <c r="BA258" s="1" t="s">
        <v>74</v>
      </c>
      <c r="BB258" s="1">
        <v>1842.0</v>
      </c>
      <c r="BC258" s="1">
        <v>1857.0</v>
      </c>
      <c r="BD258" s="1" t="s">
        <v>74</v>
      </c>
      <c r="BE258" s="1" t="s">
        <v>2791</v>
      </c>
      <c r="BF258" s="2" t="str">
        <f>HYPERLINK("http://dx.doi.org/10.1111/chso.12850","http://dx.doi.org/10.1111/chso.12850")</f>
        <v>http://dx.doi.org/10.1111/chso.12850</v>
      </c>
      <c r="BG258" s="1" t="s">
        <v>74</v>
      </c>
      <c r="BH258" s="1" t="s">
        <v>2792</v>
      </c>
      <c r="BI258" s="1" t="s">
        <v>74</v>
      </c>
      <c r="BJ258" s="1" t="s">
        <v>74</v>
      </c>
      <c r="BK258" s="1" t="s">
        <v>74</v>
      </c>
      <c r="BL258" s="1" t="s">
        <v>74</v>
      </c>
      <c r="BM258" s="1" t="s">
        <v>74</v>
      </c>
      <c r="BN258" s="1" t="s">
        <v>74</v>
      </c>
      <c r="BO258" s="1" t="s">
        <v>74</v>
      </c>
      <c r="BP258" s="1" t="s">
        <v>74</v>
      </c>
      <c r="BQ258" s="1" t="s">
        <v>74</v>
      </c>
      <c r="BR258" s="1" t="s">
        <v>74</v>
      </c>
      <c r="BS258" s="1" t="s">
        <v>2793</v>
      </c>
      <c r="BT258" s="1" t="str">
        <f>HYPERLINK("https%3A%2F%2Fwww.webofscience.com%2Fwos%2Fwoscc%2Ffull-record%2FWOS:001171960000001","View Full Record in Web of Science")</f>
        <v>View Full Record in Web of Science</v>
      </c>
    </row>
    <row r="259" ht="12.75" customHeight="1">
      <c r="A259" s="1" t="s">
        <v>72</v>
      </c>
      <c r="B259" s="1" t="s">
        <v>2794</v>
      </c>
      <c r="C259" s="1" t="s">
        <v>74</v>
      </c>
      <c r="D259" s="1" t="s">
        <v>74</v>
      </c>
      <c r="E259" s="1" t="s">
        <v>74</v>
      </c>
      <c r="F259" s="1" t="s">
        <v>2795</v>
      </c>
      <c r="G259" s="1" t="s">
        <v>74</v>
      </c>
      <c r="H259" s="1" t="s">
        <v>74</v>
      </c>
      <c r="I259" s="1" t="s">
        <v>2796</v>
      </c>
      <c r="J259" s="1" t="s">
        <v>2366</v>
      </c>
      <c r="K259" s="1" t="s">
        <v>74</v>
      </c>
      <c r="L259" s="1" t="s">
        <v>74</v>
      </c>
      <c r="M259" s="1" t="s">
        <v>74</v>
      </c>
      <c r="N259" s="1" t="s">
        <v>74</v>
      </c>
      <c r="O259" s="1" t="s">
        <v>74</v>
      </c>
      <c r="P259" s="1" t="s">
        <v>74</v>
      </c>
      <c r="Q259" s="1" t="s">
        <v>74</v>
      </c>
      <c r="R259" s="1" t="s">
        <v>74</v>
      </c>
      <c r="S259" s="1" t="s">
        <v>74</v>
      </c>
      <c r="T259" s="1" t="s">
        <v>74</v>
      </c>
      <c r="U259" s="1" t="s">
        <v>74</v>
      </c>
      <c r="V259" s="1" t="s">
        <v>2797</v>
      </c>
      <c r="W259" s="1" t="s">
        <v>74</v>
      </c>
      <c r="X259" s="1" t="s">
        <v>74</v>
      </c>
      <c r="Y259" s="1" t="s">
        <v>74</v>
      </c>
      <c r="Z259" s="1" t="s">
        <v>74</v>
      </c>
      <c r="AA259" s="1" t="s">
        <v>2368</v>
      </c>
      <c r="AB259" s="1" t="s">
        <v>2369</v>
      </c>
      <c r="AC259" s="1" t="s">
        <v>74</v>
      </c>
      <c r="AD259" s="1" t="s">
        <v>74</v>
      </c>
      <c r="AE259" s="1" t="s">
        <v>74</v>
      </c>
      <c r="AF259" s="1" t="s">
        <v>74</v>
      </c>
      <c r="AG259" s="1" t="s">
        <v>74</v>
      </c>
      <c r="AH259" s="1" t="s">
        <v>74</v>
      </c>
      <c r="AI259" s="1" t="s">
        <v>74</v>
      </c>
      <c r="AJ259" s="1" t="s">
        <v>74</v>
      </c>
      <c r="AK259" s="1" t="s">
        <v>74</v>
      </c>
      <c r="AL259" s="1" t="s">
        <v>74</v>
      </c>
      <c r="AM259" s="1" t="s">
        <v>74</v>
      </c>
      <c r="AN259" s="1" t="s">
        <v>74</v>
      </c>
      <c r="AO259" s="1" t="s">
        <v>74</v>
      </c>
      <c r="AP259" s="1" t="s">
        <v>2370</v>
      </c>
      <c r="AQ259" s="1" t="s">
        <v>74</v>
      </c>
      <c r="AR259" s="1" t="s">
        <v>74</v>
      </c>
      <c r="AS259" s="1" t="s">
        <v>74</v>
      </c>
      <c r="AT259" s="1" t="s">
        <v>464</v>
      </c>
      <c r="AU259" s="1">
        <v>2024.0</v>
      </c>
      <c r="AV259" s="1">
        <v>26.0</v>
      </c>
      <c r="AW259" s="1">
        <v>1.0</v>
      </c>
      <c r="AX259" s="1" t="s">
        <v>74</v>
      </c>
      <c r="AY259" s="1" t="s">
        <v>74</v>
      </c>
      <c r="AZ259" s="1" t="s">
        <v>74</v>
      </c>
      <c r="BA259" s="1" t="s">
        <v>74</v>
      </c>
      <c r="BB259" s="1" t="s">
        <v>74</v>
      </c>
      <c r="BC259" s="1" t="s">
        <v>74</v>
      </c>
      <c r="BD259" s="1">
        <v>23.0</v>
      </c>
      <c r="BE259" s="1" t="s">
        <v>2798</v>
      </c>
      <c r="BF259" s="2" t="str">
        <f>HYPERLINK("http://dx.doi.org/10.3390/e26010023","http://dx.doi.org/10.3390/e26010023")</f>
        <v>http://dx.doi.org/10.3390/e26010023</v>
      </c>
      <c r="BG259" s="1" t="s">
        <v>74</v>
      </c>
      <c r="BH259" s="1" t="s">
        <v>74</v>
      </c>
      <c r="BI259" s="1" t="s">
        <v>74</v>
      </c>
      <c r="BJ259" s="1" t="s">
        <v>74</v>
      </c>
      <c r="BK259" s="1" t="s">
        <v>74</v>
      </c>
      <c r="BL259" s="1" t="s">
        <v>74</v>
      </c>
      <c r="BM259" s="1" t="s">
        <v>74</v>
      </c>
      <c r="BN259" s="1">
        <v>3.8248149E7</v>
      </c>
      <c r="BO259" s="1" t="s">
        <v>74</v>
      </c>
      <c r="BP259" s="1" t="s">
        <v>74</v>
      </c>
      <c r="BQ259" s="1" t="s">
        <v>74</v>
      </c>
      <c r="BR259" s="1" t="s">
        <v>74</v>
      </c>
      <c r="BS259" s="1" t="s">
        <v>2799</v>
      </c>
      <c r="BT259" s="1" t="str">
        <f>HYPERLINK("https%3A%2F%2Fwww.webofscience.com%2Fwos%2Fwoscc%2Ffull-record%2FWOS:001151797800001","View Full Record in Web of Science")</f>
        <v>View Full Record in Web of Science</v>
      </c>
    </row>
    <row r="260" ht="12.75" customHeight="1">
      <c r="A260" s="1" t="s">
        <v>72</v>
      </c>
      <c r="B260" s="1" t="s">
        <v>2800</v>
      </c>
      <c r="C260" s="1" t="s">
        <v>74</v>
      </c>
      <c r="D260" s="1" t="s">
        <v>74</v>
      </c>
      <c r="E260" s="1" t="s">
        <v>74</v>
      </c>
      <c r="F260" s="1" t="s">
        <v>2801</v>
      </c>
      <c r="G260" s="1" t="s">
        <v>74</v>
      </c>
      <c r="H260" s="1" t="s">
        <v>74</v>
      </c>
      <c r="I260" s="1" t="s">
        <v>2802</v>
      </c>
      <c r="J260" s="1" t="s">
        <v>1072</v>
      </c>
      <c r="K260" s="1" t="s">
        <v>74</v>
      </c>
      <c r="L260" s="1" t="s">
        <v>74</v>
      </c>
      <c r="M260" s="1" t="s">
        <v>74</v>
      </c>
      <c r="N260" s="1" t="s">
        <v>74</v>
      </c>
      <c r="O260" s="1" t="s">
        <v>74</v>
      </c>
      <c r="P260" s="1" t="s">
        <v>74</v>
      </c>
      <c r="Q260" s="1" t="s">
        <v>74</v>
      </c>
      <c r="R260" s="1" t="s">
        <v>74</v>
      </c>
      <c r="S260" s="1" t="s">
        <v>74</v>
      </c>
      <c r="T260" s="1" t="s">
        <v>74</v>
      </c>
      <c r="U260" s="1" t="s">
        <v>74</v>
      </c>
      <c r="V260" s="1" t="s">
        <v>2803</v>
      </c>
      <c r="W260" s="1" t="s">
        <v>74</v>
      </c>
      <c r="X260" s="1" t="s">
        <v>74</v>
      </c>
      <c r="Y260" s="1" t="s">
        <v>74</v>
      </c>
      <c r="Z260" s="1" t="s">
        <v>74</v>
      </c>
      <c r="AA260" s="1" t="s">
        <v>2804</v>
      </c>
      <c r="AB260" s="1" t="s">
        <v>2805</v>
      </c>
      <c r="AC260" s="1" t="s">
        <v>74</v>
      </c>
      <c r="AD260" s="1" t="s">
        <v>74</v>
      </c>
      <c r="AE260" s="1" t="s">
        <v>74</v>
      </c>
      <c r="AF260" s="1" t="s">
        <v>74</v>
      </c>
      <c r="AG260" s="1" t="s">
        <v>74</v>
      </c>
      <c r="AH260" s="1" t="s">
        <v>74</v>
      </c>
      <c r="AI260" s="1" t="s">
        <v>74</v>
      </c>
      <c r="AJ260" s="1" t="s">
        <v>74</v>
      </c>
      <c r="AK260" s="1" t="s">
        <v>74</v>
      </c>
      <c r="AL260" s="1" t="s">
        <v>74</v>
      </c>
      <c r="AM260" s="1" t="s">
        <v>74</v>
      </c>
      <c r="AN260" s="1" t="s">
        <v>74</v>
      </c>
      <c r="AO260" s="1" t="s">
        <v>1075</v>
      </c>
      <c r="AP260" s="1" t="s">
        <v>1076</v>
      </c>
      <c r="AQ260" s="1" t="s">
        <v>74</v>
      </c>
      <c r="AR260" s="1" t="s">
        <v>74</v>
      </c>
      <c r="AS260" s="1" t="s">
        <v>74</v>
      </c>
      <c r="AT260" s="1" t="s">
        <v>74</v>
      </c>
      <c r="AU260" s="1">
        <v>2024.0</v>
      </c>
      <c r="AV260" s="1" t="s">
        <v>74</v>
      </c>
      <c r="AW260" s="1">
        <v>54.0</v>
      </c>
      <c r="AX260" s="1" t="s">
        <v>74</v>
      </c>
      <c r="AY260" s="1" t="s">
        <v>74</v>
      </c>
      <c r="AZ260" s="1" t="s">
        <v>74</v>
      </c>
      <c r="BA260" s="1" t="s">
        <v>74</v>
      </c>
      <c r="BB260" s="1">
        <v>362.0</v>
      </c>
      <c r="BC260" s="1">
        <v>371.0</v>
      </c>
      <c r="BD260" s="1" t="s">
        <v>74</v>
      </c>
      <c r="BE260" s="1" t="s">
        <v>74</v>
      </c>
      <c r="BF260" s="1" t="s">
        <v>74</v>
      </c>
      <c r="BG260" s="1" t="s">
        <v>74</v>
      </c>
      <c r="BH260" s="1" t="s">
        <v>74</v>
      </c>
      <c r="BI260" s="1" t="s">
        <v>74</v>
      </c>
      <c r="BJ260" s="1" t="s">
        <v>74</v>
      </c>
      <c r="BK260" s="1" t="s">
        <v>74</v>
      </c>
      <c r="BL260" s="1" t="s">
        <v>74</v>
      </c>
      <c r="BM260" s="1" t="s">
        <v>74</v>
      </c>
      <c r="BN260" s="1" t="s">
        <v>74</v>
      </c>
      <c r="BO260" s="1" t="s">
        <v>74</v>
      </c>
      <c r="BP260" s="1" t="s">
        <v>74</v>
      </c>
      <c r="BQ260" s="1" t="s">
        <v>74</v>
      </c>
      <c r="BR260" s="1" t="s">
        <v>74</v>
      </c>
      <c r="BS260" s="1" t="s">
        <v>2806</v>
      </c>
      <c r="BT260" s="1" t="str">
        <f>HYPERLINK("https%3A%2F%2Fwww.webofscience.com%2Fwos%2Fwoscc%2Ffull-record%2FWOS:001217879500001","View Full Record in Web of Science")</f>
        <v>View Full Record in Web of Science</v>
      </c>
    </row>
    <row r="261" ht="12.75" customHeight="1">
      <c r="A261" s="1" t="s">
        <v>72</v>
      </c>
      <c r="B261" s="1" t="s">
        <v>2807</v>
      </c>
      <c r="C261" s="1" t="s">
        <v>74</v>
      </c>
      <c r="D261" s="1" t="s">
        <v>74</v>
      </c>
      <c r="E261" s="1" t="s">
        <v>74</v>
      </c>
      <c r="F261" s="1" t="s">
        <v>2808</v>
      </c>
      <c r="G261" s="1" t="s">
        <v>74</v>
      </c>
      <c r="H261" s="1" t="s">
        <v>74</v>
      </c>
      <c r="I261" s="1" t="s">
        <v>2809</v>
      </c>
      <c r="J261" s="1" t="s">
        <v>2810</v>
      </c>
      <c r="K261" s="1" t="s">
        <v>74</v>
      </c>
      <c r="L261" s="1" t="s">
        <v>74</v>
      </c>
      <c r="M261" s="1" t="s">
        <v>74</v>
      </c>
      <c r="N261" s="1" t="s">
        <v>74</v>
      </c>
      <c r="O261" s="1" t="s">
        <v>74</v>
      </c>
      <c r="P261" s="1" t="s">
        <v>74</v>
      </c>
      <c r="Q261" s="1" t="s">
        <v>74</v>
      </c>
      <c r="R261" s="1" t="s">
        <v>74</v>
      </c>
      <c r="S261" s="1" t="s">
        <v>74</v>
      </c>
      <c r="T261" s="1" t="s">
        <v>74</v>
      </c>
      <c r="U261" s="1" t="s">
        <v>74</v>
      </c>
      <c r="V261" s="1" t="s">
        <v>2811</v>
      </c>
      <c r="W261" s="1" t="s">
        <v>74</v>
      </c>
      <c r="X261" s="1" t="s">
        <v>74</v>
      </c>
      <c r="Y261" s="1" t="s">
        <v>74</v>
      </c>
      <c r="Z261" s="1" t="s">
        <v>74</v>
      </c>
      <c r="AA261" s="1" t="s">
        <v>2812</v>
      </c>
      <c r="AB261" s="1" t="s">
        <v>2813</v>
      </c>
      <c r="AC261" s="1" t="s">
        <v>74</v>
      </c>
      <c r="AD261" s="1" t="s">
        <v>74</v>
      </c>
      <c r="AE261" s="1" t="s">
        <v>74</v>
      </c>
      <c r="AF261" s="1" t="s">
        <v>74</v>
      </c>
      <c r="AG261" s="1" t="s">
        <v>74</v>
      </c>
      <c r="AH261" s="1" t="s">
        <v>74</v>
      </c>
      <c r="AI261" s="1" t="s">
        <v>74</v>
      </c>
      <c r="AJ261" s="1" t="s">
        <v>74</v>
      </c>
      <c r="AK261" s="1" t="s">
        <v>74</v>
      </c>
      <c r="AL261" s="1" t="s">
        <v>74</v>
      </c>
      <c r="AM261" s="1" t="s">
        <v>74</v>
      </c>
      <c r="AN261" s="1" t="s">
        <v>74</v>
      </c>
      <c r="AO261" s="1" t="s">
        <v>2814</v>
      </c>
      <c r="AP261" s="1" t="s">
        <v>2815</v>
      </c>
      <c r="AQ261" s="1" t="s">
        <v>74</v>
      </c>
      <c r="AR261" s="1" t="s">
        <v>74</v>
      </c>
      <c r="AS261" s="1" t="s">
        <v>74</v>
      </c>
      <c r="AT261" s="1" t="s">
        <v>250</v>
      </c>
      <c r="AU261" s="1">
        <v>2023.0</v>
      </c>
      <c r="AV261" s="1">
        <v>44.0</v>
      </c>
      <c r="AW261" s="1">
        <v>9.0</v>
      </c>
      <c r="AX261" s="1" t="s">
        <v>74</v>
      </c>
      <c r="AY261" s="1" t="s">
        <v>74</v>
      </c>
      <c r="AZ261" s="1" t="s">
        <v>399</v>
      </c>
      <c r="BA261" s="1" t="s">
        <v>74</v>
      </c>
      <c r="BB261" s="1">
        <v>3963.0</v>
      </c>
      <c r="BC261" s="1">
        <v>3972.0</v>
      </c>
      <c r="BD261" s="1" t="s">
        <v>74</v>
      </c>
      <c r="BE261" s="1" t="s">
        <v>2816</v>
      </c>
      <c r="BF261" s="2" t="str">
        <f>HYPERLINK("http://dx.doi.org/10.1134/S1995080223090238","http://dx.doi.org/10.1134/S1995080223090238")</f>
        <v>http://dx.doi.org/10.1134/S1995080223090238</v>
      </c>
      <c r="BG261" s="1" t="s">
        <v>74</v>
      </c>
      <c r="BH261" s="1" t="s">
        <v>74</v>
      </c>
      <c r="BI261" s="1" t="s">
        <v>74</v>
      </c>
      <c r="BJ261" s="1" t="s">
        <v>74</v>
      </c>
      <c r="BK261" s="1" t="s">
        <v>74</v>
      </c>
      <c r="BL261" s="1" t="s">
        <v>74</v>
      </c>
      <c r="BM261" s="1" t="s">
        <v>74</v>
      </c>
      <c r="BN261" s="1" t="s">
        <v>74</v>
      </c>
      <c r="BO261" s="1" t="s">
        <v>74</v>
      </c>
      <c r="BP261" s="1" t="s">
        <v>74</v>
      </c>
      <c r="BQ261" s="1" t="s">
        <v>74</v>
      </c>
      <c r="BR261" s="1" t="s">
        <v>74</v>
      </c>
      <c r="BS261" s="1" t="s">
        <v>2817</v>
      </c>
      <c r="BT261" s="1" t="str">
        <f>HYPERLINK("https%3A%2F%2Fwww.webofscience.com%2Fwos%2Fwoscc%2Ffull-record%2FWOS:001156509800028","View Full Record in Web of Science")</f>
        <v>View Full Record in Web of Science</v>
      </c>
    </row>
    <row r="262" ht="12.75" customHeight="1">
      <c r="A262" s="1" t="s">
        <v>72</v>
      </c>
      <c r="B262" s="1" t="s">
        <v>2818</v>
      </c>
      <c r="C262" s="1" t="s">
        <v>74</v>
      </c>
      <c r="D262" s="1" t="s">
        <v>74</v>
      </c>
      <c r="E262" s="1" t="s">
        <v>74</v>
      </c>
      <c r="F262" s="1" t="s">
        <v>2819</v>
      </c>
      <c r="G262" s="1" t="s">
        <v>74</v>
      </c>
      <c r="H262" s="1" t="s">
        <v>74</v>
      </c>
      <c r="I262" s="1" t="s">
        <v>2820</v>
      </c>
      <c r="J262" s="1" t="s">
        <v>2821</v>
      </c>
      <c r="K262" s="1" t="s">
        <v>74</v>
      </c>
      <c r="L262" s="1" t="s">
        <v>74</v>
      </c>
      <c r="M262" s="1" t="s">
        <v>74</v>
      </c>
      <c r="N262" s="1" t="s">
        <v>74</v>
      </c>
      <c r="O262" s="1" t="s">
        <v>74</v>
      </c>
      <c r="P262" s="1" t="s">
        <v>74</v>
      </c>
      <c r="Q262" s="1" t="s">
        <v>74</v>
      </c>
      <c r="R262" s="1" t="s">
        <v>74</v>
      </c>
      <c r="S262" s="1" t="s">
        <v>74</v>
      </c>
      <c r="T262" s="1" t="s">
        <v>74</v>
      </c>
      <c r="U262" s="1" t="s">
        <v>74</v>
      </c>
      <c r="V262" s="1" t="s">
        <v>2822</v>
      </c>
      <c r="W262" s="1" t="s">
        <v>74</v>
      </c>
      <c r="X262" s="1" t="s">
        <v>74</v>
      </c>
      <c r="Y262" s="1" t="s">
        <v>74</v>
      </c>
      <c r="Z262" s="1" t="s">
        <v>74</v>
      </c>
      <c r="AA262" s="1" t="s">
        <v>2823</v>
      </c>
      <c r="AB262" s="1" t="s">
        <v>2824</v>
      </c>
      <c r="AC262" s="1" t="s">
        <v>74</v>
      </c>
      <c r="AD262" s="1" t="s">
        <v>74</v>
      </c>
      <c r="AE262" s="1" t="s">
        <v>74</v>
      </c>
      <c r="AF262" s="1" t="s">
        <v>74</v>
      </c>
      <c r="AG262" s="1" t="s">
        <v>74</v>
      </c>
      <c r="AH262" s="1" t="s">
        <v>74</v>
      </c>
      <c r="AI262" s="1" t="s">
        <v>74</v>
      </c>
      <c r="AJ262" s="1" t="s">
        <v>74</v>
      </c>
      <c r="AK262" s="1" t="s">
        <v>74</v>
      </c>
      <c r="AL262" s="1" t="s">
        <v>74</v>
      </c>
      <c r="AM262" s="1" t="s">
        <v>74</v>
      </c>
      <c r="AN262" s="1" t="s">
        <v>74</v>
      </c>
      <c r="AO262" s="1" t="s">
        <v>2825</v>
      </c>
      <c r="AP262" s="1" t="s">
        <v>2826</v>
      </c>
      <c r="AQ262" s="1" t="s">
        <v>74</v>
      </c>
      <c r="AR262" s="1" t="s">
        <v>74</v>
      </c>
      <c r="AS262" s="1" t="s">
        <v>74</v>
      </c>
      <c r="AT262" s="1" t="s">
        <v>559</v>
      </c>
      <c r="AU262" s="1">
        <v>2023.0</v>
      </c>
      <c r="AV262" s="1">
        <v>9.0</v>
      </c>
      <c r="AW262" s="1">
        <v>6.0</v>
      </c>
      <c r="AX262" s="1" t="s">
        <v>74</v>
      </c>
      <c r="AY262" s="1" t="s">
        <v>74</v>
      </c>
      <c r="AZ262" s="1" t="s">
        <v>74</v>
      </c>
      <c r="BA262" s="1" t="s">
        <v>74</v>
      </c>
      <c r="BB262" s="1">
        <v>6373.0</v>
      </c>
      <c r="BC262" s="1">
        <v>6392.0</v>
      </c>
      <c r="BD262" s="1" t="s">
        <v>74</v>
      </c>
      <c r="BE262" s="1" t="s">
        <v>2827</v>
      </c>
      <c r="BF262" s="2" t="str">
        <f>HYPERLINK("http://dx.doi.org/10.1007/s40747-023-01073-9","http://dx.doi.org/10.1007/s40747-023-01073-9")</f>
        <v>http://dx.doi.org/10.1007/s40747-023-01073-9</v>
      </c>
      <c r="BG262" s="1" t="s">
        <v>74</v>
      </c>
      <c r="BH262" s="1" t="s">
        <v>2828</v>
      </c>
      <c r="BI262" s="1" t="s">
        <v>74</v>
      </c>
      <c r="BJ262" s="1" t="s">
        <v>74</v>
      </c>
      <c r="BK262" s="1" t="s">
        <v>74</v>
      </c>
      <c r="BL262" s="1" t="s">
        <v>74</v>
      </c>
      <c r="BM262" s="1" t="s">
        <v>74</v>
      </c>
      <c r="BN262" s="1" t="s">
        <v>74</v>
      </c>
      <c r="BO262" s="1" t="s">
        <v>74</v>
      </c>
      <c r="BP262" s="1" t="s">
        <v>74</v>
      </c>
      <c r="BQ262" s="1" t="s">
        <v>74</v>
      </c>
      <c r="BR262" s="1" t="s">
        <v>74</v>
      </c>
      <c r="BS262" s="1" t="s">
        <v>2829</v>
      </c>
      <c r="BT262" s="1" t="str">
        <f>HYPERLINK("https%3A%2F%2Fwww.webofscience.com%2Fwos%2Fwoscc%2Ffull-record%2FWOS:000984764400001","View Full Record in Web of Science")</f>
        <v>View Full Record in Web of Science</v>
      </c>
    </row>
    <row r="263" ht="12.75" customHeight="1">
      <c r="A263" s="1" t="s">
        <v>72</v>
      </c>
      <c r="B263" s="1" t="s">
        <v>2830</v>
      </c>
      <c r="C263" s="1" t="s">
        <v>74</v>
      </c>
      <c r="D263" s="1" t="s">
        <v>74</v>
      </c>
      <c r="E263" s="1" t="s">
        <v>74</v>
      </c>
      <c r="F263" s="1" t="s">
        <v>2831</v>
      </c>
      <c r="G263" s="1" t="s">
        <v>74</v>
      </c>
      <c r="H263" s="1" t="s">
        <v>74</v>
      </c>
      <c r="I263" s="1" t="s">
        <v>2832</v>
      </c>
      <c r="J263" s="1" t="s">
        <v>2833</v>
      </c>
      <c r="K263" s="1" t="s">
        <v>74</v>
      </c>
      <c r="L263" s="1" t="s">
        <v>74</v>
      </c>
      <c r="M263" s="1" t="s">
        <v>74</v>
      </c>
      <c r="N263" s="1" t="s">
        <v>74</v>
      </c>
      <c r="O263" s="1" t="s">
        <v>74</v>
      </c>
      <c r="P263" s="1" t="s">
        <v>74</v>
      </c>
      <c r="Q263" s="1" t="s">
        <v>74</v>
      </c>
      <c r="R263" s="1" t="s">
        <v>74</v>
      </c>
      <c r="S263" s="1" t="s">
        <v>74</v>
      </c>
      <c r="T263" s="1" t="s">
        <v>74</v>
      </c>
      <c r="U263" s="1" t="s">
        <v>74</v>
      </c>
      <c r="V263" s="1" t="s">
        <v>2834</v>
      </c>
      <c r="W263" s="1" t="s">
        <v>74</v>
      </c>
      <c r="X263" s="1" t="s">
        <v>74</v>
      </c>
      <c r="Y263" s="1" t="s">
        <v>74</v>
      </c>
      <c r="Z263" s="1" t="s">
        <v>74</v>
      </c>
      <c r="AA263" s="1" t="s">
        <v>2835</v>
      </c>
      <c r="AB263" s="1" t="s">
        <v>2836</v>
      </c>
      <c r="AC263" s="1" t="s">
        <v>74</v>
      </c>
      <c r="AD263" s="1" t="s">
        <v>74</v>
      </c>
      <c r="AE263" s="1" t="s">
        <v>74</v>
      </c>
      <c r="AF263" s="1" t="s">
        <v>74</v>
      </c>
      <c r="AG263" s="1" t="s">
        <v>74</v>
      </c>
      <c r="AH263" s="1" t="s">
        <v>74</v>
      </c>
      <c r="AI263" s="1" t="s">
        <v>74</v>
      </c>
      <c r="AJ263" s="1" t="s">
        <v>74</v>
      </c>
      <c r="AK263" s="1" t="s">
        <v>74</v>
      </c>
      <c r="AL263" s="1" t="s">
        <v>74</v>
      </c>
      <c r="AM263" s="1" t="s">
        <v>74</v>
      </c>
      <c r="AN263" s="1" t="s">
        <v>74</v>
      </c>
      <c r="AO263" s="1" t="s">
        <v>74</v>
      </c>
      <c r="AP263" s="1" t="s">
        <v>2837</v>
      </c>
      <c r="AQ263" s="1" t="s">
        <v>74</v>
      </c>
      <c r="AR263" s="1" t="s">
        <v>74</v>
      </c>
      <c r="AS263" s="1" t="s">
        <v>74</v>
      </c>
      <c r="AT263" s="1" t="s">
        <v>464</v>
      </c>
      <c r="AU263" s="1">
        <v>2023.0</v>
      </c>
      <c r="AV263" s="1">
        <v>11.0</v>
      </c>
      <c r="AW263" s="1">
        <v>1.0</v>
      </c>
      <c r="AX263" s="1" t="s">
        <v>74</v>
      </c>
      <c r="AY263" s="1" t="s">
        <v>74</v>
      </c>
      <c r="AZ263" s="1" t="s">
        <v>74</v>
      </c>
      <c r="BA263" s="1" t="s">
        <v>74</v>
      </c>
      <c r="BB263" s="1" t="s">
        <v>74</v>
      </c>
      <c r="BC263" s="1" t="s">
        <v>74</v>
      </c>
      <c r="BD263" s="1">
        <v>11.0</v>
      </c>
      <c r="BE263" s="1" t="s">
        <v>2838</v>
      </c>
      <c r="BF263" s="2" t="str">
        <f>HYPERLINK("http://dx.doi.org/10.3390/pr11010011","http://dx.doi.org/10.3390/pr11010011")</f>
        <v>http://dx.doi.org/10.3390/pr11010011</v>
      </c>
      <c r="BG263" s="1" t="s">
        <v>74</v>
      </c>
      <c r="BH263" s="1" t="s">
        <v>74</v>
      </c>
      <c r="BI263" s="1" t="s">
        <v>74</v>
      </c>
      <c r="BJ263" s="1" t="s">
        <v>74</v>
      </c>
      <c r="BK263" s="1" t="s">
        <v>74</v>
      </c>
      <c r="BL263" s="1" t="s">
        <v>74</v>
      </c>
      <c r="BM263" s="1" t="s">
        <v>74</v>
      </c>
      <c r="BN263" s="1" t="s">
        <v>74</v>
      </c>
      <c r="BO263" s="1" t="s">
        <v>74</v>
      </c>
      <c r="BP263" s="1" t="s">
        <v>74</v>
      </c>
      <c r="BQ263" s="1" t="s">
        <v>74</v>
      </c>
      <c r="BR263" s="1" t="s">
        <v>74</v>
      </c>
      <c r="BS263" s="1" t="s">
        <v>2839</v>
      </c>
      <c r="BT263" s="1" t="str">
        <f>HYPERLINK("https%3A%2F%2Fwww.webofscience.com%2Fwos%2Fwoscc%2Ffull-record%2FWOS:000927150700001","View Full Record in Web of Science")</f>
        <v>View Full Record in Web of Science</v>
      </c>
    </row>
    <row r="264" ht="12.75" customHeight="1">
      <c r="A264" s="1" t="s">
        <v>72</v>
      </c>
      <c r="B264" s="1" t="s">
        <v>2840</v>
      </c>
      <c r="C264" s="1" t="s">
        <v>74</v>
      </c>
      <c r="D264" s="1" t="s">
        <v>74</v>
      </c>
      <c r="E264" s="1" t="s">
        <v>74</v>
      </c>
      <c r="F264" s="1" t="s">
        <v>2841</v>
      </c>
      <c r="G264" s="1" t="s">
        <v>74</v>
      </c>
      <c r="H264" s="1" t="s">
        <v>74</v>
      </c>
      <c r="I264" s="1" t="s">
        <v>2842</v>
      </c>
      <c r="J264" s="1" t="s">
        <v>2843</v>
      </c>
      <c r="K264" s="1" t="s">
        <v>74</v>
      </c>
      <c r="L264" s="1" t="s">
        <v>74</v>
      </c>
      <c r="M264" s="1" t="s">
        <v>74</v>
      </c>
      <c r="N264" s="1" t="s">
        <v>74</v>
      </c>
      <c r="O264" s="1" t="s">
        <v>74</v>
      </c>
      <c r="P264" s="1" t="s">
        <v>74</v>
      </c>
      <c r="Q264" s="1" t="s">
        <v>74</v>
      </c>
      <c r="R264" s="1" t="s">
        <v>74</v>
      </c>
      <c r="S264" s="1" t="s">
        <v>74</v>
      </c>
      <c r="T264" s="1" t="s">
        <v>74</v>
      </c>
      <c r="U264" s="1" t="s">
        <v>74</v>
      </c>
      <c r="V264" s="1" t="s">
        <v>2844</v>
      </c>
      <c r="W264" s="1" t="s">
        <v>74</v>
      </c>
      <c r="X264" s="1" t="s">
        <v>74</v>
      </c>
      <c r="Y264" s="1" t="s">
        <v>74</v>
      </c>
      <c r="Z264" s="1" t="s">
        <v>74</v>
      </c>
      <c r="AA264" s="1" t="s">
        <v>2845</v>
      </c>
      <c r="AB264" s="1" t="s">
        <v>2846</v>
      </c>
      <c r="AC264" s="1" t="s">
        <v>74</v>
      </c>
      <c r="AD264" s="1" t="s">
        <v>74</v>
      </c>
      <c r="AE264" s="1" t="s">
        <v>74</v>
      </c>
      <c r="AF264" s="1" t="s">
        <v>74</v>
      </c>
      <c r="AG264" s="1" t="s">
        <v>74</v>
      </c>
      <c r="AH264" s="1" t="s">
        <v>74</v>
      </c>
      <c r="AI264" s="1" t="s">
        <v>74</v>
      </c>
      <c r="AJ264" s="1" t="s">
        <v>74</v>
      </c>
      <c r="AK264" s="1" t="s">
        <v>74</v>
      </c>
      <c r="AL264" s="1" t="s">
        <v>74</v>
      </c>
      <c r="AM264" s="1" t="s">
        <v>74</v>
      </c>
      <c r="AN264" s="1" t="s">
        <v>74</v>
      </c>
      <c r="AO264" s="1" t="s">
        <v>2847</v>
      </c>
      <c r="AP264" s="1" t="s">
        <v>2848</v>
      </c>
      <c r="AQ264" s="1" t="s">
        <v>74</v>
      </c>
      <c r="AR264" s="1" t="s">
        <v>74</v>
      </c>
      <c r="AS264" s="1" t="s">
        <v>74</v>
      </c>
      <c r="AT264" s="1" t="s">
        <v>2849</v>
      </c>
      <c r="AU264" s="1">
        <v>2022.0</v>
      </c>
      <c r="AV264" s="1">
        <v>654.0</v>
      </c>
      <c r="AW264" s="1" t="s">
        <v>74</v>
      </c>
      <c r="AX264" s="1" t="s">
        <v>74</v>
      </c>
      <c r="AY264" s="1" t="s">
        <v>74</v>
      </c>
      <c r="AZ264" s="1" t="s">
        <v>74</v>
      </c>
      <c r="BA264" s="1" t="s">
        <v>74</v>
      </c>
      <c r="BB264" s="1" t="s">
        <v>74</v>
      </c>
      <c r="BC264" s="1" t="s">
        <v>74</v>
      </c>
      <c r="BD264" s="1">
        <v>129900.0</v>
      </c>
      <c r="BE264" s="1" t="s">
        <v>2850</v>
      </c>
      <c r="BF264" s="2" t="str">
        <f>HYPERLINK("http://dx.doi.org/10.1016/j.colsurfa.2022.129900","http://dx.doi.org/10.1016/j.colsurfa.2022.129900")</f>
        <v>http://dx.doi.org/10.1016/j.colsurfa.2022.129900</v>
      </c>
      <c r="BG264" s="1" t="s">
        <v>74</v>
      </c>
      <c r="BH264" s="1" t="s">
        <v>74</v>
      </c>
      <c r="BI264" s="1" t="s">
        <v>74</v>
      </c>
      <c r="BJ264" s="1" t="s">
        <v>74</v>
      </c>
      <c r="BK264" s="1" t="s">
        <v>74</v>
      </c>
      <c r="BL264" s="1" t="s">
        <v>74</v>
      </c>
      <c r="BM264" s="1" t="s">
        <v>74</v>
      </c>
      <c r="BN264" s="1" t="s">
        <v>74</v>
      </c>
      <c r="BO264" s="1" t="s">
        <v>74</v>
      </c>
      <c r="BP264" s="1" t="s">
        <v>74</v>
      </c>
      <c r="BQ264" s="1" t="s">
        <v>74</v>
      </c>
      <c r="BR264" s="1" t="s">
        <v>74</v>
      </c>
      <c r="BS264" s="1" t="s">
        <v>2851</v>
      </c>
      <c r="BT264" s="1" t="str">
        <f>HYPERLINK("https%3A%2F%2Fwww.webofscience.com%2Fwos%2Fwoscc%2Ffull-record%2FWOS:000860703100004","View Full Record in Web of Science")</f>
        <v>View Full Record in Web of Science</v>
      </c>
    </row>
    <row r="265" ht="12.75" customHeight="1">
      <c r="A265" s="1" t="s">
        <v>72</v>
      </c>
      <c r="B265" s="1" t="s">
        <v>2852</v>
      </c>
      <c r="C265" s="1" t="s">
        <v>74</v>
      </c>
      <c r="D265" s="1" t="s">
        <v>74</v>
      </c>
      <c r="E265" s="1" t="s">
        <v>74</v>
      </c>
      <c r="F265" s="1" t="s">
        <v>2853</v>
      </c>
      <c r="G265" s="1" t="s">
        <v>74</v>
      </c>
      <c r="H265" s="1" t="s">
        <v>74</v>
      </c>
      <c r="I265" s="1" t="s">
        <v>2854</v>
      </c>
      <c r="J265" s="1" t="s">
        <v>630</v>
      </c>
      <c r="K265" s="1" t="s">
        <v>74</v>
      </c>
      <c r="L265" s="1" t="s">
        <v>74</v>
      </c>
      <c r="M265" s="1" t="s">
        <v>74</v>
      </c>
      <c r="N265" s="1" t="s">
        <v>74</v>
      </c>
      <c r="O265" s="1" t="s">
        <v>74</v>
      </c>
      <c r="P265" s="1" t="s">
        <v>74</v>
      </c>
      <c r="Q265" s="1" t="s">
        <v>74</v>
      </c>
      <c r="R265" s="1" t="s">
        <v>74</v>
      </c>
      <c r="S265" s="1" t="s">
        <v>74</v>
      </c>
      <c r="T265" s="1" t="s">
        <v>74</v>
      </c>
      <c r="U265" s="1" t="s">
        <v>74</v>
      </c>
      <c r="V265" s="1" t="s">
        <v>2855</v>
      </c>
      <c r="W265" s="1" t="s">
        <v>74</v>
      </c>
      <c r="X265" s="1" t="s">
        <v>74</v>
      </c>
      <c r="Y265" s="1" t="s">
        <v>74</v>
      </c>
      <c r="Z265" s="1" t="s">
        <v>74</v>
      </c>
      <c r="AA265" s="1" t="s">
        <v>2856</v>
      </c>
      <c r="AB265" s="1" t="s">
        <v>2857</v>
      </c>
      <c r="AC265" s="1" t="s">
        <v>74</v>
      </c>
      <c r="AD265" s="1" t="s">
        <v>74</v>
      </c>
      <c r="AE265" s="1" t="s">
        <v>74</v>
      </c>
      <c r="AF265" s="1" t="s">
        <v>74</v>
      </c>
      <c r="AG265" s="1" t="s">
        <v>74</v>
      </c>
      <c r="AH265" s="1" t="s">
        <v>74</v>
      </c>
      <c r="AI265" s="1" t="s">
        <v>74</v>
      </c>
      <c r="AJ265" s="1" t="s">
        <v>74</v>
      </c>
      <c r="AK265" s="1" t="s">
        <v>74</v>
      </c>
      <c r="AL265" s="1" t="s">
        <v>74</v>
      </c>
      <c r="AM265" s="1" t="s">
        <v>74</v>
      </c>
      <c r="AN265" s="1" t="s">
        <v>74</v>
      </c>
      <c r="AO265" s="1" t="s">
        <v>74</v>
      </c>
      <c r="AP265" s="1" t="s">
        <v>634</v>
      </c>
      <c r="AQ265" s="1" t="s">
        <v>74</v>
      </c>
      <c r="AR265" s="1" t="s">
        <v>74</v>
      </c>
      <c r="AS265" s="1" t="s">
        <v>74</v>
      </c>
      <c r="AT265" s="1" t="s">
        <v>316</v>
      </c>
      <c r="AU265" s="1">
        <v>2022.0</v>
      </c>
      <c r="AV265" s="1">
        <v>15.0</v>
      </c>
      <c r="AW265" s="1">
        <v>20.0</v>
      </c>
      <c r="AX265" s="1" t="s">
        <v>74</v>
      </c>
      <c r="AY265" s="1" t="s">
        <v>74</v>
      </c>
      <c r="AZ265" s="1" t="s">
        <v>74</v>
      </c>
      <c r="BA265" s="1" t="s">
        <v>74</v>
      </c>
      <c r="BB265" s="1" t="s">
        <v>74</v>
      </c>
      <c r="BC265" s="1" t="s">
        <v>74</v>
      </c>
      <c r="BD265" s="1">
        <v>7340.0</v>
      </c>
      <c r="BE265" s="1" t="s">
        <v>2858</v>
      </c>
      <c r="BF265" s="2" t="str">
        <f>HYPERLINK("http://dx.doi.org/10.3390/ma15207340","http://dx.doi.org/10.3390/ma15207340")</f>
        <v>http://dx.doi.org/10.3390/ma15207340</v>
      </c>
      <c r="BG265" s="1" t="s">
        <v>74</v>
      </c>
      <c r="BH265" s="1" t="s">
        <v>74</v>
      </c>
      <c r="BI265" s="1" t="s">
        <v>74</v>
      </c>
      <c r="BJ265" s="1" t="s">
        <v>74</v>
      </c>
      <c r="BK265" s="1" t="s">
        <v>74</v>
      </c>
      <c r="BL265" s="1" t="s">
        <v>74</v>
      </c>
      <c r="BM265" s="1" t="s">
        <v>74</v>
      </c>
      <c r="BN265" s="1">
        <v>3.6295405E7</v>
      </c>
      <c r="BO265" s="1" t="s">
        <v>74</v>
      </c>
      <c r="BP265" s="1" t="s">
        <v>74</v>
      </c>
      <c r="BQ265" s="1" t="s">
        <v>74</v>
      </c>
      <c r="BR265" s="1" t="s">
        <v>74</v>
      </c>
      <c r="BS265" s="1" t="s">
        <v>2859</v>
      </c>
      <c r="BT265" s="1" t="str">
        <f>HYPERLINK("https%3A%2F%2Fwww.webofscience.com%2Fwos%2Fwoscc%2Ffull-record%2FWOS:000873158000001","View Full Record in Web of Science")</f>
        <v>View Full Record in Web of Science</v>
      </c>
    </row>
    <row r="266" ht="12.75" customHeight="1">
      <c r="A266" s="1" t="s">
        <v>72</v>
      </c>
      <c r="B266" s="1" t="s">
        <v>2860</v>
      </c>
      <c r="C266" s="1" t="s">
        <v>74</v>
      </c>
      <c r="D266" s="1" t="s">
        <v>74</v>
      </c>
      <c r="E266" s="1" t="s">
        <v>74</v>
      </c>
      <c r="F266" s="1" t="s">
        <v>2861</v>
      </c>
      <c r="G266" s="1" t="s">
        <v>74</v>
      </c>
      <c r="H266" s="1" t="s">
        <v>74</v>
      </c>
      <c r="I266" s="1" t="s">
        <v>2862</v>
      </c>
      <c r="J266" s="1" t="s">
        <v>2863</v>
      </c>
      <c r="K266" s="1" t="s">
        <v>74</v>
      </c>
      <c r="L266" s="1" t="s">
        <v>74</v>
      </c>
      <c r="M266" s="1" t="s">
        <v>74</v>
      </c>
      <c r="N266" s="1" t="s">
        <v>74</v>
      </c>
      <c r="O266" s="1" t="s">
        <v>74</v>
      </c>
      <c r="P266" s="1" t="s">
        <v>74</v>
      </c>
      <c r="Q266" s="1" t="s">
        <v>74</v>
      </c>
      <c r="R266" s="1" t="s">
        <v>74</v>
      </c>
      <c r="S266" s="1" t="s">
        <v>74</v>
      </c>
      <c r="T266" s="1" t="s">
        <v>74</v>
      </c>
      <c r="U266" s="1" t="s">
        <v>74</v>
      </c>
      <c r="V266" s="1" t="s">
        <v>2864</v>
      </c>
      <c r="W266" s="1" t="s">
        <v>74</v>
      </c>
      <c r="X266" s="1" t="s">
        <v>74</v>
      </c>
      <c r="Y266" s="1" t="s">
        <v>74</v>
      </c>
      <c r="Z266" s="1" t="s">
        <v>74</v>
      </c>
      <c r="AA266" s="1" t="s">
        <v>2865</v>
      </c>
      <c r="AB266" s="1" t="s">
        <v>2866</v>
      </c>
      <c r="AC266" s="1" t="s">
        <v>74</v>
      </c>
      <c r="AD266" s="1" t="s">
        <v>74</v>
      </c>
      <c r="AE266" s="1" t="s">
        <v>74</v>
      </c>
      <c r="AF266" s="1" t="s">
        <v>74</v>
      </c>
      <c r="AG266" s="1" t="s">
        <v>74</v>
      </c>
      <c r="AH266" s="1" t="s">
        <v>74</v>
      </c>
      <c r="AI266" s="1" t="s">
        <v>74</v>
      </c>
      <c r="AJ266" s="1" t="s">
        <v>74</v>
      </c>
      <c r="AK266" s="1" t="s">
        <v>74</v>
      </c>
      <c r="AL266" s="1" t="s">
        <v>74</v>
      </c>
      <c r="AM266" s="1" t="s">
        <v>74</v>
      </c>
      <c r="AN266" s="1" t="s">
        <v>74</v>
      </c>
      <c r="AO266" s="1" t="s">
        <v>74</v>
      </c>
      <c r="AP266" s="1" t="s">
        <v>2867</v>
      </c>
      <c r="AQ266" s="1" t="s">
        <v>74</v>
      </c>
      <c r="AR266" s="1" t="s">
        <v>74</v>
      </c>
      <c r="AS266" s="1" t="s">
        <v>74</v>
      </c>
      <c r="AT266" s="1" t="s">
        <v>155</v>
      </c>
      <c r="AU266" s="1">
        <v>2022.0</v>
      </c>
      <c r="AV266" s="1">
        <v>12.0</v>
      </c>
      <c r="AW266" s="1">
        <v>6.0</v>
      </c>
      <c r="AX266" s="1" t="s">
        <v>74</v>
      </c>
      <c r="AY266" s="1" t="s">
        <v>74</v>
      </c>
      <c r="AZ266" s="1" t="s">
        <v>74</v>
      </c>
      <c r="BA266" s="1" t="s">
        <v>74</v>
      </c>
      <c r="BB266" s="1" t="s">
        <v>74</v>
      </c>
      <c r="BC266" s="1" t="s">
        <v>74</v>
      </c>
      <c r="BD266" s="1">
        <v>1053.0</v>
      </c>
      <c r="BE266" s="1" t="s">
        <v>2868</v>
      </c>
      <c r="BF266" s="2" t="str">
        <f>HYPERLINK("http://dx.doi.org/10.3390/met12061053","http://dx.doi.org/10.3390/met12061053")</f>
        <v>http://dx.doi.org/10.3390/met12061053</v>
      </c>
      <c r="BG266" s="1" t="s">
        <v>74</v>
      </c>
      <c r="BH266" s="1" t="s">
        <v>74</v>
      </c>
      <c r="BI266" s="1" t="s">
        <v>74</v>
      </c>
      <c r="BJ266" s="1" t="s">
        <v>74</v>
      </c>
      <c r="BK266" s="1" t="s">
        <v>74</v>
      </c>
      <c r="BL266" s="1" t="s">
        <v>74</v>
      </c>
      <c r="BM266" s="1" t="s">
        <v>74</v>
      </c>
      <c r="BN266" s="1" t="s">
        <v>74</v>
      </c>
      <c r="BO266" s="1" t="s">
        <v>74</v>
      </c>
      <c r="BP266" s="1" t="s">
        <v>74</v>
      </c>
      <c r="BQ266" s="1" t="s">
        <v>74</v>
      </c>
      <c r="BR266" s="1" t="s">
        <v>74</v>
      </c>
      <c r="BS266" s="1" t="s">
        <v>2869</v>
      </c>
      <c r="BT266" s="1" t="str">
        <f>HYPERLINK("https%3A%2F%2Fwww.webofscience.com%2Fwos%2Fwoscc%2Ffull-record%2FWOS:000816394000001","View Full Record in Web of Science")</f>
        <v>View Full Record in Web of Science</v>
      </c>
    </row>
    <row r="267" ht="12.75" customHeight="1">
      <c r="A267" s="1" t="s">
        <v>72</v>
      </c>
      <c r="B267" s="1" t="s">
        <v>2870</v>
      </c>
      <c r="C267" s="1" t="s">
        <v>74</v>
      </c>
      <c r="D267" s="1" t="s">
        <v>74</v>
      </c>
      <c r="E267" s="1" t="s">
        <v>74</v>
      </c>
      <c r="F267" s="1" t="s">
        <v>2871</v>
      </c>
      <c r="G267" s="1" t="s">
        <v>74</v>
      </c>
      <c r="H267" s="1" t="s">
        <v>74</v>
      </c>
      <c r="I267" s="1" t="s">
        <v>2872</v>
      </c>
      <c r="J267" s="1" t="s">
        <v>2873</v>
      </c>
      <c r="K267" s="1" t="s">
        <v>74</v>
      </c>
      <c r="L267" s="1" t="s">
        <v>74</v>
      </c>
      <c r="M267" s="1" t="s">
        <v>74</v>
      </c>
      <c r="N267" s="1" t="s">
        <v>74</v>
      </c>
      <c r="O267" s="1" t="s">
        <v>74</v>
      </c>
      <c r="P267" s="1" t="s">
        <v>74</v>
      </c>
      <c r="Q267" s="1" t="s">
        <v>74</v>
      </c>
      <c r="R267" s="1" t="s">
        <v>74</v>
      </c>
      <c r="S267" s="1" t="s">
        <v>74</v>
      </c>
      <c r="T267" s="1" t="s">
        <v>74</v>
      </c>
      <c r="U267" s="1" t="s">
        <v>74</v>
      </c>
      <c r="V267" s="1" t="s">
        <v>74</v>
      </c>
      <c r="W267" s="1" t="s">
        <v>74</v>
      </c>
      <c r="X267" s="1" t="s">
        <v>74</v>
      </c>
      <c r="Y267" s="1" t="s">
        <v>74</v>
      </c>
      <c r="Z267" s="1" t="s">
        <v>74</v>
      </c>
      <c r="AA267" s="1" t="s">
        <v>74</v>
      </c>
      <c r="AB267" s="1" t="s">
        <v>74</v>
      </c>
      <c r="AC267" s="1" t="s">
        <v>74</v>
      </c>
      <c r="AD267" s="1" t="s">
        <v>74</v>
      </c>
      <c r="AE267" s="1" t="s">
        <v>74</v>
      </c>
      <c r="AF267" s="1" t="s">
        <v>74</v>
      </c>
      <c r="AG267" s="1" t="s">
        <v>74</v>
      </c>
      <c r="AH267" s="1" t="s">
        <v>74</v>
      </c>
      <c r="AI267" s="1" t="s">
        <v>74</v>
      </c>
      <c r="AJ267" s="1" t="s">
        <v>74</v>
      </c>
      <c r="AK267" s="1" t="s">
        <v>74</v>
      </c>
      <c r="AL267" s="1" t="s">
        <v>74</v>
      </c>
      <c r="AM267" s="1" t="s">
        <v>74</v>
      </c>
      <c r="AN267" s="1" t="s">
        <v>74</v>
      </c>
      <c r="AO267" s="1" t="s">
        <v>2874</v>
      </c>
      <c r="AP267" s="1" t="s">
        <v>74</v>
      </c>
      <c r="AQ267" s="1" t="s">
        <v>74</v>
      </c>
      <c r="AR267" s="1" t="s">
        <v>74</v>
      </c>
      <c r="AS267" s="1" t="s">
        <v>74</v>
      </c>
      <c r="AT267" s="1" t="s">
        <v>377</v>
      </c>
      <c r="AU267" s="1">
        <v>2022.0</v>
      </c>
      <c r="AV267" s="1">
        <v>49.0</v>
      </c>
      <c r="AW267" s="1">
        <v>2.0</v>
      </c>
      <c r="AX267" s="1" t="s">
        <v>74</v>
      </c>
      <c r="AY267" s="1" t="s">
        <v>74</v>
      </c>
      <c r="AZ267" s="1" t="s">
        <v>74</v>
      </c>
      <c r="BA267" s="1" t="s">
        <v>74</v>
      </c>
      <c r="BB267" s="1">
        <v>310.0</v>
      </c>
      <c r="BC267" s="1">
        <v>312.0</v>
      </c>
      <c r="BD267" s="1" t="s">
        <v>74</v>
      </c>
      <c r="BE267" s="1" t="s">
        <v>74</v>
      </c>
      <c r="BF267" s="1" t="s">
        <v>74</v>
      </c>
      <c r="BG267" s="1" t="s">
        <v>74</v>
      </c>
      <c r="BH267" s="1" t="s">
        <v>74</v>
      </c>
      <c r="BI267" s="1" t="s">
        <v>74</v>
      </c>
      <c r="BJ267" s="1" t="s">
        <v>74</v>
      </c>
      <c r="BK267" s="1" t="s">
        <v>74</v>
      </c>
      <c r="BL267" s="1" t="s">
        <v>74</v>
      </c>
      <c r="BM267" s="1" t="s">
        <v>74</v>
      </c>
      <c r="BN267" s="1" t="s">
        <v>74</v>
      </c>
      <c r="BO267" s="1" t="s">
        <v>74</v>
      </c>
      <c r="BP267" s="1" t="s">
        <v>74</v>
      </c>
      <c r="BQ267" s="1" t="s">
        <v>74</v>
      </c>
      <c r="BR267" s="1" t="s">
        <v>74</v>
      </c>
      <c r="BS267" s="1" t="s">
        <v>2875</v>
      </c>
      <c r="BT267" s="1" t="str">
        <f>HYPERLINK("https%3A%2F%2Fwww.webofscience.com%2Fwos%2Fwoscc%2Ffull-record%2FWOS:000827624300005","View Full Record in Web of Science")</f>
        <v>View Full Record in Web of Science</v>
      </c>
    </row>
    <row r="268" ht="12.75" customHeight="1">
      <c r="A268" s="1" t="s">
        <v>72</v>
      </c>
      <c r="B268" s="1" t="s">
        <v>2876</v>
      </c>
      <c r="C268" s="1" t="s">
        <v>74</v>
      </c>
      <c r="D268" s="1" t="s">
        <v>74</v>
      </c>
      <c r="E268" s="1" t="s">
        <v>74</v>
      </c>
      <c r="F268" s="1" t="s">
        <v>2877</v>
      </c>
      <c r="G268" s="1" t="s">
        <v>74</v>
      </c>
      <c r="H268" s="1" t="s">
        <v>74</v>
      </c>
      <c r="I268" s="1" t="s">
        <v>2878</v>
      </c>
      <c r="J268" s="1" t="s">
        <v>2184</v>
      </c>
      <c r="K268" s="1" t="s">
        <v>74</v>
      </c>
      <c r="L268" s="1" t="s">
        <v>74</v>
      </c>
      <c r="M268" s="1" t="s">
        <v>74</v>
      </c>
      <c r="N268" s="1" t="s">
        <v>74</v>
      </c>
      <c r="O268" s="1" t="s">
        <v>74</v>
      </c>
      <c r="P268" s="1" t="s">
        <v>74</v>
      </c>
      <c r="Q268" s="1" t="s">
        <v>74</v>
      </c>
      <c r="R268" s="1" t="s">
        <v>74</v>
      </c>
      <c r="S268" s="1" t="s">
        <v>74</v>
      </c>
      <c r="T268" s="1" t="s">
        <v>74</v>
      </c>
      <c r="U268" s="1" t="s">
        <v>74</v>
      </c>
      <c r="V268" s="1" t="s">
        <v>2879</v>
      </c>
      <c r="W268" s="1" t="s">
        <v>74</v>
      </c>
      <c r="X268" s="1" t="s">
        <v>74</v>
      </c>
      <c r="Y268" s="1" t="s">
        <v>74</v>
      </c>
      <c r="Z268" s="1" t="s">
        <v>74</v>
      </c>
      <c r="AA268" s="1" t="s">
        <v>2880</v>
      </c>
      <c r="AB268" s="1" t="s">
        <v>2881</v>
      </c>
      <c r="AC268" s="1" t="s">
        <v>74</v>
      </c>
      <c r="AD268" s="1" t="s">
        <v>74</v>
      </c>
      <c r="AE268" s="1" t="s">
        <v>74</v>
      </c>
      <c r="AF268" s="1" t="s">
        <v>74</v>
      </c>
      <c r="AG268" s="1" t="s">
        <v>74</v>
      </c>
      <c r="AH268" s="1" t="s">
        <v>74</v>
      </c>
      <c r="AI268" s="1" t="s">
        <v>74</v>
      </c>
      <c r="AJ268" s="1" t="s">
        <v>74</v>
      </c>
      <c r="AK268" s="1" t="s">
        <v>74</v>
      </c>
      <c r="AL268" s="1" t="s">
        <v>74</v>
      </c>
      <c r="AM268" s="1" t="s">
        <v>74</v>
      </c>
      <c r="AN268" s="1" t="s">
        <v>74</v>
      </c>
      <c r="AO268" s="1" t="s">
        <v>74</v>
      </c>
      <c r="AP268" s="1" t="s">
        <v>2188</v>
      </c>
      <c r="AQ268" s="1" t="s">
        <v>74</v>
      </c>
      <c r="AR268" s="1" t="s">
        <v>74</v>
      </c>
      <c r="AS268" s="1" t="s">
        <v>74</v>
      </c>
      <c r="AT268" s="1" t="s">
        <v>1198</v>
      </c>
      <c r="AU268" s="1">
        <v>2022.0</v>
      </c>
      <c r="AV268" s="1">
        <v>13.0</v>
      </c>
      <c r="AW268" s="1" t="s">
        <v>74</v>
      </c>
      <c r="AX268" s="1" t="s">
        <v>74</v>
      </c>
      <c r="AY268" s="1" t="s">
        <v>74</v>
      </c>
      <c r="AZ268" s="1" t="s">
        <v>74</v>
      </c>
      <c r="BA268" s="1" t="s">
        <v>74</v>
      </c>
      <c r="BB268" s="1" t="s">
        <v>74</v>
      </c>
      <c r="BC268" s="1" t="s">
        <v>74</v>
      </c>
      <c r="BD268" s="1">
        <v>852677.0</v>
      </c>
      <c r="BE268" s="1" t="s">
        <v>2882</v>
      </c>
      <c r="BF268" s="2" t="str">
        <f>HYPERLINK("http://dx.doi.org/10.3389/fmicb.2022.852677","http://dx.doi.org/10.3389/fmicb.2022.852677")</f>
        <v>http://dx.doi.org/10.3389/fmicb.2022.852677</v>
      </c>
      <c r="BG268" s="1" t="s">
        <v>74</v>
      </c>
      <c r="BH268" s="1" t="s">
        <v>74</v>
      </c>
      <c r="BI268" s="1" t="s">
        <v>74</v>
      </c>
      <c r="BJ268" s="1" t="s">
        <v>74</v>
      </c>
      <c r="BK268" s="1" t="s">
        <v>74</v>
      </c>
      <c r="BL268" s="1" t="s">
        <v>74</v>
      </c>
      <c r="BM268" s="1" t="s">
        <v>74</v>
      </c>
      <c r="BN268" s="1">
        <v>3.5432241E7</v>
      </c>
      <c r="BO268" s="1" t="s">
        <v>74</v>
      </c>
      <c r="BP268" s="1" t="s">
        <v>74</v>
      </c>
      <c r="BQ268" s="1" t="s">
        <v>74</v>
      </c>
      <c r="BR268" s="1" t="s">
        <v>74</v>
      </c>
      <c r="BS268" s="1" t="s">
        <v>2883</v>
      </c>
      <c r="BT268" s="1" t="str">
        <f>HYPERLINK("https%3A%2F%2Fwww.webofscience.com%2Fwos%2Fwoscc%2Ffull-record%2FWOS:000789110500001","View Full Record in Web of Science")</f>
        <v>View Full Record in Web of Science</v>
      </c>
    </row>
    <row r="269" ht="12.75" customHeight="1">
      <c r="A269" s="1" t="s">
        <v>72</v>
      </c>
      <c r="B269" s="1" t="s">
        <v>2884</v>
      </c>
      <c r="C269" s="1" t="s">
        <v>74</v>
      </c>
      <c r="D269" s="1" t="s">
        <v>74</v>
      </c>
      <c r="E269" s="1" t="s">
        <v>74</v>
      </c>
      <c r="F269" s="1" t="s">
        <v>2885</v>
      </c>
      <c r="G269" s="1" t="s">
        <v>74</v>
      </c>
      <c r="H269" s="1" t="s">
        <v>74</v>
      </c>
      <c r="I269" s="1" t="s">
        <v>2886</v>
      </c>
      <c r="J269" s="1" t="s">
        <v>2133</v>
      </c>
      <c r="K269" s="1" t="s">
        <v>74</v>
      </c>
      <c r="L269" s="1" t="s">
        <v>74</v>
      </c>
      <c r="M269" s="1" t="s">
        <v>74</v>
      </c>
      <c r="N269" s="1" t="s">
        <v>74</v>
      </c>
      <c r="O269" s="1" t="s">
        <v>74</v>
      </c>
      <c r="P269" s="1" t="s">
        <v>74</v>
      </c>
      <c r="Q269" s="1" t="s">
        <v>74</v>
      </c>
      <c r="R269" s="1" t="s">
        <v>74</v>
      </c>
      <c r="S269" s="1" t="s">
        <v>74</v>
      </c>
      <c r="T269" s="1" t="s">
        <v>74</v>
      </c>
      <c r="U269" s="1" t="s">
        <v>74</v>
      </c>
      <c r="V269" s="1" t="s">
        <v>2887</v>
      </c>
      <c r="W269" s="1" t="s">
        <v>74</v>
      </c>
      <c r="X269" s="1" t="s">
        <v>74</v>
      </c>
      <c r="Y269" s="1" t="s">
        <v>74</v>
      </c>
      <c r="Z269" s="1" t="s">
        <v>74</v>
      </c>
      <c r="AA269" s="1" t="s">
        <v>2888</v>
      </c>
      <c r="AB269" s="1" t="s">
        <v>2889</v>
      </c>
      <c r="AC269" s="1" t="s">
        <v>74</v>
      </c>
      <c r="AD269" s="1" t="s">
        <v>74</v>
      </c>
      <c r="AE269" s="1" t="s">
        <v>74</v>
      </c>
      <c r="AF269" s="1" t="s">
        <v>74</v>
      </c>
      <c r="AG269" s="1" t="s">
        <v>74</v>
      </c>
      <c r="AH269" s="1" t="s">
        <v>74</v>
      </c>
      <c r="AI269" s="1" t="s">
        <v>74</v>
      </c>
      <c r="AJ269" s="1" t="s">
        <v>74</v>
      </c>
      <c r="AK269" s="1" t="s">
        <v>74</v>
      </c>
      <c r="AL269" s="1" t="s">
        <v>74</v>
      </c>
      <c r="AM269" s="1" t="s">
        <v>74</v>
      </c>
      <c r="AN269" s="1" t="s">
        <v>74</v>
      </c>
      <c r="AO269" s="1" t="s">
        <v>2136</v>
      </c>
      <c r="AP269" s="1" t="s">
        <v>2137</v>
      </c>
      <c r="AQ269" s="1" t="s">
        <v>74</v>
      </c>
      <c r="AR269" s="1" t="s">
        <v>74</v>
      </c>
      <c r="AS269" s="1" t="s">
        <v>74</v>
      </c>
      <c r="AT269" s="1" t="s">
        <v>411</v>
      </c>
      <c r="AU269" s="1">
        <v>2021.0</v>
      </c>
      <c r="AV269" s="1">
        <v>303.0</v>
      </c>
      <c r="AW269" s="1" t="s">
        <v>74</v>
      </c>
      <c r="AX269" s="1" t="s">
        <v>74</v>
      </c>
      <c r="AY269" s="1" t="s">
        <v>74</v>
      </c>
      <c r="AZ269" s="1" t="s">
        <v>74</v>
      </c>
      <c r="BA269" s="1" t="s">
        <v>74</v>
      </c>
      <c r="BB269" s="1" t="s">
        <v>74</v>
      </c>
      <c r="BC269" s="1" t="s">
        <v>74</v>
      </c>
      <c r="BD269" s="1">
        <v>122482.0</v>
      </c>
      <c r="BE269" s="1" t="s">
        <v>2890</v>
      </c>
      <c r="BF269" s="2" t="str">
        <f>HYPERLINK("http://dx.doi.org/10.1016/j.jssc.2021.122482","http://dx.doi.org/10.1016/j.jssc.2021.122482")</f>
        <v>http://dx.doi.org/10.1016/j.jssc.2021.122482</v>
      </c>
      <c r="BG269" s="1" t="s">
        <v>74</v>
      </c>
      <c r="BH269" s="1" t="s">
        <v>2891</v>
      </c>
      <c r="BI269" s="1" t="s">
        <v>74</v>
      </c>
      <c r="BJ269" s="1" t="s">
        <v>74</v>
      </c>
      <c r="BK269" s="1" t="s">
        <v>74</v>
      </c>
      <c r="BL269" s="1" t="s">
        <v>74</v>
      </c>
      <c r="BM269" s="1" t="s">
        <v>74</v>
      </c>
      <c r="BN269" s="1" t="s">
        <v>74</v>
      </c>
      <c r="BO269" s="1" t="s">
        <v>74</v>
      </c>
      <c r="BP269" s="1" t="s">
        <v>74</v>
      </c>
      <c r="BQ269" s="1" t="s">
        <v>74</v>
      </c>
      <c r="BR269" s="1" t="s">
        <v>74</v>
      </c>
      <c r="BS269" s="1" t="s">
        <v>2892</v>
      </c>
      <c r="BT269" s="1" t="str">
        <f>HYPERLINK("https%3A%2F%2Fwww.webofscience.com%2Fwos%2Fwoscc%2Ffull-record%2FWOS:000700860100033","View Full Record in Web of Science")</f>
        <v>View Full Record in Web of Science</v>
      </c>
    </row>
    <row r="270" ht="12.75" customHeight="1">
      <c r="A270" s="1" t="s">
        <v>72</v>
      </c>
      <c r="B270" s="1" t="s">
        <v>1999</v>
      </c>
      <c r="C270" s="1" t="s">
        <v>74</v>
      </c>
      <c r="D270" s="1" t="s">
        <v>74</v>
      </c>
      <c r="E270" s="1" t="s">
        <v>74</v>
      </c>
      <c r="F270" s="1" t="s">
        <v>2000</v>
      </c>
      <c r="G270" s="1" t="s">
        <v>74</v>
      </c>
      <c r="H270" s="1" t="s">
        <v>74</v>
      </c>
      <c r="I270" s="1" t="s">
        <v>2893</v>
      </c>
      <c r="J270" s="1" t="s">
        <v>2002</v>
      </c>
      <c r="K270" s="1" t="s">
        <v>74</v>
      </c>
      <c r="L270" s="1" t="s">
        <v>74</v>
      </c>
      <c r="M270" s="1" t="s">
        <v>74</v>
      </c>
      <c r="N270" s="1" t="s">
        <v>74</v>
      </c>
      <c r="O270" s="1" t="s">
        <v>74</v>
      </c>
      <c r="P270" s="1" t="s">
        <v>74</v>
      </c>
      <c r="Q270" s="1" t="s">
        <v>74</v>
      </c>
      <c r="R270" s="1" t="s">
        <v>74</v>
      </c>
      <c r="S270" s="1" t="s">
        <v>74</v>
      </c>
      <c r="T270" s="1" t="s">
        <v>74</v>
      </c>
      <c r="U270" s="1" t="s">
        <v>74</v>
      </c>
      <c r="V270" s="1" t="s">
        <v>74</v>
      </c>
      <c r="W270" s="1" t="s">
        <v>74</v>
      </c>
      <c r="X270" s="1" t="s">
        <v>74</v>
      </c>
      <c r="Y270" s="1" t="s">
        <v>74</v>
      </c>
      <c r="Z270" s="1" t="s">
        <v>74</v>
      </c>
      <c r="AA270" s="1" t="s">
        <v>2894</v>
      </c>
      <c r="AB270" s="1" t="s">
        <v>74</v>
      </c>
      <c r="AC270" s="1" t="s">
        <v>74</v>
      </c>
      <c r="AD270" s="1" t="s">
        <v>74</v>
      </c>
      <c r="AE270" s="1" t="s">
        <v>74</v>
      </c>
      <c r="AF270" s="1" t="s">
        <v>74</v>
      </c>
      <c r="AG270" s="1" t="s">
        <v>74</v>
      </c>
      <c r="AH270" s="1" t="s">
        <v>74</v>
      </c>
      <c r="AI270" s="1" t="s">
        <v>74</v>
      </c>
      <c r="AJ270" s="1" t="s">
        <v>74</v>
      </c>
      <c r="AK270" s="1" t="s">
        <v>74</v>
      </c>
      <c r="AL270" s="1" t="s">
        <v>74</v>
      </c>
      <c r="AM270" s="1" t="s">
        <v>74</v>
      </c>
      <c r="AN270" s="1" t="s">
        <v>74</v>
      </c>
      <c r="AO270" s="1" t="s">
        <v>2006</v>
      </c>
      <c r="AP270" s="1" t="s">
        <v>2007</v>
      </c>
      <c r="AQ270" s="1" t="s">
        <v>74</v>
      </c>
      <c r="AR270" s="1" t="s">
        <v>74</v>
      </c>
      <c r="AS270" s="1" t="s">
        <v>74</v>
      </c>
      <c r="AT270" s="1" t="s">
        <v>155</v>
      </c>
      <c r="AU270" s="1">
        <v>2021.0</v>
      </c>
      <c r="AV270" s="1">
        <v>52.0</v>
      </c>
      <c r="AW270" s="1">
        <v>6.0</v>
      </c>
      <c r="AX270" s="1" t="s">
        <v>74</v>
      </c>
      <c r="AY270" s="1" t="s">
        <v>74</v>
      </c>
      <c r="AZ270" s="1" t="s">
        <v>74</v>
      </c>
      <c r="BA270" s="1" t="s">
        <v>74</v>
      </c>
      <c r="BB270" s="1">
        <v>2689.0</v>
      </c>
      <c r="BC270" s="1">
        <v>2689.0</v>
      </c>
      <c r="BD270" s="1" t="s">
        <v>74</v>
      </c>
      <c r="BE270" s="1" t="s">
        <v>2895</v>
      </c>
      <c r="BF270" s="2" t="str">
        <f>HYPERLINK("http://dx.doi.org/10.1007/s11661-021-06201-z","http://dx.doi.org/10.1007/s11661-021-06201-z")</f>
        <v>http://dx.doi.org/10.1007/s11661-021-06201-z</v>
      </c>
      <c r="BG270" s="1" t="s">
        <v>74</v>
      </c>
      <c r="BH270" s="1" t="s">
        <v>427</v>
      </c>
      <c r="BI270" s="1" t="s">
        <v>74</v>
      </c>
      <c r="BJ270" s="1" t="s">
        <v>74</v>
      </c>
      <c r="BK270" s="1" t="s">
        <v>74</v>
      </c>
      <c r="BL270" s="1" t="s">
        <v>74</v>
      </c>
      <c r="BM270" s="1" t="s">
        <v>74</v>
      </c>
      <c r="BN270" s="1" t="s">
        <v>74</v>
      </c>
      <c r="BO270" s="1" t="s">
        <v>74</v>
      </c>
      <c r="BP270" s="1" t="s">
        <v>74</v>
      </c>
      <c r="BQ270" s="1" t="s">
        <v>74</v>
      </c>
      <c r="BR270" s="1" t="s">
        <v>74</v>
      </c>
      <c r="BS270" s="1" t="s">
        <v>2896</v>
      </c>
      <c r="BT270" s="1" t="str">
        <f>HYPERLINK("https%3A%2F%2Fwww.webofscience.com%2Fwos%2Fwoscc%2Ffull-record%2FWOS:000638069700001","View Full Record in Web of Science")</f>
        <v>View Full Record in Web of Science</v>
      </c>
    </row>
    <row r="271" ht="12.75" customHeight="1">
      <c r="A271" s="1" t="s">
        <v>647</v>
      </c>
      <c r="B271" s="1" t="s">
        <v>2897</v>
      </c>
      <c r="C271" s="1" t="s">
        <v>74</v>
      </c>
      <c r="D271" s="1" t="s">
        <v>74</v>
      </c>
      <c r="E271" s="1" t="s">
        <v>1484</v>
      </c>
      <c r="F271" s="1" t="s">
        <v>2898</v>
      </c>
      <c r="G271" s="1" t="s">
        <v>74</v>
      </c>
      <c r="H271" s="1" t="s">
        <v>74</v>
      </c>
      <c r="I271" s="1" t="s">
        <v>2899</v>
      </c>
      <c r="J271" s="1" t="s">
        <v>1487</v>
      </c>
      <c r="K271" s="1" t="s">
        <v>1488</v>
      </c>
      <c r="L271" s="1" t="s">
        <v>74</v>
      </c>
      <c r="M271" s="1" t="s">
        <v>74</v>
      </c>
      <c r="N271" s="1" t="s">
        <v>74</v>
      </c>
      <c r="O271" s="1" t="s">
        <v>1489</v>
      </c>
      <c r="P271" s="1" t="s">
        <v>1490</v>
      </c>
      <c r="Q271" s="1" t="s">
        <v>1491</v>
      </c>
      <c r="R271" s="1" t="s">
        <v>1492</v>
      </c>
      <c r="S271" s="1" t="s">
        <v>74</v>
      </c>
      <c r="T271" s="1" t="s">
        <v>74</v>
      </c>
      <c r="U271" s="1" t="s">
        <v>74</v>
      </c>
      <c r="V271" s="1" t="s">
        <v>2900</v>
      </c>
      <c r="W271" s="1" t="s">
        <v>74</v>
      </c>
      <c r="X271" s="1" t="s">
        <v>74</v>
      </c>
      <c r="Y271" s="1" t="s">
        <v>74</v>
      </c>
      <c r="Z271" s="1" t="s">
        <v>74</v>
      </c>
      <c r="AA271" s="1" t="s">
        <v>2901</v>
      </c>
      <c r="AB271" s="1" t="s">
        <v>1495</v>
      </c>
      <c r="AC271" s="1" t="s">
        <v>74</v>
      </c>
      <c r="AD271" s="1" t="s">
        <v>74</v>
      </c>
      <c r="AE271" s="1" t="s">
        <v>74</v>
      </c>
      <c r="AF271" s="1" t="s">
        <v>74</v>
      </c>
      <c r="AG271" s="1" t="s">
        <v>74</v>
      </c>
      <c r="AH271" s="1" t="s">
        <v>74</v>
      </c>
      <c r="AI271" s="1" t="s">
        <v>74</v>
      </c>
      <c r="AJ271" s="1" t="s">
        <v>74</v>
      </c>
      <c r="AK271" s="1" t="s">
        <v>74</v>
      </c>
      <c r="AL271" s="1" t="s">
        <v>74</v>
      </c>
      <c r="AM271" s="1" t="s">
        <v>74</v>
      </c>
      <c r="AN271" s="1" t="s">
        <v>74</v>
      </c>
      <c r="AO271" s="1" t="s">
        <v>1496</v>
      </c>
      <c r="AP271" s="1" t="s">
        <v>74</v>
      </c>
      <c r="AQ271" s="1" t="s">
        <v>1497</v>
      </c>
      <c r="AR271" s="1" t="s">
        <v>74</v>
      </c>
      <c r="AS271" s="1" t="s">
        <v>74</v>
      </c>
      <c r="AT271" s="1" t="s">
        <v>74</v>
      </c>
      <c r="AU271" s="1">
        <v>2021.0</v>
      </c>
      <c r="AV271" s="1" t="s">
        <v>74</v>
      </c>
      <c r="AW271" s="1" t="s">
        <v>74</v>
      </c>
      <c r="AX271" s="1" t="s">
        <v>74</v>
      </c>
      <c r="AY271" s="1" t="s">
        <v>74</v>
      </c>
      <c r="AZ271" s="1" t="s">
        <v>74</v>
      </c>
      <c r="BA271" s="1" t="s">
        <v>74</v>
      </c>
      <c r="BB271" s="1">
        <v>196.0</v>
      </c>
      <c r="BC271" s="1">
        <v>200.0</v>
      </c>
      <c r="BD271" s="1" t="s">
        <v>74</v>
      </c>
      <c r="BE271" s="1" t="s">
        <v>2902</v>
      </c>
      <c r="BF271" s="2" t="str">
        <f>HYPERLINK("http://dx.doi.org/10.23919/EUSIPCO54536.2021.9616326","http://dx.doi.org/10.23919/EUSIPCO54536.2021.9616326")</f>
        <v>http://dx.doi.org/10.23919/EUSIPCO54536.2021.9616326</v>
      </c>
      <c r="BG271" s="1" t="s">
        <v>74</v>
      </c>
      <c r="BH271" s="1" t="s">
        <v>74</v>
      </c>
      <c r="BI271" s="1" t="s">
        <v>74</v>
      </c>
      <c r="BJ271" s="1" t="s">
        <v>74</v>
      </c>
      <c r="BK271" s="1" t="s">
        <v>74</v>
      </c>
      <c r="BL271" s="1" t="s">
        <v>74</v>
      </c>
      <c r="BM271" s="1" t="s">
        <v>74</v>
      </c>
      <c r="BN271" s="1" t="s">
        <v>74</v>
      </c>
      <c r="BO271" s="1" t="s">
        <v>74</v>
      </c>
      <c r="BP271" s="1" t="s">
        <v>74</v>
      </c>
      <c r="BQ271" s="1" t="s">
        <v>74</v>
      </c>
      <c r="BR271" s="1" t="s">
        <v>74</v>
      </c>
      <c r="BS271" s="1" t="s">
        <v>2903</v>
      </c>
      <c r="BT271" s="1" t="str">
        <f>HYPERLINK("https%3A%2F%2Fwww.webofscience.com%2Fwos%2Fwoscc%2Ffull-record%2FWOS:000764066600040","View Full Record in Web of Science")</f>
        <v>View Full Record in Web of Science</v>
      </c>
    </row>
    <row r="272" ht="12.75" customHeight="1">
      <c r="A272" s="1" t="s">
        <v>72</v>
      </c>
      <c r="B272" s="1" t="s">
        <v>2904</v>
      </c>
      <c r="C272" s="1" t="s">
        <v>74</v>
      </c>
      <c r="D272" s="1" t="s">
        <v>74</v>
      </c>
      <c r="E272" s="1" t="s">
        <v>74</v>
      </c>
      <c r="F272" s="1" t="s">
        <v>2905</v>
      </c>
      <c r="G272" s="1" t="s">
        <v>74</v>
      </c>
      <c r="H272" s="1" t="s">
        <v>74</v>
      </c>
      <c r="I272" s="1" t="s">
        <v>2906</v>
      </c>
      <c r="J272" s="1" t="s">
        <v>2907</v>
      </c>
      <c r="K272" s="1" t="s">
        <v>74</v>
      </c>
      <c r="L272" s="1" t="s">
        <v>74</v>
      </c>
      <c r="M272" s="1" t="s">
        <v>74</v>
      </c>
      <c r="N272" s="1" t="s">
        <v>74</v>
      </c>
      <c r="O272" s="1" t="s">
        <v>74</v>
      </c>
      <c r="P272" s="1" t="s">
        <v>74</v>
      </c>
      <c r="Q272" s="1" t="s">
        <v>74</v>
      </c>
      <c r="R272" s="1" t="s">
        <v>74</v>
      </c>
      <c r="S272" s="1" t="s">
        <v>74</v>
      </c>
      <c r="T272" s="1" t="s">
        <v>74</v>
      </c>
      <c r="U272" s="1" t="s">
        <v>74</v>
      </c>
      <c r="V272" s="1" t="s">
        <v>2908</v>
      </c>
      <c r="W272" s="1" t="s">
        <v>74</v>
      </c>
      <c r="X272" s="1" t="s">
        <v>74</v>
      </c>
      <c r="Y272" s="1" t="s">
        <v>74</v>
      </c>
      <c r="Z272" s="1" t="s">
        <v>74</v>
      </c>
      <c r="AA272" s="1" t="s">
        <v>2909</v>
      </c>
      <c r="AB272" s="1" t="s">
        <v>2910</v>
      </c>
      <c r="AC272" s="1" t="s">
        <v>74</v>
      </c>
      <c r="AD272" s="1" t="s">
        <v>74</v>
      </c>
      <c r="AE272" s="1" t="s">
        <v>74</v>
      </c>
      <c r="AF272" s="1" t="s">
        <v>74</v>
      </c>
      <c r="AG272" s="1" t="s">
        <v>74</v>
      </c>
      <c r="AH272" s="1" t="s">
        <v>74</v>
      </c>
      <c r="AI272" s="1" t="s">
        <v>74</v>
      </c>
      <c r="AJ272" s="1" t="s">
        <v>74</v>
      </c>
      <c r="AK272" s="1" t="s">
        <v>74</v>
      </c>
      <c r="AL272" s="1" t="s">
        <v>74</v>
      </c>
      <c r="AM272" s="1" t="s">
        <v>74</v>
      </c>
      <c r="AN272" s="1" t="s">
        <v>74</v>
      </c>
      <c r="AO272" s="1" t="s">
        <v>2911</v>
      </c>
      <c r="AP272" s="1" t="s">
        <v>74</v>
      </c>
      <c r="AQ272" s="1" t="s">
        <v>74</v>
      </c>
      <c r="AR272" s="1" t="s">
        <v>74</v>
      </c>
      <c r="AS272" s="1" t="s">
        <v>74</v>
      </c>
      <c r="AT272" s="1" t="s">
        <v>74</v>
      </c>
      <c r="AU272" s="1">
        <v>2020.0</v>
      </c>
      <c r="AV272" s="1">
        <v>12.0</v>
      </c>
      <c r="AW272" s="1" t="s">
        <v>74</v>
      </c>
      <c r="AX272" s="1" t="s">
        <v>74</v>
      </c>
      <c r="AY272" s="1">
        <v>3.0</v>
      </c>
      <c r="AZ272" s="1" t="s">
        <v>74</v>
      </c>
      <c r="BA272" s="1" t="s">
        <v>74</v>
      </c>
      <c r="BB272" s="1">
        <v>303.0</v>
      </c>
      <c r="BC272" s="1">
        <v>312.0</v>
      </c>
      <c r="BD272" s="1" t="s">
        <v>74</v>
      </c>
      <c r="BE272" s="1" t="s">
        <v>74</v>
      </c>
      <c r="BF272" s="1" t="s">
        <v>74</v>
      </c>
      <c r="BG272" s="1" t="s">
        <v>74</v>
      </c>
      <c r="BH272" s="1" t="s">
        <v>74</v>
      </c>
      <c r="BI272" s="1" t="s">
        <v>74</v>
      </c>
      <c r="BJ272" s="1" t="s">
        <v>74</v>
      </c>
      <c r="BK272" s="1" t="s">
        <v>74</v>
      </c>
      <c r="BL272" s="1" t="s">
        <v>74</v>
      </c>
      <c r="BM272" s="1" t="s">
        <v>74</v>
      </c>
      <c r="BN272" s="1" t="s">
        <v>74</v>
      </c>
      <c r="BO272" s="1" t="s">
        <v>74</v>
      </c>
      <c r="BP272" s="1" t="s">
        <v>74</v>
      </c>
      <c r="BQ272" s="1" t="s">
        <v>74</v>
      </c>
      <c r="BR272" s="1" t="s">
        <v>74</v>
      </c>
      <c r="BS272" s="1" t="s">
        <v>2912</v>
      </c>
      <c r="BT272" s="1" t="str">
        <f>HYPERLINK("https%3A%2F%2Fwww.webofscience.com%2Fwos%2Fwoscc%2Ffull-record%2FWOS:000582380100010","View Full Record in Web of Science")</f>
        <v>View Full Record in Web of Science</v>
      </c>
    </row>
    <row r="273" ht="12.75" customHeight="1">
      <c r="A273" s="1" t="s">
        <v>72</v>
      </c>
      <c r="B273" s="1" t="s">
        <v>2913</v>
      </c>
      <c r="C273" s="1" t="s">
        <v>74</v>
      </c>
      <c r="D273" s="1" t="s">
        <v>74</v>
      </c>
      <c r="E273" s="1" t="s">
        <v>74</v>
      </c>
      <c r="F273" s="1" t="s">
        <v>2914</v>
      </c>
      <c r="G273" s="1" t="s">
        <v>74</v>
      </c>
      <c r="H273" s="1" t="s">
        <v>74</v>
      </c>
      <c r="I273" s="1" t="s">
        <v>2915</v>
      </c>
      <c r="J273" s="1" t="s">
        <v>2916</v>
      </c>
      <c r="K273" s="1" t="s">
        <v>74</v>
      </c>
      <c r="L273" s="1" t="s">
        <v>74</v>
      </c>
      <c r="M273" s="1" t="s">
        <v>74</v>
      </c>
      <c r="N273" s="1" t="s">
        <v>74</v>
      </c>
      <c r="O273" s="1" t="s">
        <v>74</v>
      </c>
      <c r="P273" s="1" t="s">
        <v>74</v>
      </c>
      <c r="Q273" s="1" t="s">
        <v>74</v>
      </c>
      <c r="R273" s="1" t="s">
        <v>74</v>
      </c>
      <c r="S273" s="1" t="s">
        <v>74</v>
      </c>
      <c r="T273" s="1" t="s">
        <v>74</v>
      </c>
      <c r="U273" s="1" t="s">
        <v>74</v>
      </c>
      <c r="V273" s="1" t="s">
        <v>2917</v>
      </c>
      <c r="W273" s="1" t="s">
        <v>74</v>
      </c>
      <c r="X273" s="1" t="s">
        <v>74</v>
      </c>
      <c r="Y273" s="1" t="s">
        <v>74</v>
      </c>
      <c r="Z273" s="1" t="s">
        <v>74</v>
      </c>
      <c r="AA273" s="1" t="s">
        <v>2918</v>
      </c>
      <c r="AB273" s="1" t="s">
        <v>2919</v>
      </c>
      <c r="AC273" s="1" t="s">
        <v>74</v>
      </c>
      <c r="AD273" s="1" t="s">
        <v>74</v>
      </c>
      <c r="AE273" s="1" t="s">
        <v>74</v>
      </c>
      <c r="AF273" s="1" t="s">
        <v>74</v>
      </c>
      <c r="AG273" s="1" t="s">
        <v>74</v>
      </c>
      <c r="AH273" s="1" t="s">
        <v>74</v>
      </c>
      <c r="AI273" s="1" t="s">
        <v>74</v>
      </c>
      <c r="AJ273" s="1" t="s">
        <v>74</v>
      </c>
      <c r="AK273" s="1" t="s">
        <v>74</v>
      </c>
      <c r="AL273" s="1" t="s">
        <v>74</v>
      </c>
      <c r="AM273" s="1" t="s">
        <v>74</v>
      </c>
      <c r="AN273" s="1" t="s">
        <v>74</v>
      </c>
      <c r="AO273" s="1" t="s">
        <v>2920</v>
      </c>
      <c r="AP273" s="1" t="s">
        <v>74</v>
      </c>
      <c r="AQ273" s="1" t="s">
        <v>74</v>
      </c>
      <c r="AR273" s="1" t="s">
        <v>74</v>
      </c>
      <c r="AS273" s="1" t="s">
        <v>74</v>
      </c>
      <c r="AT273" s="1" t="s">
        <v>377</v>
      </c>
      <c r="AU273" s="1">
        <v>2019.0</v>
      </c>
      <c r="AV273" s="1">
        <v>18.0</v>
      </c>
      <c r="AW273" s="1">
        <v>3.0</v>
      </c>
      <c r="AX273" s="1" t="s">
        <v>74</v>
      </c>
      <c r="AY273" s="1" t="s">
        <v>74</v>
      </c>
      <c r="AZ273" s="1" t="s">
        <v>74</v>
      </c>
      <c r="BA273" s="1" t="s">
        <v>74</v>
      </c>
      <c r="BB273" s="1">
        <v>336.0</v>
      </c>
      <c r="BC273" s="1">
        <v>346.0</v>
      </c>
      <c r="BD273" s="1" t="s">
        <v>74</v>
      </c>
      <c r="BE273" s="1" t="s">
        <v>74</v>
      </c>
      <c r="BF273" s="1" t="s">
        <v>74</v>
      </c>
      <c r="BG273" s="1" t="s">
        <v>74</v>
      </c>
      <c r="BH273" s="1" t="s">
        <v>74</v>
      </c>
      <c r="BI273" s="1" t="s">
        <v>74</v>
      </c>
      <c r="BJ273" s="1" t="s">
        <v>74</v>
      </c>
      <c r="BK273" s="1" t="s">
        <v>74</v>
      </c>
      <c r="BL273" s="1" t="s">
        <v>74</v>
      </c>
      <c r="BM273" s="1" t="s">
        <v>74</v>
      </c>
      <c r="BN273" s="1" t="s">
        <v>74</v>
      </c>
      <c r="BO273" s="1" t="s">
        <v>74</v>
      </c>
      <c r="BP273" s="1" t="s">
        <v>74</v>
      </c>
      <c r="BQ273" s="1" t="s">
        <v>74</v>
      </c>
      <c r="BR273" s="1" t="s">
        <v>74</v>
      </c>
      <c r="BS273" s="1" t="s">
        <v>2921</v>
      </c>
      <c r="BT273" s="1" t="str">
        <f>HYPERLINK("https%3A%2F%2Fwww.webofscience.com%2Fwos%2Fwoscc%2Ffull-record%2FWOS:000467591000007","View Full Record in Web of Science")</f>
        <v>View Full Record in Web of Science</v>
      </c>
    </row>
    <row r="274" ht="12.75" customHeight="1">
      <c r="A274" s="1" t="s">
        <v>72</v>
      </c>
      <c r="B274" s="1" t="s">
        <v>2922</v>
      </c>
      <c r="C274" s="1" t="s">
        <v>74</v>
      </c>
      <c r="D274" s="1" t="s">
        <v>74</v>
      </c>
      <c r="E274" s="1" t="s">
        <v>74</v>
      </c>
      <c r="F274" s="1" t="s">
        <v>2923</v>
      </c>
      <c r="G274" s="1" t="s">
        <v>74</v>
      </c>
      <c r="H274" s="1" t="s">
        <v>74</v>
      </c>
      <c r="I274" s="1" t="s">
        <v>2924</v>
      </c>
      <c r="J274" s="1" t="s">
        <v>2366</v>
      </c>
      <c r="K274" s="1" t="s">
        <v>74</v>
      </c>
      <c r="L274" s="1" t="s">
        <v>74</v>
      </c>
      <c r="M274" s="1" t="s">
        <v>74</v>
      </c>
      <c r="N274" s="1" t="s">
        <v>74</v>
      </c>
      <c r="O274" s="1" t="s">
        <v>74</v>
      </c>
      <c r="P274" s="1" t="s">
        <v>74</v>
      </c>
      <c r="Q274" s="1" t="s">
        <v>74</v>
      </c>
      <c r="R274" s="1" t="s">
        <v>74</v>
      </c>
      <c r="S274" s="1" t="s">
        <v>74</v>
      </c>
      <c r="T274" s="1" t="s">
        <v>74</v>
      </c>
      <c r="U274" s="1" t="s">
        <v>74</v>
      </c>
      <c r="V274" s="1" t="s">
        <v>2925</v>
      </c>
      <c r="W274" s="1" t="s">
        <v>74</v>
      </c>
      <c r="X274" s="1" t="s">
        <v>74</v>
      </c>
      <c r="Y274" s="1" t="s">
        <v>74</v>
      </c>
      <c r="Z274" s="1" t="s">
        <v>74</v>
      </c>
      <c r="AA274" s="1" t="s">
        <v>2926</v>
      </c>
      <c r="AB274" s="1" t="s">
        <v>2927</v>
      </c>
      <c r="AC274" s="1" t="s">
        <v>74</v>
      </c>
      <c r="AD274" s="1" t="s">
        <v>74</v>
      </c>
      <c r="AE274" s="1" t="s">
        <v>74</v>
      </c>
      <c r="AF274" s="1" t="s">
        <v>74</v>
      </c>
      <c r="AG274" s="1" t="s">
        <v>74</v>
      </c>
      <c r="AH274" s="1" t="s">
        <v>74</v>
      </c>
      <c r="AI274" s="1" t="s">
        <v>74</v>
      </c>
      <c r="AJ274" s="1" t="s">
        <v>74</v>
      </c>
      <c r="AK274" s="1" t="s">
        <v>74</v>
      </c>
      <c r="AL274" s="1" t="s">
        <v>74</v>
      </c>
      <c r="AM274" s="1" t="s">
        <v>74</v>
      </c>
      <c r="AN274" s="1" t="s">
        <v>74</v>
      </c>
      <c r="AO274" s="1" t="s">
        <v>74</v>
      </c>
      <c r="AP274" s="1" t="s">
        <v>2370</v>
      </c>
      <c r="AQ274" s="1" t="s">
        <v>74</v>
      </c>
      <c r="AR274" s="1" t="s">
        <v>74</v>
      </c>
      <c r="AS274" s="1" t="s">
        <v>74</v>
      </c>
      <c r="AT274" s="1" t="s">
        <v>377</v>
      </c>
      <c r="AU274" s="1">
        <v>2019.0</v>
      </c>
      <c r="AV274" s="1">
        <v>21.0</v>
      </c>
      <c r="AW274" s="1">
        <v>5.0</v>
      </c>
      <c r="AX274" s="1" t="s">
        <v>74</v>
      </c>
      <c r="AY274" s="1" t="s">
        <v>74</v>
      </c>
      <c r="AZ274" s="1" t="s">
        <v>74</v>
      </c>
      <c r="BA274" s="1" t="s">
        <v>74</v>
      </c>
      <c r="BB274" s="1" t="s">
        <v>74</v>
      </c>
      <c r="BC274" s="1" t="s">
        <v>74</v>
      </c>
      <c r="BD274" s="1">
        <v>512.0</v>
      </c>
      <c r="BE274" s="1" t="s">
        <v>2928</v>
      </c>
      <c r="BF274" s="2" t="str">
        <f>HYPERLINK("http://dx.doi.org/10.3390/e21050512","http://dx.doi.org/10.3390/e21050512")</f>
        <v>http://dx.doi.org/10.3390/e21050512</v>
      </c>
      <c r="BG274" s="1" t="s">
        <v>74</v>
      </c>
      <c r="BH274" s="1" t="s">
        <v>74</v>
      </c>
      <c r="BI274" s="1" t="s">
        <v>74</v>
      </c>
      <c r="BJ274" s="1" t="s">
        <v>74</v>
      </c>
      <c r="BK274" s="1" t="s">
        <v>74</v>
      </c>
      <c r="BL274" s="1" t="s">
        <v>74</v>
      </c>
      <c r="BM274" s="1" t="s">
        <v>74</v>
      </c>
      <c r="BN274" s="1">
        <v>3.3267226E7</v>
      </c>
      <c r="BO274" s="1" t="s">
        <v>74</v>
      </c>
      <c r="BP274" s="1" t="s">
        <v>74</v>
      </c>
      <c r="BQ274" s="1" t="s">
        <v>74</v>
      </c>
      <c r="BR274" s="1" t="s">
        <v>74</v>
      </c>
      <c r="BS274" s="1" t="s">
        <v>2929</v>
      </c>
      <c r="BT274" s="1" t="str">
        <f>HYPERLINK("https%3A%2F%2Fwww.webofscience.com%2Fwos%2Fwoscc%2Ffull-record%2FWOS:000472675900076","View Full Record in Web of Science")</f>
        <v>View Full Record in Web of Science</v>
      </c>
    </row>
    <row r="275" ht="12.75" customHeight="1">
      <c r="A275" s="1" t="s">
        <v>647</v>
      </c>
      <c r="B275" s="1" t="s">
        <v>2930</v>
      </c>
      <c r="C275" s="1" t="s">
        <v>74</v>
      </c>
      <c r="D275" s="1" t="s">
        <v>74</v>
      </c>
      <c r="E275" s="1" t="s">
        <v>649</v>
      </c>
      <c r="F275" s="1" t="s">
        <v>2931</v>
      </c>
      <c r="G275" s="1" t="s">
        <v>74</v>
      </c>
      <c r="H275" s="1" t="s">
        <v>74</v>
      </c>
      <c r="I275" s="1" t="s">
        <v>2932</v>
      </c>
      <c r="J275" s="1" t="s">
        <v>2933</v>
      </c>
      <c r="K275" s="1" t="s">
        <v>74</v>
      </c>
      <c r="L275" s="1" t="s">
        <v>74</v>
      </c>
      <c r="M275" s="1" t="s">
        <v>74</v>
      </c>
      <c r="N275" s="1" t="s">
        <v>74</v>
      </c>
      <c r="O275" s="1" t="s">
        <v>2934</v>
      </c>
      <c r="P275" s="1" t="s">
        <v>2935</v>
      </c>
      <c r="Q275" s="1" t="s">
        <v>2936</v>
      </c>
      <c r="R275" s="1" t="s">
        <v>649</v>
      </c>
      <c r="S275" s="1" t="s">
        <v>74</v>
      </c>
      <c r="T275" s="1" t="s">
        <v>74</v>
      </c>
      <c r="U275" s="1" t="s">
        <v>74</v>
      </c>
      <c r="V275" s="1" t="s">
        <v>2937</v>
      </c>
      <c r="W275" s="1" t="s">
        <v>74</v>
      </c>
      <c r="X275" s="1" t="s">
        <v>74</v>
      </c>
      <c r="Y275" s="1" t="s">
        <v>74</v>
      </c>
      <c r="Z275" s="1" t="s">
        <v>74</v>
      </c>
      <c r="AA275" s="1" t="s">
        <v>2938</v>
      </c>
      <c r="AB275" s="1" t="s">
        <v>2939</v>
      </c>
      <c r="AC275" s="1" t="s">
        <v>74</v>
      </c>
      <c r="AD275" s="1" t="s">
        <v>74</v>
      </c>
      <c r="AE275" s="1" t="s">
        <v>74</v>
      </c>
      <c r="AF275" s="1" t="s">
        <v>74</v>
      </c>
      <c r="AG275" s="1" t="s">
        <v>74</v>
      </c>
      <c r="AH275" s="1" t="s">
        <v>74</v>
      </c>
      <c r="AI275" s="1" t="s">
        <v>74</v>
      </c>
      <c r="AJ275" s="1" t="s">
        <v>74</v>
      </c>
      <c r="AK275" s="1" t="s">
        <v>74</v>
      </c>
      <c r="AL275" s="1" t="s">
        <v>74</v>
      </c>
      <c r="AM275" s="1" t="s">
        <v>74</v>
      </c>
      <c r="AN275" s="1" t="s">
        <v>74</v>
      </c>
      <c r="AO275" s="1" t="s">
        <v>74</v>
      </c>
      <c r="AP275" s="1" t="s">
        <v>74</v>
      </c>
      <c r="AQ275" s="1" t="s">
        <v>2940</v>
      </c>
      <c r="AR275" s="1" t="s">
        <v>74</v>
      </c>
      <c r="AS275" s="1" t="s">
        <v>74</v>
      </c>
      <c r="AT275" s="1" t="s">
        <v>74</v>
      </c>
      <c r="AU275" s="1">
        <v>2018.0</v>
      </c>
      <c r="AV275" s="1" t="s">
        <v>74</v>
      </c>
      <c r="AW275" s="1" t="s">
        <v>74</v>
      </c>
      <c r="AX275" s="1" t="s">
        <v>74</v>
      </c>
      <c r="AY275" s="1" t="s">
        <v>74</v>
      </c>
      <c r="AZ275" s="1" t="s">
        <v>74</v>
      </c>
      <c r="BA275" s="1" t="s">
        <v>74</v>
      </c>
      <c r="BB275" s="1">
        <v>380.0</v>
      </c>
      <c r="BC275" s="1">
        <v>384.0</v>
      </c>
      <c r="BD275" s="1" t="s">
        <v>74</v>
      </c>
      <c r="BE275" s="1" t="s">
        <v>74</v>
      </c>
      <c r="BF275" s="1" t="s">
        <v>74</v>
      </c>
      <c r="BG275" s="1" t="s">
        <v>74</v>
      </c>
      <c r="BH275" s="1" t="s">
        <v>74</v>
      </c>
      <c r="BI275" s="1" t="s">
        <v>74</v>
      </c>
      <c r="BJ275" s="1" t="s">
        <v>74</v>
      </c>
      <c r="BK275" s="1" t="s">
        <v>74</v>
      </c>
      <c r="BL275" s="1" t="s">
        <v>74</v>
      </c>
      <c r="BM275" s="1" t="s">
        <v>74</v>
      </c>
      <c r="BN275" s="1" t="s">
        <v>74</v>
      </c>
      <c r="BO275" s="1" t="s">
        <v>74</v>
      </c>
      <c r="BP275" s="1" t="s">
        <v>74</v>
      </c>
      <c r="BQ275" s="1" t="s">
        <v>74</v>
      </c>
      <c r="BR275" s="1" t="s">
        <v>74</v>
      </c>
      <c r="BS275" s="1" t="s">
        <v>2941</v>
      </c>
      <c r="BT275" s="1" t="str">
        <f>HYPERLINK("https%3A%2F%2Fwww.webofscience.com%2Fwos%2Fwoscc%2Ffull-record%2FWOS:000588554200070","View Full Record in Web of Science")</f>
        <v>View Full Record in Web of Science</v>
      </c>
    </row>
    <row r="276" ht="12.75" customHeight="1">
      <c r="A276" s="1" t="s">
        <v>72</v>
      </c>
      <c r="B276" s="1" t="s">
        <v>2942</v>
      </c>
      <c r="C276" s="1" t="s">
        <v>74</v>
      </c>
      <c r="D276" s="1" t="s">
        <v>74</v>
      </c>
      <c r="E276" s="1" t="s">
        <v>74</v>
      </c>
      <c r="F276" s="1" t="s">
        <v>2943</v>
      </c>
      <c r="G276" s="1" t="s">
        <v>74</v>
      </c>
      <c r="H276" s="1" t="s">
        <v>74</v>
      </c>
      <c r="I276" s="1" t="s">
        <v>2944</v>
      </c>
      <c r="J276" s="1" t="s">
        <v>2545</v>
      </c>
      <c r="K276" s="1" t="s">
        <v>74</v>
      </c>
      <c r="L276" s="1" t="s">
        <v>74</v>
      </c>
      <c r="M276" s="1" t="s">
        <v>74</v>
      </c>
      <c r="N276" s="1" t="s">
        <v>74</v>
      </c>
      <c r="O276" s="1" t="s">
        <v>74</v>
      </c>
      <c r="P276" s="1" t="s">
        <v>74</v>
      </c>
      <c r="Q276" s="1" t="s">
        <v>74</v>
      </c>
      <c r="R276" s="1" t="s">
        <v>74</v>
      </c>
      <c r="S276" s="1" t="s">
        <v>74</v>
      </c>
      <c r="T276" s="1" t="s">
        <v>74</v>
      </c>
      <c r="U276" s="1" t="s">
        <v>74</v>
      </c>
      <c r="V276" s="1" t="s">
        <v>74</v>
      </c>
      <c r="W276" s="1" t="s">
        <v>74</v>
      </c>
      <c r="X276" s="1" t="s">
        <v>74</v>
      </c>
      <c r="Y276" s="1" t="s">
        <v>74</v>
      </c>
      <c r="Z276" s="1" t="s">
        <v>74</v>
      </c>
      <c r="AA276" s="1" t="s">
        <v>2945</v>
      </c>
      <c r="AB276" s="1" t="s">
        <v>2946</v>
      </c>
      <c r="AC276" s="1" t="s">
        <v>74</v>
      </c>
      <c r="AD276" s="1" t="s">
        <v>74</v>
      </c>
      <c r="AE276" s="1" t="s">
        <v>74</v>
      </c>
      <c r="AF276" s="1" t="s">
        <v>74</v>
      </c>
      <c r="AG276" s="1" t="s">
        <v>74</v>
      </c>
      <c r="AH276" s="1" t="s">
        <v>74</v>
      </c>
      <c r="AI276" s="1" t="s">
        <v>74</v>
      </c>
      <c r="AJ276" s="1" t="s">
        <v>74</v>
      </c>
      <c r="AK276" s="1" t="s">
        <v>74</v>
      </c>
      <c r="AL276" s="1" t="s">
        <v>74</v>
      </c>
      <c r="AM276" s="1" t="s">
        <v>74</v>
      </c>
      <c r="AN276" s="1" t="s">
        <v>74</v>
      </c>
      <c r="AO276" s="1" t="s">
        <v>2549</v>
      </c>
      <c r="AP276" s="1" t="s">
        <v>2550</v>
      </c>
      <c r="AQ276" s="1" t="s">
        <v>74</v>
      </c>
      <c r="AR276" s="1" t="s">
        <v>74</v>
      </c>
      <c r="AS276" s="1" t="s">
        <v>74</v>
      </c>
      <c r="AT276" s="1" t="s">
        <v>155</v>
      </c>
      <c r="AU276" s="1">
        <v>2017.0</v>
      </c>
      <c r="AV276" s="1">
        <v>28.0</v>
      </c>
      <c r="AW276" s="1">
        <v>4.0</v>
      </c>
      <c r="AX276" s="1" t="s">
        <v>74</v>
      </c>
      <c r="AY276" s="1" t="s">
        <v>74</v>
      </c>
      <c r="AZ276" s="1" t="s">
        <v>74</v>
      </c>
      <c r="BA276" s="1" t="s">
        <v>74</v>
      </c>
      <c r="BB276" s="1">
        <v>397.0</v>
      </c>
      <c r="BC276" s="1">
        <v>400.0</v>
      </c>
      <c r="BD276" s="1" t="s">
        <v>74</v>
      </c>
      <c r="BE276" s="1" t="s">
        <v>2947</v>
      </c>
      <c r="BF276" s="2" t="str">
        <f>HYPERLINK("http://dx.doi.org/10.1111/pai.12710","http://dx.doi.org/10.1111/pai.12710")</f>
        <v>http://dx.doi.org/10.1111/pai.12710</v>
      </c>
      <c r="BG276" s="1" t="s">
        <v>74</v>
      </c>
      <c r="BH276" s="1" t="s">
        <v>74</v>
      </c>
      <c r="BI276" s="1" t="s">
        <v>74</v>
      </c>
      <c r="BJ276" s="1" t="s">
        <v>74</v>
      </c>
      <c r="BK276" s="1" t="s">
        <v>74</v>
      </c>
      <c r="BL276" s="1" t="s">
        <v>74</v>
      </c>
      <c r="BM276" s="1" t="s">
        <v>74</v>
      </c>
      <c r="BN276" s="1">
        <v>2.8235137E7</v>
      </c>
      <c r="BO276" s="1" t="s">
        <v>74</v>
      </c>
      <c r="BP276" s="1" t="s">
        <v>74</v>
      </c>
      <c r="BQ276" s="1" t="s">
        <v>74</v>
      </c>
      <c r="BR276" s="1" t="s">
        <v>74</v>
      </c>
      <c r="BS276" s="1" t="s">
        <v>2948</v>
      </c>
      <c r="BT276" s="1" t="str">
        <f>HYPERLINK("https%3A%2F%2Fwww.webofscience.com%2Fwos%2Fwoscc%2Ffull-record%2FWOS:000405202400014","View Full Record in Web of Science")</f>
        <v>View Full Record in Web of Science</v>
      </c>
    </row>
    <row r="277" ht="12.75" customHeight="1">
      <c r="A277" s="1" t="s">
        <v>72</v>
      </c>
      <c r="B277" s="1" t="s">
        <v>2949</v>
      </c>
      <c r="C277" s="1" t="s">
        <v>74</v>
      </c>
      <c r="D277" s="1" t="s">
        <v>74</v>
      </c>
      <c r="E277" s="1" t="s">
        <v>74</v>
      </c>
      <c r="F277" s="1" t="s">
        <v>2950</v>
      </c>
      <c r="G277" s="1" t="s">
        <v>74</v>
      </c>
      <c r="H277" s="1" t="s">
        <v>74</v>
      </c>
      <c r="I277" s="1" t="s">
        <v>2951</v>
      </c>
      <c r="J277" s="1" t="s">
        <v>1163</v>
      </c>
      <c r="K277" s="1" t="s">
        <v>74</v>
      </c>
      <c r="L277" s="1" t="s">
        <v>74</v>
      </c>
      <c r="M277" s="1" t="s">
        <v>74</v>
      </c>
      <c r="N277" s="1" t="s">
        <v>74</v>
      </c>
      <c r="O277" s="1" t="s">
        <v>74</v>
      </c>
      <c r="P277" s="1" t="s">
        <v>74</v>
      </c>
      <c r="Q277" s="1" t="s">
        <v>74</v>
      </c>
      <c r="R277" s="1" t="s">
        <v>74</v>
      </c>
      <c r="S277" s="1" t="s">
        <v>74</v>
      </c>
      <c r="T277" s="1" t="s">
        <v>74</v>
      </c>
      <c r="U277" s="1" t="s">
        <v>74</v>
      </c>
      <c r="V277" s="1" t="s">
        <v>74</v>
      </c>
      <c r="W277" s="1" t="s">
        <v>74</v>
      </c>
      <c r="X277" s="1" t="s">
        <v>74</v>
      </c>
      <c r="Y277" s="1" t="s">
        <v>74</v>
      </c>
      <c r="Z277" s="1" t="s">
        <v>74</v>
      </c>
      <c r="AA277" s="1" t="s">
        <v>2952</v>
      </c>
      <c r="AB277" s="1" t="s">
        <v>2953</v>
      </c>
      <c r="AC277" s="1" t="s">
        <v>74</v>
      </c>
      <c r="AD277" s="1" t="s">
        <v>74</v>
      </c>
      <c r="AE277" s="1" t="s">
        <v>74</v>
      </c>
      <c r="AF277" s="1" t="s">
        <v>74</v>
      </c>
      <c r="AG277" s="1" t="s">
        <v>74</v>
      </c>
      <c r="AH277" s="1" t="s">
        <v>74</v>
      </c>
      <c r="AI277" s="1" t="s">
        <v>74</v>
      </c>
      <c r="AJ277" s="1" t="s">
        <v>74</v>
      </c>
      <c r="AK277" s="1" t="s">
        <v>74</v>
      </c>
      <c r="AL277" s="1" t="s">
        <v>74</v>
      </c>
      <c r="AM277" s="1" t="s">
        <v>74</v>
      </c>
      <c r="AN277" s="1" t="s">
        <v>74</v>
      </c>
      <c r="AO277" s="1" t="s">
        <v>1167</v>
      </c>
      <c r="AP277" s="1" t="s">
        <v>74</v>
      </c>
      <c r="AQ277" s="1" t="s">
        <v>74</v>
      </c>
      <c r="AR277" s="1" t="s">
        <v>74</v>
      </c>
      <c r="AS277" s="1" t="s">
        <v>74</v>
      </c>
      <c r="AT277" s="1" t="s">
        <v>411</v>
      </c>
      <c r="AU277" s="1">
        <v>2016.0</v>
      </c>
      <c r="AV277" s="1">
        <v>8.0</v>
      </c>
      <c r="AW277" s="1">
        <v>11.0</v>
      </c>
      <c r="AX277" s="1" t="s">
        <v>74</v>
      </c>
      <c r="AY277" s="1" t="s">
        <v>74</v>
      </c>
      <c r="AZ277" s="1" t="s">
        <v>74</v>
      </c>
      <c r="BA277" s="1" t="s">
        <v>74</v>
      </c>
      <c r="BB277" s="1" t="s">
        <v>74</v>
      </c>
      <c r="BC277" s="1" t="s">
        <v>74</v>
      </c>
      <c r="BD277" s="1">
        <v>705.0</v>
      </c>
      <c r="BE277" s="1" t="s">
        <v>2954</v>
      </c>
      <c r="BF277" s="2" t="str">
        <f>HYPERLINK("http://dx.doi.org/10.3390/nu8110705","http://dx.doi.org/10.3390/nu8110705")</f>
        <v>http://dx.doi.org/10.3390/nu8110705</v>
      </c>
      <c r="BG277" s="1" t="s">
        <v>74</v>
      </c>
      <c r="BH277" s="1" t="s">
        <v>74</v>
      </c>
      <c r="BI277" s="1" t="s">
        <v>74</v>
      </c>
      <c r="BJ277" s="1" t="s">
        <v>74</v>
      </c>
      <c r="BK277" s="1" t="s">
        <v>74</v>
      </c>
      <c r="BL277" s="1" t="s">
        <v>74</v>
      </c>
      <c r="BM277" s="1" t="s">
        <v>74</v>
      </c>
      <c r="BN277" s="1" t="s">
        <v>74</v>
      </c>
      <c r="BO277" s="1" t="s">
        <v>74</v>
      </c>
      <c r="BP277" s="1" t="s">
        <v>74</v>
      </c>
      <c r="BQ277" s="1" t="s">
        <v>74</v>
      </c>
      <c r="BR277" s="1" t="s">
        <v>74</v>
      </c>
      <c r="BS277" s="1" t="s">
        <v>2955</v>
      </c>
      <c r="BT277" s="1" t="str">
        <f>HYPERLINK("https%3A%2F%2Fwww.webofscience.com%2Fwos%2Fwoscc%2Ffull-record%2FWOS:000388666400040","View Full Record in Web of Science")</f>
        <v>View Full Record in Web of Science</v>
      </c>
    </row>
    <row r="278" ht="12.75" customHeight="1">
      <c r="A278" s="1" t="s">
        <v>72</v>
      </c>
      <c r="B278" s="1" t="s">
        <v>2956</v>
      </c>
      <c r="C278" s="1" t="s">
        <v>74</v>
      </c>
      <c r="D278" s="1" t="s">
        <v>74</v>
      </c>
      <c r="E278" s="1" t="s">
        <v>74</v>
      </c>
      <c r="F278" s="1" t="s">
        <v>2957</v>
      </c>
      <c r="G278" s="1" t="s">
        <v>74</v>
      </c>
      <c r="H278" s="1" t="s">
        <v>74</v>
      </c>
      <c r="I278" s="1" t="s">
        <v>2958</v>
      </c>
      <c r="J278" s="1" t="s">
        <v>174</v>
      </c>
      <c r="K278" s="1" t="s">
        <v>74</v>
      </c>
      <c r="L278" s="1" t="s">
        <v>74</v>
      </c>
      <c r="M278" s="1" t="s">
        <v>74</v>
      </c>
      <c r="N278" s="1" t="s">
        <v>74</v>
      </c>
      <c r="O278" s="1" t="s">
        <v>74</v>
      </c>
      <c r="P278" s="1" t="s">
        <v>74</v>
      </c>
      <c r="Q278" s="1" t="s">
        <v>74</v>
      </c>
      <c r="R278" s="1" t="s">
        <v>74</v>
      </c>
      <c r="S278" s="1" t="s">
        <v>74</v>
      </c>
      <c r="T278" s="1" t="s">
        <v>74</v>
      </c>
      <c r="U278" s="1" t="s">
        <v>74</v>
      </c>
      <c r="V278" s="1" t="s">
        <v>2959</v>
      </c>
      <c r="W278" s="1" t="s">
        <v>74</v>
      </c>
      <c r="X278" s="1" t="s">
        <v>74</v>
      </c>
      <c r="Y278" s="1" t="s">
        <v>74</v>
      </c>
      <c r="Z278" s="1" t="s">
        <v>74</v>
      </c>
      <c r="AA278" s="1" t="s">
        <v>2960</v>
      </c>
      <c r="AB278" s="1" t="s">
        <v>2961</v>
      </c>
      <c r="AC278" s="1" t="s">
        <v>74</v>
      </c>
      <c r="AD278" s="1" t="s">
        <v>74</v>
      </c>
      <c r="AE278" s="1" t="s">
        <v>74</v>
      </c>
      <c r="AF278" s="1" t="s">
        <v>74</v>
      </c>
      <c r="AG278" s="1" t="s">
        <v>74</v>
      </c>
      <c r="AH278" s="1" t="s">
        <v>74</v>
      </c>
      <c r="AI278" s="1" t="s">
        <v>74</v>
      </c>
      <c r="AJ278" s="1" t="s">
        <v>74</v>
      </c>
      <c r="AK278" s="1" t="s">
        <v>74</v>
      </c>
      <c r="AL278" s="1" t="s">
        <v>74</v>
      </c>
      <c r="AM278" s="1" t="s">
        <v>74</v>
      </c>
      <c r="AN278" s="1" t="s">
        <v>74</v>
      </c>
      <c r="AO278" s="1" t="s">
        <v>178</v>
      </c>
      <c r="AP278" s="1" t="s">
        <v>74</v>
      </c>
      <c r="AQ278" s="1" t="s">
        <v>74</v>
      </c>
      <c r="AR278" s="1" t="s">
        <v>74</v>
      </c>
      <c r="AS278" s="1" t="s">
        <v>74</v>
      </c>
      <c r="AT278" s="1" t="s">
        <v>2962</v>
      </c>
      <c r="AU278" s="1">
        <v>2014.0</v>
      </c>
      <c r="AV278" s="1">
        <v>9.0</v>
      </c>
      <c r="AW278" s="1">
        <v>5.0</v>
      </c>
      <c r="AX278" s="1" t="s">
        <v>74</v>
      </c>
      <c r="AY278" s="1" t="s">
        <v>74</v>
      </c>
      <c r="AZ278" s="1" t="s">
        <v>74</v>
      </c>
      <c r="BA278" s="1" t="s">
        <v>74</v>
      </c>
      <c r="BB278" s="1" t="s">
        <v>74</v>
      </c>
      <c r="BC278" s="1" t="s">
        <v>74</v>
      </c>
      <c r="BD278" s="1" t="s">
        <v>2963</v>
      </c>
      <c r="BE278" s="1" t="s">
        <v>2964</v>
      </c>
      <c r="BF278" s="2" t="str">
        <f>HYPERLINK("http://dx.doi.org/10.1371/journal.pone.0096470","http://dx.doi.org/10.1371/journal.pone.0096470")</f>
        <v>http://dx.doi.org/10.1371/journal.pone.0096470</v>
      </c>
      <c r="BG278" s="1" t="s">
        <v>74</v>
      </c>
      <c r="BH278" s="1" t="s">
        <v>74</v>
      </c>
      <c r="BI278" s="1" t="s">
        <v>74</v>
      </c>
      <c r="BJ278" s="1" t="s">
        <v>74</v>
      </c>
      <c r="BK278" s="1" t="s">
        <v>74</v>
      </c>
      <c r="BL278" s="1" t="s">
        <v>74</v>
      </c>
      <c r="BM278" s="1" t="s">
        <v>74</v>
      </c>
      <c r="BN278" s="1">
        <v>2.4867404E7</v>
      </c>
      <c r="BO278" s="1" t="s">
        <v>74</v>
      </c>
      <c r="BP278" s="1" t="s">
        <v>74</v>
      </c>
      <c r="BQ278" s="1" t="s">
        <v>74</v>
      </c>
      <c r="BR278" s="1" t="s">
        <v>74</v>
      </c>
      <c r="BS278" s="1" t="s">
        <v>2965</v>
      </c>
      <c r="BT278" s="1" t="str">
        <f>HYPERLINK("https%3A%2F%2Fwww.webofscience.com%2Fwos%2Fwoscc%2Ffull-record%2FWOS:000336914100005","View Full Record in Web of Science")</f>
        <v>View Full Record in Web of Science</v>
      </c>
    </row>
    <row r="279" ht="12.75" customHeight="1">
      <c r="A279" s="1" t="s">
        <v>72</v>
      </c>
      <c r="B279" s="1" t="s">
        <v>2966</v>
      </c>
      <c r="C279" s="1" t="s">
        <v>74</v>
      </c>
      <c r="D279" s="1" t="s">
        <v>74</v>
      </c>
      <c r="E279" s="1" t="s">
        <v>74</v>
      </c>
      <c r="F279" s="1" t="s">
        <v>2967</v>
      </c>
      <c r="G279" s="1" t="s">
        <v>74</v>
      </c>
      <c r="H279" s="1" t="s">
        <v>74</v>
      </c>
      <c r="I279" s="1" t="s">
        <v>2968</v>
      </c>
      <c r="J279" s="1" t="s">
        <v>2969</v>
      </c>
      <c r="K279" s="1" t="s">
        <v>74</v>
      </c>
      <c r="L279" s="1" t="s">
        <v>74</v>
      </c>
      <c r="M279" s="1" t="s">
        <v>74</v>
      </c>
      <c r="N279" s="1" t="s">
        <v>74</v>
      </c>
      <c r="O279" s="1" t="s">
        <v>74</v>
      </c>
      <c r="P279" s="1" t="s">
        <v>74</v>
      </c>
      <c r="Q279" s="1" t="s">
        <v>74</v>
      </c>
      <c r="R279" s="1" t="s">
        <v>74</v>
      </c>
      <c r="S279" s="1" t="s">
        <v>74</v>
      </c>
      <c r="T279" s="1" t="s">
        <v>74</v>
      </c>
      <c r="U279" s="1" t="s">
        <v>74</v>
      </c>
      <c r="V279" s="1" t="s">
        <v>2970</v>
      </c>
      <c r="W279" s="1" t="s">
        <v>74</v>
      </c>
      <c r="X279" s="1" t="s">
        <v>74</v>
      </c>
      <c r="Y279" s="1" t="s">
        <v>74</v>
      </c>
      <c r="Z279" s="1" t="s">
        <v>74</v>
      </c>
      <c r="AA279" s="1" t="s">
        <v>2971</v>
      </c>
      <c r="AB279" s="1" t="s">
        <v>2972</v>
      </c>
      <c r="AC279" s="1" t="s">
        <v>74</v>
      </c>
      <c r="AD279" s="1" t="s">
        <v>74</v>
      </c>
      <c r="AE279" s="1" t="s">
        <v>74</v>
      </c>
      <c r="AF279" s="1" t="s">
        <v>74</v>
      </c>
      <c r="AG279" s="1" t="s">
        <v>74</v>
      </c>
      <c r="AH279" s="1" t="s">
        <v>74</v>
      </c>
      <c r="AI279" s="1" t="s">
        <v>74</v>
      </c>
      <c r="AJ279" s="1" t="s">
        <v>74</v>
      </c>
      <c r="AK279" s="1" t="s">
        <v>74</v>
      </c>
      <c r="AL279" s="1" t="s">
        <v>74</v>
      </c>
      <c r="AM279" s="1" t="s">
        <v>74</v>
      </c>
      <c r="AN279" s="1" t="s">
        <v>74</v>
      </c>
      <c r="AO279" s="1" t="s">
        <v>2973</v>
      </c>
      <c r="AP279" s="1" t="s">
        <v>2974</v>
      </c>
      <c r="AQ279" s="1" t="s">
        <v>74</v>
      </c>
      <c r="AR279" s="1" t="s">
        <v>74</v>
      </c>
      <c r="AS279" s="1" t="s">
        <v>74</v>
      </c>
      <c r="AT279" s="1" t="s">
        <v>155</v>
      </c>
      <c r="AU279" s="1">
        <v>2010.0</v>
      </c>
      <c r="AV279" s="1">
        <v>14.0</v>
      </c>
      <c r="AW279" s="1">
        <v>6.0</v>
      </c>
      <c r="AX279" s="1" t="s">
        <v>74</v>
      </c>
      <c r="AY279" s="1" t="s">
        <v>74</v>
      </c>
      <c r="AZ279" s="1" t="s">
        <v>74</v>
      </c>
      <c r="BA279" s="1" t="s">
        <v>74</v>
      </c>
      <c r="BB279" s="1">
        <v>1065.0</v>
      </c>
      <c r="BC279" s="1">
        <v>1072.0</v>
      </c>
      <c r="BD279" s="1" t="s">
        <v>74</v>
      </c>
      <c r="BE279" s="1" t="s">
        <v>2975</v>
      </c>
      <c r="BF279" s="2" t="str">
        <f>HYPERLINK("http://dx.doi.org/10.1007/s10008-009-0916-0","http://dx.doi.org/10.1007/s10008-009-0916-0")</f>
        <v>http://dx.doi.org/10.1007/s10008-009-0916-0</v>
      </c>
      <c r="BG279" s="1" t="s">
        <v>74</v>
      </c>
      <c r="BH279" s="1" t="s">
        <v>74</v>
      </c>
      <c r="BI279" s="1" t="s">
        <v>74</v>
      </c>
      <c r="BJ279" s="1" t="s">
        <v>74</v>
      </c>
      <c r="BK279" s="1" t="s">
        <v>74</v>
      </c>
      <c r="BL279" s="1" t="s">
        <v>74</v>
      </c>
      <c r="BM279" s="1" t="s">
        <v>74</v>
      </c>
      <c r="BN279" s="1" t="s">
        <v>74</v>
      </c>
      <c r="BO279" s="1" t="s">
        <v>74</v>
      </c>
      <c r="BP279" s="1" t="s">
        <v>74</v>
      </c>
      <c r="BQ279" s="1" t="s">
        <v>74</v>
      </c>
      <c r="BR279" s="1" t="s">
        <v>74</v>
      </c>
      <c r="BS279" s="1" t="s">
        <v>2976</v>
      </c>
      <c r="BT279" s="1" t="str">
        <f>HYPERLINK("https%3A%2F%2Fwww.webofscience.com%2Fwos%2Fwoscc%2Ffull-record%2FWOS:000275749200022","View Full Record in Web of Science")</f>
        <v>View Full Record in Web of Science</v>
      </c>
    </row>
    <row r="280" ht="12.75" customHeight="1">
      <c r="A280" s="1" t="s">
        <v>72</v>
      </c>
      <c r="B280" s="1" t="s">
        <v>2977</v>
      </c>
      <c r="C280" s="1" t="s">
        <v>74</v>
      </c>
      <c r="D280" s="1" t="s">
        <v>74</v>
      </c>
      <c r="E280" s="1" t="s">
        <v>74</v>
      </c>
      <c r="F280" s="1" t="s">
        <v>2978</v>
      </c>
      <c r="G280" s="1" t="s">
        <v>74</v>
      </c>
      <c r="H280" s="1" t="s">
        <v>74</v>
      </c>
      <c r="I280" s="1" t="s">
        <v>2979</v>
      </c>
      <c r="J280" s="1" t="s">
        <v>2980</v>
      </c>
      <c r="K280" s="1" t="s">
        <v>74</v>
      </c>
      <c r="L280" s="1" t="s">
        <v>74</v>
      </c>
      <c r="M280" s="1" t="s">
        <v>74</v>
      </c>
      <c r="N280" s="1" t="s">
        <v>74</v>
      </c>
      <c r="O280" s="1" t="s">
        <v>74</v>
      </c>
      <c r="P280" s="1" t="s">
        <v>74</v>
      </c>
      <c r="Q280" s="1" t="s">
        <v>74</v>
      </c>
      <c r="R280" s="1" t="s">
        <v>74</v>
      </c>
      <c r="S280" s="1" t="s">
        <v>74</v>
      </c>
      <c r="T280" s="1" t="s">
        <v>74</v>
      </c>
      <c r="U280" s="1" t="s">
        <v>74</v>
      </c>
      <c r="V280" s="1" t="s">
        <v>2981</v>
      </c>
      <c r="W280" s="1" t="s">
        <v>74</v>
      </c>
      <c r="X280" s="1" t="s">
        <v>74</v>
      </c>
      <c r="Y280" s="1" t="s">
        <v>74</v>
      </c>
      <c r="Z280" s="1" t="s">
        <v>74</v>
      </c>
      <c r="AA280" s="1" t="s">
        <v>2982</v>
      </c>
      <c r="AB280" s="1" t="s">
        <v>2983</v>
      </c>
      <c r="AC280" s="1" t="s">
        <v>74</v>
      </c>
      <c r="AD280" s="1" t="s">
        <v>74</v>
      </c>
      <c r="AE280" s="1" t="s">
        <v>74</v>
      </c>
      <c r="AF280" s="1" t="s">
        <v>74</v>
      </c>
      <c r="AG280" s="1" t="s">
        <v>74</v>
      </c>
      <c r="AH280" s="1" t="s">
        <v>74</v>
      </c>
      <c r="AI280" s="1" t="s">
        <v>74</v>
      </c>
      <c r="AJ280" s="1" t="s">
        <v>74</v>
      </c>
      <c r="AK280" s="1" t="s">
        <v>74</v>
      </c>
      <c r="AL280" s="1" t="s">
        <v>74</v>
      </c>
      <c r="AM280" s="1" t="s">
        <v>74</v>
      </c>
      <c r="AN280" s="1" t="s">
        <v>74</v>
      </c>
      <c r="AO280" s="1" t="s">
        <v>2984</v>
      </c>
      <c r="AP280" s="1" t="s">
        <v>2985</v>
      </c>
      <c r="AQ280" s="1" t="s">
        <v>74</v>
      </c>
      <c r="AR280" s="1" t="s">
        <v>74</v>
      </c>
      <c r="AS280" s="1" t="s">
        <v>74</v>
      </c>
      <c r="AT280" s="1" t="s">
        <v>74</v>
      </c>
      <c r="AU280" s="1">
        <v>2009.0</v>
      </c>
      <c r="AV280" s="1">
        <v>44.0</v>
      </c>
      <c r="AW280" s="1">
        <v>2.0</v>
      </c>
      <c r="AX280" s="1" t="s">
        <v>74</v>
      </c>
      <c r="AY280" s="1" t="s">
        <v>74</v>
      </c>
      <c r="AZ280" s="1" t="s">
        <v>74</v>
      </c>
      <c r="BA280" s="1" t="s">
        <v>74</v>
      </c>
      <c r="BB280" s="1">
        <v>146.0</v>
      </c>
      <c r="BC280" s="1">
        <v>154.0</v>
      </c>
      <c r="BD280" s="1" t="s">
        <v>2986</v>
      </c>
      <c r="BE280" s="1" t="s">
        <v>2987</v>
      </c>
      <c r="BF280" s="2" t="str">
        <f>HYPERLINK("http://dx.doi.org/10.1080/10934520802539715","http://dx.doi.org/10.1080/10934520802539715")</f>
        <v>http://dx.doi.org/10.1080/10934520802539715</v>
      </c>
      <c r="BG280" s="1" t="s">
        <v>74</v>
      </c>
      <c r="BH280" s="1" t="s">
        <v>74</v>
      </c>
      <c r="BI280" s="1" t="s">
        <v>74</v>
      </c>
      <c r="BJ280" s="1" t="s">
        <v>74</v>
      </c>
      <c r="BK280" s="1" t="s">
        <v>74</v>
      </c>
      <c r="BL280" s="1" t="s">
        <v>74</v>
      </c>
      <c r="BM280" s="1" t="s">
        <v>74</v>
      </c>
      <c r="BN280" s="1">
        <v>1.9123094E7</v>
      </c>
      <c r="BO280" s="1" t="s">
        <v>74</v>
      </c>
      <c r="BP280" s="1" t="s">
        <v>74</v>
      </c>
      <c r="BQ280" s="1" t="s">
        <v>74</v>
      </c>
      <c r="BR280" s="1" t="s">
        <v>74</v>
      </c>
      <c r="BS280" s="1" t="s">
        <v>2988</v>
      </c>
      <c r="BT280" s="1" t="str">
        <f>HYPERLINK("https%3A%2F%2Fwww.webofscience.com%2Fwos%2Fwoscc%2Ffull-record%2FWOS:000262149400004","View Full Record in Web of Science")</f>
        <v>View Full Record in Web of Science</v>
      </c>
    </row>
    <row r="281" ht="12.75" customHeight="1">
      <c r="A281" s="1" t="s">
        <v>72</v>
      </c>
      <c r="B281" s="1" t="s">
        <v>2989</v>
      </c>
      <c r="C281" s="1" t="s">
        <v>74</v>
      </c>
      <c r="D281" s="1" t="s">
        <v>74</v>
      </c>
      <c r="E281" s="1" t="s">
        <v>74</v>
      </c>
      <c r="F281" s="1" t="s">
        <v>2990</v>
      </c>
      <c r="G281" s="1" t="s">
        <v>74</v>
      </c>
      <c r="H281" s="1" t="s">
        <v>74</v>
      </c>
      <c r="I281" s="1" t="s">
        <v>2991</v>
      </c>
      <c r="J281" s="1" t="s">
        <v>2992</v>
      </c>
      <c r="K281" s="1" t="s">
        <v>74</v>
      </c>
      <c r="L281" s="1" t="s">
        <v>74</v>
      </c>
      <c r="M281" s="1" t="s">
        <v>74</v>
      </c>
      <c r="N281" s="1" t="s">
        <v>74</v>
      </c>
      <c r="O281" s="1" t="s">
        <v>74</v>
      </c>
      <c r="P281" s="1" t="s">
        <v>74</v>
      </c>
      <c r="Q281" s="1" t="s">
        <v>74</v>
      </c>
      <c r="R281" s="1" t="s">
        <v>74</v>
      </c>
      <c r="S281" s="1" t="s">
        <v>74</v>
      </c>
      <c r="T281" s="1" t="s">
        <v>74</v>
      </c>
      <c r="U281" s="1" t="s">
        <v>74</v>
      </c>
      <c r="V281" s="1" t="s">
        <v>2993</v>
      </c>
      <c r="W281" s="1" t="s">
        <v>74</v>
      </c>
      <c r="X281" s="1" t="s">
        <v>74</v>
      </c>
      <c r="Y281" s="1" t="s">
        <v>74</v>
      </c>
      <c r="Z281" s="1" t="s">
        <v>74</v>
      </c>
      <c r="AA281" s="1" t="s">
        <v>2994</v>
      </c>
      <c r="AB281" s="1" t="s">
        <v>2995</v>
      </c>
      <c r="AC281" s="1" t="s">
        <v>74</v>
      </c>
      <c r="AD281" s="1" t="s">
        <v>74</v>
      </c>
      <c r="AE281" s="1" t="s">
        <v>74</v>
      </c>
      <c r="AF281" s="1" t="s">
        <v>74</v>
      </c>
      <c r="AG281" s="1" t="s">
        <v>74</v>
      </c>
      <c r="AH281" s="1" t="s">
        <v>74</v>
      </c>
      <c r="AI281" s="1" t="s">
        <v>74</v>
      </c>
      <c r="AJ281" s="1" t="s">
        <v>74</v>
      </c>
      <c r="AK281" s="1" t="s">
        <v>74</v>
      </c>
      <c r="AL281" s="1" t="s">
        <v>74</v>
      </c>
      <c r="AM281" s="1" t="s">
        <v>74</v>
      </c>
      <c r="AN281" s="1" t="s">
        <v>74</v>
      </c>
      <c r="AO281" s="1" t="s">
        <v>74</v>
      </c>
      <c r="AP281" s="1" t="s">
        <v>2996</v>
      </c>
      <c r="AQ281" s="1" t="s">
        <v>74</v>
      </c>
      <c r="AR281" s="1" t="s">
        <v>74</v>
      </c>
      <c r="AS281" s="1" t="s">
        <v>74</v>
      </c>
      <c r="AT281" s="1" t="s">
        <v>2997</v>
      </c>
      <c r="AU281" s="1">
        <v>2025.0</v>
      </c>
      <c r="AV281" s="1">
        <v>16.0</v>
      </c>
      <c r="AW281" s="1">
        <v>3.0</v>
      </c>
      <c r="AX281" s="1" t="s">
        <v>74</v>
      </c>
      <c r="AY281" s="1" t="s">
        <v>74</v>
      </c>
      <c r="AZ281" s="1" t="s">
        <v>74</v>
      </c>
      <c r="BA281" s="1" t="s">
        <v>74</v>
      </c>
      <c r="BB281" s="1" t="s">
        <v>74</v>
      </c>
      <c r="BC281" s="1" t="s">
        <v>74</v>
      </c>
      <c r="BD281" s="1">
        <v>274.0</v>
      </c>
      <c r="BE281" s="1" t="s">
        <v>2998</v>
      </c>
      <c r="BF281" s="2" t="str">
        <f>HYPERLINK("http://dx.doi.org/10.3390/atmos16030274","http://dx.doi.org/10.3390/atmos16030274")</f>
        <v>http://dx.doi.org/10.3390/atmos16030274</v>
      </c>
      <c r="BG281" s="1" t="s">
        <v>74</v>
      </c>
      <c r="BH281" s="1" t="s">
        <v>74</v>
      </c>
      <c r="BI281" s="1" t="s">
        <v>74</v>
      </c>
      <c r="BJ281" s="1" t="s">
        <v>74</v>
      </c>
      <c r="BK281" s="1" t="s">
        <v>74</v>
      </c>
      <c r="BL281" s="1" t="s">
        <v>74</v>
      </c>
      <c r="BM281" s="1" t="s">
        <v>74</v>
      </c>
      <c r="BN281" s="1" t="s">
        <v>74</v>
      </c>
      <c r="BO281" s="1" t="s">
        <v>74</v>
      </c>
      <c r="BP281" s="1" t="s">
        <v>74</v>
      </c>
      <c r="BQ281" s="1" t="s">
        <v>74</v>
      </c>
      <c r="BR281" s="1" t="s">
        <v>74</v>
      </c>
      <c r="BS281" s="1" t="s">
        <v>2999</v>
      </c>
      <c r="BT281" s="1" t="str">
        <f>HYPERLINK("https%3A%2F%2Fwww.webofscience.com%2Fwos%2Fwoscc%2Ffull-record%2FWOS:001453565800001","View Full Record in Web of Science")</f>
        <v>View Full Record in Web of Science</v>
      </c>
    </row>
    <row r="282" ht="12.75" customHeight="1">
      <c r="A282" s="1" t="s">
        <v>72</v>
      </c>
      <c r="B282" s="1" t="s">
        <v>3000</v>
      </c>
      <c r="C282" s="1" t="s">
        <v>74</v>
      </c>
      <c r="D282" s="1" t="s">
        <v>74</v>
      </c>
      <c r="E282" s="1" t="s">
        <v>74</v>
      </c>
      <c r="F282" s="1" t="s">
        <v>3001</v>
      </c>
      <c r="G282" s="1" t="s">
        <v>74</v>
      </c>
      <c r="H282" s="1" t="s">
        <v>74</v>
      </c>
      <c r="I282" s="1" t="s">
        <v>3002</v>
      </c>
      <c r="J282" s="1" t="s">
        <v>3003</v>
      </c>
      <c r="K282" s="1" t="s">
        <v>74</v>
      </c>
      <c r="L282" s="1" t="s">
        <v>74</v>
      </c>
      <c r="M282" s="1" t="s">
        <v>74</v>
      </c>
      <c r="N282" s="1" t="s">
        <v>74</v>
      </c>
      <c r="O282" s="1" t="s">
        <v>74</v>
      </c>
      <c r="P282" s="1" t="s">
        <v>74</v>
      </c>
      <c r="Q282" s="1" t="s">
        <v>74</v>
      </c>
      <c r="R282" s="1" t="s">
        <v>74</v>
      </c>
      <c r="S282" s="1" t="s">
        <v>74</v>
      </c>
      <c r="T282" s="1" t="s">
        <v>74</v>
      </c>
      <c r="U282" s="1" t="s">
        <v>74</v>
      </c>
      <c r="V282" s="1" t="s">
        <v>3004</v>
      </c>
      <c r="W282" s="1" t="s">
        <v>74</v>
      </c>
      <c r="X282" s="1" t="s">
        <v>74</v>
      </c>
      <c r="Y282" s="1" t="s">
        <v>74</v>
      </c>
      <c r="Z282" s="1" t="s">
        <v>74</v>
      </c>
      <c r="AA282" s="1" t="s">
        <v>3005</v>
      </c>
      <c r="AB282" s="1" t="s">
        <v>3006</v>
      </c>
      <c r="AC282" s="1" t="s">
        <v>74</v>
      </c>
      <c r="AD282" s="1" t="s">
        <v>74</v>
      </c>
      <c r="AE282" s="1" t="s">
        <v>74</v>
      </c>
      <c r="AF282" s="1" t="s">
        <v>74</v>
      </c>
      <c r="AG282" s="1" t="s">
        <v>74</v>
      </c>
      <c r="AH282" s="1" t="s">
        <v>74</v>
      </c>
      <c r="AI282" s="1" t="s">
        <v>74</v>
      </c>
      <c r="AJ282" s="1" t="s">
        <v>74</v>
      </c>
      <c r="AK282" s="1" t="s">
        <v>74</v>
      </c>
      <c r="AL282" s="1" t="s">
        <v>74</v>
      </c>
      <c r="AM282" s="1" t="s">
        <v>74</v>
      </c>
      <c r="AN282" s="1" t="s">
        <v>74</v>
      </c>
      <c r="AO282" s="1" t="s">
        <v>3007</v>
      </c>
      <c r="AP282" s="1" t="s">
        <v>3008</v>
      </c>
      <c r="AQ282" s="1" t="s">
        <v>74</v>
      </c>
      <c r="AR282" s="1" t="s">
        <v>74</v>
      </c>
      <c r="AS282" s="1" t="s">
        <v>74</v>
      </c>
      <c r="AT282" s="1" t="s">
        <v>3009</v>
      </c>
      <c r="AU282" s="1">
        <v>2025.0</v>
      </c>
      <c r="AV282" s="1">
        <v>270.0</v>
      </c>
      <c r="AW282" s="1" t="s">
        <v>74</v>
      </c>
      <c r="AX282" s="1" t="s">
        <v>74</v>
      </c>
      <c r="AY282" s="1" t="s">
        <v>74</v>
      </c>
      <c r="AZ282" s="1" t="s">
        <v>74</v>
      </c>
      <c r="BA282" s="1" t="s">
        <v>74</v>
      </c>
      <c r="BB282" s="1" t="s">
        <v>74</v>
      </c>
      <c r="BC282" s="1" t="s">
        <v>74</v>
      </c>
      <c r="BD282" s="1">
        <v>126511.0</v>
      </c>
      <c r="BE282" s="1" t="s">
        <v>3010</v>
      </c>
      <c r="BF282" s="2" t="str">
        <f>HYPERLINK("http://dx.doi.org/10.1016/j.eswa.2025.126511","http://dx.doi.org/10.1016/j.eswa.2025.126511")</f>
        <v>http://dx.doi.org/10.1016/j.eswa.2025.126511</v>
      </c>
      <c r="BG282" s="1" t="s">
        <v>74</v>
      </c>
      <c r="BH282" s="1" t="s">
        <v>3011</v>
      </c>
      <c r="BI282" s="1" t="s">
        <v>74</v>
      </c>
      <c r="BJ282" s="1" t="s">
        <v>74</v>
      </c>
      <c r="BK282" s="1" t="s">
        <v>74</v>
      </c>
      <c r="BL282" s="1" t="s">
        <v>74</v>
      </c>
      <c r="BM282" s="1" t="s">
        <v>74</v>
      </c>
      <c r="BN282" s="1" t="s">
        <v>74</v>
      </c>
      <c r="BO282" s="1" t="s">
        <v>74</v>
      </c>
      <c r="BP282" s="1" t="s">
        <v>74</v>
      </c>
      <c r="BQ282" s="1" t="s">
        <v>74</v>
      </c>
      <c r="BR282" s="1" t="s">
        <v>74</v>
      </c>
      <c r="BS282" s="1" t="s">
        <v>3012</v>
      </c>
      <c r="BT282" s="1" t="str">
        <f>HYPERLINK("https%3A%2F%2Fwww.webofscience.com%2Fwos%2Fwoscc%2Ffull-record%2FWOS:001407383900001","View Full Record in Web of Science")</f>
        <v>View Full Record in Web of Science</v>
      </c>
    </row>
    <row r="283" ht="12.75" customHeight="1">
      <c r="A283" s="1" t="s">
        <v>72</v>
      </c>
      <c r="B283" s="1" t="s">
        <v>3013</v>
      </c>
      <c r="C283" s="1" t="s">
        <v>74</v>
      </c>
      <c r="D283" s="1" t="s">
        <v>74</v>
      </c>
      <c r="E283" s="1" t="s">
        <v>74</v>
      </c>
      <c r="F283" s="1" t="s">
        <v>3014</v>
      </c>
      <c r="G283" s="1" t="s">
        <v>74</v>
      </c>
      <c r="H283" s="1" t="s">
        <v>74</v>
      </c>
      <c r="I283" s="1" t="s">
        <v>3015</v>
      </c>
      <c r="J283" s="1" t="s">
        <v>2833</v>
      </c>
      <c r="K283" s="1" t="s">
        <v>74</v>
      </c>
      <c r="L283" s="1" t="s">
        <v>74</v>
      </c>
      <c r="M283" s="1" t="s">
        <v>74</v>
      </c>
      <c r="N283" s="1" t="s">
        <v>74</v>
      </c>
      <c r="O283" s="1" t="s">
        <v>74</v>
      </c>
      <c r="P283" s="1" t="s">
        <v>74</v>
      </c>
      <c r="Q283" s="1" t="s">
        <v>74</v>
      </c>
      <c r="R283" s="1" t="s">
        <v>74</v>
      </c>
      <c r="S283" s="1" t="s">
        <v>74</v>
      </c>
      <c r="T283" s="1" t="s">
        <v>74</v>
      </c>
      <c r="U283" s="1" t="s">
        <v>74</v>
      </c>
      <c r="V283" s="1" t="s">
        <v>3016</v>
      </c>
      <c r="W283" s="1" t="s">
        <v>74</v>
      </c>
      <c r="X283" s="1" t="s">
        <v>74</v>
      </c>
      <c r="Y283" s="1" t="s">
        <v>74</v>
      </c>
      <c r="Z283" s="1" t="s">
        <v>74</v>
      </c>
      <c r="AA283" s="1" t="s">
        <v>3017</v>
      </c>
      <c r="AB283" s="1" t="s">
        <v>3018</v>
      </c>
      <c r="AC283" s="1" t="s">
        <v>74</v>
      </c>
      <c r="AD283" s="1" t="s">
        <v>74</v>
      </c>
      <c r="AE283" s="1" t="s">
        <v>74</v>
      </c>
      <c r="AF283" s="1" t="s">
        <v>74</v>
      </c>
      <c r="AG283" s="1" t="s">
        <v>74</v>
      </c>
      <c r="AH283" s="1" t="s">
        <v>74</v>
      </c>
      <c r="AI283" s="1" t="s">
        <v>74</v>
      </c>
      <c r="AJ283" s="1" t="s">
        <v>74</v>
      </c>
      <c r="AK283" s="1" t="s">
        <v>74</v>
      </c>
      <c r="AL283" s="1" t="s">
        <v>74</v>
      </c>
      <c r="AM283" s="1" t="s">
        <v>74</v>
      </c>
      <c r="AN283" s="1" t="s">
        <v>74</v>
      </c>
      <c r="AO283" s="1" t="s">
        <v>74</v>
      </c>
      <c r="AP283" s="1" t="s">
        <v>2837</v>
      </c>
      <c r="AQ283" s="1" t="s">
        <v>74</v>
      </c>
      <c r="AR283" s="1" t="s">
        <v>74</v>
      </c>
      <c r="AS283" s="1" t="s">
        <v>74</v>
      </c>
      <c r="AT283" s="1" t="s">
        <v>155</v>
      </c>
      <c r="AU283" s="1">
        <v>2024.0</v>
      </c>
      <c r="AV283" s="1">
        <v>12.0</v>
      </c>
      <c r="AW283" s="1">
        <v>6.0</v>
      </c>
      <c r="AX283" s="1" t="s">
        <v>74</v>
      </c>
      <c r="AY283" s="1" t="s">
        <v>74</v>
      </c>
      <c r="AZ283" s="1" t="s">
        <v>74</v>
      </c>
      <c r="BA283" s="1" t="s">
        <v>74</v>
      </c>
      <c r="BB283" s="1" t="s">
        <v>74</v>
      </c>
      <c r="BC283" s="1" t="s">
        <v>74</v>
      </c>
      <c r="BD283" s="1">
        <v>1064.0</v>
      </c>
      <c r="BE283" s="1" t="s">
        <v>3019</v>
      </c>
      <c r="BF283" s="2" t="str">
        <f>HYPERLINK("http://dx.doi.org/10.3390/pr12061064","http://dx.doi.org/10.3390/pr12061064")</f>
        <v>http://dx.doi.org/10.3390/pr12061064</v>
      </c>
      <c r="BG283" s="1" t="s">
        <v>74</v>
      </c>
      <c r="BH283" s="1" t="s">
        <v>74</v>
      </c>
      <c r="BI283" s="1" t="s">
        <v>74</v>
      </c>
      <c r="BJ283" s="1" t="s">
        <v>74</v>
      </c>
      <c r="BK283" s="1" t="s">
        <v>74</v>
      </c>
      <c r="BL283" s="1" t="s">
        <v>74</v>
      </c>
      <c r="BM283" s="1" t="s">
        <v>74</v>
      </c>
      <c r="BN283" s="1" t="s">
        <v>74</v>
      </c>
      <c r="BO283" s="1" t="s">
        <v>74</v>
      </c>
      <c r="BP283" s="1" t="s">
        <v>74</v>
      </c>
      <c r="BQ283" s="1" t="s">
        <v>74</v>
      </c>
      <c r="BR283" s="1" t="s">
        <v>74</v>
      </c>
      <c r="BS283" s="1" t="s">
        <v>3020</v>
      </c>
      <c r="BT283" s="1" t="str">
        <f>HYPERLINK("https%3A%2F%2Fwww.webofscience.com%2Fwos%2Fwoscc%2Ffull-record%2FWOS:001256351200001","View Full Record in Web of Science")</f>
        <v>View Full Record in Web of Science</v>
      </c>
    </row>
    <row r="284" ht="12.75" customHeight="1">
      <c r="A284" s="1" t="s">
        <v>72</v>
      </c>
      <c r="B284" s="1" t="s">
        <v>3021</v>
      </c>
      <c r="C284" s="1" t="s">
        <v>74</v>
      </c>
      <c r="D284" s="1" t="s">
        <v>74</v>
      </c>
      <c r="E284" s="1" t="s">
        <v>74</v>
      </c>
      <c r="F284" s="1" t="s">
        <v>3022</v>
      </c>
      <c r="G284" s="1" t="s">
        <v>74</v>
      </c>
      <c r="H284" s="1" t="s">
        <v>74</v>
      </c>
      <c r="I284" s="1" t="s">
        <v>3023</v>
      </c>
      <c r="J284" s="1" t="s">
        <v>3024</v>
      </c>
      <c r="K284" s="1" t="s">
        <v>74</v>
      </c>
      <c r="L284" s="1" t="s">
        <v>74</v>
      </c>
      <c r="M284" s="1" t="s">
        <v>74</v>
      </c>
      <c r="N284" s="1" t="s">
        <v>74</v>
      </c>
      <c r="O284" s="1" t="s">
        <v>74</v>
      </c>
      <c r="P284" s="1" t="s">
        <v>74</v>
      </c>
      <c r="Q284" s="1" t="s">
        <v>74</v>
      </c>
      <c r="R284" s="1" t="s">
        <v>74</v>
      </c>
      <c r="S284" s="1" t="s">
        <v>74</v>
      </c>
      <c r="T284" s="1" t="s">
        <v>74</v>
      </c>
      <c r="U284" s="1" t="s">
        <v>74</v>
      </c>
      <c r="V284" s="1" t="s">
        <v>3025</v>
      </c>
      <c r="W284" s="1" t="s">
        <v>74</v>
      </c>
      <c r="X284" s="1" t="s">
        <v>74</v>
      </c>
      <c r="Y284" s="1" t="s">
        <v>74</v>
      </c>
      <c r="Z284" s="1" t="s">
        <v>74</v>
      </c>
      <c r="AA284" s="1" t="s">
        <v>3026</v>
      </c>
      <c r="AB284" s="1" t="s">
        <v>3027</v>
      </c>
      <c r="AC284" s="1" t="s">
        <v>74</v>
      </c>
      <c r="AD284" s="1" t="s">
        <v>74</v>
      </c>
      <c r="AE284" s="1" t="s">
        <v>74</v>
      </c>
      <c r="AF284" s="1" t="s">
        <v>74</v>
      </c>
      <c r="AG284" s="1" t="s">
        <v>74</v>
      </c>
      <c r="AH284" s="1" t="s">
        <v>74</v>
      </c>
      <c r="AI284" s="1" t="s">
        <v>74</v>
      </c>
      <c r="AJ284" s="1" t="s">
        <v>74</v>
      </c>
      <c r="AK284" s="1" t="s">
        <v>74</v>
      </c>
      <c r="AL284" s="1" t="s">
        <v>74</v>
      </c>
      <c r="AM284" s="1" t="s">
        <v>74</v>
      </c>
      <c r="AN284" s="1" t="s">
        <v>74</v>
      </c>
      <c r="AO284" s="1" t="s">
        <v>3028</v>
      </c>
      <c r="AP284" s="1" t="s">
        <v>3029</v>
      </c>
      <c r="AQ284" s="1" t="s">
        <v>74</v>
      </c>
      <c r="AR284" s="1" t="s">
        <v>74</v>
      </c>
      <c r="AS284" s="1" t="s">
        <v>74</v>
      </c>
      <c r="AT284" s="1" t="s">
        <v>559</v>
      </c>
      <c r="AU284" s="1">
        <v>2021.0</v>
      </c>
      <c r="AV284" s="1">
        <v>180.0</v>
      </c>
      <c r="AW284" s="1">
        <v>12.0</v>
      </c>
      <c r="AX284" s="1" t="s">
        <v>74</v>
      </c>
      <c r="AY284" s="1" t="s">
        <v>74</v>
      </c>
      <c r="AZ284" s="1" t="s">
        <v>74</v>
      </c>
      <c r="BA284" s="1" t="s">
        <v>74</v>
      </c>
      <c r="BB284" s="1">
        <v>3483.0</v>
      </c>
      <c r="BC284" s="1">
        <v>3489.0</v>
      </c>
      <c r="BD284" s="1" t="s">
        <v>74</v>
      </c>
      <c r="BE284" s="1" t="s">
        <v>3030</v>
      </c>
      <c r="BF284" s="2" t="str">
        <f>HYPERLINK("http://dx.doi.org/10.1007/s00431-021-04142-8","http://dx.doi.org/10.1007/s00431-021-04142-8")</f>
        <v>http://dx.doi.org/10.1007/s00431-021-04142-8</v>
      </c>
      <c r="BG284" s="1" t="s">
        <v>74</v>
      </c>
      <c r="BH284" s="1" t="s">
        <v>3031</v>
      </c>
      <c r="BI284" s="1" t="s">
        <v>74</v>
      </c>
      <c r="BJ284" s="1" t="s">
        <v>74</v>
      </c>
      <c r="BK284" s="1" t="s">
        <v>74</v>
      </c>
      <c r="BL284" s="1" t="s">
        <v>74</v>
      </c>
      <c r="BM284" s="1" t="s">
        <v>74</v>
      </c>
      <c r="BN284" s="1">
        <v>3.4105001E7</v>
      </c>
      <c r="BO284" s="1" t="s">
        <v>74</v>
      </c>
      <c r="BP284" s="1" t="s">
        <v>74</v>
      </c>
      <c r="BQ284" s="1" t="s">
        <v>74</v>
      </c>
      <c r="BR284" s="1" t="s">
        <v>74</v>
      </c>
      <c r="BS284" s="1" t="s">
        <v>3032</v>
      </c>
      <c r="BT284" s="1" t="str">
        <f>HYPERLINK("https%3A%2F%2Fwww.webofscience.com%2Fwos%2Fwoscc%2Ffull-record%2FWOS:000659010700002","View Full Record in Web of Science")</f>
        <v>View Full Record in Web of Science</v>
      </c>
    </row>
    <row r="285" ht="12.75" customHeight="1">
      <c r="A285" s="1" t="s">
        <v>72</v>
      </c>
      <c r="B285" s="1" t="s">
        <v>3033</v>
      </c>
      <c r="C285" s="1" t="s">
        <v>74</v>
      </c>
      <c r="D285" s="1" t="s">
        <v>74</v>
      </c>
      <c r="E285" s="1" t="s">
        <v>74</v>
      </c>
      <c r="F285" s="1" t="s">
        <v>3034</v>
      </c>
      <c r="G285" s="1" t="s">
        <v>74</v>
      </c>
      <c r="H285" s="1" t="s">
        <v>74</v>
      </c>
      <c r="I285" s="1" t="s">
        <v>3035</v>
      </c>
      <c r="J285" s="1" t="s">
        <v>3036</v>
      </c>
      <c r="K285" s="1" t="s">
        <v>74</v>
      </c>
      <c r="L285" s="1" t="s">
        <v>74</v>
      </c>
      <c r="M285" s="1" t="s">
        <v>74</v>
      </c>
      <c r="N285" s="1" t="s">
        <v>74</v>
      </c>
      <c r="O285" s="1" t="s">
        <v>74</v>
      </c>
      <c r="P285" s="1" t="s">
        <v>74</v>
      </c>
      <c r="Q285" s="1" t="s">
        <v>74</v>
      </c>
      <c r="R285" s="1" t="s">
        <v>74</v>
      </c>
      <c r="S285" s="1" t="s">
        <v>74</v>
      </c>
      <c r="T285" s="1" t="s">
        <v>74</v>
      </c>
      <c r="U285" s="1" t="s">
        <v>74</v>
      </c>
      <c r="V285" s="1" t="s">
        <v>3037</v>
      </c>
      <c r="W285" s="1" t="s">
        <v>74</v>
      </c>
      <c r="X285" s="1" t="s">
        <v>74</v>
      </c>
      <c r="Y285" s="1" t="s">
        <v>74</v>
      </c>
      <c r="Z285" s="1" t="s">
        <v>74</v>
      </c>
      <c r="AA285" s="1" t="s">
        <v>3038</v>
      </c>
      <c r="AB285" s="1" t="s">
        <v>3039</v>
      </c>
      <c r="AC285" s="1" t="s">
        <v>74</v>
      </c>
      <c r="AD285" s="1" t="s">
        <v>74</v>
      </c>
      <c r="AE285" s="1" t="s">
        <v>74</v>
      </c>
      <c r="AF285" s="1" t="s">
        <v>74</v>
      </c>
      <c r="AG285" s="1" t="s">
        <v>74</v>
      </c>
      <c r="AH285" s="1" t="s">
        <v>74</v>
      </c>
      <c r="AI285" s="1" t="s">
        <v>74</v>
      </c>
      <c r="AJ285" s="1" t="s">
        <v>74</v>
      </c>
      <c r="AK285" s="1" t="s">
        <v>74</v>
      </c>
      <c r="AL285" s="1" t="s">
        <v>74</v>
      </c>
      <c r="AM285" s="1" t="s">
        <v>74</v>
      </c>
      <c r="AN285" s="1" t="s">
        <v>74</v>
      </c>
      <c r="AO285" s="1" t="s">
        <v>3040</v>
      </c>
      <c r="AP285" s="1" t="s">
        <v>3041</v>
      </c>
      <c r="AQ285" s="1" t="s">
        <v>74</v>
      </c>
      <c r="AR285" s="1" t="s">
        <v>74</v>
      </c>
      <c r="AS285" s="1" t="s">
        <v>74</v>
      </c>
      <c r="AT285" s="1" t="s">
        <v>96</v>
      </c>
      <c r="AU285" s="1">
        <v>2021.0</v>
      </c>
      <c r="AV285" s="1">
        <v>13.0</v>
      </c>
      <c r="AW285" s="1">
        <v>1.0</v>
      </c>
      <c r="AX285" s="1" t="s">
        <v>74</v>
      </c>
      <c r="AY285" s="1" t="s">
        <v>74</v>
      </c>
      <c r="AZ285" s="1" t="s">
        <v>74</v>
      </c>
      <c r="BA285" s="1" t="s">
        <v>74</v>
      </c>
      <c r="BB285" s="1">
        <v>75.0</v>
      </c>
      <c r="BC285" s="1">
        <v>85.0</v>
      </c>
      <c r="BD285" s="1" t="s">
        <v>74</v>
      </c>
      <c r="BE285" s="1" t="s">
        <v>3042</v>
      </c>
      <c r="BF285" s="2" t="str">
        <f>HYPERLINK("http://dx.doi.org/10.1142/S1793525320500053","http://dx.doi.org/10.1142/S1793525320500053")</f>
        <v>http://dx.doi.org/10.1142/S1793525320500053</v>
      </c>
      <c r="BG285" s="1" t="s">
        <v>74</v>
      </c>
      <c r="BH285" s="1" t="s">
        <v>74</v>
      </c>
      <c r="BI285" s="1" t="s">
        <v>74</v>
      </c>
      <c r="BJ285" s="1" t="s">
        <v>74</v>
      </c>
      <c r="BK285" s="1" t="s">
        <v>74</v>
      </c>
      <c r="BL285" s="1" t="s">
        <v>74</v>
      </c>
      <c r="BM285" s="1" t="s">
        <v>74</v>
      </c>
      <c r="BN285" s="1" t="s">
        <v>74</v>
      </c>
      <c r="BO285" s="1" t="s">
        <v>74</v>
      </c>
      <c r="BP285" s="1" t="s">
        <v>74</v>
      </c>
      <c r="BQ285" s="1" t="s">
        <v>74</v>
      </c>
      <c r="BR285" s="1" t="s">
        <v>74</v>
      </c>
      <c r="BS285" s="1" t="s">
        <v>3043</v>
      </c>
      <c r="BT285" s="1" t="str">
        <f>HYPERLINK("https%3A%2F%2Fwww.webofscience.com%2Fwos%2Fwoscc%2Ffull-record%2FWOS:000639461900003","View Full Record in Web of Science")</f>
        <v>View Full Record in Web of Science</v>
      </c>
    </row>
    <row r="286" ht="12.75" customHeight="1">
      <c r="A286" s="1" t="s">
        <v>72</v>
      </c>
      <c r="B286" s="1" t="s">
        <v>3044</v>
      </c>
      <c r="C286" s="1" t="s">
        <v>74</v>
      </c>
      <c r="D286" s="1" t="s">
        <v>74</v>
      </c>
      <c r="E286" s="1" t="s">
        <v>74</v>
      </c>
      <c r="F286" s="1" t="s">
        <v>3045</v>
      </c>
      <c r="G286" s="1" t="s">
        <v>74</v>
      </c>
      <c r="H286" s="1" t="s">
        <v>74</v>
      </c>
      <c r="I286" s="1" t="s">
        <v>3046</v>
      </c>
      <c r="J286" s="1" t="s">
        <v>383</v>
      </c>
      <c r="K286" s="1" t="s">
        <v>74</v>
      </c>
      <c r="L286" s="1" t="s">
        <v>74</v>
      </c>
      <c r="M286" s="1" t="s">
        <v>74</v>
      </c>
      <c r="N286" s="1" t="s">
        <v>74</v>
      </c>
      <c r="O286" s="1" t="s">
        <v>74</v>
      </c>
      <c r="P286" s="1" t="s">
        <v>74</v>
      </c>
      <c r="Q286" s="1" t="s">
        <v>74</v>
      </c>
      <c r="R286" s="1" t="s">
        <v>74</v>
      </c>
      <c r="S286" s="1" t="s">
        <v>74</v>
      </c>
      <c r="T286" s="1" t="s">
        <v>74</v>
      </c>
      <c r="U286" s="1" t="s">
        <v>74</v>
      </c>
      <c r="V286" s="1" t="s">
        <v>3047</v>
      </c>
      <c r="W286" s="1" t="s">
        <v>74</v>
      </c>
      <c r="X286" s="1" t="s">
        <v>74</v>
      </c>
      <c r="Y286" s="1" t="s">
        <v>74</v>
      </c>
      <c r="Z286" s="1" t="s">
        <v>74</v>
      </c>
      <c r="AA286" s="1" t="s">
        <v>3048</v>
      </c>
      <c r="AB286" s="1" t="s">
        <v>3049</v>
      </c>
      <c r="AC286" s="1" t="s">
        <v>74</v>
      </c>
      <c r="AD286" s="1" t="s">
        <v>74</v>
      </c>
      <c r="AE286" s="1" t="s">
        <v>74</v>
      </c>
      <c r="AF286" s="1" t="s">
        <v>74</v>
      </c>
      <c r="AG286" s="1" t="s">
        <v>74</v>
      </c>
      <c r="AH286" s="1" t="s">
        <v>74</v>
      </c>
      <c r="AI286" s="1" t="s">
        <v>74</v>
      </c>
      <c r="AJ286" s="1" t="s">
        <v>74</v>
      </c>
      <c r="AK286" s="1" t="s">
        <v>74</v>
      </c>
      <c r="AL286" s="1" t="s">
        <v>74</v>
      </c>
      <c r="AM286" s="1" t="s">
        <v>74</v>
      </c>
      <c r="AN286" s="1" t="s">
        <v>74</v>
      </c>
      <c r="AO286" s="1" t="s">
        <v>387</v>
      </c>
      <c r="AP286" s="1" t="s">
        <v>74</v>
      </c>
      <c r="AQ286" s="1" t="s">
        <v>74</v>
      </c>
      <c r="AR286" s="1" t="s">
        <v>74</v>
      </c>
      <c r="AS286" s="1" t="s">
        <v>74</v>
      </c>
      <c r="AT286" s="1" t="s">
        <v>3050</v>
      </c>
      <c r="AU286" s="1">
        <v>2019.0</v>
      </c>
      <c r="AV286" s="1">
        <v>9.0</v>
      </c>
      <c r="AW286" s="1" t="s">
        <v>74</v>
      </c>
      <c r="AX286" s="1" t="s">
        <v>74</v>
      </c>
      <c r="AY286" s="1" t="s">
        <v>74</v>
      </c>
      <c r="AZ286" s="1" t="s">
        <v>74</v>
      </c>
      <c r="BA286" s="1" t="s">
        <v>74</v>
      </c>
      <c r="BB286" s="1" t="s">
        <v>74</v>
      </c>
      <c r="BC286" s="1" t="s">
        <v>74</v>
      </c>
      <c r="BD286" s="1">
        <v>12928.0</v>
      </c>
      <c r="BE286" s="1" t="s">
        <v>3051</v>
      </c>
      <c r="BF286" s="2" t="str">
        <f>HYPERLINK("http://dx.doi.org/10.1038/s41598-019-49204-y","http://dx.doi.org/10.1038/s41598-019-49204-y")</f>
        <v>http://dx.doi.org/10.1038/s41598-019-49204-y</v>
      </c>
      <c r="BG286" s="1" t="s">
        <v>74</v>
      </c>
      <c r="BH286" s="1" t="s">
        <v>74</v>
      </c>
      <c r="BI286" s="1" t="s">
        <v>74</v>
      </c>
      <c r="BJ286" s="1" t="s">
        <v>74</v>
      </c>
      <c r="BK286" s="1" t="s">
        <v>74</v>
      </c>
      <c r="BL286" s="1" t="s">
        <v>74</v>
      </c>
      <c r="BM286" s="1" t="s">
        <v>74</v>
      </c>
      <c r="BN286" s="1">
        <v>3.1506446E7</v>
      </c>
      <c r="BO286" s="1" t="s">
        <v>74</v>
      </c>
      <c r="BP286" s="1" t="s">
        <v>74</v>
      </c>
      <c r="BQ286" s="1" t="s">
        <v>74</v>
      </c>
      <c r="BR286" s="1" t="s">
        <v>74</v>
      </c>
      <c r="BS286" s="1" t="s">
        <v>3052</v>
      </c>
      <c r="BT286" s="1" t="str">
        <f>HYPERLINK("https%3A%2F%2Fwww.webofscience.com%2Fwos%2Fwoscc%2Ffull-record%2FWOS:000484984700003","View Full Record in Web of Science")</f>
        <v>View Full Record in Web of Science</v>
      </c>
    </row>
    <row r="287" ht="12.75" customHeight="1">
      <c r="A287" s="1" t="s">
        <v>72</v>
      </c>
      <c r="B287" s="1" t="s">
        <v>3053</v>
      </c>
      <c r="C287" s="1" t="s">
        <v>74</v>
      </c>
      <c r="D287" s="1" t="s">
        <v>74</v>
      </c>
      <c r="E287" s="1" t="s">
        <v>74</v>
      </c>
      <c r="F287" s="1" t="s">
        <v>3054</v>
      </c>
      <c r="G287" s="1" t="s">
        <v>74</v>
      </c>
      <c r="H287" s="1" t="s">
        <v>74</v>
      </c>
      <c r="I287" s="1" t="s">
        <v>3055</v>
      </c>
      <c r="J287" s="1" t="s">
        <v>2916</v>
      </c>
      <c r="K287" s="1" t="s">
        <v>74</v>
      </c>
      <c r="L287" s="1" t="s">
        <v>74</v>
      </c>
      <c r="M287" s="1" t="s">
        <v>74</v>
      </c>
      <c r="N287" s="1" t="s">
        <v>74</v>
      </c>
      <c r="O287" s="1" t="s">
        <v>74</v>
      </c>
      <c r="P287" s="1" t="s">
        <v>74</v>
      </c>
      <c r="Q287" s="1" t="s">
        <v>74</v>
      </c>
      <c r="R287" s="1" t="s">
        <v>74</v>
      </c>
      <c r="S287" s="1" t="s">
        <v>74</v>
      </c>
      <c r="T287" s="1" t="s">
        <v>74</v>
      </c>
      <c r="U287" s="1" t="s">
        <v>74</v>
      </c>
      <c r="V287" s="1" t="s">
        <v>3056</v>
      </c>
      <c r="W287" s="1" t="s">
        <v>74</v>
      </c>
      <c r="X287" s="1" t="s">
        <v>74</v>
      </c>
      <c r="Y287" s="1" t="s">
        <v>74</v>
      </c>
      <c r="Z287" s="1" t="s">
        <v>74</v>
      </c>
      <c r="AA287" s="1" t="s">
        <v>3057</v>
      </c>
      <c r="AB287" s="1" t="s">
        <v>3058</v>
      </c>
      <c r="AC287" s="1" t="s">
        <v>74</v>
      </c>
      <c r="AD287" s="1" t="s">
        <v>74</v>
      </c>
      <c r="AE287" s="1" t="s">
        <v>74</v>
      </c>
      <c r="AF287" s="1" t="s">
        <v>74</v>
      </c>
      <c r="AG287" s="1" t="s">
        <v>74</v>
      </c>
      <c r="AH287" s="1" t="s">
        <v>74</v>
      </c>
      <c r="AI287" s="1" t="s">
        <v>74</v>
      </c>
      <c r="AJ287" s="1" t="s">
        <v>74</v>
      </c>
      <c r="AK287" s="1" t="s">
        <v>74</v>
      </c>
      <c r="AL287" s="1" t="s">
        <v>74</v>
      </c>
      <c r="AM287" s="1" t="s">
        <v>74</v>
      </c>
      <c r="AN287" s="1" t="s">
        <v>74</v>
      </c>
      <c r="AO287" s="1" t="s">
        <v>2920</v>
      </c>
      <c r="AP287" s="1" t="s">
        <v>74</v>
      </c>
      <c r="AQ287" s="1" t="s">
        <v>74</v>
      </c>
      <c r="AR287" s="1" t="s">
        <v>74</v>
      </c>
      <c r="AS287" s="1" t="s">
        <v>74</v>
      </c>
      <c r="AT287" s="1" t="s">
        <v>411</v>
      </c>
      <c r="AU287" s="1">
        <v>2018.0</v>
      </c>
      <c r="AV287" s="1">
        <v>17.0</v>
      </c>
      <c r="AW287" s="1">
        <v>6.0</v>
      </c>
      <c r="AX287" s="1" t="s">
        <v>74</v>
      </c>
      <c r="AY287" s="1" t="s">
        <v>74</v>
      </c>
      <c r="AZ287" s="1" t="s">
        <v>74</v>
      </c>
      <c r="BA287" s="1" t="s">
        <v>74</v>
      </c>
      <c r="BB287" s="1">
        <v>566.0</v>
      </c>
      <c r="BC287" s="1">
        <v>574.0</v>
      </c>
      <c r="BD287" s="1" t="s">
        <v>74</v>
      </c>
      <c r="BE287" s="1" t="s">
        <v>74</v>
      </c>
      <c r="BF287" s="1" t="s">
        <v>74</v>
      </c>
      <c r="BG287" s="1" t="s">
        <v>74</v>
      </c>
      <c r="BH287" s="1" t="s">
        <v>74</v>
      </c>
      <c r="BI287" s="1" t="s">
        <v>74</v>
      </c>
      <c r="BJ287" s="1" t="s">
        <v>74</v>
      </c>
      <c r="BK287" s="1" t="s">
        <v>74</v>
      </c>
      <c r="BL287" s="1" t="s">
        <v>74</v>
      </c>
      <c r="BM287" s="1" t="s">
        <v>74</v>
      </c>
      <c r="BN287" s="1" t="s">
        <v>74</v>
      </c>
      <c r="BO287" s="1" t="s">
        <v>74</v>
      </c>
      <c r="BP287" s="1" t="s">
        <v>74</v>
      </c>
      <c r="BQ287" s="1" t="s">
        <v>74</v>
      </c>
      <c r="BR287" s="1" t="s">
        <v>74</v>
      </c>
      <c r="BS287" s="1" t="s">
        <v>3059</v>
      </c>
      <c r="BT287" s="1" t="str">
        <f>HYPERLINK("https%3A%2F%2Fwww.webofscience.com%2Fwos%2Fwoscc%2Ffull-record%2FWOS:000448822200003","View Full Record in Web of Science")</f>
        <v>View Full Record in Web of Science</v>
      </c>
    </row>
    <row r="288" ht="12.75" customHeight="1">
      <c r="A288" s="1" t="s">
        <v>72</v>
      </c>
      <c r="B288" s="1" t="s">
        <v>3060</v>
      </c>
      <c r="C288" s="1" t="s">
        <v>74</v>
      </c>
      <c r="D288" s="1" t="s">
        <v>74</v>
      </c>
      <c r="E288" s="1" t="s">
        <v>74</v>
      </c>
      <c r="F288" s="1" t="s">
        <v>3061</v>
      </c>
      <c r="G288" s="1" t="s">
        <v>74</v>
      </c>
      <c r="H288" s="1" t="s">
        <v>74</v>
      </c>
      <c r="I288" s="1" t="s">
        <v>3062</v>
      </c>
      <c r="J288" s="1" t="s">
        <v>1590</v>
      </c>
      <c r="K288" s="1" t="s">
        <v>74</v>
      </c>
      <c r="L288" s="1" t="s">
        <v>74</v>
      </c>
      <c r="M288" s="1" t="s">
        <v>74</v>
      </c>
      <c r="N288" s="1" t="s">
        <v>74</v>
      </c>
      <c r="O288" s="1" t="s">
        <v>74</v>
      </c>
      <c r="P288" s="1" t="s">
        <v>74</v>
      </c>
      <c r="Q288" s="1" t="s">
        <v>74</v>
      </c>
      <c r="R288" s="1" t="s">
        <v>74</v>
      </c>
      <c r="S288" s="1" t="s">
        <v>74</v>
      </c>
      <c r="T288" s="1" t="s">
        <v>74</v>
      </c>
      <c r="U288" s="1" t="s">
        <v>74</v>
      </c>
      <c r="V288" s="1" t="s">
        <v>3063</v>
      </c>
      <c r="W288" s="1" t="s">
        <v>74</v>
      </c>
      <c r="X288" s="1" t="s">
        <v>74</v>
      </c>
      <c r="Y288" s="1" t="s">
        <v>74</v>
      </c>
      <c r="Z288" s="1" t="s">
        <v>74</v>
      </c>
      <c r="AA288" s="1" t="s">
        <v>3064</v>
      </c>
      <c r="AB288" s="1" t="s">
        <v>3065</v>
      </c>
      <c r="AC288" s="1" t="s">
        <v>74</v>
      </c>
      <c r="AD288" s="1" t="s">
        <v>74</v>
      </c>
      <c r="AE288" s="1" t="s">
        <v>74</v>
      </c>
      <c r="AF288" s="1" t="s">
        <v>74</v>
      </c>
      <c r="AG288" s="1" t="s">
        <v>74</v>
      </c>
      <c r="AH288" s="1" t="s">
        <v>74</v>
      </c>
      <c r="AI288" s="1" t="s">
        <v>74</v>
      </c>
      <c r="AJ288" s="1" t="s">
        <v>74</v>
      </c>
      <c r="AK288" s="1" t="s">
        <v>74</v>
      </c>
      <c r="AL288" s="1" t="s">
        <v>74</v>
      </c>
      <c r="AM288" s="1" t="s">
        <v>74</v>
      </c>
      <c r="AN288" s="1" t="s">
        <v>74</v>
      </c>
      <c r="AO288" s="1" t="s">
        <v>1594</v>
      </c>
      <c r="AP288" s="1" t="s">
        <v>1595</v>
      </c>
      <c r="AQ288" s="1" t="s">
        <v>74</v>
      </c>
      <c r="AR288" s="1" t="s">
        <v>74</v>
      </c>
      <c r="AS288" s="1" t="s">
        <v>74</v>
      </c>
      <c r="AT288" s="1" t="s">
        <v>3066</v>
      </c>
      <c r="AU288" s="1">
        <v>2018.0</v>
      </c>
      <c r="AV288" s="1">
        <v>97.0</v>
      </c>
      <c r="AW288" s="1">
        <v>2.0</v>
      </c>
      <c r="AX288" s="1" t="s">
        <v>74</v>
      </c>
      <c r="AY288" s="1" t="s">
        <v>74</v>
      </c>
      <c r="AZ288" s="1" t="s">
        <v>74</v>
      </c>
      <c r="BA288" s="1" t="s">
        <v>74</v>
      </c>
      <c r="BB288" s="1" t="s">
        <v>74</v>
      </c>
      <c r="BC288" s="1" t="s">
        <v>74</v>
      </c>
      <c r="BD288" s="1">
        <v>22306.0</v>
      </c>
      <c r="BE288" s="1" t="s">
        <v>3067</v>
      </c>
      <c r="BF288" s="2" t="str">
        <f>HYPERLINK("http://dx.doi.org/10.1103/PhysRevA.97.022306","http://dx.doi.org/10.1103/PhysRevA.97.022306")</f>
        <v>http://dx.doi.org/10.1103/PhysRevA.97.022306</v>
      </c>
      <c r="BG288" s="1" t="s">
        <v>74</v>
      </c>
      <c r="BH288" s="1" t="s">
        <v>74</v>
      </c>
      <c r="BI288" s="1" t="s">
        <v>74</v>
      </c>
      <c r="BJ288" s="1" t="s">
        <v>74</v>
      </c>
      <c r="BK288" s="1" t="s">
        <v>74</v>
      </c>
      <c r="BL288" s="1" t="s">
        <v>74</v>
      </c>
      <c r="BM288" s="1" t="s">
        <v>74</v>
      </c>
      <c r="BN288" s="1" t="s">
        <v>74</v>
      </c>
      <c r="BO288" s="1" t="s">
        <v>74</v>
      </c>
      <c r="BP288" s="1" t="s">
        <v>74</v>
      </c>
      <c r="BQ288" s="1" t="s">
        <v>74</v>
      </c>
      <c r="BR288" s="1" t="s">
        <v>74</v>
      </c>
      <c r="BS288" s="1" t="s">
        <v>3068</v>
      </c>
      <c r="BT288" s="1" t="str">
        <f>HYPERLINK("https%3A%2F%2Fwww.webofscience.com%2Fwos%2Fwoscc%2Ffull-record%2FWOS:000424087400007","View Full Record in Web of Science")</f>
        <v>View Full Record in Web of Science</v>
      </c>
    </row>
    <row r="289" ht="12.75" customHeight="1">
      <c r="A289" s="1" t="s">
        <v>647</v>
      </c>
      <c r="B289" s="1" t="s">
        <v>3069</v>
      </c>
      <c r="C289" s="1" t="s">
        <v>74</v>
      </c>
      <c r="D289" s="1" t="s">
        <v>3070</v>
      </c>
      <c r="E289" s="1" t="s">
        <v>74</v>
      </c>
      <c r="F289" s="1" t="s">
        <v>3071</v>
      </c>
      <c r="G289" s="1" t="s">
        <v>74</v>
      </c>
      <c r="H289" s="1" t="s">
        <v>74</v>
      </c>
      <c r="I289" s="1" t="s">
        <v>3072</v>
      </c>
      <c r="J289" s="1" t="s">
        <v>3073</v>
      </c>
      <c r="K289" s="1" t="s">
        <v>74</v>
      </c>
      <c r="L289" s="1" t="s">
        <v>74</v>
      </c>
      <c r="M289" s="1" t="s">
        <v>74</v>
      </c>
      <c r="N289" s="1" t="s">
        <v>74</v>
      </c>
      <c r="O289" s="1" t="s">
        <v>3074</v>
      </c>
      <c r="P289" s="1" t="s">
        <v>3075</v>
      </c>
      <c r="Q289" s="1" t="s">
        <v>3076</v>
      </c>
      <c r="R289" s="1" t="s">
        <v>3077</v>
      </c>
      <c r="S289" s="1" t="s">
        <v>74</v>
      </c>
      <c r="T289" s="1" t="s">
        <v>74</v>
      </c>
      <c r="U289" s="1" t="s">
        <v>74</v>
      </c>
      <c r="V289" s="1" t="s">
        <v>3078</v>
      </c>
      <c r="W289" s="1" t="s">
        <v>74</v>
      </c>
      <c r="X289" s="1" t="s">
        <v>74</v>
      </c>
      <c r="Y289" s="1" t="s">
        <v>74</v>
      </c>
      <c r="Z289" s="1" t="s">
        <v>74</v>
      </c>
      <c r="AA289" s="1" t="s">
        <v>3079</v>
      </c>
      <c r="AB289" s="1" t="s">
        <v>74</v>
      </c>
      <c r="AC289" s="1" t="s">
        <v>74</v>
      </c>
      <c r="AD289" s="1" t="s">
        <v>74</v>
      </c>
      <c r="AE289" s="1" t="s">
        <v>74</v>
      </c>
      <c r="AF289" s="1" t="s">
        <v>74</v>
      </c>
      <c r="AG289" s="1" t="s">
        <v>74</v>
      </c>
      <c r="AH289" s="1" t="s">
        <v>74</v>
      </c>
      <c r="AI289" s="1" t="s">
        <v>74</v>
      </c>
      <c r="AJ289" s="1" t="s">
        <v>74</v>
      </c>
      <c r="AK289" s="1" t="s">
        <v>74</v>
      </c>
      <c r="AL289" s="1" t="s">
        <v>74</v>
      </c>
      <c r="AM289" s="1" t="s">
        <v>74</v>
      </c>
      <c r="AN289" s="1" t="s">
        <v>74</v>
      </c>
      <c r="AO289" s="1" t="s">
        <v>74</v>
      </c>
      <c r="AP289" s="1" t="s">
        <v>74</v>
      </c>
      <c r="AQ289" s="1" t="s">
        <v>3080</v>
      </c>
      <c r="AR289" s="1" t="s">
        <v>74</v>
      </c>
      <c r="AS289" s="1" t="s">
        <v>74</v>
      </c>
      <c r="AT289" s="1" t="s">
        <v>74</v>
      </c>
      <c r="AU289" s="1">
        <v>2018.0</v>
      </c>
      <c r="AV289" s="1" t="s">
        <v>74</v>
      </c>
      <c r="AW289" s="1" t="s">
        <v>74</v>
      </c>
      <c r="AX289" s="1" t="s">
        <v>74</v>
      </c>
      <c r="AY289" s="1" t="s">
        <v>74</v>
      </c>
      <c r="AZ289" s="1" t="s">
        <v>74</v>
      </c>
      <c r="BA289" s="1" t="s">
        <v>74</v>
      </c>
      <c r="BB289" s="1" t="s">
        <v>74</v>
      </c>
      <c r="BC289" s="1" t="s">
        <v>74</v>
      </c>
      <c r="BD289" s="1" t="s">
        <v>74</v>
      </c>
      <c r="BE289" s="1" t="s">
        <v>74</v>
      </c>
      <c r="BF289" s="1" t="s">
        <v>74</v>
      </c>
      <c r="BG289" s="1" t="s">
        <v>74</v>
      </c>
      <c r="BH289" s="1" t="s">
        <v>74</v>
      </c>
      <c r="BI289" s="1" t="s">
        <v>74</v>
      </c>
      <c r="BJ289" s="1" t="s">
        <v>74</v>
      </c>
      <c r="BK289" s="1" t="s">
        <v>74</v>
      </c>
      <c r="BL289" s="1" t="s">
        <v>74</v>
      </c>
      <c r="BM289" s="1" t="s">
        <v>74</v>
      </c>
      <c r="BN289" s="1" t="s">
        <v>74</v>
      </c>
      <c r="BO289" s="1" t="s">
        <v>74</v>
      </c>
      <c r="BP289" s="1" t="s">
        <v>74</v>
      </c>
      <c r="BQ289" s="1" t="s">
        <v>74</v>
      </c>
      <c r="BR289" s="1" t="s">
        <v>74</v>
      </c>
      <c r="BS289" s="1" t="s">
        <v>3081</v>
      </c>
      <c r="BT289" s="1" t="str">
        <f>HYPERLINK("https%3A%2F%2Fwww.webofscience.com%2Fwos%2Fwoscc%2Ffull-record%2FWOS:000458417600108","View Full Record in Web of Science")</f>
        <v>View Full Record in Web of Science</v>
      </c>
    </row>
    <row r="290" ht="12.75" customHeight="1">
      <c r="A290" s="1" t="s">
        <v>72</v>
      </c>
      <c r="B290" s="1" t="s">
        <v>3082</v>
      </c>
      <c r="C290" s="1" t="s">
        <v>74</v>
      </c>
      <c r="D290" s="1" t="s">
        <v>74</v>
      </c>
      <c r="E290" s="1" t="s">
        <v>74</v>
      </c>
      <c r="F290" s="1" t="s">
        <v>3083</v>
      </c>
      <c r="G290" s="1" t="s">
        <v>74</v>
      </c>
      <c r="H290" s="1" t="s">
        <v>74</v>
      </c>
      <c r="I290" s="1" t="s">
        <v>3084</v>
      </c>
      <c r="J290" s="1" t="s">
        <v>703</v>
      </c>
      <c r="K290" s="1" t="s">
        <v>74</v>
      </c>
      <c r="L290" s="1" t="s">
        <v>74</v>
      </c>
      <c r="M290" s="1" t="s">
        <v>74</v>
      </c>
      <c r="N290" s="1" t="s">
        <v>74</v>
      </c>
      <c r="O290" s="1" t="s">
        <v>74</v>
      </c>
      <c r="P290" s="1" t="s">
        <v>74</v>
      </c>
      <c r="Q290" s="1" t="s">
        <v>74</v>
      </c>
      <c r="R290" s="1" t="s">
        <v>74</v>
      </c>
      <c r="S290" s="1" t="s">
        <v>74</v>
      </c>
      <c r="T290" s="1" t="s">
        <v>74</v>
      </c>
      <c r="U290" s="1" t="s">
        <v>74</v>
      </c>
      <c r="V290" s="1" t="s">
        <v>3085</v>
      </c>
      <c r="W290" s="1" t="s">
        <v>74</v>
      </c>
      <c r="X290" s="1" t="s">
        <v>74</v>
      </c>
      <c r="Y290" s="1" t="s">
        <v>74</v>
      </c>
      <c r="Z290" s="1" t="s">
        <v>74</v>
      </c>
      <c r="AA290" s="1" t="s">
        <v>3086</v>
      </c>
      <c r="AB290" s="1" t="s">
        <v>3087</v>
      </c>
      <c r="AC290" s="1" t="s">
        <v>74</v>
      </c>
      <c r="AD290" s="1" t="s">
        <v>74</v>
      </c>
      <c r="AE290" s="1" t="s">
        <v>74</v>
      </c>
      <c r="AF290" s="1" t="s">
        <v>74</v>
      </c>
      <c r="AG290" s="1" t="s">
        <v>74</v>
      </c>
      <c r="AH290" s="1" t="s">
        <v>74</v>
      </c>
      <c r="AI290" s="1" t="s">
        <v>74</v>
      </c>
      <c r="AJ290" s="1" t="s">
        <v>74</v>
      </c>
      <c r="AK290" s="1" t="s">
        <v>74</v>
      </c>
      <c r="AL290" s="1" t="s">
        <v>74</v>
      </c>
      <c r="AM290" s="1" t="s">
        <v>74</v>
      </c>
      <c r="AN290" s="1" t="s">
        <v>74</v>
      </c>
      <c r="AO290" s="1" t="s">
        <v>74</v>
      </c>
      <c r="AP290" s="1" t="s">
        <v>707</v>
      </c>
      <c r="AQ290" s="1" t="s">
        <v>74</v>
      </c>
      <c r="AR290" s="1" t="s">
        <v>74</v>
      </c>
      <c r="AS290" s="1" t="s">
        <v>74</v>
      </c>
      <c r="AT290" s="1" t="s">
        <v>250</v>
      </c>
      <c r="AU290" s="1">
        <v>2017.0</v>
      </c>
      <c r="AV290" s="1">
        <v>14.0</v>
      </c>
      <c r="AW290" s="1">
        <v>9.0</v>
      </c>
      <c r="AX290" s="1" t="s">
        <v>74</v>
      </c>
      <c r="AY290" s="1" t="s">
        <v>74</v>
      </c>
      <c r="AZ290" s="1" t="s">
        <v>74</v>
      </c>
      <c r="BA290" s="1" t="s">
        <v>74</v>
      </c>
      <c r="BB290" s="1" t="s">
        <v>74</v>
      </c>
      <c r="BC290" s="1" t="s">
        <v>74</v>
      </c>
      <c r="BD290" s="1">
        <v>952.0</v>
      </c>
      <c r="BE290" s="1" t="s">
        <v>3088</v>
      </c>
      <c r="BF290" s="2" t="str">
        <f>HYPERLINK("http://dx.doi.org/10.3390/ijerph14090952","http://dx.doi.org/10.3390/ijerph14090952")</f>
        <v>http://dx.doi.org/10.3390/ijerph14090952</v>
      </c>
      <c r="BG290" s="1" t="s">
        <v>74</v>
      </c>
      <c r="BH290" s="1" t="s">
        <v>74</v>
      </c>
      <c r="BI290" s="1" t="s">
        <v>74</v>
      </c>
      <c r="BJ290" s="1" t="s">
        <v>74</v>
      </c>
      <c r="BK290" s="1" t="s">
        <v>74</v>
      </c>
      <c r="BL290" s="1" t="s">
        <v>74</v>
      </c>
      <c r="BM290" s="1" t="s">
        <v>74</v>
      </c>
      <c r="BN290" s="1">
        <v>2.8832546E7</v>
      </c>
      <c r="BO290" s="1" t="s">
        <v>74</v>
      </c>
      <c r="BP290" s="1" t="s">
        <v>74</v>
      </c>
      <c r="BQ290" s="1" t="s">
        <v>74</v>
      </c>
      <c r="BR290" s="1" t="s">
        <v>74</v>
      </c>
      <c r="BS290" s="1" t="s">
        <v>3089</v>
      </c>
      <c r="BT290" s="1" t="str">
        <f>HYPERLINK("https%3A%2F%2Fwww.webofscience.com%2Fwos%2Fwoscc%2Ffull-record%2FWOS:000411574400004","View Full Record in Web of Science")</f>
        <v>View Full Record in Web of Science</v>
      </c>
    </row>
    <row r="291" ht="12.75" customHeight="1">
      <c r="A291" s="1" t="s">
        <v>72</v>
      </c>
      <c r="B291" s="1" t="s">
        <v>3090</v>
      </c>
      <c r="C291" s="1" t="s">
        <v>74</v>
      </c>
      <c r="D291" s="1" t="s">
        <v>74</v>
      </c>
      <c r="E291" s="1" t="s">
        <v>74</v>
      </c>
      <c r="F291" s="1" t="s">
        <v>3091</v>
      </c>
      <c r="G291" s="1" t="s">
        <v>74</v>
      </c>
      <c r="H291" s="1" t="s">
        <v>74</v>
      </c>
      <c r="I291" s="1" t="s">
        <v>3092</v>
      </c>
      <c r="J291" s="1" t="s">
        <v>383</v>
      </c>
      <c r="K291" s="1" t="s">
        <v>74</v>
      </c>
      <c r="L291" s="1" t="s">
        <v>74</v>
      </c>
      <c r="M291" s="1" t="s">
        <v>74</v>
      </c>
      <c r="N291" s="1" t="s">
        <v>74</v>
      </c>
      <c r="O291" s="1" t="s">
        <v>74</v>
      </c>
      <c r="P291" s="1" t="s">
        <v>74</v>
      </c>
      <c r="Q291" s="1" t="s">
        <v>74</v>
      </c>
      <c r="R291" s="1" t="s">
        <v>74</v>
      </c>
      <c r="S291" s="1" t="s">
        <v>74</v>
      </c>
      <c r="T291" s="1" t="s">
        <v>74</v>
      </c>
      <c r="U291" s="1" t="s">
        <v>74</v>
      </c>
      <c r="V291" s="1" t="s">
        <v>3093</v>
      </c>
      <c r="W291" s="1" t="s">
        <v>74</v>
      </c>
      <c r="X291" s="1" t="s">
        <v>74</v>
      </c>
      <c r="Y291" s="1" t="s">
        <v>74</v>
      </c>
      <c r="Z291" s="1" t="s">
        <v>74</v>
      </c>
      <c r="AA291" s="1" t="s">
        <v>3094</v>
      </c>
      <c r="AB291" s="1" t="s">
        <v>3095</v>
      </c>
      <c r="AC291" s="1" t="s">
        <v>74</v>
      </c>
      <c r="AD291" s="1" t="s">
        <v>74</v>
      </c>
      <c r="AE291" s="1" t="s">
        <v>74</v>
      </c>
      <c r="AF291" s="1" t="s">
        <v>74</v>
      </c>
      <c r="AG291" s="1" t="s">
        <v>74</v>
      </c>
      <c r="AH291" s="1" t="s">
        <v>74</v>
      </c>
      <c r="AI291" s="1" t="s">
        <v>74</v>
      </c>
      <c r="AJ291" s="1" t="s">
        <v>74</v>
      </c>
      <c r="AK291" s="1" t="s">
        <v>74</v>
      </c>
      <c r="AL291" s="1" t="s">
        <v>74</v>
      </c>
      <c r="AM291" s="1" t="s">
        <v>74</v>
      </c>
      <c r="AN291" s="1" t="s">
        <v>74</v>
      </c>
      <c r="AO291" s="1" t="s">
        <v>387</v>
      </c>
      <c r="AP291" s="1" t="s">
        <v>74</v>
      </c>
      <c r="AQ291" s="1" t="s">
        <v>74</v>
      </c>
      <c r="AR291" s="1" t="s">
        <v>74</v>
      </c>
      <c r="AS291" s="1" t="s">
        <v>74</v>
      </c>
      <c r="AT291" s="1" t="s">
        <v>3096</v>
      </c>
      <c r="AU291" s="1">
        <v>2015.0</v>
      </c>
      <c r="AV291" s="1">
        <v>5.0</v>
      </c>
      <c r="AW291" s="1" t="s">
        <v>74</v>
      </c>
      <c r="AX291" s="1" t="s">
        <v>74</v>
      </c>
      <c r="AY291" s="1" t="s">
        <v>74</v>
      </c>
      <c r="AZ291" s="1" t="s">
        <v>74</v>
      </c>
      <c r="BA291" s="1" t="s">
        <v>74</v>
      </c>
      <c r="BB291" s="1" t="s">
        <v>74</v>
      </c>
      <c r="BC291" s="1" t="s">
        <v>74</v>
      </c>
      <c r="BD291" s="1">
        <v>11818.0</v>
      </c>
      <c r="BE291" s="1" t="s">
        <v>3097</v>
      </c>
      <c r="BF291" s="2" t="str">
        <f>HYPERLINK("http://dx.doi.org/10.1038/srep11818","http://dx.doi.org/10.1038/srep11818")</f>
        <v>http://dx.doi.org/10.1038/srep11818</v>
      </c>
      <c r="BG291" s="1" t="s">
        <v>74</v>
      </c>
      <c r="BH291" s="1" t="s">
        <v>74</v>
      </c>
      <c r="BI291" s="1" t="s">
        <v>74</v>
      </c>
      <c r="BJ291" s="1" t="s">
        <v>74</v>
      </c>
      <c r="BK291" s="1" t="s">
        <v>74</v>
      </c>
      <c r="BL291" s="1" t="s">
        <v>74</v>
      </c>
      <c r="BM291" s="1" t="s">
        <v>74</v>
      </c>
      <c r="BN291" s="1">
        <v>2.6152809E7</v>
      </c>
      <c r="BO291" s="1" t="s">
        <v>74</v>
      </c>
      <c r="BP291" s="1" t="s">
        <v>74</v>
      </c>
      <c r="BQ291" s="1" t="s">
        <v>74</v>
      </c>
      <c r="BR291" s="1" t="s">
        <v>74</v>
      </c>
      <c r="BS291" s="1" t="s">
        <v>3098</v>
      </c>
      <c r="BT291" s="1" t="str">
        <f>HYPERLINK("https%3A%2F%2Fwww.webofscience.com%2Fwos%2Fwoscc%2Ffull-record%2FWOS:000357576600001","View Full Record in Web of Science")</f>
        <v>View Full Record in Web of Science</v>
      </c>
    </row>
    <row r="292" ht="12.75" customHeight="1">
      <c r="A292" s="1" t="s">
        <v>72</v>
      </c>
      <c r="B292" s="1" t="s">
        <v>3099</v>
      </c>
      <c r="C292" s="1" t="s">
        <v>74</v>
      </c>
      <c r="D292" s="1" t="s">
        <v>74</v>
      </c>
      <c r="E292" s="1" t="s">
        <v>74</v>
      </c>
      <c r="F292" s="1" t="s">
        <v>3100</v>
      </c>
      <c r="G292" s="1" t="s">
        <v>74</v>
      </c>
      <c r="H292" s="1" t="s">
        <v>74</v>
      </c>
      <c r="I292" s="1" t="s">
        <v>3101</v>
      </c>
      <c r="J292" s="1" t="s">
        <v>3102</v>
      </c>
      <c r="K292" s="1" t="s">
        <v>74</v>
      </c>
      <c r="L292" s="1" t="s">
        <v>74</v>
      </c>
      <c r="M292" s="1" t="s">
        <v>74</v>
      </c>
      <c r="N292" s="1" t="s">
        <v>74</v>
      </c>
      <c r="O292" s="1" t="s">
        <v>74</v>
      </c>
      <c r="P292" s="1" t="s">
        <v>74</v>
      </c>
      <c r="Q292" s="1" t="s">
        <v>74</v>
      </c>
      <c r="R292" s="1" t="s">
        <v>74</v>
      </c>
      <c r="S292" s="1" t="s">
        <v>74</v>
      </c>
      <c r="T292" s="1" t="s">
        <v>74</v>
      </c>
      <c r="U292" s="1" t="s">
        <v>74</v>
      </c>
      <c r="V292" s="1" t="s">
        <v>3103</v>
      </c>
      <c r="W292" s="1" t="s">
        <v>74</v>
      </c>
      <c r="X292" s="1" t="s">
        <v>74</v>
      </c>
      <c r="Y292" s="1" t="s">
        <v>74</v>
      </c>
      <c r="Z292" s="1" t="s">
        <v>74</v>
      </c>
      <c r="AA292" s="1" t="s">
        <v>3104</v>
      </c>
      <c r="AB292" s="1" t="s">
        <v>3105</v>
      </c>
      <c r="AC292" s="1" t="s">
        <v>74</v>
      </c>
      <c r="AD292" s="1" t="s">
        <v>74</v>
      </c>
      <c r="AE292" s="1" t="s">
        <v>74</v>
      </c>
      <c r="AF292" s="1" t="s">
        <v>74</v>
      </c>
      <c r="AG292" s="1" t="s">
        <v>74</v>
      </c>
      <c r="AH292" s="1" t="s">
        <v>74</v>
      </c>
      <c r="AI292" s="1" t="s">
        <v>74</v>
      </c>
      <c r="AJ292" s="1" t="s">
        <v>74</v>
      </c>
      <c r="AK292" s="1" t="s">
        <v>74</v>
      </c>
      <c r="AL292" s="1" t="s">
        <v>74</v>
      </c>
      <c r="AM292" s="1" t="s">
        <v>74</v>
      </c>
      <c r="AN292" s="1" t="s">
        <v>74</v>
      </c>
      <c r="AO292" s="1" t="s">
        <v>3106</v>
      </c>
      <c r="AP292" s="1" t="s">
        <v>3107</v>
      </c>
      <c r="AQ292" s="1" t="s">
        <v>74</v>
      </c>
      <c r="AR292" s="1" t="s">
        <v>74</v>
      </c>
      <c r="AS292" s="1" t="s">
        <v>74</v>
      </c>
      <c r="AT292" s="1" t="s">
        <v>74</v>
      </c>
      <c r="AU292" s="1">
        <v>2014.0</v>
      </c>
      <c r="AV292" s="1">
        <v>5.0</v>
      </c>
      <c r="AW292" s="1">
        <v>1.0</v>
      </c>
      <c r="AX292" s="1" t="s">
        <v>74</v>
      </c>
      <c r="AY292" s="1" t="s">
        <v>74</v>
      </c>
      <c r="AZ292" s="1" t="s">
        <v>74</v>
      </c>
      <c r="BA292" s="1" t="s">
        <v>74</v>
      </c>
      <c r="BB292" s="1">
        <v>324.0</v>
      </c>
      <c r="BC292" s="1">
        <v>332.0</v>
      </c>
      <c r="BD292" s="1" t="s">
        <v>74</v>
      </c>
      <c r="BE292" s="1" t="s">
        <v>3108</v>
      </c>
      <c r="BF292" s="2" t="str">
        <f>HYPERLINK("http://dx.doi.org/10.1039/c3sc52628c","http://dx.doi.org/10.1039/c3sc52628c")</f>
        <v>http://dx.doi.org/10.1039/c3sc52628c</v>
      </c>
      <c r="BG292" s="1" t="s">
        <v>74</v>
      </c>
      <c r="BH292" s="1" t="s">
        <v>74</v>
      </c>
      <c r="BI292" s="1" t="s">
        <v>74</v>
      </c>
      <c r="BJ292" s="1" t="s">
        <v>74</v>
      </c>
      <c r="BK292" s="1" t="s">
        <v>74</v>
      </c>
      <c r="BL292" s="1" t="s">
        <v>74</v>
      </c>
      <c r="BM292" s="1" t="s">
        <v>74</v>
      </c>
      <c r="BN292" s="1" t="s">
        <v>74</v>
      </c>
      <c r="BO292" s="1" t="s">
        <v>74</v>
      </c>
      <c r="BP292" s="1" t="s">
        <v>74</v>
      </c>
      <c r="BQ292" s="1" t="s">
        <v>74</v>
      </c>
      <c r="BR292" s="1" t="s">
        <v>74</v>
      </c>
      <c r="BS292" s="1" t="s">
        <v>3109</v>
      </c>
      <c r="BT292" s="1" t="str">
        <f>HYPERLINK("https%3A%2F%2Fwww.webofscience.com%2Fwos%2Fwoscc%2Ffull-record%2FWOS:000327601600041","View Full Record in Web of Science")</f>
        <v>View Full Record in Web of Science</v>
      </c>
    </row>
    <row r="293" ht="12.75" customHeight="1">
      <c r="A293" s="1" t="s">
        <v>72</v>
      </c>
      <c r="B293" s="1" t="s">
        <v>3110</v>
      </c>
      <c r="C293" s="1" t="s">
        <v>74</v>
      </c>
      <c r="D293" s="1" t="s">
        <v>74</v>
      </c>
      <c r="E293" s="1" t="s">
        <v>74</v>
      </c>
      <c r="F293" s="1" t="s">
        <v>3111</v>
      </c>
      <c r="G293" s="1" t="s">
        <v>74</v>
      </c>
      <c r="H293" s="1" t="s">
        <v>74</v>
      </c>
      <c r="I293" s="1" t="s">
        <v>3112</v>
      </c>
      <c r="J293" s="1" t="s">
        <v>3113</v>
      </c>
      <c r="K293" s="1" t="s">
        <v>74</v>
      </c>
      <c r="L293" s="1" t="s">
        <v>74</v>
      </c>
      <c r="M293" s="1" t="s">
        <v>74</v>
      </c>
      <c r="N293" s="1" t="s">
        <v>74</v>
      </c>
      <c r="O293" s="1" t="s">
        <v>74</v>
      </c>
      <c r="P293" s="1" t="s">
        <v>74</v>
      </c>
      <c r="Q293" s="1" t="s">
        <v>74</v>
      </c>
      <c r="R293" s="1" t="s">
        <v>74</v>
      </c>
      <c r="S293" s="1" t="s">
        <v>74</v>
      </c>
      <c r="T293" s="1" t="s">
        <v>74</v>
      </c>
      <c r="U293" s="1" t="s">
        <v>74</v>
      </c>
      <c r="V293" s="1" t="s">
        <v>3114</v>
      </c>
      <c r="W293" s="1" t="s">
        <v>74</v>
      </c>
      <c r="X293" s="1" t="s">
        <v>74</v>
      </c>
      <c r="Y293" s="1" t="s">
        <v>74</v>
      </c>
      <c r="Z293" s="1" t="s">
        <v>74</v>
      </c>
      <c r="AA293" s="1" t="s">
        <v>3115</v>
      </c>
      <c r="AB293" s="1" t="s">
        <v>3116</v>
      </c>
      <c r="AC293" s="1" t="s">
        <v>74</v>
      </c>
      <c r="AD293" s="1" t="s">
        <v>74</v>
      </c>
      <c r="AE293" s="1" t="s">
        <v>74</v>
      </c>
      <c r="AF293" s="1" t="s">
        <v>74</v>
      </c>
      <c r="AG293" s="1" t="s">
        <v>74</v>
      </c>
      <c r="AH293" s="1" t="s">
        <v>74</v>
      </c>
      <c r="AI293" s="1" t="s">
        <v>74</v>
      </c>
      <c r="AJ293" s="1" t="s">
        <v>74</v>
      </c>
      <c r="AK293" s="1" t="s">
        <v>74</v>
      </c>
      <c r="AL293" s="1" t="s">
        <v>74</v>
      </c>
      <c r="AM293" s="1" t="s">
        <v>74</v>
      </c>
      <c r="AN293" s="1" t="s">
        <v>74</v>
      </c>
      <c r="AO293" s="1" t="s">
        <v>3117</v>
      </c>
      <c r="AP293" s="1" t="s">
        <v>3118</v>
      </c>
      <c r="AQ293" s="1" t="s">
        <v>74</v>
      </c>
      <c r="AR293" s="1" t="s">
        <v>74</v>
      </c>
      <c r="AS293" s="1" t="s">
        <v>74</v>
      </c>
      <c r="AT293" s="1" t="s">
        <v>3119</v>
      </c>
      <c r="AU293" s="1">
        <v>2013.0</v>
      </c>
      <c r="AV293" s="1">
        <v>21.0</v>
      </c>
      <c r="AW293" s="1">
        <v>24.0</v>
      </c>
      <c r="AX293" s="1" t="s">
        <v>74</v>
      </c>
      <c r="AY293" s="1" t="s">
        <v>74</v>
      </c>
      <c r="AZ293" s="1" t="s">
        <v>74</v>
      </c>
      <c r="BA293" s="1" t="s">
        <v>74</v>
      </c>
      <c r="BB293" s="1">
        <v>7604.0</v>
      </c>
      <c r="BC293" s="1">
        <v>7611.0</v>
      </c>
      <c r="BD293" s="1" t="s">
        <v>74</v>
      </c>
      <c r="BE293" s="1" t="s">
        <v>3120</v>
      </c>
      <c r="BF293" s="2" t="str">
        <f>HYPERLINK("http://dx.doi.org/10.1016/j.bmc.2013.10.036","http://dx.doi.org/10.1016/j.bmc.2013.10.036")</f>
        <v>http://dx.doi.org/10.1016/j.bmc.2013.10.036</v>
      </c>
      <c r="BG293" s="1" t="s">
        <v>74</v>
      </c>
      <c r="BH293" s="1" t="s">
        <v>74</v>
      </c>
      <c r="BI293" s="1" t="s">
        <v>74</v>
      </c>
      <c r="BJ293" s="1" t="s">
        <v>74</v>
      </c>
      <c r="BK293" s="1" t="s">
        <v>74</v>
      </c>
      <c r="BL293" s="1" t="s">
        <v>74</v>
      </c>
      <c r="BM293" s="1" t="s">
        <v>74</v>
      </c>
      <c r="BN293" s="1">
        <v>2.4262884E7</v>
      </c>
      <c r="BO293" s="1" t="s">
        <v>74</v>
      </c>
      <c r="BP293" s="1" t="s">
        <v>74</v>
      </c>
      <c r="BQ293" s="1" t="s">
        <v>74</v>
      </c>
      <c r="BR293" s="1" t="s">
        <v>74</v>
      </c>
      <c r="BS293" s="1" t="s">
        <v>3121</v>
      </c>
      <c r="BT293" s="1" t="str">
        <f>HYPERLINK("https%3A%2F%2Fwww.webofscience.com%2Fwos%2Fwoscc%2Ffull-record%2FWOS:000327766200007","View Full Record in Web of Science")</f>
        <v>View Full Record in Web of Science</v>
      </c>
    </row>
    <row r="294" ht="12.75" customHeight="1">
      <c r="A294" s="1" t="s">
        <v>72</v>
      </c>
      <c r="B294" s="1" t="s">
        <v>3122</v>
      </c>
      <c r="C294" s="1" t="s">
        <v>74</v>
      </c>
      <c r="D294" s="1" t="s">
        <v>74</v>
      </c>
      <c r="E294" s="1" t="s">
        <v>74</v>
      </c>
      <c r="F294" s="1" t="s">
        <v>3123</v>
      </c>
      <c r="G294" s="1" t="s">
        <v>74</v>
      </c>
      <c r="H294" s="1" t="s">
        <v>74</v>
      </c>
      <c r="I294" s="1" t="s">
        <v>3124</v>
      </c>
      <c r="J294" s="1" t="s">
        <v>3125</v>
      </c>
      <c r="K294" s="1" t="s">
        <v>74</v>
      </c>
      <c r="L294" s="1" t="s">
        <v>74</v>
      </c>
      <c r="M294" s="1" t="s">
        <v>74</v>
      </c>
      <c r="N294" s="1" t="s">
        <v>74</v>
      </c>
      <c r="O294" s="1" t="s">
        <v>74</v>
      </c>
      <c r="P294" s="1" t="s">
        <v>74</v>
      </c>
      <c r="Q294" s="1" t="s">
        <v>74</v>
      </c>
      <c r="R294" s="1" t="s">
        <v>74</v>
      </c>
      <c r="S294" s="1" t="s">
        <v>74</v>
      </c>
      <c r="T294" s="1" t="s">
        <v>74</v>
      </c>
      <c r="U294" s="1" t="s">
        <v>74</v>
      </c>
      <c r="V294" s="1" t="s">
        <v>3126</v>
      </c>
      <c r="W294" s="1" t="s">
        <v>74</v>
      </c>
      <c r="X294" s="1" t="s">
        <v>74</v>
      </c>
      <c r="Y294" s="1" t="s">
        <v>74</v>
      </c>
      <c r="Z294" s="1" t="s">
        <v>74</v>
      </c>
      <c r="AA294" s="1" t="s">
        <v>3127</v>
      </c>
      <c r="AB294" s="1" t="s">
        <v>3128</v>
      </c>
      <c r="AC294" s="1" t="s">
        <v>74</v>
      </c>
      <c r="AD294" s="1" t="s">
        <v>74</v>
      </c>
      <c r="AE294" s="1" t="s">
        <v>74</v>
      </c>
      <c r="AF294" s="1" t="s">
        <v>74</v>
      </c>
      <c r="AG294" s="1" t="s">
        <v>74</v>
      </c>
      <c r="AH294" s="1" t="s">
        <v>74</v>
      </c>
      <c r="AI294" s="1" t="s">
        <v>74</v>
      </c>
      <c r="AJ294" s="1" t="s">
        <v>74</v>
      </c>
      <c r="AK294" s="1" t="s">
        <v>74</v>
      </c>
      <c r="AL294" s="1" t="s">
        <v>74</v>
      </c>
      <c r="AM294" s="1" t="s">
        <v>74</v>
      </c>
      <c r="AN294" s="1" t="s">
        <v>74</v>
      </c>
      <c r="AO294" s="1" t="s">
        <v>3129</v>
      </c>
      <c r="AP294" s="1" t="s">
        <v>3130</v>
      </c>
      <c r="AQ294" s="1" t="s">
        <v>74</v>
      </c>
      <c r="AR294" s="1" t="s">
        <v>74</v>
      </c>
      <c r="AS294" s="1" t="s">
        <v>74</v>
      </c>
      <c r="AT294" s="1" t="s">
        <v>411</v>
      </c>
      <c r="AU294" s="1">
        <v>2008.0</v>
      </c>
      <c r="AV294" s="1">
        <v>323.0</v>
      </c>
      <c r="AW294" s="1">
        <v>11.0</v>
      </c>
      <c r="AX294" s="1" t="s">
        <v>74</v>
      </c>
      <c r="AY294" s="1" t="s">
        <v>74</v>
      </c>
      <c r="AZ294" s="1" t="s">
        <v>74</v>
      </c>
      <c r="BA294" s="1" t="s">
        <v>74</v>
      </c>
      <c r="BB294" s="1">
        <v>2851.0</v>
      </c>
      <c r="BC294" s="1">
        <v>2872.0</v>
      </c>
      <c r="BD294" s="1" t="s">
        <v>74</v>
      </c>
      <c r="BE294" s="1" t="s">
        <v>3131</v>
      </c>
      <c r="BF294" s="2" t="str">
        <f>HYPERLINK("http://dx.doi.org/10.1016/j.aop.2008.02.001","http://dx.doi.org/10.1016/j.aop.2008.02.001")</f>
        <v>http://dx.doi.org/10.1016/j.aop.2008.02.001</v>
      </c>
      <c r="BG294" s="1" t="s">
        <v>74</v>
      </c>
      <c r="BH294" s="1" t="s">
        <v>74</v>
      </c>
      <c r="BI294" s="1" t="s">
        <v>74</v>
      </c>
      <c r="BJ294" s="1" t="s">
        <v>74</v>
      </c>
      <c r="BK294" s="1" t="s">
        <v>74</v>
      </c>
      <c r="BL294" s="1" t="s">
        <v>74</v>
      </c>
      <c r="BM294" s="1" t="s">
        <v>74</v>
      </c>
      <c r="BN294" s="1" t="s">
        <v>74</v>
      </c>
      <c r="BO294" s="1" t="s">
        <v>74</v>
      </c>
      <c r="BP294" s="1" t="s">
        <v>74</v>
      </c>
      <c r="BQ294" s="1" t="s">
        <v>74</v>
      </c>
      <c r="BR294" s="1" t="s">
        <v>74</v>
      </c>
      <c r="BS294" s="1" t="s">
        <v>3132</v>
      </c>
      <c r="BT294" s="1" t="str">
        <f>HYPERLINK("https%3A%2F%2Fwww.webofscience.com%2Fwos%2Fwoscc%2Ffull-record%2FWOS:000260441600011","View Full Record in Web of Science")</f>
        <v>View Full Record in Web of Science</v>
      </c>
    </row>
    <row r="295" ht="12.75" customHeight="1">
      <c r="A295" s="1" t="s">
        <v>72</v>
      </c>
      <c r="B295" s="1" t="s">
        <v>3133</v>
      </c>
      <c r="C295" s="1" t="s">
        <v>74</v>
      </c>
      <c r="D295" s="1" t="s">
        <v>74</v>
      </c>
      <c r="E295" s="1" t="s">
        <v>74</v>
      </c>
      <c r="F295" s="1" t="s">
        <v>3134</v>
      </c>
      <c r="G295" s="1" t="s">
        <v>74</v>
      </c>
      <c r="H295" s="1" t="s">
        <v>74</v>
      </c>
      <c r="I295" s="1" t="s">
        <v>3135</v>
      </c>
      <c r="J295" s="1" t="s">
        <v>3136</v>
      </c>
      <c r="K295" s="1" t="s">
        <v>74</v>
      </c>
      <c r="L295" s="1" t="s">
        <v>74</v>
      </c>
      <c r="M295" s="1" t="s">
        <v>74</v>
      </c>
      <c r="N295" s="1" t="s">
        <v>74</v>
      </c>
      <c r="O295" s="1" t="s">
        <v>74</v>
      </c>
      <c r="P295" s="1" t="s">
        <v>74</v>
      </c>
      <c r="Q295" s="1" t="s">
        <v>74</v>
      </c>
      <c r="R295" s="1" t="s">
        <v>74</v>
      </c>
      <c r="S295" s="1" t="s">
        <v>74</v>
      </c>
      <c r="T295" s="1" t="s">
        <v>74</v>
      </c>
      <c r="U295" s="1" t="s">
        <v>74</v>
      </c>
      <c r="V295" s="1" t="s">
        <v>3137</v>
      </c>
      <c r="W295" s="1" t="s">
        <v>74</v>
      </c>
      <c r="X295" s="1" t="s">
        <v>74</v>
      </c>
      <c r="Y295" s="1" t="s">
        <v>74</v>
      </c>
      <c r="Z295" s="1" t="s">
        <v>74</v>
      </c>
      <c r="AA295" s="1" t="s">
        <v>3138</v>
      </c>
      <c r="AB295" s="1" t="s">
        <v>3139</v>
      </c>
      <c r="AC295" s="1" t="s">
        <v>74</v>
      </c>
      <c r="AD295" s="1" t="s">
        <v>74</v>
      </c>
      <c r="AE295" s="1" t="s">
        <v>74</v>
      </c>
      <c r="AF295" s="1" t="s">
        <v>74</v>
      </c>
      <c r="AG295" s="1" t="s">
        <v>74</v>
      </c>
      <c r="AH295" s="1" t="s">
        <v>74</v>
      </c>
      <c r="AI295" s="1" t="s">
        <v>74</v>
      </c>
      <c r="AJ295" s="1" t="s">
        <v>74</v>
      </c>
      <c r="AK295" s="1" t="s">
        <v>74</v>
      </c>
      <c r="AL295" s="1" t="s">
        <v>74</v>
      </c>
      <c r="AM295" s="1" t="s">
        <v>74</v>
      </c>
      <c r="AN295" s="1" t="s">
        <v>74</v>
      </c>
      <c r="AO295" s="1" t="s">
        <v>3140</v>
      </c>
      <c r="AP295" s="1" t="s">
        <v>74</v>
      </c>
      <c r="AQ295" s="1" t="s">
        <v>74</v>
      </c>
      <c r="AR295" s="1" t="s">
        <v>74</v>
      </c>
      <c r="AS295" s="1" t="s">
        <v>74</v>
      </c>
      <c r="AT295" s="1" t="s">
        <v>2711</v>
      </c>
      <c r="AU295" s="1">
        <v>2008.0</v>
      </c>
      <c r="AV295" s="1">
        <v>18.0</v>
      </c>
      <c r="AW295" s="1">
        <v>19.0</v>
      </c>
      <c r="AX295" s="1" t="s">
        <v>74</v>
      </c>
      <c r="AY295" s="1" t="s">
        <v>74</v>
      </c>
      <c r="AZ295" s="1" t="s">
        <v>74</v>
      </c>
      <c r="BA295" s="1" t="s">
        <v>74</v>
      </c>
      <c r="BB295" s="1">
        <v>2963.0</v>
      </c>
      <c r="BC295" s="1">
        <v>2971.0</v>
      </c>
      <c r="BD295" s="1" t="s">
        <v>74</v>
      </c>
      <c r="BE295" s="1" t="s">
        <v>3141</v>
      </c>
      <c r="BF295" s="2" t="str">
        <f>HYPERLINK("http://dx.doi.org/10.1002/adfm.200800454","http://dx.doi.org/10.1002/adfm.200800454")</f>
        <v>http://dx.doi.org/10.1002/adfm.200800454</v>
      </c>
      <c r="BG295" s="1" t="s">
        <v>74</v>
      </c>
      <c r="BH295" s="1" t="s">
        <v>74</v>
      </c>
      <c r="BI295" s="1" t="s">
        <v>74</v>
      </c>
      <c r="BJ295" s="1" t="s">
        <v>74</v>
      </c>
      <c r="BK295" s="1" t="s">
        <v>74</v>
      </c>
      <c r="BL295" s="1" t="s">
        <v>74</v>
      </c>
      <c r="BM295" s="1" t="s">
        <v>74</v>
      </c>
      <c r="BN295" s="1" t="s">
        <v>74</v>
      </c>
      <c r="BO295" s="1" t="s">
        <v>74</v>
      </c>
      <c r="BP295" s="1" t="s">
        <v>74</v>
      </c>
      <c r="BQ295" s="1" t="s">
        <v>74</v>
      </c>
      <c r="BR295" s="1" t="s">
        <v>74</v>
      </c>
      <c r="BS295" s="1" t="s">
        <v>3142</v>
      </c>
      <c r="BT295" s="1" t="str">
        <f>HYPERLINK("https%3A%2F%2Fwww.webofscience.com%2Fwos%2Fwoscc%2Ffull-record%2FWOS:000260398300014","View Full Record in Web of Science")</f>
        <v>View Full Record in Web of Science</v>
      </c>
    </row>
    <row r="296" ht="12.75" customHeight="1">
      <c r="A296" s="1" t="s">
        <v>72</v>
      </c>
      <c r="B296" s="1" t="s">
        <v>3143</v>
      </c>
      <c r="C296" s="1" t="s">
        <v>74</v>
      </c>
      <c r="D296" s="1" t="s">
        <v>74</v>
      </c>
      <c r="E296" s="1" t="s">
        <v>74</v>
      </c>
      <c r="F296" s="1" t="s">
        <v>3144</v>
      </c>
      <c r="G296" s="1" t="s">
        <v>74</v>
      </c>
      <c r="H296" s="1" t="s">
        <v>74</v>
      </c>
      <c r="I296" s="1" t="s">
        <v>3145</v>
      </c>
      <c r="J296" s="1" t="s">
        <v>3146</v>
      </c>
      <c r="K296" s="1" t="s">
        <v>74</v>
      </c>
      <c r="L296" s="1" t="s">
        <v>74</v>
      </c>
      <c r="M296" s="1" t="s">
        <v>74</v>
      </c>
      <c r="N296" s="1" t="s">
        <v>74</v>
      </c>
      <c r="O296" s="1" t="s">
        <v>74</v>
      </c>
      <c r="P296" s="1" t="s">
        <v>74</v>
      </c>
      <c r="Q296" s="1" t="s">
        <v>74</v>
      </c>
      <c r="R296" s="1" t="s">
        <v>74</v>
      </c>
      <c r="S296" s="1" t="s">
        <v>74</v>
      </c>
      <c r="T296" s="1" t="s">
        <v>74</v>
      </c>
      <c r="U296" s="1" t="s">
        <v>74</v>
      </c>
      <c r="V296" s="1" t="s">
        <v>3147</v>
      </c>
      <c r="W296" s="1" t="s">
        <v>74</v>
      </c>
      <c r="X296" s="1" t="s">
        <v>74</v>
      </c>
      <c r="Y296" s="1" t="s">
        <v>74</v>
      </c>
      <c r="Z296" s="1" t="s">
        <v>74</v>
      </c>
      <c r="AA296" s="1" t="s">
        <v>3148</v>
      </c>
      <c r="AB296" s="1" t="s">
        <v>3149</v>
      </c>
      <c r="AC296" s="1" t="s">
        <v>74</v>
      </c>
      <c r="AD296" s="1" t="s">
        <v>74</v>
      </c>
      <c r="AE296" s="1" t="s">
        <v>74</v>
      </c>
      <c r="AF296" s="1" t="s">
        <v>74</v>
      </c>
      <c r="AG296" s="1" t="s">
        <v>74</v>
      </c>
      <c r="AH296" s="1" t="s">
        <v>74</v>
      </c>
      <c r="AI296" s="1" t="s">
        <v>74</v>
      </c>
      <c r="AJ296" s="1" t="s">
        <v>74</v>
      </c>
      <c r="AK296" s="1" t="s">
        <v>74</v>
      </c>
      <c r="AL296" s="1" t="s">
        <v>74</v>
      </c>
      <c r="AM296" s="1" t="s">
        <v>74</v>
      </c>
      <c r="AN296" s="1" t="s">
        <v>74</v>
      </c>
      <c r="AO296" s="1" t="s">
        <v>3150</v>
      </c>
      <c r="AP296" s="1" t="s">
        <v>3151</v>
      </c>
      <c r="AQ296" s="1" t="s">
        <v>74</v>
      </c>
      <c r="AR296" s="1" t="s">
        <v>74</v>
      </c>
      <c r="AS296" s="1" t="s">
        <v>74</v>
      </c>
      <c r="AT296" s="1" t="s">
        <v>438</v>
      </c>
      <c r="AU296" s="1">
        <v>2007.0</v>
      </c>
      <c r="AV296" s="1">
        <v>1.0</v>
      </c>
      <c r="AW296" s="1">
        <v>2.0</v>
      </c>
      <c r="AX296" s="1" t="s">
        <v>74</v>
      </c>
      <c r="AY296" s="1" t="s">
        <v>74</v>
      </c>
      <c r="AZ296" s="1" t="s">
        <v>74</v>
      </c>
      <c r="BA296" s="1" t="s">
        <v>74</v>
      </c>
      <c r="BB296" s="1">
        <v>55.0</v>
      </c>
      <c r="BC296" s="1">
        <v>60.0</v>
      </c>
      <c r="BD296" s="1" t="s">
        <v>74</v>
      </c>
      <c r="BE296" s="1" t="s">
        <v>3152</v>
      </c>
      <c r="BF296" s="2" t="str">
        <f>HYPERLINK("http://dx.doi.org/10.1049/iet-opt:20060047","http://dx.doi.org/10.1049/iet-opt:20060047")</f>
        <v>http://dx.doi.org/10.1049/iet-opt:20060047</v>
      </c>
      <c r="BG296" s="1" t="s">
        <v>74</v>
      </c>
      <c r="BH296" s="1" t="s">
        <v>74</v>
      </c>
      <c r="BI296" s="1" t="s">
        <v>74</v>
      </c>
      <c r="BJ296" s="1" t="s">
        <v>74</v>
      </c>
      <c r="BK296" s="1" t="s">
        <v>74</v>
      </c>
      <c r="BL296" s="1" t="s">
        <v>74</v>
      </c>
      <c r="BM296" s="1" t="s">
        <v>74</v>
      </c>
      <c r="BN296" s="1" t="s">
        <v>74</v>
      </c>
      <c r="BO296" s="1" t="s">
        <v>74</v>
      </c>
      <c r="BP296" s="1" t="s">
        <v>74</v>
      </c>
      <c r="BQ296" s="1" t="s">
        <v>74</v>
      </c>
      <c r="BR296" s="1" t="s">
        <v>74</v>
      </c>
      <c r="BS296" s="1" t="s">
        <v>3153</v>
      </c>
      <c r="BT296" s="1" t="str">
        <f>HYPERLINK("https%3A%2F%2Fwww.webofscience.com%2Fwos%2Fwoscc%2Ffull-record%2FWOS:000247445400001","View Full Record in Web of Science")</f>
        <v>View Full Record in Web of Science</v>
      </c>
    </row>
    <row r="297" ht="12.75" customHeight="1">
      <c r="A297" s="1" t="s">
        <v>72</v>
      </c>
      <c r="B297" s="1" t="s">
        <v>3154</v>
      </c>
      <c r="C297" s="1" t="s">
        <v>74</v>
      </c>
      <c r="D297" s="1" t="s">
        <v>74</v>
      </c>
      <c r="E297" s="1" t="s">
        <v>74</v>
      </c>
      <c r="F297" s="1" t="s">
        <v>3154</v>
      </c>
      <c r="G297" s="1" t="s">
        <v>74</v>
      </c>
      <c r="H297" s="1" t="s">
        <v>74</v>
      </c>
      <c r="I297" s="1" t="s">
        <v>3155</v>
      </c>
      <c r="J297" s="1" t="s">
        <v>3156</v>
      </c>
      <c r="K297" s="1" t="s">
        <v>74</v>
      </c>
      <c r="L297" s="1" t="s">
        <v>74</v>
      </c>
      <c r="M297" s="1" t="s">
        <v>74</v>
      </c>
      <c r="N297" s="1" t="s">
        <v>74</v>
      </c>
      <c r="O297" s="1" t="s">
        <v>3157</v>
      </c>
      <c r="P297" s="1" t="s">
        <v>3158</v>
      </c>
      <c r="Q297" s="1" t="s">
        <v>3159</v>
      </c>
      <c r="R297" s="1" t="s">
        <v>74</v>
      </c>
      <c r="S297" s="1" t="s">
        <v>74</v>
      </c>
      <c r="T297" s="1" t="s">
        <v>74</v>
      </c>
      <c r="U297" s="1" t="s">
        <v>74</v>
      </c>
      <c r="V297" s="1" t="s">
        <v>74</v>
      </c>
      <c r="W297" s="1" t="s">
        <v>74</v>
      </c>
      <c r="X297" s="1" t="s">
        <v>74</v>
      </c>
      <c r="Y297" s="1" t="s">
        <v>74</v>
      </c>
      <c r="Z297" s="1" t="s">
        <v>74</v>
      </c>
      <c r="AA297" s="1" t="s">
        <v>3160</v>
      </c>
      <c r="AB297" s="1" t="s">
        <v>74</v>
      </c>
      <c r="AC297" s="1" t="s">
        <v>74</v>
      </c>
      <c r="AD297" s="1" t="s">
        <v>74</v>
      </c>
      <c r="AE297" s="1" t="s">
        <v>74</v>
      </c>
      <c r="AF297" s="1" t="s">
        <v>74</v>
      </c>
      <c r="AG297" s="1" t="s">
        <v>74</v>
      </c>
      <c r="AH297" s="1" t="s">
        <v>74</v>
      </c>
      <c r="AI297" s="1" t="s">
        <v>74</v>
      </c>
      <c r="AJ297" s="1" t="s">
        <v>74</v>
      </c>
      <c r="AK297" s="1" t="s">
        <v>74</v>
      </c>
      <c r="AL297" s="1" t="s">
        <v>74</v>
      </c>
      <c r="AM297" s="1" t="s">
        <v>74</v>
      </c>
      <c r="AN297" s="1" t="s">
        <v>74</v>
      </c>
      <c r="AO297" s="1" t="s">
        <v>3161</v>
      </c>
      <c r="AP297" s="1" t="s">
        <v>74</v>
      </c>
      <c r="AQ297" s="1" t="s">
        <v>74</v>
      </c>
      <c r="AR297" s="1" t="s">
        <v>74</v>
      </c>
      <c r="AS297" s="1" t="s">
        <v>74</v>
      </c>
      <c r="AT297" s="1" t="s">
        <v>74</v>
      </c>
      <c r="AU297" s="1">
        <v>2004.0</v>
      </c>
      <c r="AV297" s="1">
        <v>1658.0</v>
      </c>
      <c r="AW297" s="1" t="s">
        <v>74</v>
      </c>
      <c r="AX297" s="1" t="s">
        <v>74</v>
      </c>
      <c r="AY297" s="1" t="s">
        <v>260</v>
      </c>
      <c r="AZ297" s="1" t="s">
        <v>74</v>
      </c>
      <c r="BA297" s="1" t="s">
        <v>74</v>
      </c>
      <c r="BB297" s="1">
        <v>247.0</v>
      </c>
      <c r="BC297" s="1">
        <v>247.0</v>
      </c>
      <c r="BD297" s="1" t="s">
        <v>74</v>
      </c>
      <c r="BE297" s="1" t="s">
        <v>74</v>
      </c>
      <c r="BF297" s="1" t="s">
        <v>74</v>
      </c>
      <c r="BG297" s="1" t="s">
        <v>74</v>
      </c>
      <c r="BH297" s="1" t="s">
        <v>74</v>
      </c>
      <c r="BI297" s="1" t="s">
        <v>74</v>
      </c>
      <c r="BJ297" s="1" t="s">
        <v>74</v>
      </c>
      <c r="BK297" s="1" t="s">
        <v>74</v>
      </c>
      <c r="BL297" s="1" t="s">
        <v>74</v>
      </c>
      <c r="BM297" s="1" t="s">
        <v>74</v>
      </c>
      <c r="BN297" s="1" t="s">
        <v>74</v>
      </c>
      <c r="BO297" s="1" t="s">
        <v>74</v>
      </c>
      <c r="BP297" s="1" t="s">
        <v>74</v>
      </c>
      <c r="BQ297" s="1" t="s">
        <v>74</v>
      </c>
      <c r="BR297" s="1" t="s">
        <v>74</v>
      </c>
      <c r="BS297" s="1" t="s">
        <v>3162</v>
      </c>
      <c r="BT297" s="1" t="str">
        <f>HYPERLINK("https%3A%2F%2Fwww.webofscience.com%2Fwos%2Fwoscc%2Ffull-record%2FWOS:000223500600335","View Full Record in Web of Science")</f>
        <v>View Full Record in Web of Science</v>
      </c>
    </row>
    <row r="298" ht="12.75" customHeight="1">
      <c r="A298" s="1" t="s">
        <v>72</v>
      </c>
      <c r="B298" s="1" t="s">
        <v>3163</v>
      </c>
      <c r="C298" s="1" t="s">
        <v>74</v>
      </c>
      <c r="D298" s="1" t="s">
        <v>74</v>
      </c>
      <c r="E298" s="1" t="s">
        <v>74</v>
      </c>
      <c r="F298" s="1" t="s">
        <v>3163</v>
      </c>
      <c r="G298" s="1" t="s">
        <v>74</v>
      </c>
      <c r="H298" s="1" t="s">
        <v>74</v>
      </c>
      <c r="I298" s="1" t="s">
        <v>3164</v>
      </c>
      <c r="J298" s="1" t="s">
        <v>3165</v>
      </c>
      <c r="K298" s="1" t="s">
        <v>74</v>
      </c>
      <c r="L298" s="1" t="s">
        <v>74</v>
      </c>
      <c r="M298" s="1" t="s">
        <v>74</v>
      </c>
      <c r="N298" s="1" t="s">
        <v>74</v>
      </c>
      <c r="O298" s="1" t="s">
        <v>3166</v>
      </c>
      <c r="P298" s="1" t="s">
        <v>3167</v>
      </c>
      <c r="Q298" s="1" t="s">
        <v>3168</v>
      </c>
      <c r="R298" s="1" t="s">
        <v>74</v>
      </c>
      <c r="S298" s="1" t="s">
        <v>74</v>
      </c>
      <c r="T298" s="1" t="s">
        <v>74</v>
      </c>
      <c r="U298" s="1" t="s">
        <v>74</v>
      </c>
      <c r="V298" s="1" t="s">
        <v>3169</v>
      </c>
      <c r="W298" s="1" t="s">
        <v>74</v>
      </c>
      <c r="X298" s="1" t="s">
        <v>74</v>
      </c>
      <c r="Y298" s="1" t="s">
        <v>74</v>
      </c>
      <c r="Z298" s="1" t="s">
        <v>74</v>
      </c>
      <c r="AA298" s="1" t="s">
        <v>74</v>
      </c>
      <c r="AB298" s="1" t="s">
        <v>74</v>
      </c>
      <c r="AC298" s="1" t="s">
        <v>74</v>
      </c>
      <c r="AD298" s="1" t="s">
        <v>74</v>
      </c>
      <c r="AE298" s="1" t="s">
        <v>74</v>
      </c>
      <c r="AF298" s="1" t="s">
        <v>74</v>
      </c>
      <c r="AG298" s="1" t="s">
        <v>74</v>
      </c>
      <c r="AH298" s="1" t="s">
        <v>74</v>
      </c>
      <c r="AI298" s="1" t="s">
        <v>74</v>
      </c>
      <c r="AJ298" s="1" t="s">
        <v>74</v>
      </c>
      <c r="AK298" s="1" t="s">
        <v>74</v>
      </c>
      <c r="AL298" s="1" t="s">
        <v>74</v>
      </c>
      <c r="AM298" s="1" t="s">
        <v>74</v>
      </c>
      <c r="AN298" s="1" t="s">
        <v>74</v>
      </c>
      <c r="AO298" s="1" t="s">
        <v>3170</v>
      </c>
      <c r="AP298" s="1" t="s">
        <v>74</v>
      </c>
      <c r="AQ298" s="1" t="s">
        <v>74</v>
      </c>
      <c r="AR298" s="1" t="s">
        <v>74</v>
      </c>
      <c r="AS298" s="1" t="s">
        <v>74</v>
      </c>
      <c r="AT298" s="1" t="s">
        <v>559</v>
      </c>
      <c r="AU298" s="1">
        <v>2002.0</v>
      </c>
      <c r="AV298" s="1">
        <v>48.0</v>
      </c>
      <c r="AW298" s="1" t="s">
        <v>74</v>
      </c>
      <c r="AX298" s="1" t="s">
        <v>74</v>
      </c>
      <c r="AY298" s="1">
        <v>3.0</v>
      </c>
      <c r="AZ298" s="1" t="s">
        <v>74</v>
      </c>
      <c r="BA298" s="1" t="s">
        <v>74</v>
      </c>
      <c r="BB298" s="1">
        <v>97.0</v>
      </c>
      <c r="BC298" s="1">
        <v>99.0</v>
      </c>
      <c r="BD298" s="1" t="s">
        <v>74</v>
      </c>
      <c r="BE298" s="1" t="s">
        <v>74</v>
      </c>
      <c r="BF298" s="1" t="s">
        <v>74</v>
      </c>
      <c r="BG298" s="1" t="s">
        <v>74</v>
      </c>
      <c r="BH298" s="1" t="s">
        <v>74</v>
      </c>
      <c r="BI298" s="1" t="s">
        <v>74</v>
      </c>
      <c r="BJ298" s="1" t="s">
        <v>74</v>
      </c>
      <c r="BK298" s="1" t="s">
        <v>74</v>
      </c>
      <c r="BL298" s="1" t="s">
        <v>74</v>
      </c>
      <c r="BM298" s="1" t="s">
        <v>74</v>
      </c>
      <c r="BN298" s="1" t="s">
        <v>74</v>
      </c>
      <c r="BO298" s="1" t="s">
        <v>74</v>
      </c>
      <c r="BP298" s="1" t="s">
        <v>74</v>
      </c>
      <c r="BQ298" s="1" t="s">
        <v>74</v>
      </c>
      <c r="BR298" s="1" t="s">
        <v>74</v>
      </c>
      <c r="BS298" s="1" t="s">
        <v>3171</v>
      </c>
      <c r="BT298" s="1" t="str">
        <f>HYPERLINK("https%3A%2F%2Fwww.webofscience.com%2Fwos%2Fwoscc%2Ffull-record%2FWOS:000180065500035","View Full Record in Web of Science")</f>
        <v>View Full Record in Web of Science</v>
      </c>
    </row>
    <row r="299" ht="12.75" customHeight="1">
      <c r="A299" s="1" t="s">
        <v>72</v>
      </c>
      <c r="B299" s="1" t="s">
        <v>3172</v>
      </c>
      <c r="C299" s="1" t="s">
        <v>74</v>
      </c>
      <c r="D299" s="1" t="s">
        <v>74</v>
      </c>
      <c r="E299" s="1" t="s">
        <v>74</v>
      </c>
      <c r="F299" s="1" t="s">
        <v>3172</v>
      </c>
      <c r="G299" s="1" t="s">
        <v>74</v>
      </c>
      <c r="H299" s="1" t="s">
        <v>74</v>
      </c>
      <c r="I299" s="1" t="s">
        <v>3173</v>
      </c>
      <c r="J299" s="1" t="s">
        <v>2117</v>
      </c>
      <c r="K299" s="1" t="s">
        <v>74</v>
      </c>
      <c r="L299" s="1" t="s">
        <v>74</v>
      </c>
      <c r="M299" s="1" t="s">
        <v>74</v>
      </c>
      <c r="N299" s="1" t="s">
        <v>74</v>
      </c>
      <c r="O299" s="1" t="s">
        <v>74</v>
      </c>
      <c r="P299" s="1" t="s">
        <v>74</v>
      </c>
      <c r="Q299" s="1" t="s">
        <v>74</v>
      </c>
      <c r="R299" s="1" t="s">
        <v>74</v>
      </c>
      <c r="S299" s="1" t="s">
        <v>74</v>
      </c>
      <c r="T299" s="1" t="s">
        <v>74</v>
      </c>
      <c r="U299" s="1" t="s">
        <v>74</v>
      </c>
      <c r="V299" s="1" t="s">
        <v>3174</v>
      </c>
      <c r="W299" s="1" t="s">
        <v>74</v>
      </c>
      <c r="X299" s="1" t="s">
        <v>74</v>
      </c>
      <c r="Y299" s="1" t="s">
        <v>74</v>
      </c>
      <c r="Z299" s="1" t="s">
        <v>74</v>
      </c>
      <c r="AA299" s="1" t="s">
        <v>74</v>
      </c>
      <c r="AB299" s="1" t="s">
        <v>3175</v>
      </c>
      <c r="AC299" s="1" t="s">
        <v>74</v>
      </c>
      <c r="AD299" s="1" t="s">
        <v>74</v>
      </c>
      <c r="AE299" s="1" t="s">
        <v>74</v>
      </c>
      <c r="AF299" s="1" t="s">
        <v>74</v>
      </c>
      <c r="AG299" s="1" t="s">
        <v>74</v>
      </c>
      <c r="AH299" s="1" t="s">
        <v>74</v>
      </c>
      <c r="AI299" s="1" t="s">
        <v>74</v>
      </c>
      <c r="AJ299" s="1" t="s">
        <v>74</v>
      </c>
      <c r="AK299" s="1" t="s">
        <v>74</v>
      </c>
      <c r="AL299" s="1" t="s">
        <v>74</v>
      </c>
      <c r="AM299" s="1" t="s">
        <v>74</v>
      </c>
      <c r="AN299" s="1" t="s">
        <v>74</v>
      </c>
      <c r="AO299" s="1" t="s">
        <v>2121</v>
      </c>
      <c r="AP299" s="1" t="s">
        <v>2122</v>
      </c>
      <c r="AQ299" s="1" t="s">
        <v>74</v>
      </c>
      <c r="AR299" s="1" t="s">
        <v>74</v>
      </c>
      <c r="AS299" s="1" t="s">
        <v>74</v>
      </c>
      <c r="AT299" s="1" t="s">
        <v>559</v>
      </c>
      <c r="AU299" s="1">
        <v>2001.0</v>
      </c>
      <c r="AV299" s="1">
        <v>32.0</v>
      </c>
      <c r="AW299" s="1">
        <v>6.0</v>
      </c>
      <c r="AX299" s="1" t="s">
        <v>74</v>
      </c>
      <c r="AY299" s="1" t="s">
        <v>74</v>
      </c>
      <c r="AZ299" s="1" t="s">
        <v>74</v>
      </c>
      <c r="BA299" s="1" t="s">
        <v>74</v>
      </c>
      <c r="BB299" s="1">
        <v>447.0</v>
      </c>
      <c r="BC299" s="1">
        <v>452.0</v>
      </c>
      <c r="BD299" s="1" t="s">
        <v>74</v>
      </c>
      <c r="BE299" s="1" t="s">
        <v>3176</v>
      </c>
      <c r="BF299" s="2" t="str">
        <f>HYPERLINK("http://dx.doi.org/10.1002/ppul.1157","http://dx.doi.org/10.1002/ppul.1157")</f>
        <v>http://dx.doi.org/10.1002/ppul.1157</v>
      </c>
      <c r="BG299" s="1" t="s">
        <v>74</v>
      </c>
      <c r="BH299" s="1" t="s">
        <v>74</v>
      </c>
      <c r="BI299" s="1" t="s">
        <v>74</v>
      </c>
      <c r="BJ299" s="1" t="s">
        <v>74</v>
      </c>
      <c r="BK299" s="1" t="s">
        <v>74</v>
      </c>
      <c r="BL299" s="1" t="s">
        <v>74</v>
      </c>
      <c r="BM299" s="1" t="s">
        <v>74</v>
      </c>
      <c r="BN299" s="1">
        <v>1.1747248E7</v>
      </c>
      <c r="BO299" s="1" t="s">
        <v>74</v>
      </c>
      <c r="BP299" s="1" t="s">
        <v>74</v>
      </c>
      <c r="BQ299" s="1" t="s">
        <v>74</v>
      </c>
      <c r="BR299" s="1" t="s">
        <v>74</v>
      </c>
      <c r="BS299" s="1" t="s">
        <v>3177</v>
      </c>
      <c r="BT299" s="1" t="str">
        <f>HYPERLINK("https%3A%2F%2Fwww.webofscience.com%2Fwos%2Fwoscc%2Ffull-record%2FWOS:000172461800006","View Full Record in Web of Science")</f>
        <v>View Full Record in Web of Science</v>
      </c>
    </row>
    <row r="300" ht="12.75" customHeight="1">
      <c r="A300" s="1" t="s">
        <v>72</v>
      </c>
      <c r="B300" s="1" t="s">
        <v>3178</v>
      </c>
      <c r="C300" s="1" t="s">
        <v>74</v>
      </c>
      <c r="D300" s="1" t="s">
        <v>74</v>
      </c>
      <c r="E300" s="1" t="s">
        <v>74</v>
      </c>
      <c r="F300" s="1" t="s">
        <v>3178</v>
      </c>
      <c r="G300" s="1" t="s">
        <v>74</v>
      </c>
      <c r="H300" s="1" t="s">
        <v>74</v>
      </c>
      <c r="I300" s="1" t="s">
        <v>3179</v>
      </c>
      <c r="J300" s="1" t="s">
        <v>1734</v>
      </c>
      <c r="K300" s="1" t="s">
        <v>74</v>
      </c>
      <c r="L300" s="1" t="s">
        <v>74</v>
      </c>
      <c r="M300" s="1" t="s">
        <v>74</v>
      </c>
      <c r="N300" s="1" t="s">
        <v>74</v>
      </c>
      <c r="O300" s="1" t="s">
        <v>74</v>
      </c>
      <c r="P300" s="1" t="s">
        <v>74</v>
      </c>
      <c r="Q300" s="1" t="s">
        <v>74</v>
      </c>
      <c r="R300" s="1" t="s">
        <v>74</v>
      </c>
      <c r="S300" s="1" t="s">
        <v>74</v>
      </c>
      <c r="T300" s="1" t="s">
        <v>74</v>
      </c>
      <c r="U300" s="1" t="s">
        <v>74</v>
      </c>
      <c r="V300" s="1" t="s">
        <v>3180</v>
      </c>
      <c r="W300" s="1" t="s">
        <v>74</v>
      </c>
      <c r="X300" s="1" t="s">
        <v>74</v>
      </c>
      <c r="Y300" s="1" t="s">
        <v>74</v>
      </c>
      <c r="Z300" s="1" t="s">
        <v>74</v>
      </c>
      <c r="AA300" s="1" t="s">
        <v>74</v>
      </c>
      <c r="AB300" s="1" t="s">
        <v>3175</v>
      </c>
      <c r="AC300" s="1" t="s">
        <v>74</v>
      </c>
      <c r="AD300" s="1" t="s">
        <v>74</v>
      </c>
      <c r="AE300" s="1" t="s">
        <v>74</v>
      </c>
      <c r="AF300" s="1" t="s">
        <v>74</v>
      </c>
      <c r="AG300" s="1" t="s">
        <v>74</v>
      </c>
      <c r="AH300" s="1" t="s">
        <v>74</v>
      </c>
      <c r="AI300" s="1" t="s">
        <v>74</v>
      </c>
      <c r="AJ300" s="1" t="s">
        <v>74</v>
      </c>
      <c r="AK300" s="1" t="s">
        <v>74</v>
      </c>
      <c r="AL300" s="1" t="s">
        <v>74</v>
      </c>
      <c r="AM300" s="1" t="s">
        <v>74</v>
      </c>
      <c r="AN300" s="1" t="s">
        <v>74</v>
      </c>
      <c r="AO300" s="1" t="s">
        <v>1737</v>
      </c>
      <c r="AP300" s="1" t="s">
        <v>74</v>
      </c>
      <c r="AQ300" s="1" t="s">
        <v>74</v>
      </c>
      <c r="AR300" s="1" t="s">
        <v>74</v>
      </c>
      <c r="AS300" s="1" t="s">
        <v>74</v>
      </c>
      <c r="AT300" s="1" t="s">
        <v>96</v>
      </c>
      <c r="AU300" s="1">
        <v>2000.0</v>
      </c>
      <c r="AV300" s="1">
        <v>128.0</v>
      </c>
      <c r="AW300" s="1">
        <v>3.0</v>
      </c>
      <c r="AX300" s="1" t="s">
        <v>74</v>
      </c>
      <c r="AY300" s="1" t="s">
        <v>74</v>
      </c>
      <c r="AZ300" s="1" t="s">
        <v>74</v>
      </c>
      <c r="BA300" s="1" t="s">
        <v>74</v>
      </c>
      <c r="BB300" s="1">
        <v>279.0</v>
      </c>
      <c r="BC300" s="1">
        <v>285.0</v>
      </c>
      <c r="BD300" s="1" t="s">
        <v>74</v>
      </c>
      <c r="BE300" s="1" t="s">
        <v>74</v>
      </c>
      <c r="BF300" s="1" t="s">
        <v>74</v>
      </c>
      <c r="BG300" s="1" t="s">
        <v>74</v>
      </c>
      <c r="BH300" s="1" t="s">
        <v>74</v>
      </c>
      <c r="BI300" s="1" t="s">
        <v>74</v>
      </c>
      <c r="BJ300" s="1" t="s">
        <v>74</v>
      </c>
      <c r="BK300" s="1" t="s">
        <v>74</v>
      </c>
      <c r="BL300" s="1" t="s">
        <v>74</v>
      </c>
      <c r="BM300" s="1" t="s">
        <v>74</v>
      </c>
      <c r="BN300" s="1">
        <v>1.0962869E7</v>
      </c>
      <c r="BO300" s="1" t="s">
        <v>74</v>
      </c>
      <c r="BP300" s="1" t="s">
        <v>74</v>
      </c>
      <c r="BQ300" s="1" t="s">
        <v>74</v>
      </c>
      <c r="BR300" s="1" t="s">
        <v>74</v>
      </c>
      <c r="BS300" s="1" t="s">
        <v>3181</v>
      </c>
      <c r="BT300" s="1" t="str">
        <f>HYPERLINK("https%3A%2F%2Fwww.webofscience.com%2Fwos%2Fwoscc%2Ffull-record%2FWOS:000086834800005","View Full Record in Web of Science")</f>
        <v>View Full Record in Web of Science</v>
      </c>
    </row>
    <row r="301" ht="12.75" customHeight="1">
      <c r="A301" s="1" t="s">
        <v>72</v>
      </c>
      <c r="B301" s="1" t="s">
        <v>3182</v>
      </c>
      <c r="C301" s="1" t="s">
        <v>74</v>
      </c>
      <c r="D301" s="1" t="s">
        <v>74</v>
      </c>
      <c r="E301" s="1" t="s">
        <v>74</v>
      </c>
      <c r="F301" s="1" t="s">
        <v>3183</v>
      </c>
      <c r="G301" s="1" t="s">
        <v>74</v>
      </c>
      <c r="H301" s="1" t="s">
        <v>74</v>
      </c>
      <c r="I301" s="1" t="s">
        <v>3184</v>
      </c>
      <c r="J301" s="1" t="s">
        <v>3185</v>
      </c>
      <c r="K301" s="1" t="s">
        <v>74</v>
      </c>
      <c r="L301" s="1" t="s">
        <v>74</v>
      </c>
      <c r="M301" s="1" t="s">
        <v>74</v>
      </c>
      <c r="N301" s="1" t="s">
        <v>74</v>
      </c>
      <c r="O301" s="1" t="s">
        <v>74</v>
      </c>
      <c r="P301" s="1" t="s">
        <v>74</v>
      </c>
      <c r="Q301" s="1" t="s">
        <v>74</v>
      </c>
      <c r="R301" s="1" t="s">
        <v>74</v>
      </c>
      <c r="S301" s="1" t="s">
        <v>74</v>
      </c>
      <c r="T301" s="1" t="s">
        <v>74</v>
      </c>
      <c r="U301" s="1" t="s">
        <v>74</v>
      </c>
      <c r="V301" s="1" t="s">
        <v>3186</v>
      </c>
      <c r="W301" s="1" t="s">
        <v>74</v>
      </c>
      <c r="X301" s="1" t="s">
        <v>74</v>
      </c>
      <c r="Y301" s="1" t="s">
        <v>74</v>
      </c>
      <c r="Z301" s="1" t="s">
        <v>74</v>
      </c>
      <c r="AA301" s="1" t="s">
        <v>3187</v>
      </c>
      <c r="AB301" s="1" t="s">
        <v>3188</v>
      </c>
      <c r="AC301" s="1" t="s">
        <v>74</v>
      </c>
      <c r="AD301" s="1" t="s">
        <v>74</v>
      </c>
      <c r="AE301" s="1" t="s">
        <v>74</v>
      </c>
      <c r="AF301" s="1" t="s">
        <v>74</v>
      </c>
      <c r="AG301" s="1" t="s">
        <v>74</v>
      </c>
      <c r="AH301" s="1" t="s">
        <v>74</v>
      </c>
      <c r="AI301" s="1" t="s">
        <v>74</v>
      </c>
      <c r="AJ301" s="1" t="s">
        <v>74</v>
      </c>
      <c r="AK301" s="1" t="s">
        <v>74</v>
      </c>
      <c r="AL301" s="1" t="s">
        <v>74</v>
      </c>
      <c r="AM301" s="1" t="s">
        <v>74</v>
      </c>
      <c r="AN301" s="1" t="s">
        <v>74</v>
      </c>
      <c r="AO301" s="1" t="s">
        <v>3189</v>
      </c>
      <c r="AP301" s="1" t="s">
        <v>74</v>
      </c>
      <c r="AQ301" s="1" t="s">
        <v>74</v>
      </c>
      <c r="AR301" s="1" t="s">
        <v>74</v>
      </c>
      <c r="AS301" s="1" t="s">
        <v>74</v>
      </c>
      <c r="AT301" s="1" t="s">
        <v>411</v>
      </c>
      <c r="AU301" s="1">
        <v>2024.0</v>
      </c>
      <c r="AV301" s="1">
        <v>69.0</v>
      </c>
      <c r="AW301" s="1" t="s">
        <v>74</v>
      </c>
      <c r="AX301" s="1" t="s">
        <v>74</v>
      </c>
      <c r="AY301" s="1" t="s">
        <v>74</v>
      </c>
      <c r="AZ301" s="1" t="s">
        <v>74</v>
      </c>
      <c r="BA301" s="1" t="s">
        <v>74</v>
      </c>
      <c r="BB301" s="1" t="s">
        <v>74</v>
      </c>
      <c r="BC301" s="1" t="s">
        <v>74</v>
      </c>
      <c r="BD301" s="1">
        <v>107318.0</v>
      </c>
      <c r="BE301" s="1" t="s">
        <v>3190</v>
      </c>
      <c r="BF301" s="2" t="str">
        <f>HYPERLINK("http://dx.doi.org/10.1016/j.istruc.2024.107318","http://dx.doi.org/10.1016/j.istruc.2024.107318")</f>
        <v>http://dx.doi.org/10.1016/j.istruc.2024.107318</v>
      </c>
      <c r="BG301" s="1" t="s">
        <v>74</v>
      </c>
      <c r="BH301" s="1" t="s">
        <v>3191</v>
      </c>
      <c r="BI301" s="1" t="s">
        <v>74</v>
      </c>
      <c r="BJ301" s="1" t="s">
        <v>74</v>
      </c>
      <c r="BK301" s="1" t="s">
        <v>74</v>
      </c>
      <c r="BL301" s="1" t="s">
        <v>74</v>
      </c>
      <c r="BM301" s="1" t="s">
        <v>74</v>
      </c>
      <c r="BN301" s="1" t="s">
        <v>74</v>
      </c>
      <c r="BO301" s="1" t="s">
        <v>74</v>
      </c>
      <c r="BP301" s="1" t="s">
        <v>74</v>
      </c>
      <c r="BQ301" s="1" t="s">
        <v>74</v>
      </c>
      <c r="BR301" s="1" t="s">
        <v>74</v>
      </c>
      <c r="BS301" s="1" t="s">
        <v>3192</v>
      </c>
      <c r="BT301" s="1" t="str">
        <f>HYPERLINK("https%3A%2F%2Fwww.webofscience.com%2Fwos%2Fwoscc%2Ffull-record%2FWOS:001324322900001","View Full Record in Web of Science")</f>
        <v>View Full Record in Web of Science</v>
      </c>
    </row>
    <row r="302" ht="12.75" customHeight="1">
      <c r="A302" s="1" t="s">
        <v>72</v>
      </c>
      <c r="B302" s="1" t="s">
        <v>3193</v>
      </c>
      <c r="C302" s="1" t="s">
        <v>74</v>
      </c>
      <c r="D302" s="1" t="s">
        <v>74</v>
      </c>
      <c r="E302" s="1" t="s">
        <v>74</v>
      </c>
      <c r="F302" s="1" t="s">
        <v>3194</v>
      </c>
      <c r="G302" s="1" t="s">
        <v>74</v>
      </c>
      <c r="H302" s="1" t="s">
        <v>74</v>
      </c>
      <c r="I302" s="1" t="s">
        <v>3195</v>
      </c>
      <c r="J302" s="1" t="s">
        <v>3196</v>
      </c>
      <c r="K302" s="1" t="s">
        <v>74</v>
      </c>
      <c r="L302" s="1" t="s">
        <v>74</v>
      </c>
      <c r="M302" s="1" t="s">
        <v>74</v>
      </c>
      <c r="N302" s="1" t="s">
        <v>74</v>
      </c>
      <c r="O302" s="1" t="s">
        <v>74</v>
      </c>
      <c r="P302" s="1" t="s">
        <v>74</v>
      </c>
      <c r="Q302" s="1" t="s">
        <v>74</v>
      </c>
      <c r="R302" s="1" t="s">
        <v>74</v>
      </c>
      <c r="S302" s="1" t="s">
        <v>74</v>
      </c>
      <c r="T302" s="1" t="s">
        <v>74</v>
      </c>
      <c r="U302" s="1" t="s">
        <v>74</v>
      </c>
      <c r="V302" s="1" t="s">
        <v>3197</v>
      </c>
      <c r="W302" s="1" t="s">
        <v>74</v>
      </c>
      <c r="X302" s="1" t="s">
        <v>74</v>
      </c>
      <c r="Y302" s="1" t="s">
        <v>74</v>
      </c>
      <c r="Z302" s="1" t="s">
        <v>74</v>
      </c>
      <c r="AA302" s="1" t="s">
        <v>3198</v>
      </c>
      <c r="AB302" s="1" t="s">
        <v>3199</v>
      </c>
      <c r="AC302" s="1" t="s">
        <v>74</v>
      </c>
      <c r="AD302" s="1" t="s">
        <v>74</v>
      </c>
      <c r="AE302" s="1" t="s">
        <v>74</v>
      </c>
      <c r="AF302" s="1" t="s">
        <v>74</v>
      </c>
      <c r="AG302" s="1" t="s">
        <v>74</v>
      </c>
      <c r="AH302" s="1" t="s">
        <v>74</v>
      </c>
      <c r="AI302" s="1" t="s">
        <v>74</v>
      </c>
      <c r="AJ302" s="1" t="s">
        <v>74</v>
      </c>
      <c r="AK302" s="1" t="s">
        <v>74</v>
      </c>
      <c r="AL302" s="1" t="s">
        <v>74</v>
      </c>
      <c r="AM302" s="1" t="s">
        <v>74</v>
      </c>
      <c r="AN302" s="1" t="s">
        <v>74</v>
      </c>
      <c r="AO302" s="1" t="s">
        <v>3200</v>
      </c>
      <c r="AP302" s="1" t="s">
        <v>74</v>
      </c>
      <c r="AQ302" s="1" t="s">
        <v>74</v>
      </c>
      <c r="AR302" s="1" t="s">
        <v>74</v>
      </c>
      <c r="AS302" s="1" t="s">
        <v>74</v>
      </c>
      <c r="AT302" s="1" t="s">
        <v>3201</v>
      </c>
      <c r="AU302" s="1">
        <v>2024.0</v>
      </c>
      <c r="AV302" s="1">
        <v>32.0</v>
      </c>
      <c r="AW302" s="1">
        <v>17.0</v>
      </c>
      <c r="AX302" s="1" t="s">
        <v>74</v>
      </c>
      <c r="AY302" s="1" t="s">
        <v>74</v>
      </c>
      <c r="AZ302" s="1" t="s">
        <v>74</v>
      </c>
      <c r="BA302" s="1" t="s">
        <v>74</v>
      </c>
      <c r="BB302" s="1">
        <v>29514.0</v>
      </c>
      <c r="BC302" s="1">
        <v>29525.0</v>
      </c>
      <c r="BD302" s="1" t="s">
        <v>74</v>
      </c>
      <c r="BE302" s="1" t="s">
        <v>3202</v>
      </c>
      <c r="BF302" s="2" t="str">
        <f>HYPERLINK("http://dx.doi.org/10.1364/OE.532747","http://dx.doi.org/10.1364/OE.532747")</f>
        <v>http://dx.doi.org/10.1364/OE.532747</v>
      </c>
      <c r="BG302" s="1" t="s">
        <v>74</v>
      </c>
      <c r="BH302" s="1" t="s">
        <v>74</v>
      </c>
      <c r="BI302" s="1" t="s">
        <v>74</v>
      </c>
      <c r="BJ302" s="1" t="s">
        <v>74</v>
      </c>
      <c r="BK302" s="1" t="s">
        <v>74</v>
      </c>
      <c r="BL302" s="1" t="s">
        <v>74</v>
      </c>
      <c r="BM302" s="1" t="s">
        <v>74</v>
      </c>
      <c r="BN302" s="1">
        <v>3.9573139E7</v>
      </c>
      <c r="BO302" s="1" t="s">
        <v>74</v>
      </c>
      <c r="BP302" s="1" t="s">
        <v>74</v>
      </c>
      <c r="BQ302" s="1" t="s">
        <v>74</v>
      </c>
      <c r="BR302" s="1" t="s">
        <v>74</v>
      </c>
      <c r="BS302" s="1" t="s">
        <v>3203</v>
      </c>
      <c r="BT302" s="1" t="str">
        <f>HYPERLINK("https%3A%2F%2Fwww.webofscience.com%2Fwos%2Fwoscc%2Ffull-record%2FWOS:001300255500005","View Full Record in Web of Science")</f>
        <v>View Full Record in Web of Science</v>
      </c>
    </row>
    <row r="303" ht="12.75" customHeight="1">
      <c r="A303" s="1" t="s">
        <v>72</v>
      </c>
      <c r="B303" s="1" t="s">
        <v>3204</v>
      </c>
      <c r="C303" s="1" t="s">
        <v>74</v>
      </c>
      <c r="D303" s="1" t="s">
        <v>74</v>
      </c>
      <c r="E303" s="1" t="s">
        <v>74</v>
      </c>
      <c r="F303" s="1" t="s">
        <v>3205</v>
      </c>
      <c r="G303" s="1" t="s">
        <v>74</v>
      </c>
      <c r="H303" s="1" t="s">
        <v>74</v>
      </c>
      <c r="I303" s="1" t="s">
        <v>3206</v>
      </c>
      <c r="J303" s="1" t="s">
        <v>1954</v>
      </c>
      <c r="K303" s="1" t="s">
        <v>74</v>
      </c>
      <c r="L303" s="1" t="s">
        <v>74</v>
      </c>
      <c r="M303" s="1" t="s">
        <v>74</v>
      </c>
      <c r="N303" s="1" t="s">
        <v>74</v>
      </c>
      <c r="O303" s="1" t="s">
        <v>74</v>
      </c>
      <c r="P303" s="1" t="s">
        <v>74</v>
      </c>
      <c r="Q303" s="1" t="s">
        <v>74</v>
      </c>
      <c r="R303" s="1" t="s">
        <v>74</v>
      </c>
      <c r="S303" s="1" t="s">
        <v>74</v>
      </c>
      <c r="T303" s="1" t="s">
        <v>74</v>
      </c>
      <c r="U303" s="1" t="s">
        <v>74</v>
      </c>
      <c r="V303" s="1" t="s">
        <v>3207</v>
      </c>
      <c r="W303" s="1" t="s">
        <v>74</v>
      </c>
      <c r="X303" s="1" t="s">
        <v>74</v>
      </c>
      <c r="Y303" s="1" t="s">
        <v>74</v>
      </c>
      <c r="Z303" s="1" t="s">
        <v>74</v>
      </c>
      <c r="AA303" s="1" t="s">
        <v>3208</v>
      </c>
      <c r="AB303" s="1" t="s">
        <v>74</v>
      </c>
      <c r="AC303" s="1" t="s">
        <v>74</v>
      </c>
      <c r="AD303" s="1" t="s">
        <v>74</v>
      </c>
      <c r="AE303" s="1" t="s">
        <v>74</v>
      </c>
      <c r="AF303" s="1" t="s">
        <v>74</v>
      </c>
      <c r="AG303" s="1" t="s">
        <v>74</v>
      </c>
      <c r="AH303" s="1" t="s">
        <v>74</v>
      </c>
      <c r="AI303" s="1" t="s">
        <v>74</v>
      </c>
      <c r="AJ303" s="1" t="s">
        <v>74</v>
      </c>
      <c r="AK303" s="1" t="s">
        <v>74</v>
      </c>
      <c r="AL303" s="1" t="s">
        <v>74</v>
      </c>
      <c r="AM303" s="1" t="s">
        <v>74</v>
      </c>
      <c r="AN303" s="1" t="s">
        <v>74</v>
      </c>
      <c r="AO303" s="1" t="s">
        <v>1958</v>
      </c>
      <c r="AP303" s="1" t="s">
        <v>1959</v>
      </c>
      <c r="AQ303" s="1" t="s">
        <v>74</v>
      </c>
      <c r="AR303" s="1" t="s">
        <v>74</v>
      </c>
      <c r="AS303" s="1" t="s">
        <v>74</v>
      </c>
      <c r="AT303" s="1" t="s">
        <v>438</v>
      </c>
      <c r="AU303" s="1">
        <v>2024.0</v>
      </c>
      <c r="AV303" s="1">
        <v>42.0</v>
      </c>
      <c r="AW303" s="1">
        <v>2.0</v>
      </c>
      <c r="AX303" s="1" t="s">
        <v>74</v>
      </c>
      <c r="AY303" s="1" t="s">
        <v>74</v>
      </c>
      <c r="AZ303" s="1" t="s">
        <v>74</v>
      </c>
      <c r="BA303" s="1" t="s">
        <v>74</v>
      </c>
      <c r="BB303" s="1">
        <v>437.0</v>
      </c>
      <c r="BC303" s="1">
        <v>445.0</v>
      </c>
      <c r="BD303" s="1" t="s">
        <v>74</v>
      </c>
      <c r="BE303" s="1" t="s">
        <v>74</v>
      </c>
      <c r="BF303" s="1" t="s">
        <v>74</v>
      </c>
      <c r="BG303" s="1" t="s">
        <v>74</v>
      </c>
      <c r="BH303" s="1" t="s">
        <v>74</v>
      </c>
      <c r="BI303" s="1" t="s">
        <v>74</v>
      </c>
      <c r="BJ303" s="1" t="s">
        <v>74</v>
      </c>
      <c r="BK303" s="1" t="s">
        <v>74</v>
      </c>
      <c r="BL303" s="1" t="s">
        <v>74</v>
      </c>
      <c r="BM303" s="1" t="s">
        <v>74</v>
      </c>
      <c r="BN303" s="1" t="s">
        <v>74</v>
      </c>
      <c r="BO303" s="1" t="s">
        <v>74</v>
      </c>
      <c r="BP303" s="1" t="s">
        <v>74</v>
      </c>
      <c r="BQ303" s="1" t="s">
        <v>74</v>
      </c>
      <c r="BR303" s="1" t="s">
        <v>74</v>
      </c>
      <c r="BS303" s="1" t="s">
        <v>3209</v>
      </c>
      <c r="BT303" s="1" t="str">
        <f>HYPERLINK("https%3A%2F%2Fwww.webofscience.com%2Fwos%2Fwoscc%2Ffull-record%2FWOS:001208078600017","View Full Record in Web of Science")</f>
        <v>View Full Record in Web of Science</v>
      </c>
    </row>
    <row r="304" ht="12.75" customHeight="1">
      <c r="A304" s="1" t="s">
        <v>72</v>
      </c>
      <c r="B304" s="1" t="s">
        <v>3210</v>
      </c>
      <c r="C304" s="1" t="s">
        <v>74</v>
      </c>
      <c r="D304" s="1" t="s">
        <v>74</v>
      </c>
      <c r="E304" s="1" t="s">
        <v>74</v>
      </c>
      <c r="F304" s="1" t="s">
        <v>3211</v>
      </c>
      <c r="G304" s="1" t="s">
        <v>74</v>
      </c>
      <c r="H304" s="1" t="s">
        <v>74</v>
      </c>
      <c r="I304" s="1" t="s">
        <v>3212</v>
      </c>
      <c r="J304" s="1" t="s">
        <v>853</v>
      </c>
      <c r="K304" s="1" t="s">
        <v>74</v>
      </c>
      <c r="L304" s="1" t="s">
        <v>74</v>
      </c>
      <c r="M304" s="1" t="s">
        <v>74</v>
      </c>
      <c r="N304" s="1" t="s">
        <v>74</v>
      </c>
      <c r="O304" s="1" t="s">
        <v>74</v>
      </c>
      <c r="P304" s="1" t="s">
        <v>74</v>
      </c>
      <c r="Q304" s="1" t="s">
        <v>74</v>
      </c>
      <c r="R304" s="1" t="s">
        <v>74</v>
      </c>
      <c r="S304" s="1" t="s">
        <v>74</v>
      </c>
      <c r="T304" s="1" t="s">
        <v>74</v>
      </c>
      <c r="U304" s="1" t="s">
        <v>74</v>
      </c>
      <c r="V304" s="1" t="s">
        <v>74</v>
      </c>
      <c r="W304" s="1" t="s">
        <v>74</v>
      </c>
      <c r="X304" s="1" t="s">
        <v>74</v>
      </c>
      <c r="Y304" s="1" t="s">
        <v>74</v>
      </c>
      <c r="Z304" s="1" t="s">
        <v>74</v>
      </c>
      <c r="AA304" s="1" t="s">
        <v>3213</v>
      </c>
      <c r="AB304" s="1" t="s">
        <v>3214</v>
      </c>
      <c r="AC304" s="1" t="s">
        <v>74</v>
      </c>
      <c r="AD304" s="1" t="s">
        <v>74</v>
      </c>
      <c r="AE304" s="1" t="s">
        <v>74</v>
      </c>
      <c r="AF304" s="1" t="s">
        <v>74</v>
      </c>
      <c r="AG304" s="1" t="s">
        <v>74</v>
      </c>
      <c r="AH304" s="1" t="s">
        <v>74</v>
      </c>
      <c r="AI304" s="1" t="s">
        <v>74</v>
      </c>
      <c r="AJ304" s="1" t="s">
        <v>74</v>
      </c>
      <c r="AK304" s="1" t="s">
        <v>74</v>
      </c>
      <c r="AL304" s="1" t="s">
        <v>74</v>
      </c>
      <c r="AM304" s="1" t="s">
        <v>74</v>
      </c>
      <c r="AN304" s="1" t="s">
        <v>74</v>
      </c>
      <c r="AO304" s="1" t="s">
        <v>857</v>
      </c>
      <c r="AP304" s="1" t="s">
        <v>74</v>
      </c>
      <c r="AQ304" s="1" t="s">
        <v>74</v>
      </c>
      <c r="AR304" s="1" t="s">
        <v>74</v>
      </c>
      <c r="AS304" s="1" t="s">
        <v>74</v>
      </c>
      <c r="AT304" s="1" t="s">
        <v>3215</v>
      </c>
      <c r="AU304" s="1">
        <v>2023.0</v>
      </c>
      <c r="AV304" s="1">
        <v>9.0</v>
      </c>
      <c r="AW304" s="1" t="s">
        <v>74</v>
      </c>
      <c r="AX304" s="1" t="s">
        <v>74</v>
      </c>
      <c r="AY304" s="1" t="s">
        <v>74</v>
      </c>
      <c r="AZ304" s="1" t="s">
        <v>74</v>
      </c>
      <c r="BA304" s="1" t="s">
        <v>74</v>
      </c>
      <c r="BB304" s="1" t="s">
        <v>74</v>
      </c>
      <c r="BC304" s="1" t="s">
        <v>74</v>
      </c>
      <c r="BD304" s="1">
        <v>1128979.0</v>
      </c>
      <c r="BE304" s="1" t="s">
        <v>3216</v>
      </c>
      <c r="BF304" s="2" t="str">
        <f>HYPERLINK("http://dx.doi.org/10.3389/fnut.2022.1128979","http://dx.doi.org/10.3389/fnut.2022.1128979")</f>
        <v>http://dx.doi.org/10.3389/fnut.2022.1128979</v>
      </c>
      <c r="BG304" s="1" t="s">
        <v>74</v>
      </c>
      <c r="BH304" s="1" t="s">
        <v>74</v>
      </c>
      <c r="BI304" s="1" t="s">
        <v>74</v>
      </c>
      <c r="BJ304" s="1" t="s">
        <v>74</v>
      </c>
      <c r="BK304" s="1" t="s">
        <v>74</v>
      </c>
      <c r="BL304" s="1" t="s">
        <v>74</v>
      </c>
      <c r="BM304" s="1" t="s">
        <v>74</v>
      </c>
      <c r="BN304" s="1">
        <v>3.6712543E7</v>
      </c>
      <c r="BO304" s="1" t="s">
        <v>74</v>
      </c>
      <c r="BP304" s="1" t="s">
        <v>74</v>
      </c>
      <c r="BQ304" s="1" t="s">
        <v>74</v>
      </c>
      <c r="BR304" s="1" t="s">
        <v>74</v>
      </c>
      <c r="BS304" s="1" t="s">
        <v>3217</v>
      </c>
      <c r="BT304" s="1" t="str">
        <f>HYPERLINK("https%3A%2F%2Fwww.webofscience.com%2Fwos%2Fwoscc%2Ffull-record%2FWOS:000922998000001","View Full Record in Web of Science")</f>
        <v>View Full Record in Web of Science</v>
      </c>
    </row>
    <row r="305" ht="12.75" customHeight="1">
      <c r="A305" s="1" t="s">
        <v>72</v>
      </c>
      <c r="B305" s="1" t="s">
        <v>3218</v>
      </c>
      <c r="C305" s="1" t="s">
        <v>74</v>
      </c>
      <c r="D305" s="1" t="s">
        <v>74</v>
      </c>
      <c r="E305" s="1" t="s">
        <v>74</v>
      </c>
      <c r="F305" s="1" t="s">
        <v>3219</v>
      </c>
      <c r="G305" s="1" t="s">
        <v>74</v>
      </c>
      <c r="H305" s="1" t="s">
        <v>74</v>
      </c>
      <c r="I305" s="1" t="s">
        <v>3220</v>
      </c>
      <c r="J305" s="1" t="s">
        <v>2184</v>
      </c>
      <c r="K305" s="1" t="s">
        <v>74</v>
      </c>
      <c r="L305" s="1" t="s">
        <v>74</v>
      </c>
      <c r="M305" s="1" t="s">
        <v>74</v>
      </c>
      <c r="N305" s="1" t="s">
        <v>74</v>
      </c>
      <c r="O305" s="1" t="s">
        <v>74</v>
      </c>
      <c r="P305" s="1" t="s">
        <v>74</v>
      </c>
      <c r="Q305" s="1" t="s">
        <v>74</v>
      </c>
      <c r="R305" s="1" t="s">
        <v>74</v>
      </c>
      <c r="S305" s="1" t="s">
        <v>74</v>
      </c>
      <c r="T305" s="1" t="s">
        <v>74</v>
      </c>
      <c r="U305" s="1" t="s">
        <v>74</v>
      </c>
      <c r="V305" s="1" t="s">
        <v>3221</v>
      </c>
      <c r="W305" s="1" t="s">
        <v>74</v>
      </c>
      <c r="X305" s="1" t="s">
        <v>74</v>
      </c>
      <c r="Y305" s="1" t="s">
        <v>74</v>
      </c>
      <c r="Z305" s="1" t="s">
        <v>74</v>
      </c>
      <c r="AA305" s="1" t="s">
        <v>3222</v>
      </c>
      <c r="AB305" s="1" t="s">
        <v>3223</v>
      </c>
      <c r="AC305" s="1" t="s">
        <v>74</v>
      </c>
      <c r="AD305" s="1" t="s">
        <v>74</v>
      </c>
      <c r="AE305" s="1" t="s">
        <v>74</v>
      </c>
      <c r="AF305" s="1" t="s">
        <v>74</v>
      </c>
      <c r="AG305" s="1" t="s">
        <v>74</v>
      </c>
      <c r="AH305" s="1" t="s">
        <v>74</v>
      </c>
      <c r="AI305" s="1" t="s">
        <v>74</v>
      </c>
      <c r="AJ305" s="1" t="s">
        <v>74</v>
      </c>
      <c r="AK305" s="1" t="s">
        <v>74</v>
      </c>
      <c r="AL305" s="1" t="s">
        <v>74</v>
      </c>
      <c r="AM305" s="1" t="s">
        <v>74</v>
      </c>
      <c r="AN305" s="1" t="s">
        <v>74</v>
      </c>
      <c r="AO305" s="1" t="s">
        <v>74</v>
      </c>
      <c r="AP305" s="1" t="s">
        <v>2188</v>
      </c>
      <c r="AQ305" s="1" t="s">
        <v>74</v>
      </c>
      <c r="AR305" s="1" t="s">
        <v>74</v>
      </c>
      <c r="AS305" s="1" t="s">
        <v>74</v>
      </c>
      <c r="AT305" s="1" t="s">
        <v>880</v>
      </c>
      <c r="AU305" s="1">
        <v>2021.0</v>
      </c>
      <c r="AV305" s="1">
        <v>12.0</v>
      </c>
      <c r="AW305" s="1" t="s">
        <v>74</v>
      </c>
      <c r="AX305" s="1" t="s">
        <v>74</v>
      </c>
      <c r="AY305" s="1" t="s">
        <v>74</v>
      </c>
      <c r="AZ305" s="1" t="s">
        <v>74</v>
      </c>
      <c r="BA305" s="1" t="s">
        <v>74</v>
      </c>
      <c r="BB305" s="1" t="s">
        <v>74</v>
      </c>
      <c r="BC305" s="1" t="s">
        <v>74</v>
      </c>
      <c r="BD305" s="1">
        <v>656895.0</v>
      </c>
      <c r="BE305" s="1" t="s">
        <v>3224</v>
      </c>
      <c r="BF305" s="2" t="str">
        <f>HYPERLINK("http://dx.doi.org/10.3389/fmicb.2021.656895","http://dx.doi.org/10.3389/fmicb.2021.656895")</f>
        <v>http://dx.doi.org/10.3389/fmicb.2021.656895</v>
      </c>
      <c r="BG305" s="1" t="s">
        <v>74</v>
      </c>
      <c r="BH305" s="1" t="s">
        <v>74</v>
      </c>
      <c r="BI305" s="1" t="s">
        <v>74</v>
      </c>
      <c r="BJ305" s="1" t="s">
        <v>74</v>
      </c>
      <c r="BK305" s="1" t="s">
        <v>74</v>
      </c>
      <c r="BL305" s="1" t="s">
        <v>74</v>
      </c>
      <c r="BM305" s="1" t="s">
        <v>74</v>
      </c>
      <c r="BN305" s="1">
        <v>3.3936013E7</v>
      </c>
      <c r="BO305" s="1" t="s">
        <v>74</v>
      </c>
      <c r="BP305" s="1" t="s">
        <v>74</v>
      </c>
      <c r="BQ305" s="1" t="s">
        <v>74</v>
      </c>
      <c r="BR305" s="1" t="s">
        <v>74</v>
      </c>
      <c r="BS305" s="1" t="s">
        <v>3225</v>
      </c>
      <c r="BT305" s="1" t="str">
        <f>HYPERLINK("https%3A%2F%2Fwww.webofscience.com%2Fwos%2Fwoscc%2Ffull-record%2FWOS:000645110900001","View Full Record in Web of Science")</f>
        <v>View Full Record in Web of Science</v>
      </c>
    </row>
    <row r="306" ht="12.75" customHeight="1">
      <c r="A306" s="1" t="s">
        <v>733</v>
      </c>
      <c r="B306" s="1" t="s">
        <v>3226</v>
      </c>
      <c r="C306" s="1" t="s">
        <v>3227</v>
      </c>
      <c r="D306" s="1" t="s">
        <v>74</v>
      </c>
      <c r="E306" s="1" t="s">
        <v>74</v>
      </c>
      <c r="F306" s="1" t="s">
        <v>3228</v>
      </c>
      <c r="G306" s="1" t="s">
        <v>3227</v>
      </c>
      <c r="H306" s="1" t="s">
        <v>74</v>
      </c>
      <c r="I306" s="1" t="s">
        <v>3229</v>
      </c>
      <c r="J306" s="1" t="s">
        <v>3230</v>
      </c>
      <c r="K306" s="1" t="s">
        <v>74</v>
      </c>
      <c r="L306" s="1" t="s">
        <v>74</v>
      </c>
      <c r="M306" s="1" t="s">
        <v>74</v>
      </c>
      <c r="N306" s="1" t="s">
        <v>74</v>
      </c>
      <c r="O306" s="1" t="s">
        <v>74</v>
      </c>
      <c r="P306" s="1" t="s">
        <v>74</v>
      </c>
      <c r="Q306" s="1" t="s">
        <v>74</v>
      </c>
      <c r="R306" s="1" t="s">
        <v>74</v>
      </c>
      <c r="S306" s="1" t="s">
        <v>74</v>
      </c>
      <c r="T306" s="1" t="s">
        <v>74</v>
      </c>
      <c r="U306" s="1" t="s">
        <v>74</v>
      </c>
      <c r="V306" s="1" t="s">
        <v>74</v>
      </c>
      <c r="W306" s="1" t="s">
        <v>74</v>
      </c>
      <c r="X306" s="1" t="s">
        <v>74</v>
      </c>
      <c r="Y306" s="1" t="s">
        <v>74</v>
      </c>
      <c r="Z306" s="1" t="s">
        <v>74</v>
      </c>
      <c r="AA306" s="1" t="s">
        <v>74</v>
      </c>
      <c r="AB306" s="1" t="s">
        <v>74</v>
      </c>
      <c r="AC306" s="1" t="s">
        <v>74</v>
      </c>
      <c r="AD306" s="1" t="s">
        <v>74</v>
      </c>
      <c r="AE306" s="1" t="s">
        <v>74</v>
      </c>
      <c r="AF306" s="1" t="s">
        <v>74</v>
      </c>
      <c r="AG306" s="1" t="s">
        <v>74</v>
      </c>
      <c r="AH306" s="1" t="s">
        <v>74</v>
      </c>
      <c r="AI306" s="1" t="s">
        <v>74</v>
      </c>
      <c r="AJ306" s="1" t="s">
        <v>74</v>
      </c>
      <c r="AK306" s="1" t="s">
        <v>74</v>
      </c>
      <c r="AL306" s="1" t="s">
        <v>74</v>
      </c>
      <c r="AM306" s="1" t="s">
        <v>74</v>
      </c>
      <c r="AN306" s="1" t="s">
        <v>74</v>
      </c>
      <c r="AO306" s="1" t="s">
        <v>74</v>
      </c>
      <c r="AP306" s="1" t="s">
        <v>74</v>
      </c>
      <c r="AQ306" s="1" t="s">
        <v>3231</v>
      </c>
      <c r="AR306" s="1" t="s">
        <v>74</v>
      </c>
      <c r="AS306" s="1" t="s">
        <v>74</v>
      </c>
      <c r="AT306" s="1" t="s">
        <v>74</v>
      </c>
      <c r="AU306" s="1">
        <v>2021.0</v>
      </c>
      <c r="AV306" s="1" t="s">
        <v>74</v>
      </c>
      <c r="AW306" s="1" t="s">
        <v>74</v>
      </c>
      <c r="AX306" s="1" t="s">
        <v>74</v>
      </c>
      <c r="AY306" s="1" t="s">
        <v>74</v>
      </c>
      <c r="AZ306" s="1" t="s">
        <v>74</v>
      </c>
      <c r="BA306" s="1" t="s">
        <v>74</v>
      </c>
      <c r="BB306" s="1">
        <v>321.0</v>
      </c>
      <c r="BC306" s="1">
        <v>356.0</v>
      </c>
      <c r="BD306" s="1" t="s">
        <v>74</v>
      </c>
      <c r="BE306" s="1" t="s">
        <v>74</v>
      </c>
      <c r="BF306" s="1" t="s">
        <v>74</v>
      </c>
      <c r="BG306" s="1" t="s">
        <v>3232</v>
      </c>
      <c r="BH306" s="1" t="s">
        <v>74</v>
      </c>
      <c r="BI306" s="1" t="s">
        <v>74</v>
      </c>
      <c r="BJ306" s="1" t="s">
        <v>74</v>
      </c>
      <c r="BK306" s="1" t="s">
        <v>74</v>
      </c>
      <c r="BL306" s="1" t="s">
        <v>74</v>
      </c>
      <c r="BM306" s="1" t="s">
        <v>74</v>
      </c>
      <c r="BN306" s="1" t="s">
        <v>74</v>
      </c>
      <c r="BO306" s="1" t="s">
        <v>74</v>
      </c>
      <c r="BP306" s="1" t="s">
        <v>74</v>
      </c>
      <c r="BQ306" s="1" t="s">
        <v>74</v>
      </c>
      <c r="BR306" s="1" t="s">
        <v>74</v>
      </c>
      <c r="BS306" s="1" t="s">
        <v>3233</v>
      </c>
      <c r="BT306" s="1" t="str">
        <f>HYPERLINK("https%3A%2F%2Fwww.webofscience.com%2Fwos%2Fwoscc%2Ffull-record%2FWOS:000762317800014","View Full Record in Web of Science")</f>
        <v>View Full Record in Web of Science</v>
      </c>
    </row>
    <row r="307" ht="12.75" customHeight="1">
      <c r="A307" s="1" t="s">
        <v>72</v>
      </c>
      <c r="B307" s="1" t="s">
        <v>3234</v>
      </c>
      <c r="C307" s="1" t="s">
        <v>74</v>
      </c>
      <c r="D307" s="1" t="s">
        <v>74</v>
      </c>
      <c r="E307" s="1" t="s">
        <v>74</v>
      </c>
      <c r="F307" s="1" t="s">
        <v>3235</v>
      </c>
      <c r="G307" s="1" t="s">
        <v>74</v>
      </c>
      <c r="H307" s="1" t="s">
        <v>74</v>
      </c>
      <c r="I307" s="1" t="s">
        <v>3236</v>
      </c>
      <c r="J307" s="1" t="s">
        <v>3237</v>
      </c>
      <c r="K307" s="1" t="s">
        <v>74</v>
      </c>
      <c r="L307" s="1" t="s">
        <v>74</v>
      </c>
      <c r="M307" s="1" t="s">
        <v>74</v>
      </c>
      <c r="N307" s="1" t="s">
        <v>74</v>
      </c>
      <c r="O307" s="1" t="s">
        <v>74</v>
      </c>
      <c r="P307" s="1" t="s">
        <v>74</v>
      </c>
      <c r="Q307" s="1" t="s">
        <v>74</v>
      </c>
      <c r="R307" s="1" t="s">
        <v>74</v>
      </c>
      <c r="S307" s="1" t="s">
        <v>74</v>
      </c>
      <c r="T307" s="1" t="s">
        <v>74</v>
      </c>
      <c r="U307" s="1" t="s">
        <v>74</v>
      </c>
      <c r="V307" s="1" t="s">
        <v>3238</v>
      </c>
      <c r="W307" s="1" t="s">
        <v>74</v>
      </c>
      <c r="X307" s="1" t="s">
        <v>74</v>
      </c>
      <c r="Y307" s="1" t="s">
        <v>74</v>
      </c>
      <c r="Z307" s="1" t="s">
        <v>74</v>
      </c>
      <c r="AA307" s="1" t="s">
        <v>3239</v>
      </c>
      <c r="AB307" s="1" t="s">
        <v>3240</v>
      </c>
      <c r="AC307" s="1" t="s">
        <v>74</v>
      </c>
      <c r="AD307" s="1" t="s">
        <v>74</v>
      </c>
      <c r="AE307" s="1" t="s">
        <v>74</v>
      </c>
      <c r="AF307" s="1" t="s">
        <v>74</v>
      </c>
      <c r="AG307" s="1" t="s">
        <v>74</v>
      </c>
      <c r="AH307" s="1" t="s">
        <v>74</v>
      </c>
      <c r="AI307" s="1" t="s">
        <v>74</v>
      </c>
      <c r="AJ307" s="1" t="s">
        <v>74</v>
      </c>
      <c r="AK307" s="1" t="s">
        <v>74</v>
      </c>
      <c r="AL307" s="1" t="s">
        <v>74</v>
      </c>
      <c r="AM307" s="1" t="s">
        <v>74</v>
      </c>
      <c r="AN307" s="1" t="s">
        <v>74</v>
      </c>
      <c r="AO307" s="1" t="s">
        <v>3241</v>
      </c>
      <c r="AP307" s="1" t="s">
        <v>3242</v>
      </c>
      <c r="AQ307" s="1" t="s">
        <v>74</v>
      </c>
      <c r="AR307" s="1" t="s">
        <v>74</v>
      </c>
      <c r="AS307" s="1" t="s">
        <v>74</v>
      </c>
      <c r="AT307" s="1" t="s">
        <v>559</v>
      </c>
      <c r="AU307" s="1">
        <v>2018.0</v>
      </c>
      <c r="AV307" s="1">
        <v>272.0</v>
      </c>
      <c r="AW307" s="1" t="s">
        <v>74</v>
      </c>
      <c r="AX307" s="1" t="s">
        <v>74</v>
      </c>
      <c r="AY307" s="1" t="s">
        <v>74</v>
      </c>
      <c r="AZ307" s="1" t="s">
        <v>74</v>
      </c>
      <c r="BA307" s="1" t="s">
        <v>74</v>
      </c>
      <c r="BB307" s="1">
        <v>184.0</v>
      </c>
      <c r="BC307" s="1">
        <v>192.0</v>
      </c>
      <c r="BD307" s="1" t="s">
        <v>74</v>
      </c>
      <c r="BE307" s="1" t="s">
        <v>3243</v>
      </c>
      <c r="BF307" s="2" t="str">
        <f>HYPERLINK("http://dx.doi.org/10.1016/j.micromeso.2018.06.014","http://dx.doi.org/10.1016/j.micromeso.2018.06.014")</f>
        <v>http://dx.doi.org/10.1016/j.micromeso.2018.06.014</v>
      </c>
      <c r="BG307" s="1" t="s">
        <v>74</v>
      </c>
      <c r="BH307" s="1" t="s">
        <v>74</v>
      </c>
      <c r="BI307" s="1" t="s">
        <v>74</v>
      </c>
      <c r="BJ307" s="1" t="s">
        <v>74</v>
      </c>
      <c r="BK307" s="1" t="s">
        <v>74</v>
      </c>
      <c r="BL307" s="1" t="s">
        <v>74</v>
      </c>
      <c r="BM307" s="1" t="s">
        <v>74</v>
      </c>
      <c r="BN307" s="1" t="s">
        <v>74</v>
      </c>
      <c r="BO307" s="1" t="s">
        <v>74</v>
      </c>
      <c r="BP307" s="1" t="s">
        <v>74</v>
      </c>
      <c r="BQ307" s="1" t="s">
        <v>74</v>
      </c>
      <c r="BR307" s="1" t="s">
        <v>74</v>
      </c>
      <c r="BS307" s="1" t="s">
        <v>3244</v>
      </c>
      <c r="BT307" s="1" t="str">
        <f>HYPERLINK("https%3A%2F%2Fwww.webofscience.com%2Fwos%2Fwoscc%2Ffull-record%2FWOS:000445309600022","View Full Record in Web of Science")</f>
        <v>View Full Record in Web of Science</v>
      </c>
    </row>
    <row r="308" ht="12.75" customHeight="1">
      <c r="A308" s="1" t="s">
        <v>72</v>
      </c>
      <c r="B308" s="1" t="s">
        <v>3245</v>
      </c>
      <c r="C308" s="1" t="s">
        <v>74</v>
      </c>
      <c r="D308" s="1" t="s">
        <v>74</v>
      </c>
      <c r="E308" s="1" t="s">
        <v>74</v>
      </c>
      <c r="F308" s="1" t="s">
        <v>3246</v>
      </c>
      <c r="G308" s="1" t="s">
        <v>74</v>
      </c>
      <c r="H308" s="1" t="s">
        <v>74</v>
      </c>
      <c r="I308" s="1" t="s">
        <v>3247</v>
      </c>
      <c r="J308" s="1" t="s">
        <v>3248</v>
      </c>
      <c r="K308" s="1" t="s">
        <v>74</v>
      </c>
      <c r="L308" s="1" t="s">
        <v>74</v>
      </c>
      <c r="M308" s="1" t="s">
        <v>74</v>
      </c>
      <c r="N308" s="1" t="s">
        <v>74</v>
      </c>
      <c r="O308" s="1" t="s">
        <v>74</v>
      </c>
      <c r="P308" s="1" t="s">
        <v>74</v>
      </c>
      <c r="Q308" s="1" t="s">
        <v>74</v>
      </c>
      <c r="R308" s="1" t="s">
        <v>74</v>
      </c>
      <c r="S308" s="1" t="s">
        <v>74</v>
      </c>
      <c r="T308" s="1" t="s">
        <v>74</v>
      </c>
      <c r="U308" s="1" t="s">
        <v>74</v>
      </c>
      <c r="V308" s="1" t="s">
        <v>3249</v>
      </c>
      <c r="W308" s="1" t="s">
        <v>74</v>
      </c>
      <c r="X308" s="1" t="s">
        <v>74</v>
      </c>
      <c r="Y308" s="1" t="s">
        <v>74</v>
      </c>
      <c r="Z308" s="1" t="s">
        <v>74</v>
      </c>
      <c r="AA308" s="1" t="s">
        <v>3250</v>
      </c>
      <c r="AB308" s="1" t="s">
        <v>3251</v>
      </c>
      <c r="AC308" s="1" t="s">
        <v>74</v>
      </c>
      <c r="AD308" s="1" t="s">
        <v>74</v>
      </c>
      <c r="AE308" s="1" t="s">
        <v>74</v>
      </c>
      <c r="AF308" s="1" t="s">
        <v>74</v>
      </c>
      <c r="AG308" s="1" t="s">
        <v>74</v>
      </c>
      <c r="AH308" s="1" t="s">
        <v>74</v>
      </c>
      <c r="AI308" s="1" t="s">
        <v>74</v>
      </c>
      <c r="AJ308" s="1" t="s">
        <v>74</v>
      </c>
      <c r="AK308" s="1" t="s">
        <v>74</v>
      </c>
      <c r="AL308" s="1" t="s">
        <v>74</v>
      </c>
      <c r="AM308" s="1" t="s">
        <v>74</v>
      </c>
      <c r="AN308" s="1" t="s">
        <v>74</v>
      </c>
      <c r="AO308" s="1" t="s">
        <v>3252</v>
      </c>
      <c r="AP308" s="1" t="s">
        <v>3253</v>
      </c>
      <c r="AQ308" s="1" t="s">
        <v>74</v>
      </c>
      <c r="AR308" s="1" t="s">
        <v>74</v>
      </c>
      <c r="AS308" s="1" t="s">
        <v>74</v>
      </c>
      <c r="AT308" s="1" t="s">
        <v>3254</v>
      </c>
      <c r="AU308" s="1">
        <v>2017.0</v>
      </c>
      <c r="AV308" s="1">
        <v>13.0</v>
      </c>
      <c r="AW308" s="1">
        <v>33.0</v>
      </c>
      <c r="AX308" s="1" t="s">
        <v>74</v>
      </c>
      <c r="AY308" s="1" t="s">
        <v>74</v>
      </c>
      <c r="AZ308" s="1" t="s">
        <v>74</v>
      </c>
      <c r="BA308" s="1" t="s">
        <v>74</v>
      </c>
      <c r="BB308" s="1">
        <v>5509.0</v>
      </c>
      <c r="BC308" s="1">
        <v>5517.0</v>
      </c>
      <c r="BD308" s="1" t="s">
        <v>74</v>
      </c>
      <c r="BE308" s="1" t="s">
        <v>3255</v>
      </c>
      <c r="BF308" s="2" t="str">
        <f>HYPERLINK("http://dx.doi.org/10.1039/c7sm00368d","http://dx.doi.org/10.1039/c7sm00368d")</f>
        <v>http://dx.doi.org/10.1039/c7sm00368d</v>
      </c>
      <c r="BG308" s="1" t="s">
        <v>74</v>
      </c>
      <c r="BH308" s="1" t="s">
        <v>74</v>
      </c>
      <c r="BI308" s="1" t="s">
        <v>74</v>
      </c>
      <c r="BJ308" s="1" t="s">
        <v>74</v>
      </c>
      <c r="BK308" s="1" t="s">
        <v>74</v>
      </c>
      <c r="BL308" s="1" t="s">
        <v>74</v>
      </c>
      <c r="BM308" s="1" t="s">
        <v>74</v>
      </c>
      <c r="BN308" s="1">
        <v>2.8744539E7</v>
      </c>
      <c r="BO308" s="1" t="s">
        <v>74</v>
      </c>
      <c r="BP308" s="1" t="s">
        <v>74</v>
      </c>
      <c r="BQ308" s="1" t="s">
        <v>74</v>
      </c>
      <c r="BR308" s="1" t="s">
        <v>74</v>
      </c>
      <c r="BS308" s="1" t="s">
        <v>3256</v>
      </c>
      <c r="BT308" s="1" t="str">
        <f>HYPERLINK("https%3A%2F%2Fwww.webofscience.com%2Fwos%2Fwoscc%2Ffull-record%2FWOS:000408437000003","View Full Record in Web of Science")</f>
        <v>View Full Record in Web of Science</v>
      </c>
    </row>
    <row r="309" ht="12.75" customHeight="1">
      <c r="A309" s="1" t="s">
        <v>72</v>
      </c>
      <c r="B309" s="1" t="s">
        <v>3257</v>
      </c>
      <c r="C309" s="1" t="s">
        <v>74</v>
      </c>
      <c r="D309" s="1" t="s">
        <v>74</v>
      </c>
      <c r="E309" s="1" t="s">
        <v>74</v>
      </c>
      <c r="F309" s="1" t="s">
        <v>3258</v>
      </c>
      <c r="G309" s="1" t="s">
        <v>74</v>
      </c>
      <c r="H309" s="1" t="s">
        <v>74</v>
      </c>
      <c r="I309" s="1" t="s">
        <v>3259</v>
      </c>
      <c r="J309" s="1" t="s">
        <v>874</v>
      </c>
      <c r="K309" s="1" t="s">
        <v>74</v>
      </c>
      <c r="L309" s="1" t="s">
        <v>74</v>
      </c>
      <c r="M309" s="1" t="s">
        <v>74</v>
      </c>
      <c r="N309" s="1" t="s">
        <v>74</v>
      </c>
      <c r="O309" s="1" t="s">
        <v>74</v>
      </c>
      <c r="P309" s="1" t="s">
        <v>74</v>
      </c>
      <c r="Q309" s="1" t="s">
        <v>74</v>
      </c>
      <c r="R309" s="1" t="s">
        <v>74</v>
      </c>
      <c r="S309" s="1" t="s">
        <v>74</v>
      </c>
      <c r="T309" s="1" t="s">
        <v>74</v>
      </c>
      <c r="U309" s="1" t="s">
        <v>74</v>
      </c>
      <c r="V309" s="1" t="s">
        <v>3260</v>
      </c>
      <c r="W309" s="1" t="s">
        <v>74</v>
      </c>
      <c r="X309" s="1" t="s">
        <v>74</v>
      </c>
      <c r="Y309" s="1" t="s">
        <v>74</v>
      </c>
      <c r="Z309" s="1" t="s">
        <v>74</v>
      </c>
      <c r="AA309" s="1" t="s">
        <v>3261</v>
      </c>
      <c r="AB309" s="1" t="s">
        <v>3262</v>
      </c>
      <c r="AC309" s="1" t="s">
        <v>74</v>
      </c>
      <c r="AD309" s="1" t="s">
        <v>74</v>
      </c>
      <c r="AE309" s="1" t="s">
        <v>74</v>
      </c>
      <c r="AF309" s="1" t="s">
        <v>74</v>
      </c>
      <c r="AG309" s="1" t="s">
        <v>74</v>
      </c>
      <c r="AH309" s="1" t="s">
        <v>74</v>
      </c>
      <c r="AI309" s="1" t="s">
        <v>74</v>
      </c>
      <c r="AJ309" s="1" t="s">
        <v>74</v>
      </c>
      <c r="AK309" s="1" t="s">
        <v>74</v>
      </c>
      <c r="AL309" s="1" t="s">
        <v>74</v>
      </c>
      <c r="AM309" s="1" t="s">
        <v>74</v>
      </c>
      <c r="AN309" s="1" t="s">
        <v>74</v>
      </c>
      <c r="AO309" s="1" t="s">
        <v>878</v>
      </c>
      <c r="AP309" s="1" t="s">
        <v>879</v>
      </c>
      <c r="AQ309" s="1" t="s">
        <v>74</v>
      </c>
      <c r="AR309" s="1" t="s">
        <v>74</v>
      </c>
      <c r="AS309" s="1" t="s">
        <v>74</v>
      </c>
      <c r="AT309" s="1" t="s">
        <v>730</v>
      </c>
      <c r="AU309" s="1">
        <v>2015.0</v>
      </c>
      <c r="AV309" s="1">
        <v>788.0</v>
      </c>
      <c r="AW309" s="1" t="s">
        <v>74</v>
      </c>
      <c r="AX309" s="1" t="s">
        <v>74</v>
      </c>
      <c r="AY309" s="1" t="s">
        <v>74</v>
      </c>
      <c r="AZ309" s="1" t="s">
        <v>74</v>
      </c>
      <c r="BA309" s="1" t="s">
        <v>74</v>
      </c>
      <c r="BB309" s="1">
        <v>42.0</v>
      </c>
      <c r="BC309" s="1">
        <v>48.0</v>
      </c>
      <c r="BD309" s="1" t="s">
        <v>74</v>
      </c>
      <c r="BE309" s="1" t="s">
        <v>3263</v>
      </c>
      <c r="BF309" s="2" t="str">
        <f>HYPERLINK("http://dx.doi.org/10.1016/j.jorganchem.2015.04.031","http://dx.doi.org/10.1016/j.jorganchem.2015.04.031")</f>
        <v>http://dx.doi.org/10.1016/j.jorganchem.2015.04.031</v>
      </c>
      <c r="BG309" s="1" t="s">
        <v>74</v>
      </c>
      <c r="BH309" s="1" t="s">
        <v>74</v>
      </c>
      <c r="BI309" s="1" t="s">
        <v>74</v>
      </c>
      <c r="BJ309" s="1" t="s">
        <v>74</v>
      </c>
      <c r="BK309" s="1" t="s">
        <v>74</v>
      </c>
      <c r="BL309" s="1" t="s">
        <v>74</v>
      </c>
      <c r="BM309" s="1" t="s">
        <v>74</v>
      </c>
      <c r="BN309" s="1" t="s">
        <v>74</v>
      </c>
      <c r="BO309" s="1" t="s">
        <v>74</v>
      </c>
      <c r="BP309" s="1" t="s">
        <v>74</v>
      </c>
      <c r="BQ309" s="1" t="s">
        <v>74</v>
      </c>
      <c r="BR309" s="1" t="s">
        <v>74</v>
      </c>
      <c r="BS309" s="1" t="s">
        <v>3264</v>
      </c>
      <c r="BT309" s="1" t="str">
        <f>HYPERLINK("https%3A%2F%2Fwww.webofscience.com%2Fwos%2Fwoscc%2Ffull-record%2FWOS:000355336300007","View Full Record in Web of Science")</f>
        <v>View Full Record in Web of Science</v>
      </c>
    </row>
    <row r="310" ht="12.75" customHeight="1">
      <c r="A310" s="1" t="s">
        <v>72</v>
      </c>
      <c r="B310" s="1" t="s">
        <v>3265</v>
      </c>
      <c r="C310" s="1" t="s">
        <v>74</v>
      </c>
      <c r="D310" s="1" t="s">
        <v>74</v>
      </c>
      <c r="E310" s="1" t="s">
        <v>74</v>
      </c>
      <c r="F310" s="1" t="s">
        <v>3266</v>
      </c>
      <c r="G310" s="1" t="s">
        <v>74</v>
      </c>
      <c r="H310" s="1" t="s">
        <v>74</v>
      </c>
      <c r="I310" s="1" t="s">
        <v>3267</v>
      </c>
      <c r="J310" s="1" t="s">
        <v>3268</v>
      </c>
      <c r="K310" s="1" t="s">
        <v>74</v>
      </c>
      <c r="L310" s="1" t="s">
        <v>74</v>
      </c>
      <c r="M310" s="1" t="s">
        <v>74</v>
      </c>
      <c r="N310" s="1" t="s">
        <v>74</v>
      </c>
      <c r="O310" s="1" t="s">
        <v>74</v>
      </c>
      <c r="P310" s="1" t="s">
        <v>74</v>
      </c>
      <c r="Q310" s="1" t="s">
        <v>74</v>
      </c>
      <c r="R310" s="1" t="s">
        <v>74</v>
      </c>
      <c r="S310" s="1" t="s">
        <v>74</v>
      </c>
      <c r="T310" s="1" t="s">
        <v>74</v>
      </c>
      <c r="U310" s="1" t="s">
        <v>74</v>
      </c>
      <c r="V310" s="1" t="s">
        <v>3269</v>
      </c>
      <c r="W310" s="1" t="s">
        <v>74</v>
      </c>
      <c r="X310" s="1" t="s">
        <v>74</v>
      </c>
      <c r="Y310" s="1" t="s">
        <v>74</v>
      </c>
      <c r="Z310" s="1" t="s">
        <v>74</v>
      </c>
      <c r="AA310" s="1" t="s">
        <v>3270</v>
      </c>
      <c r="AB310" s="1" t="s">
        <v>3271</v>
      </c>
      <c r="AC310" s="1" t="s">
        <v>74</v>
      </c>
      <c r="AD310" s="1" t="s">
        <v>74</v>
      </c>
      <c r="AE310" s="1" t="s">
        <v>74</v>
      </c>
      <c r="AF310" s="1" t="s">
        <v>74</v>
      </c>
      <c r="AG310" s="1" t="s">
        <v>74</v>
      </c>
      <c r="AH310" s="1" t="s">
        <v>74</v>
      </c>
      <c r="AI310" s="1" t="s">
        <v>74</v>
      </c>
      <c r="AJ310" s="1" t="s">
        <v>74</v>
      </c>
      <c r="AK310" s="1" t="s">
        <v>74</v>
      </c>
      <c r="AL310" s="1" t="s">
        <v>74</v>
      </c>
      <c r="AM310" s="1" t="s">
        <v>74</v>
      </c>
      <c r="AN310" s="1" t="s">
        <v>74</v>
      </c>
      <c r="AO310" s="1" t="s">
        <v>3272</v>
      </c>
      <c r="AP310" s="1" t="s">
        <v>3273</v>
      </c>
      <c r="AQ310" s="1" t="s">
        <v>74</v>
      </c>
      <c r="AR310" s="1" t="s">
        <v>74</v>
      </c>
      <c r="AS310" s="1" t="s">
        <v>74</v>
      </c>
      <c r="AT310" s="1" t="s">
        <v>3274</v>
      </c>
      <c r="AU310" s="1">
        <v>2014.0</v>
      </c>
      <c r="AV310" s="1">
        <v>90.0</v>
      </c>
      <c r="AW310" s="1">
        <v>6.0</v>
      </c>
      <c r="AX310" s="1" t="s">
        <v>74</v>
      </c>
      <c r="AY310" s="1" t="s">
        <v>74</v>
      </c>
      <c r="AZ310" s="1" t="s">
        <v>74</v>
      </c>
      <c r="BA310" s="1" t="s">
        <v>74</v>
      </c>
      <c r="BB310" s="1">
        <v>1299.0</v>
      </c>
      <c r="BC310" s="1">
        <v>1307.0</v>
      </c>
      <c r="BD310" s="1" t="s">
        <v>74</v>
      </c>
      <c r="BE310" s="1" t="s">
        <v>3275</v>
      </c>
      <c r="BF310" s="2" t="str">
        <f>HYPERLINK("http://dx.doi.org/10.1111/php.12344","http://dx.doi.org/10.1111/php.12344")</f>
        <v>http://dx.doi.org/10.1111/php.12344</v>
      </c>
      <c r="BG310" s="1" t="s">
        <v>74</v>
      </c>
      <c r="BH310" s="1" t="s">
        <v>74</v>
      </c>
      <c r="BI310" s="1" t="s">
        <v>74</v>
      </c>
      <c r="BJ310" s="1" t="s">
        <v>74</v>
      </c>
      <c r="BK310" s="1" t="s">
        <v>74</v>
      </c>
      <c r="BL310" s="1" t="s">
        <v>74</v>
      </c>
      <c r="BM310" s="1" t="s">
        <v>74</v>
      </c>
      <c r="BN310" s="1">
        <v>2.5214037E7</v>
      </c>
      <c r="BO310" s="1" t="s">
        <v>74</v>
      </c>
      <c r="BP310" s="1" t="s">
        <v>74</v>
      </c>
      <c r="BQ310" s="1" t="s">
        <v>74</v>
      </c>
      <c r="BR310" s="1" t="s">
        <v>74</v>
      </c>
      <c r="BS310" s="1" t="s">
        <v>3276</v>
      </c>
      <c r="BT310" s="1" t="str">
        <f>HYPERLINK("https%3A%2F%2Fwww.webofscience.com%2Fwos%2Fwoscc%2Ffull-record%2FWOS:000345217800013","View Full Record in Web of Science")</f>
        <v>View Full Record in Web of Science</v>
      </c>
    </row>
    <row r="311" ht="12.75" customHeight="1">
      <c r="A311" s="1" t="s">
        <v>72</v>
      </c>
      <c r="B311" s="1" t="s">
        <v>3277</v>
      </c>
      <c r="C311" s="1" t="s">
        <v>74</v>
      </c>
      <c r="D311" s="1" t="s">
        <v>74</v>
      </c>
      <c r="E311" s="1" t="s">
        <v>74</v>
      </c>
      <c r="F311" s="1" t="s">
        <v>3278</v>
      </c>
      <c r="G311" s="1" t="s">
        <v>74</v>
      </c>
      <c r="H311" s="1" t="s">
        <v>74</v>
      </c>
      <c r="I311" s="1" t="s">
        <v>3279</v>
      </c>
      <c r="J311" s="1" t="s">
        <v>3280</v>
      </c>
      <c r="K311" s="1" t="s">
        <v>74</v>
      </c>
      <c r="L311" s="1" t="s">
        <v>74</v>
      </c>
      <c r="M311" s="1" t="s">
        <v>74</v>
      </c>
      <c r="N311" s="1" t="s">
        <v>74</v>
      </c>
      <c r="O311" s="1" t="s">
        <v>3281</v>
      </c>
      <c r="P311" s="1" t="s">
        <v>3282</v>
      </c>
      <c r="Q311" s="1" t="s">
        <v>3283</v>
      </c>
      <c r="R311" s="1" t="s">
        <v>3284</v>
      </c>
      <c r="S311" s="1" t="s">
        <v>74</v>
      </c>
      <c r="T311" s="1" t="s">
        <v>74</v>
      </c>
      <c r="U311" s="1" t="s">
        <v>74</v>
      </c>
      <c r="V311" s="1" t="s">
        <v>74</v>
      </c>
      <c r="W311" s="1" t="s">
        <v>74</v>
      </c>
      <c r="X311" s="1" t="s">
        <v>74</v>
      </c>
      <c r="Y311" s="1" t="s">
        <v>74</v>
      </c>
      <c r="Z311" s="1" t="s">
        <v>74</v>
      </c>
      <c r="AA311" s="1" t="s">
        <v>3285</v>
      </c>
      <c r="AB311" s="1" t="s">
        <v>74</v>
      </c>
      <c r="AC311" s="1" t="s">
        <v>74</v>
      </c>
      <c r="AD311" s="1" t="s">
        <v>74</v>
      </c>
      <c r="AE311" s="1" t="s">
        <v>74</v>
      </c>
      <c r="AF311" s="1" t="s">
        <v>74</v>
      </c>
      <c r="AG311" s="1" t="s">
        <v>74</v>
      </c>
      <c r="AH311" s="1" t="s">
        <v>74</v>
      </c>
      <c r="AI311" s="1" t="s">
        <v>74</v>
      </c>
      <c r="AJ311" s="1" t="s">
        <v>74</v>
      </c>
      <c r="AK311" s="1" t="s">
        <v>74</v>
      </c>
      <c r="AL311" s="1" t="s">
        <v>74</v>
      </c>
      <c r="AM311" s="1" t="s">
        <v>74</v>
      </c>
      <c r="AN311" s="1" t="s">
        <v>74</v>
      </c>
      <c r="AO311" s="1" t="s">
        <v>3286</v>
      </c>
      <c r="AP311" s="1" t="s">
        <v>3287</v>
      </c>
      <c r="AQ311" s="1" t="s">
        <v>74</v>
      </c>
      <c r="AR311" s="1" t="s">
        <v>74</v>
      </c>
      <c r="AS311" s="1" t="s">
        <v>74</v>
      </c>
      <c r="AT311" s="1" t="s">
        <v>377</v>
      </c>
      <c r="AU311" s="1">
        <v>2014.0</v>
      </c>
      <c r="AV311" s="1">
        <v>55.0</v>
      </c>
      <c r="AW311" s="1" t="s">
        <v>74</v>
      </c>
      <c r="AX311" s="1" t="s">
        <v>74</v>
      </c>
      <c r="AY311" s="1">
        <v>1.0</v>
      </c>
      <c r="AZ311" s="1" t="s">
        <v>74</v>
      </c>
      <c r="BA311" s="1">
        <v>1839.0</v>
      </c>
      <c r="BB311" s="1" t="s">
        <v>74</v>
      </c>
      <c r="BC311" s="1" t="s">
        <v>74</v>
      </c>
      <c r="BD311" s="1" t="s">
        <v>74</v>
      </c>
      <c r="BE311" s="1" t="s">
        <v>74</v>
      </c>
      <c r="BF311" s="1" t="s">
        <v>74</v>
      </c>
      <c r="BG311" s="1" t="s">
        <v>74</v>
      </c>
      <c r="BH311" s="1" t="s">
        <v>74</v>
      </c>
      <c r="BI311" s="1" t="s">
        <v>74</v>
      </c>
      <c r="BJ311" s="1" t="s">
        <v>74</v>
      </c>
      <c r="BK311" s="1" t="s">
        <v>74</v>
      </c>
      <c r="BL311" s="1" t="s">
        <v>74</v>
      </c>
      <c r="BM311" s="1" t="s">
        <v>74</v>
      </c>
      <c r="BN311" s="1" t="s">
        <v>74</v>
      </c>
      <c r="BO311" s="1" t="s">
        <v>74</v>
      </c>
      <c r="BP311" s="1" t="s">
        <v>74</v>
      </c>
      <c r="BQ311" s="1" t="s">
        <v>74</v>
      </c>
      <c r="BR311" s="1" t="s">
        <v>74</v>
      </c>
      <c r="BS311" s="1" t="s">
        <v>3288</v>
      </c>
      <c r="BT311" s="1" t="str">
        <f>HYPERLINK("https%3A%2F%2Fwww.webofscience.com%2Fwos%2Fwoscc%2Ffull-record%2FWOS:000361438103010","View Full Record in Web of Science")</f>
        <v>View Full Record in Web of Science</v>
      </c>
    </row>
    <row r="312" ht="12.75" customHeight="1">
      <c r="A312" s="1" t="s">
        <v>72</v>
      </c>
      <c r="B312" s="1" t="s">
        <v>3289</v>
      </c>
      <c r="C312" s="1" t="s">
        <v>74</v>
      </c>
      <c r="D312" s="1" t="s">
        <v>74</v>
      </c>
      <c r="E312" s="1" t="s">
        <v>74</v>
      </c>
      <c r="F312" s="1" t="s">
        <v>3290</v>
      </c>
      <c r="G312" s="1" t="s">
        <v>74</v>
      </c>
      <c r="H312" s="1" t="s">
        <v>74</v>
      </c>
      <c r="I312" s="1" t="s">
        <v>3291</v>
      </c>
      <c r="J312" s="1" t="s">
        <v>3292</v>
      </c>
      <c r="K312" s="1" t="s">
        <v>74</v>
      </c>
      <c r="L312" s="1" t="s">
        <v>74</v>
      </c>
      <c r="M312" s="1" t="s">
        <v>74</v>
      </c>
      <c r="N312" s="1" t="s">
        <v>74</v>
      </c>
      <c r="O312" s="1" t="s">
        <v>74</v>
      </c>
      <c r="P312" s="1" t="s">
        <v>74</v>
      </c>
      <c r="Q312" s="1" t="s">
        <v>74</v>
      </c>
      <c r="R312" s="1" t="s">
        <v>74</v>
      </c>
      <c r="S312" s="1" t="s">
        <v>74</v>
      </c>
      <c r="T312" s="1" t="s">
        <v>74</v>
      </c>
      <c r="U312" s="1" t="s">
        <v>74</v>
      </c>
      <c r="V312" s="1" t="s">
        <v>3293</v>
      </c>
      <c r="W312" s="1" t="s">
        <v>74</v>
      </c>
      <c r="X312" s="1" t="s">
        <v>74</v>
      </c>
      <c r="Y312" s="1" t="s">
        <v>74</v>
      </c>
      <c r="Z312" s="1" t="s">
        <v>74</v>
      </c>
      <c r="AA312" s="1" t="s">
        <v>3294</v>
      </c>
      <c r="AB312" s="1" t="s">
        <v>3295</v>
      </c>
      <c r="AC312" s="1" t="s">
        <v>74</v>
      </c>
      <c r="AD312" s="1" t="s">
        <v>74</v>
      </c>
      <c r="AE312" s="1" t="s">
        <v>74</v>
      </c>
      <c r="AF312" s="1" t="s">
        <v>74</v>
      </c>
      <c r="AG312" s="1" t="s">
        <v>74</v>
      </c>
      <c r="AH312" s="1" t="s">
        <v>74</v>
      </c>
      <c r="AI312" s="1" t="s">
        <v>74</v>
      </c>
      <c r="AJ312" s="1" t="s">
        <v>74</v>
      </c>
      <c r="AK312" s="1" t="s">
        <v>74</v>
      </c>
      <c r="AL312" s="1" t="s">
        <v>74</v>
      </c>
      <c r="AM312" s="1" t="s">
        <v>74</v>
      </c>
      <c r="AN312" s="1" t="s">
        <v>74</v>
      </c>
      <c r="AO312" s="1" t="s">
        <v>74</v>
      </c>
      <c r="AP312" s="1" t="s">
        <v>3296</v>
      </c>
      <c r="AQ312" s="1" t="s">
        <v>74</v>
      </c>
      <c r="AR312" s="1" t="s">
        <v>74</v>
      </c>
      <c r="AS312" s="1" t="s">
        <v>74</v>
      </c>
      <c r="AT312" s="1" t="s">
        <v>74</v>
      </c>
      <c r="AU312" s="1">
        <v>2014.0</v>
      </c>
      <c r="AV312" s="1">
        <v>4.0</v>
      </c>
      <c r="AW312" s="1">
        <v>95.0</v>
      </c>
      <c r="AX312" s="1" t="s">
        <v>74</v>
      </c>
      <c r="AY312" s="1" t="s">
        <v>74</v>
      </c>
      <c r="AZ312" s="1" t="s">
        <v>74</v>
      </c>
      <c r="BA312" s="1" t="s">
        <v>74</v>
      </c>
      <c r="BB312" s="1">
        <v>53157.0</v>
      </c>
      <c r="BC312" s="1">
        <v>53171.0</v>
      </c>
      <c r="BD312" s="1" t="s">
        <v>74</v>
      </c>
      <c r="BE312" s="1" t="s">
        <v>3297</v>
      </c>
      <c r="BF312" s="2" t="str">
        <f>HYPERLINK("http://dx.doi.org/10.1039/c4ra08177c","http://dx.doi.org/10.1039/c4ra08177c")</f>
        <v>http://dx.doi.org/10.1039/c4ra08177c</v>
      </c>
      <c r="BG312" s="1" t="s">
        <v>74</v>
      </c>
      <c r="BH312" s="1" t="s">
        <v>74</v>
      </c>
      <c r="BI312" s="1" t="s">
        <v>74</v>
      </c>
      <c r="BJ312" s="1" t="s">
        <v>74</v>
      </c>
      <c r="BK312" s="1" t="s">
        <v>74</v>
      </c>
      <c r="BL312" s="1" t="s">
        <v>74</v>
      </c>
      <c r="BM312" s="1" t="s">
        <v>74</v>
      </c>
      <c r="BN312" s="1" t="s">
        <v>74</v>
      </c>
      <c r="BO312" s="1" t="s">
        <v>74</v>
      </c>
      <c r="BP312" s="1" t="s">
        <v>74</v>
      </c>
      <c r="BQ312" s="1" t="s">
        <v>74</v>
      </c>
      <c r="BR312" s="1" t="s">
        <v>74</v>
      </c>
      <c r="BS312" s="1" t="s">
        <v>3298</v>
      </c>
      <c r="BT312" s="1" t="str">
        <f>HYPERLINK("https%3A%2F%2Fwww.webofscience.com%2Fwos%2Fwoscc%2Ffull-record%2FWOS:000344390000074","View Full Record in Web of Science")</f>
        <v>View Full Record in Web of Science</v>
      </c>
    </row>
    <row r="313" ht="12.75" customHeight="1">
      <c r="A313" s="1" t="s">
        <v>72</v>
      </c>
      <c r="B313" s="1" t="s">
        <v>3299</v>
      </c>
      <c r="C313" s="1" t="s">
        <v>74</v>
      </c>
      <c r="D313" s="1" t="s">
        <v>74</v>
      </c>
      <c r="E313" s="1" t="s">
        <v>74</v>
      </c>
      <c r="F313" s="1" t="s">
        <v>3299</v>
      </c>
      <c r="G313" s="1" t="s">
        <v>74</v>
      </c>
      <c r="H313" s="1" t="s">
        <v>74</v>
      </c>
      <c r="I313" s="1" t="s">
        <v>3300</v>
      </c>
      <c r="J313" s="1" t="s">
        <v>582</v>
      </c>
      <c r="K313" s="1" t="s">
        <v>74</v>
      </c>
      <c r="L313" s="1" t="s">
        <v>74</v>
      </c>
      <c r="M313" s="1" t="s">
        <v>74</v>
      </c>
      <c r="N313" s="1" t="s">
        <v>74</v>
      </c>
      <c r="O313" s="1" t="s">
        <v>74</v>
      </c>
      <c r="P313" s="1" t="s">
        <v>74</v>
      </c>
      <c r="Q313" s="1" t="s">
        <v>74</v>
      </c>
      <c r="R313" s="1" t="s">
        <v>74</v>
      </c>
      <c r="S313" s="1" t="s">
        <v>74</v>
      </c>
      <c r="T313" s="1" t="s">
        <v>74</v>
      </c>
      <c r="U313" s="1" t="s">
        <v>74</v>
      </c>
      <c r="V313" s="1" t="s">
        <v>3301</v>
      </c>
      <c r="W313" s="1" t="s">
        <v>74</v>
      </c>
      <c r="X313" s="1" t="s">
        <v>74</v>
      </c>
      <c r="Y313" s="1" t="s">
        <v>74</v>
      </c>
      <c r="Z313" s="1" t="s">
        <v>74</v>
      </c>
      <c r="AA313" s="1" t="s">
        <v>3302</v>
      </c>
      <c r="AB313" s="1" t="s">
        <v>3303</v>
      </c>
      <c r="AC313" s="1" t="s">
        <v>74</v>
      </c>
      <c r="AD313" s="1" t="s">
        <v>74</v>
      </c>
      <c r="AE313" s="1" t="s">
        <v>74</v>
      </c>
      <c r="AF313" s="1" t="s">
        <v>74</v>
      </c>
      <c r="AG313" s="1" t="s">
        <v>74</v>
      </c>
      <c r="AH313" s="1" t="s">
        <v>74</v>
      </c>
      <c r="AI313" s="1" t="s">
        <v>74</v>
      </c>
      <c r="AJ313" s="1" t="s">
        <v>74</v>
      </c>
      <c r="AK313" s="1" t="s">
        <v>74</v>
      </c>
      <c r="AL313" s="1" t="s">
        <v>74</v>
      </c>
      <c r="AM313" s="1" t="s">
        <v>74</v>
      </c>
      <c r="AN313" s="1" t="s">
        <v>74</v>
      </c>
      <c r="AO313" s="1" t="s">
        <v>586</v>
      </c>
      <c r="AP313" s="1" t="s">
        <v>587</v>
      </c>
      <c r="AQ313" s="1" t="s">
        <v>74</v>
      </c>
      <c r="AR313" s="1" t="s">
        <v>74</v>
      </c>
      <c r="AS313" s="1" t="s">
        <v>74</v>
      </c>
      <c r="AT313" s="1" t="s">
        <v>203</v>
      </c>
      <c r="AU313" s="1">
        <v>2002.0</v>
      </c>
      <c r="AV313" s="1">
        <v>65.0</v>
      </c>
      <c r="AW313" s="1">
        <v>10.0</v>
      </c>
      <c r="AX313" s="1" t="s">
        <v>74</v>
      </c>
      <c r="AY313" s="1" t="s">
        <v>74</v>
      </c>
      <c r="AZ313" s="1" t="s">
        <v>74</v>
      </c>
      <c r="BA313" s="1" t="s">
        <v>74</v>
      </c>
      <c r="BB313" s="1" t="s">
        <v>74</v>
      </c>
      <c r="BC313" s="1" t="s">
        <v>74</v>
      </c>
      <c r="BD313" s="1">
        <v>104202.0</v>
      </c>
      <c r="BE313" s="1" t="s">
        <v>3304</v>
      </c>
      <c r="BF313" s="2" t="str">
        <f>HYPERLINK("http://dx.doi.org/10.1103/PhysRevB.65.104202","http://dx.doi.org/10.1103/PhysRevB.65.104202")</f>
        <v>http://dx.doi.org/10.1103/PhysRevB.65.104202</v>
      </c>
      <c r="BG313" s="1" t="s">
        <v>74</v>
      </c>
      <c r="BH313" s="1" t="s">
        <v>74</v>
      </c>
      <c r="BI313" s="1" t="s">
        <v>74</v>
      </c>
      <c r="BJ313" s="1" t="s">
        <v>74</v>
      </c>
      <c r="BK313" s="1" t="s">
        <v>74</v>
      </c>
      <c r="BL313" s="1" t="s">
        <v>74</v>
      </c>
      <c r="BM313" s="1" t="s">
        <v>74</v>
      </c>
      <c r="BN313" s="1" t="s">
        <v>74</v>
      </c>
      <c r="BO313" s="1" t="s">
        <v>74</v>
      </c>
      <c r="BP313" s="1" t="s">
        <v>74</v>
      </c>
      <c r="BQ313" s="1" t="s">
        <v>74</v>
      </c>
      <c r="BR313" s="1" t="s">
        <v>74</v>
      </c>
      <c r="BS313" s="1" t="s">
        <v>3305</v>
      </c>
      <c r="BT313" s="1" t="str">
        <f>HYPERLINK("https%3A%2F%2Fwww.webofscience.com%2Fwos%2Fwoscc%2Ffull-record%2FWOS:000174548300043","View Full Record in Web of Science")</f>
        <v>View Full Record in Web of Science</v>
      </c>
    </row>
    <row r="314" ht="12.75" customHeight="1">
      <c r="A314" s="1" t="s">
        <v>72</v>
      </c>
      <c r="B314" s="1" t="s">
        <v>3306</v>
      </c>
      <c r="C314" s="1" t="s">
        <v>74</v>
      </c>
      <c r="D314" s="1" t="s">
        <v>74</v>
      </c>
      <c r="E314" s="1" t="s">
        <v>74</v>
      </c>
      <c r="F314" s="1" t="s">
        <v>3307</v>
      </c>
      <c r="G314" s="1" t="s">
        <v>74</v>
      </c>
      <c r="H314" s="1" t="s">
        <v>74</v>
      </c>
      <c r="I314" s="1" t="s">
        <v>3308</v>
      </c>
      <c r="J314" s="1" t="s">
        <v>3309</v>
      </c>
      <c r="K314" s="1" t="s">
        <v>74</v>
      </c>
      <c r="L314" s="1" t="s">
        <v>74</v>
      </c>
      <c r="M314" s="1" t="s">
        <v>74</v>
      </c>
      <c r="N314" s="1" t="s">
        <v>74</v>
      </c>
      <c r="O314" s="1" t="s">
        <v>74</v>
      </c>
      <c r="P314" s="1" t="s">
        <v>74</v>
      </c>
      <c r="Q314" s="1" t="s">
        <v>74</v>
      </c>
      <c r="R314" s="1" t="s">
        <v>74</v>
      </c>
      <c r="S314" s="1" t="s">
        <v>74</v>
      </c>
      <c r="T314" s="1" t="s">
        <v>74</v>
      </c>
      <c r="U314" s="1" t="s">
        <v>74</v>
      </c>
      <c r="V314" s="1" t="s">
        <v>3310</v>
      </c>
      <c r="W314" s="1" t="s">
        <v>74</v>
      </c>
      <c r="X314" s="1" t="s">
        <v>74</v>
      </c>
      <c r="Y314" s="1" t="s">
        <v>74</v>
      </c>
      <c r="Z314" s="1" t="s">
        <v>74</v>
      </c>
      <c r="AA314" s="1" t="s">
        <v>3311</v>
      </c>
      <c r="AB314" s="1" t="s">
        <v>3312</v>
      </c>
      <c r="AC314" s="1" t="s">
        <v>74</v>
      </c>
      <c r="AD314" s="1" t="s">
        <v>74</v>
      </c>
      <c r="AE314" s="1" t="s">
        <v>74</v>
      </c>
      <c r="AF314" s="1" t="s">
        <v>74</v>
      </c>
      <c r="AG314" s="1" t="s">
        <v>74</v>
      </c>
      <c r="AH314" s="1" t="s">
        <v>74</v>
      </c>
      <c r="AI314" s="1" t="s">
        <v>74</v>
      </c>
      <c r="AJ314" s="1" t="s">
        <v>74</v>
      </c>
      <c r="AK314" s="1" t="s">
        <v>74</v>
      </c>
      <c r="AL314" s="1" t="s">
        <v>74</v>
      </c>
      <c r="AM314" s="1" t="s">
        <v>74</v>
      </c>
      <c r="AN314" s="1" t="s">
        <v>74</v>
      </c>
      <c r="AO314" s="1" t="s">
        <v>74</v>
      </c>
      <c r="AP314" s="1" t="s">
        <v>3313</v>
      </c>
      <c r="AQ314" s="1" t="s">
        <v>74</v>
      </c>
      <c r="AR314" s="1" t="s">
        <v>74</v>
      </c>
      <c r="AS314" s="1" t="s">
        <v>74</v>
      </c>
      <c r="AT314" s="1" t="s">
        <v>155</v>
      </c>
      <c r="AU314" s="1">
        <v>2024.0</v>
      </c>
      <c r="AV314" s="1">
        <v>16.0</v>
      </c>
      <c r="AW314" s="1">
        <v>12.0</v>
      </c>
      <c r="AX314" s="1" t="s">
        <v>74</v>
      </c>
      <c r="AY314" s="1" t="s">
        <v>74</v>
      </c>
      <c r="AZ314" s="1" t="s">
        <v>74</v>
      </c>
      <c r="BA314" s="1" t="s">
        <v>74</v>
      </c>
      <c r="BB314" s="1" t="s">
        <v>74</v>
      </c>
      <c r="BC314" s="1" t="s">
        <v>74</v>
      </c>
      <c r="BD314" s="1">
        <v>1745.0</v>
      </c>
      <c r="BE314" s="1" t="s">
        <v>3314</v>
      </c>
      <c r="BF314" s="2" t="str">
        <f>HYPERLINK("http://dx.doi.org/10.3390/w16121745","http://dx.doi.org/10.3390/w16121745")</f>
        <v>http://dx.doi.org/10.3390/w16121745</v>
      </c>
      <c r="BG314" s="1" t="s">
        <v>74</v>
      </c>
      <c r="BH314" s="1" t="s">
        <v>74</v>
      </c>
      <c r="BI314" s="1" t="s">
        <v>74</v>
      </c>
      <c r="BJ314" s="1" t="s">
        <v>74</v>
      </c>
      <c r="BK314" s="1" t="s">
        <v>74</v>
      </c>
      <c r="BL314" s="1" t="s">
        <v>74</v>
      </c>
      <c r="BM314" s="1" t="s">
        <v>74</v>
      </c>
      <c r="BN314" s="1" t="s">
        <v>74</v>
      </c>
      <c r="BO314" s="1" t="s">
        <v>74</v>
      </c>
      <c r="BP314" s="1" t="s">
        <v>74</v>
      </c>
      <c r="BQ314" s="1" t="s">
        <v>74</v>
      </c>
      <c r="BR314" s="1" t="s">
        <v>74</v>
      </c>
      <c r="BS314" s="1" t="s">
        <v>3315</v>
      </c>
      <c r="BT314" s="1" t="str">
        <f>HYPERLINK("https%3A%2F%2Fwww.webofscience.com%2Fwos%2Fwoscc%2Ffull-record%2FWOS:001255911900001","View Full Record in Web of Science")</f>
        <v>View Full Record in Web of Science</v>
      </c>
    </row>
    <row r="315" ht="12.75" customHeight="1">
      <c r="A315" s="1" t="s">
        <v>72</v>
      </c>
      <c r="B315" s="1" t="s">
        <v>3316</v>
      </c>
      <c r="C315" s="1" t="s">
        <v>74</v>
      </c>
      <c r="D315" s="1" t="s">
        <v>74</v>
      </c>
      <c r="E315" s="1" t="s">
        <v>74</v>
      </c>
      <c r="F315" s="1" t="s">
        <v>3317</v>
      </c>
      <c r="G315" s="1" t="s">
        <v>74</v>
      </c>
      <c r="H315" s="1" t="s">
        <v>74</v>
      </c>
      <c r="I315" s="1" t="s">
        <v>3318</v>
      </c>
      <c r="J315" s="1" t="s">
        <v>3319</v>
      </c>
      <c r="K315" s="1" t="s">
        <v>74</v>
      </c>
      <c r="L315" s="1" t="s">
        <v>74</v>
      </c>
      <c r="M315" s="1" t="s">
        <v>74</v>
      </c>
      <c r="N315" s="1" t="s">
        <v>74</v>
      </c>
      <c r="O315" s="1" t="s">
        <v>74</v>
      </c>
      <c r="P315" s="1" t="s">
        <v>74</v>
      </c>
      <c r="Q315" s="1" t="s">
        <v>74</v>
      </c>
      <c r="R315" s="1" t="s">
        <v>74</v>
      </c>
      <c r="S315" s="1" t="s">
        <v>74</v>
      </c>
      <c r="T315" s="1" t="s">
        <v>74</v>
      </c>
      <c r="U315" s="1" t="s">
        <v>74</v>
      </c>
      <c r="V315" s="1" t="s">
        <v>3320</v>
      </c>
      <c r="W315" s="1" t="s">
        <v>74</v>
      </c>
      <c r="X315" s="1" t="s">
        <v>74</v>
      </c>
      <c r="Y315" s="1" t="s">
        <v>74</v>
      </c>
      <c r="Z315" s="1" t="s">
        <v>74</v>
      </c>
      <c r="AA315" s="1" t="s">
        <v>3321</v>
      </c>
      <c r="AB315" s="1" t="s">
        <v>3322</v>
      </c>
      <c r="AC315" s="1" t="s">
        <v>74</v>
      </c>
      <c r="AD315" s="1" t="s">
        <v>74</v>
      </c>
      <c r="AE315" s="1" t="s">
        <v>74</v>
      </c>
      <c r="AF315" s="1" t="s">
        <v>74</v>
      </c>
      <c r="AG315" s="1" t="s">
        <v>74</v>
      </c>
      <c r="AH315" s="1" t="s">
        <v>74</v>
      </c>
      <c r="AI315" s="1" t="s">
        <v>74</v>
      </c>
      <c r="AJ315" s="1" t="s">
        <v>74</v>
      </c>
      <c r="AK315" s="1" t="s">
        <v>74</v>
      </c>
      <c r="AL315" s="1" t="s">
        <v>74</v>
      </c>
      <c r="AM315" s="1" t="s">
        <v>74</v>
      </c>
      <c r="AN315" s="1" t="s">
        <v>74</v>
      </c>
      <c r="AO315" s="1" t="s">
        <v>3323</v>
      </c>
      <c r="AP315" s="1" t="s">
        <v>74</v>
      </c>
      <c r="AQ315" s="1" t="s">
        <v>74</v>
      </c>
      <c r="AR315" s="1" t="s">
        <v>74</v>
      </c>
      <c r="AS315" s="1" t="s">
        <v>74</v>
      </c>
      <c r="AT315" s="1" t="s">
        <v>398</v>
      </c>
      <c r="AU315" s="1">
        <v>2023.0</v>
      </c>
      <c r="AV315" s="1">
        <v>6.0</v>
      </c>
      <c r="AW315" s="1">
        <v>2.0</v>
      </c>
      <c r="AX315" s="1" t="s">
        <v>74</v>
      </c>
      <c r="AY315" s="1" t="s">
        <v>74</v>
      </c>
      <c r="AZ315" s="1" t="s">
        <v>74</v>
      </c>
      <c r="BA315" s="1" t="s">
        <v>74</v>
      </c>
      <c r="BB315" s="1">
        <v>2126.0</v>
      </c>
      <c r="BC315" s="1">
        <v>2151.0</v>
      </c>
      <c r="BD315" s="1" t="s">
        <v>74</v>
      </c>
      <c r="BE315" s="1" t="s">
        <v>3324</v>
      </c>
      <c r="BF315" s="2" t="str">
        <f>HYPERLINK("http://dx.doi.org/10.3390/heritage6020114","http://dx.doi.org/10.3390/heritage6020114")</f>
        <v>http://dx.doi.org/10.3390/heritage6020114</v>
      </c>
      <c r="BG315" s="1" t="s">
        <v>74</v>
      </c>
      <c r="BH315" s="1" t="s">
        <v>74</v>
      </c>
      <c r="BI315" s="1" t="s">
        <v>74</v>
      </c>
      <c r="BJ315" s="1" t="s">
        <v>74</v>
      </c>
      <c r="BK315" s="1" t="s">
        <v>74</v>
      </c>
      <c r="BL315" s="1" t="s">
        <v>74</v>
      </c>
      <c r="BM315" s="1" t="s">
        <v>74</v>
      </c>
      <c r="BN315" s="1" t="s">
        <v>74</v>
      </c>
      <c r="BO315" s="1" t="s">
        <v>74</v>
      </c>
      <c r="BP315" s="1" t="s">
        <v>74</v>
      </c>
      <c r="BQ315" s="1" t="s">
        <v>74</v>
      </c>
      <c r="BR315" s="1" t="s">
        <v>74</v>
      </c>
      <c r="BS315" s="1" t="s">
        <v>3325</v>
      </c>
      <c r="BT315" s="1" t="str">
        <f>HYPERLINK("https%3A%2F%2Fwww.webofscience.com%2Fwos%2Fwoscc%2Ffull-record%2FWOS:000939297300001","View Full Record in Web of Science")</f>
        <v>View Full Record in Web of Science</v>
      </c>
    </row>
    <row r="316" ht="12.75" customHeight="1">
      <c r="A316" s="1" t="s">
        <v>72</v>
      </c>
      <c r="B316" s="1" t="s">
        <v>3326</v>
      </c>
      <c r="C316" s="1" t="s">
        <v>74</v>
      </c>
      <c r="D316" s="1" t="s">
        <v>74</v>
      </c>
      <c r="E316" s="1" t="s">
        <v>74</v>
      </c>
      <c r="F316" s="1" t="s">
        <v>3327</v>
      </c>
      <c r="G316" s="1" t="s">
        <v>74</v>
      </c>
      <c r="H316" s="1" t="s">
        <v>74</v>
      </c>
      <c r="I316" s="1" t="s">
        <v>3328</v>
      </c>
      <c r="J316" s="1" t="s">
        <v>3329</v>
      </c>
      <c r="K316" s="1" t="s">
        <v>74</v>
      </c>
      <c r="L316" s="1" t="s">
        <v>74</v>
      </c>
      <c r="M316" s="1" t="s">
        <v>74</v>
      </c>
      <c r="N316" s="1" t="s">
        <v>74</v>
      </c>
      <c r="O316" s="1" t="s">
        <v>74</v>
      </c>
      <c r="P316" s="1" t="s">
        <v>74</v>
      </c>
      <c r="Q316" s="1" t="s">
        <v>74</v>
      </c>
      <c r="R316" s="1" t="s">
        <v>74</v>
      </c>
      <c r="S316" s="1" t="s">
        <v>74</v>
      </c>
      <c r="T316" s="1" t="s">
        <v>74</v>
      </c>
      <c r="U316" s="1" t="s">
        <v>74</v>
      </c>
      <c r="V316" s="1" t="s">
        <v>3330</v>
      </c>
      <c r="W316" s="1" t="s">
        <v>74</v>
      </c>
      <c r="X316" s="1" t="s">
        <v>74</v>
      </c>
      <c r="Y316" s="1" t="s">
        <v>74</v>
      </c>
      <c r="Z316" s="1" t="s">
        <v>74</v>
      </c>
      <c r="AA316" s="1" t="s">
        <v>3331</v>
      </c>
      <c r="AB316" s="1" t="s">
        <v>3332</v>
      </c>
      <c r="AC316" s="1" t="s">
        <v>74</v>
      </c>
      <c r="AD316" s="1" t="s">
        <v>74</v>
      </c>
      <c r="AE316" s="1" t="s">
        <v>74</v>
      </c>
      <c r="AF316" s="1" t="s">
        <v>74</v>
      </c>
      <c r="AG316" s="1" t="s">
        <v>74</v>
      </c>
      <c r="AH316" s="1" t="s">
        <v>74</v>
      </c>
      <c r="AI316" s="1" t="s">
        <v>74</v>
      </c>
      <c r="AJ316" s="1" t="s">
        <v>74</v>
      </c>
      <c r="AK316" s="1" t="s">
        <v>74</v>
      </c>
      <c r="AL316" s="1" t="s">
        <v>74</v>
      </c>
      <c r="AM316" s="1" t="s">
        <v>74</v>
      </c>
      <c r="AN316" s="1" t="s">
        <v>74</v>
      </c>
      <c r="AO316" s="1" t="s">
        <v>74</v>
      </c>
      <c r="AP316" s="1" t="s">
        <v>3333</v>
      </c>
      <c r="AQ316" s="1" t="s">
        <v>74</v>
      </c>
      <c r="AR316" s="1" t="s">
        <v>74</v>
      </c>
      <c r="AS316" s="1" t="s">
        <v>74</v>
      </c>
      <c r="AT316" s="1" t="s">
        <v>411</v>
      </c>
      <c r="AU316" s="1">
        <v>2022.0</v>
      </c>
      <c r="AV316" s="1">
        <v>10.0</v>
      </c>
      <c r="AW316" s="1">
        <v>11.0</v>
      </c>
      <c r="AX316" s="1" t="s">
        <v>74</v>
      </c>
      <c r="AY316" s="1" t="s">
        <v>74</v>
      </c>
      <c r="AZ316" s="1" t="s">
        <v>74</v>
      </c>
      <c r="BA316" s="1" t="s">
        <v>74</v>
      </c>
      <c r="BB316" s="1" t="s">
        <v>74</v>
      </c>
      <c r="BC316" s="1" t="s">
        <v>74</v>
      </c>
      <c r="BD316" s="1" t="s">
        <v>3334</v>
      </c>
      <c r="BE316" s="1" t="s">
        <v>3335</v>
      </c>
      <c r="BF316" s="2" t="str">
        <f>HYPERLINK("http://dx.doi.org/10.1029/2021EF002560","http://dx.doi.org/10.1029/2021EF002560")</f>
        <v>http://dx.doi.org/10.1029/2021EF002560</v>
      </c>
      <c r="BG316" s="1" t="s">
        <v>74</v>
      </c>
      <c r="BH316" s="1" t="s">
        <v>74</v>
      </c>
      <c r="BI316" s="1" t="s">
        <v>74</v>
      </c>
      <c r="BJ316" s="1" t="s">
        <v>74</v>
      </c>
      <c r="BK316" s="1" t="s">
        <v>74</v>
      </c>
      <c r="BL316" s="1" t="s">
        <v>74</v>
      </c>
      <c r="BM316" s="1" t="s">
        <v>74</v>
      </c>
      <c r="BN316" s="1" t="s">
        <v>74</v>
      </c>
      <c r="BO316" s="1" t="s">
        <v>74</v>
      </c>
      <c r="BP316" s="1" t="s">
        <v>74</v>
      </c>
      <c r="BQ316" s="1" t="s">
        <v>74</v>
      </c>
      <c r="BR316" s="1" t="s">
        <v>74</v>
      </c>
      <c r="BS316" s="1" t="s">
        <v>3336</v>
      </c>
      <c r="BT316" s="1" t="str">
        <f>HYPERLINK("https%3A%2F%2Fwww.webofscience.com%2Fwos%2Fwoscc%2Ffull-record%2FWOS:000889524800001","View Full Record in Web of Science")</f>
        <v>View Full Record in Web of Science</v>
      </c>
    </row>
    <row r="317" ht="12.75" customHeight="1">
      <c r="A317" s="1" t="s">
        <v>72</v>
      </c>
      <c r="B317" s="1" t="s">
        <v>3337</v>
      </c>
      <c r="C317" s="1" t="s">
        <v>74</v>
      </c>
      <c r="D317" s="1" t="s">
        <v>74</v>
      </c>
      <c r="E317" s="1" t="s">
        <v>74</v>
      </c>
      <c r="F317" s="1" t="s">
        <v>3338</v>
      </c>
      <c r="G317" s="1" t="s">
        <v>74</v>
      </c>
      <c r="H317" s="1" t="s">
        <v>74</v>
      </c>
      <c r="I317" s="1" t="s">
        <v>3339</v>
      </c>
      <c r="J317" s="1" t="s">
        <v>2916</v>
      </c>
      <c r="K317" s="1" t="s">
        <v>74</v>
      </c>
      <c r="L317" s="1" t="s">
        <v>74</v>
      </c>
      <c r="M317" s="1" t="s">
        <v>74</v>
      </c>
      <c r="N317" s="1" t="s">
        <v>74</v>
      </c>
      <c r="O317" s="1" t="s">
        <v>74</v>
      </c>
      <c r="P317" s="1" t="s">
        <v>74</v>
      </c>
      <c r="Q317" s="1" t="s">
        <v>74</v>
      </c>
      <c r="R317" s="1" t="s">
        <v>74</v>
      </c>
      <c r="S317" s="1" t="s">
        <v>74</v>
      </c>
      <c r="T317" s="1" t="s">
        <v>74</v>
      </c>
      <c r="U317" s="1" t="s">
        <v>74</v>
      </c>
      <c r="V317" s="1" t="s">
        <v>3340</v>
      </c>
      <c r="W317" s="1" t="s">
        <v>74</v>
      </c>
      <c r="X317" s="1" t="s">
        <v>74</v>
      </c>
      <c r="Y317" s="1" t="s">
        <v>74</v>
      </c>
      <c r="Z317" s="1" t="s">
        <v>74</v>
      </c>
      <c r="AA317" s="1" t="s">
        <v>3341</v>
      </c>
      <c r="AB317" s="1" t="s">
        <v>3342</v>
      </c>
      <c r="AC317" s="1" t="s">
        <v>74</v>
      </c>
      <c r="AD317" s="1" t="s">
        <v>74</v>
      </c>
      <c r="AE317" s="1" t="s">
        <v>74</v>
      </c>
      <c r="AF317" s="1" t="s">
        <v>74</v>
      </c>
      <c r="AG317" s="1" t="s">
        <v>74</v>
      </c>
      <c r="AH317" s="1" t="s">
        <v>74</v>
      </c>
      <c r="AI317" s="1" t="s">
        <v>74</v>
      </c>
      <c r="AJ317" s="1" t="s">
        <v>74</v>
      </c>
      <c r="AK317" s="1" t="s">
        <v>74</v>
      </c>
      <c r="AL317" s="1" t="s">
        <v>74</v>
      </c>
      <c r="AM317" s="1" t="s">
        <v>74</v>
      </c>
      <c r="AN317" s="1" t="s">
        <v>74</v>
      </c>
      <c r="AO317" s="1" t="s">
        <v>2920</v>
      </c>
      <c r="AP317" s="1" t="s">
        <v>74</v>
      </c>
      <c r="AQ317" s="1" t="s">
        <v>74</v>
      </c>
      <c r="AR317" s="1" t="s">
        <v>74</v>
      </c>
      <c r="AS317" s="1" t="s">
        <v>74</v>
      </c>
      <c r="AT317" s="1" t="s">
        <v>719</v>
      </c>
      <c r="AU317" s="1">
        <v>2022.0</v>
      </c>
      <c r="AV317" s="1">
        <v>21.0</v>
      </c>
      <c r="AW317" s="1">
        <v>4.0</v>
      </c>
      <c r="AX317" s="1" t="s">
        <v>74</v>
      </c>
      <c r="AY317" s="1" t="s">
        <v>74</v>
      </c>
      <c r="AZ317" s="1" t="s">
        <v>74</v>
      </c>
      <c r="BA317" s="1" t="s">
        <v>74</v>
      </c>
      <c r="BB317" s="1">
        <v>464.0</v>
      </c>
      <c r="BC317" s="1">
        <v>484.0</v>
      </c>
      <c r="BD317" s="1" t="s">
        <v>74</v>
      </c>
      <c r="BE317" s="1" t="s">
        <v>3343</v>
      </c>
      <c r="BF317" s="2" t="str">
        <f>HYPERLINK("http://dx.doi.org/10.37360/blacpma.22.21.4.29","http://dx.doi.org/10.37360/blacpma.22.21.4.29")</f>
        <v>http://dx.doi.org/10.37360/blacpma.22.21.4.29</v>
      </c>
      <c r="BG317" s="1" t="s">
        <v>74</v>
      </c>
      <c r="BH317" s="1" t="s">
        <v>74</v>
      </c>
      <c r="BI317" s="1" t="s">
        <v>74</v>
      </c>
      <c r="BJ317" s="1" t="s">
        <v>74</v>
      </c>
      <c r="BK317" s="1" t="s">
        <v>74</v>
      </c>
      <c r="BL317" s="1" t="s">
        <v>74</v>
      </c>
      <c r="BM317" s="1" t="s">
        <v>74</v>
      </c>
      <c r="BN317" s="1" t="s">
        <v>74</v>
      </c>
      <c r="BO317" s="1" t="s">
        <v>74</v>
      </c>
      <c r="BP317" s="1" t="s">
        <v>74</v>
      </c>
      <c r="BQ317" s="1" t="s">
        <v>74</v>
      </c>
      <c r="BR317" s="1" t="s">
        <v>74</v>
      </c>
      <c r="BS317" s="1" t="s">
        <v>3344</v>
      </c>
      <c r="BT317" s="1" t="str">
        <f>HYPERLINK("https%3A%2F%2Fwww.webofscience.com%2Fwos%2Fwoscc%2Ffull-record%2FWOS:000751452300005","View Full Record in Web of Science")</f>
        <v>View Full Record in Web of Science</v>
      </c>
    </row>
    <row r="318" ht="12.75" customHeight="1">
      <c r="A318" s="1" t="s">
        <v>72</v>
      </c>
      <c r="B318" s="1" t="s">
        <v>3345</v>
      </c>
      <c r="C318" s="1" t="s">
        <v>74</v>
      </c>
      <c r="D318" s="1" t="s">
        <v>74</v>
      </c>
      <c r="E318" s="1" t="s">
        <v>74</v>
      </c>
      <c r="F318" s="1" t="s">
        <v>3346</v>
      </c>
      <c r="G318" s="1" t="s">
        <v>74</v>
      </c>
      <c r="H318" s="1" t="s">
        <v>74</v>
      </c>
      <c r="I318" s="1" t="s">
        <v>3347</v>
      </c>
      <c r="J318" s="1" t="s">
        <v>3348</v>
      </c>
      <c r="K318" s="1" t="s">
        <v>74</v>
      </c>
      <c r="L318" s="1" t="s">
        <v>74</v>
      </c>
      <c r="M318" s="1" t="s">
        <v>74</v>
      </c>
      <c r="N318" s="1" t="s">
        <v>74</v>
      </c>
      <c r="O318" s="1" t="s">
        <v>74</v>
      </c>
      <c r="P318" s="1" t="s">
        <v>74</v>
      </c>
      <c r="Q318" s="1" t="s">
        <v>74</v>
      </c>
      <c r="R318" s="1" t="s">
        <v>74</v>
      </c>
      <c r="S318" s="1" t="s">
        <v>74</v>
      </c>
      <c r="T318" s="1" t="s">
        <v>74</v>
      </c>
      <c r="U318" s="1" t="s">
        <v>74</v>
      </c>
      <c r="V318" s="1" t="s">
        <v>3349</v>
      </c>
      <c r="W318" s="1" t="s">
        <v>74</v>
      </c>
      <c r="X318" s="1" t="s">
        <v>74</v>
      </c>
      <c r="Y318" s="1" t="s">
        <v>74</v>
      </c>
      <c r="Z318" s="1" t="s">
        <v>74</v>
      </c>
      <c r="AA318" s="1" t="s">
        <v>3350</v>
      </c>
      <c r="AB318" s="1" t="s">
        <v>3351</v>
      </c>
      <c r="AC318" s="1" t="s">
        <v>74</v>
      </c>
      <c r="AD318" s="1" t="s">
        <v>74</v>
      </c>
      <c r="AE318" s="1" t="s">
        <v>74</v>
      </c>
      <c r="AF318" s="1" t="s">
        <v>74</v>
      </c>
      <c r="AG318" s="1" t="s">
        <v>74</v>
      </c>
      <c r="AH318" s="1" t="s">
        <v>74</v>
      </c>
      <c r="AI318" s="1" t="s">
        <v>74</v>
      </c>
      <c r="AJ318" s="1" t="s">
        <v>74</v>
      </c>
      <c r="AK318" s="1" t="s">
        <v>74</v>
      </c>
      <c r="AL318" s="1" t="s">
        <v>74</v>
      </c>
      <c r="AM318" s="1" t="s">
        <v>74</v>
      </c>
      <c r="AN318" s="1" t="s">
        <v>74</v>
      </c>
      <c r="AO318" s="1" t="s">
        <v>3352</v>
      </c>
      <c r="AP318" s="1" t="s">
        <v>3353</v>
      </c>
      <c r="AQ318" s="1" t="s">
        <v>74</v>
      </c>
      <c r="AR318" s="1" t="s">
        <v>74</v>
      </c>
      <c r="AS318" s="1" t="s">
        <v>74</v>
      </c>
      <c r="AT318" s="1" t="s">
        <v>155</v>
      </c>
      <c r="AU318" s="1">
        <v>2022.0</v>
      </c>
      <c r="AV318" s="1">
        <v>207.0</v>
      </c>
      <c r="AW318" s="1" t="s">
        <v>74</v>
      </c>
      <c r="AX318" s="1" t="s">
        <v>74</v>
      </c>
      <c r="AY318" s="1" t="s">
        <v>74</v>
      </c>
      <c r="AZ318" s="1" t="s">
        <v>74</v>
      </c>
      <c r="BA318" s="1" t="s">
        <v>74</v>
      </c>
      <c r="BB318" s="1">
        <v>82.0</v>
      </c>
      <c r="BC318" s="1">
        <v>87.0</v>
      </c>
      <c r="BD318" s="1" t="s">
        <v>74</v>
      </c>
      <c r="BE318" s="1" t="s">
        <v>3354</v>
      </c>
      <c r="BF318" s="2" t="str">
        <f>HYPERLINK("http://dx.doi.org/10.1016/j.puhe.2022.03.015","http://dx.doi.org/10.1016/j.puhe.2022.03.015")</f>
        <v>http://dx.doi.org/10.1016/j.puhe.2022.03.015</v>
      </c>
      <c r="BG318" s="1" t="s">
        <v>74</v>
      </c>
      <c r="BH318" s="1" t="s">
        <v>3355</v>
      </c>
      <c r="BI318" s="1" t="s">
        <v>74</v>
      </c>
      <c r="BJ318" s="1" t="s">
        <v>74</v>
      </c>
      <c r="BK318" s="1" t="s">
        <v>74</v>
      </c>
      <c r="BL318" s="1" t="s">
        <v>74</v>
      </c>
      <c r="BM318" s="1" t="s">
        <v>74</v>
      </c>
      <c r="BN318" s="1">
        <v>3.5569435E7</v>
      </c>
      <c r="BO318" s="1" t="s">
        <v>74</v>
      </c>
      <c r="BP318" s="1" t="s">
        <v>74</v>
      </c>
      <c r="BQ318" s="1" t="s">
        <v>74</v>
      </c>
      <c r="BR318" s="1" t="s">
        <v>74</v>
      </c>
      <c r="BS318" s="1" t="s">
        <v>3356</v>
      </c>
      <c r="BT318" s="1" t="str">
        <f>HYPERLINK("https%3A%2F%2Fwww.webofscience.com%2Fwos%2Fwoscc%2Ffull-record%2FWOS:000805909700002","View Full Record in Web of Science")</f>
        <v>View Full Record in Web of Science</v>
      </c>
    </row>
    <row r="319" ht="12.75" customHeight="1">
      <c r="A319" s="1" t="s">
        <v>72</v>
      </c>
      <c r="B319" s="1" t="s">
        <v>3357</v>
      </c>
      <c r="C319" s="1" t="s">
        <v>74</v>
      </c>
      <c r="D319" s="1" t="s">
        <v>74</v>
      </c>
      <c r="E319" s="1" t="s">
        <v>74</v>
      </c>
      <c r="F319" s="1" t="s">
        <v>3358</v>
      </c>
      <c r="G319" s="1" t="s">
        <v>74</v>
      </c>
      <c r="H319" s="1" t="s">
        <v>74</v>
      </c>
      <c r="I319" s="1" t="s">
        <v>3359</v>
      </c>
      <c r="J319" s="1" t="s">
        <v>2064</v>
      </c>
      <c r="K319" s="1" t="s">
        <v>74</v>
      </c>
      <c r="L319" s="1" t="s">
        <v>74</v>
      </c>
      <c r="M319" s="1" t="s">
        <v>74</v>
      </c>
      <c r="N319" s="1" t="s">
        <v>74</v>
      </c>
      <c r="O319" s="1" t="s">
        <v>74</v>
      </c>
      <c r="P319" s="1" t="s">
        <v>74</v>
      </c>
      <c r="Q319" s="1" t="s">
        <v>74</v>
      </c>
      <c r="R319" s="1" t="s">
        <v>74</v>
      </c>
      <c r="S319" s="1" t="s">
        <v>74</v>
      </c>
      <c r="T319" s="1" t="s">
        <v>74</v>
      </c>
      <c r="U319" s="1" t="s">
        <v>74</v>
      </c>
      <c r="V319" s="1" t="s">
        <v>74</v>
      </c>
      <c r="W319" s="1" t="s">
        <v>74</v>
      </c>
      <c r="X319" s="1" t="s">
        <v>74</v>
      </c>
      <c r="Y319" s="1" t="s">
        <v>74</v>
      </c>
      <c r="Z319" s="1" t="s">
        <v>74</v>
      </c>
      <c r="AA319" s="1" t="s">
        <v>3360</v>
      </c>
      <c r="AB319" s="1" t="s">
        <v>3361</v>
      </c>
      <c r="AC319" s="1" t="s">
        <v>74</v>
      </c>
      <c r="AD319" s="1" t="s">
        <v>74</v>
      </c>
      <c r="AE319" s="1" t="s">
        <v>74</v>
      </c>
      <c r="AF319" s="1" t="s">
        <v>74</v>
      </c>
      <c r="AG319" s="1" t="s">
        <v>74</v>
      </c>
      <c r="AH319" s="1" t="s">
        <v>74</v>
      </c>
      <c r="AI319" s="1" t="s">
        <v>74</v>
      </c>
      <c r="AJ319" s="1" t="s">
        <v>74</v>
      </c>
      <c r="AK319" s="1" t="s">
        <v>74</v>
      </c>
      <c r="AL319" s="1" t="s">
        <v>74</v>
      </c>
      <c r="AM319" s="1" t="s">
        <v>74</v>
      </c>
      <c r="AN319" s="1" t="s">
        <v>74</v>
      </c>
      <c r="AO319" s="1" t="s">
        <v>2068</v>
      </c>
      <c r="AP319" s="1" t="s">
        <v>74</v>
      </c>
      <c r="AQ319" s="1" t="s">
        <v>74</v>
      </c>
      <c r="AR319" s="1" t="s">
        <v>74</v>
      </c>
      <c r="AS319" s="1" t="s">
        <v>74</v>
      </c>
      <c r="AT319" s="1" t="s">
        <v>3362</v>
      </c>
      <c r="AU319" s="1">
        <v>2022.0</v>
      </c>
      <c r="AV319" s="1">
        <v>13.0</v>
      </c>
      <c r="AW319" s="1" t="s">
        <v>74</v>
      </c>
      <c r="AX319" s="1" t="s">
        <v>74</v>
      </c>
      <c r="AY319" s="1" t="s">
        <v>74</v>
      </c>
      <c r="AZ319" s="1" t="s">
        <v>74</v>
      </c>
      <c r="BA319" s="1" t="s">
        <v>74</v>
      </c>
      <c r="BB319" s="1" t="s">
        <v>74</v>
      </c>
      <c r="BC319" s="1" t="s">
        <v>74</v>
      </c>
      <c r="BD319" s="1">
        <v>850026.0</v>
      </c>
      <c r="BE319" s="1" t="s">
        <v>3363</v>
      </c>
      <c r="BF319" s="2" t="str">
        <f>HYPERLINK("http://dx.doi.org/10.3389/fimmu.2022.850026","http://dx.doi.org/10.3389/fimmu.2022.850026")</f>
        <v>http://dx.doi.org/10.3389/fimmu.2022.850026</v>
      </c>
      <c r="BG319" s="1" t="s">
        <v>74</v>
      </c>
      <c r="BH319" s="1" t="s">
        <v>74</v>
      </c>
      <c r="BI319" s="1" t="s">
        <v>74</v>
      </c>
      <c r="BJ319" s="1" t="s">
        <v>74</v>
      </c>
      <c r="BK319" s="1" t="s">
        <v>74</v>
      </c>
      <c r="BL319" s="1" t="s">
        <v>74</v>
      </c>
      <c r="BM319" s="1" t="s">
        <v>74</v>
      </c>
      <c r="BN319" s="1">
        <v>3.5371028E7</v>
      </c>
      <c r="BO319" s="1" t="s">
        <v>74</v>
      </c>
      <c r="BP319" s="1" t="s">
        <v>74</v>
      </c>
      <c r="BQ319" s="1" t="s">
        <v>74</v>
      </c>
      <c r="BR319" s="1" t="s">
        <v>74</v>
      </c>
      <c r="BS319" s="1" t="s">
        <v>3364</v>
      </c>
      <c r="BT319" s="1" t="str">
        <f>HYPERLINK("https%3A%2F%2Fwww.webofscience.com%2Fwos%2Fwoscc%2Ffull-record%2FWOS:000786543500001","View Full Record in Web of Science")</f>
        <v>View Full Record in Web of Science</v>
      </c>
    </row>
    <row r="320" ht="12.75" customHeight="1">
      <c r="A320" s="1" t="s">
        <v>72</v>
      </c>
      <c r="B320" s="1" t="s">
        <v>3365</v>
      </c>
      <c r="C320" s="1" t="s">
        <v>74</v>
      </c>
      <c r="D320" s="1" t="s">
        <v>74</v>
      </c>
      <c r="E320" s="1" t="s">
        <v>74</v>
      </c>
      <c r="F320" s="1" t="s">
        <v>3366</v>
      </c>
      <c r="G320" s="1" t="s">
        <v>74</v>
      </c>
      <c r="H320" s="1" t="s">
        <v>74</v>
      </c>
      <c r="I320" s="1" t="s">
        <v>3367</v>
      </c>
      <c r="J320" s="1" t="s">
        <v>3248</v>
      </c>
      <c r="K320" s="1" t="s">
        <v>74</v>
      </c>
      <c r="L320" s="1" t="s">
        <v>74</v>
      </c>
      <c r="M320" s="1" t="s">
        <v>74</v>
      </c>
      <c r="N320" s="1" t="s">
        <v>74</v>
      </c>
      <c r="O320" s="1" t="s">
        <v>74</v>
      </c>
      <c r="P320" s="1" t="s">
        <v>74</v>
      </c>
      <c r="Q320" s="1" t="s">
        <v>74</v>
      </c>
      <c r="R320" s="1" t="s">
        <v>74</v>
      </c>
      <c r="S320" s="1" t="s">
        <v>74</v>
      </c>
      <c r="T320" s="1" t="s">
        <v>74</v>
      </c>
      <c r="U320" s="1" t="s">
        <v>74</v>
      </c>
      <c r="V320" s="1" t="s">
        <v>3368</v>
      </c>
      <c r="W320" s="1" t="s">
        <v>74</v>
      </c>
      <c r="X320" s="1" t="s">
        <v>74</v>
      </c>
      <c r="Y320" s="1" t="s">
        <v>74</v>
      </c>
      <c r="Z320" s="1" t="s">
        <v>74</v>
      </c>
      <c r="AA320" s="1" t="s">
        <v>3369</v>
      </c>
      <c r="AB320" s="1" t="s">
        <v>3370</v>
      </c>
      <c r="AC320" s="1" t="s">
        <v>74</v>
      </c>
      <c r="AD320" s="1" t="s">
        <v>74</v>
      </c>
      <c r="AE320" s="1" t="s">
        <v>74</v>
      </c>
      <c r="AF320" s="1" t="s">
        <v>74</v>
      </c>
      <c r="AG320" s="1" t="s">
        <v>74</v>
      </c>
      <c r="AH320" s="1" t="s">
        <v>74</v>
      </c>
      <c r="AI320" s="1" t="s">
        <v>74</v>
      </c>
      <c r="AJ320" s="1" t="s">
        <v>74</v>
      </c>
      <c r="AK320" s="1" t="s">
        <v>74</v>
      </c>
      <c r="AL320" s="1" t="s">
        <v>74</v>
      </c>
      <c r="AM320" s="1" t="s">
        <v>74</v>
      </c>
      <c r="AN320" s="1" t="s">
        <v>74</v>
      </c>
      <c r="AO320" s="1" t="s">
        <v>3252</v>
      </c>
      <c r="AP320" s="1" t="s">
        <v>3253</v>
      </c>
      <c r="AQ320" s="1" t="s">
        <v>74</v>
      </c>
      <c r="AR320" s="1" t="s">
        <v>74</v>
      </c>
      <c r="AS320" s="1" t="s">
        <v>74</v>
      </c>
      <c r="AT320" s="1" t="s">
        <v>3371</v>
      </c>
      <c r="AU320" s="1">
        <v>2022.0</v>
      </c>
      <c r="AV320" s="1">
        <v>18.0</v>
      </c>
      <c r="AW320" s="1">
        <v>4.0</v>
      </c>
      <c r="AX320" s="1" t="s">
        <v>74</v>
      </c>
      <c r="AY320" s="1" t="s">
        <v>74</v>
      </c>
      <c r="AZ320" s="1" t="s">
        <v>74</v>
      </c>
      <c r="BA320" s="1" t="s">
        <v>74</v>
      </c>
      <c r="BB320" s="1">
        <v>762.0</v>
      </c>
      <c r="BC320" s="1">
        <v>767.0</v>
      </c>
      <c r="BD320" s="1" t="s">
        <v>74</v>
      </c>
      <c r="BE320" s="1" t="s">
        <v>3372</v>
      </c>
      <c r="BF320" s="2" t="str">
        <f>HYPERLINK("http://dx.doi.org/10.1039/d1sm01348c","http://dx.doi.org/10.1039/d1sm01348c")</f>
        <v>http://dx.doi.org/10.1039/d1sm01348c</v>
      </c>
      <c r="BG320" s="1" t="s">
        <v>74</v>
      </c>
      <c r="BH320" s="1" t="s">
        <v>895</v>
      </c>
      <c r="BI320" s="1" t="s">
        <v>74</v>
      </c>
      <c r="BJ320" s="1" t="s">
        <v>74</v>
      </c>
      <c r="BK320" s="1" t="s">
        <v>74</v>
      </c>
      <c r="BL320" s="1" t="s">
        <v>74</v>
      </c>
      <c r="BM320" s="1" t="s">
        <v>74</v>
      </c>
      <c r="BN320" s="1">
        <v>3.4985092E7</v>
      </c>
      <c r="BO320" s="1" t="s">
        <v>74</v>
      </c>
      <c r="BP320" s="1" t="s">
        <v>74</v>
      </c>
      <c r="BQ320" s="1" t="s">
        <v>74</v>
      </c>
      <c r="BR320" s="1" t="s">
        <v>74</v>
      </c>
      <c r="BS320" s="1" t="s">
        <v>3373</v>
      </c>
      <c r="BT320" s="1" t="str">
        <f>HYPERLINK("https%3A%2F%2Fwww.webofscience.com%2Fwos%2Fwoscc%2Ffull-record%2FWOS:000739498600001","View Full Record in Web of Science")</f>
        <v>View Full Record in Web of Science</v>
      </c>
    </row>
    <row r="321" ht="12.75" customHeight="1">
      <c r="A321" s="1" t="s">
        <v>72</v>
      </c>
      <c r="B321" s="1" t="s">
        <v>3374</v>
      </c>
      <c r="C321" s="1" t="s">
        <v>74</v>
      </c>
      <c r="D321" s="1" t="s">
        <v>74</v>
      </c>
      <c r="E321" s="1" t="s">
        <v>74</v>
      </c>
      <c r="F321" s="1" t="s">
        <v>3375</v>
      </c>
      <c r="G321" s="1" t="s">
        <v>74</v>
      </c>
      <c r="H321" s="1" t="s">
        <v>74</v>
      </c>
      <c r="I321" s="1" t="s">
        <v>3376</v>
      </c>
      <c r="J321" s="1" t="s">
        <v>3377</v>
      </c>
      <c r="K321" s="1" t="s">
        <v>74</v>
      </c>
      <c r="L321" s="1" t="s">
        <v>74</v>
      </c>
      <c r="M321" s="1" t="s">
        <v>74</v>
      </c>
      <c r="N321" s="1" t="s">
        <v>74</v>
      </c>
      <c r="O321" s="1" t="s">
        <v>74</v>
      </c>
      <c r="P321" s="1" t="s">
        <v>74</v>
      </c>
      <c r="Q321" s="1" t="s">
        <v>74</v>
      </c>
      <c r="R321" s="1" t="s">
        <v>74</v>
      </c>
      <c r="S321" s="1" t="s">
        <v>74</v>
      </c>
      <c r="T321" s="1" t="s">
        <v>74</v>
      </c>
      <c r="U321" s="1" t="s">
        <v>74</v>
      </c>
      <c r="V321" s="1" t="s">
        <v>3378</v>
      </c>
      <c r="W321" s="1" t="s">
        <v>74</v>
      </c>
      <c r="X321" s="1" t="s">
        <v>74</v>
      </c>
      <c r="Y321" s="1" t="s">
        <v>74</v>
      </c>
      <c r="Z321" s="1" t="s">
        <v>74</v>
      </c>
      <c r="AA321" s="1" t="s">
        <v>3379</v>
      </c>
      <c r="AB321" s="1" t="s">
        <v>3380</v>
      </c>
      <c r="AC321" s="1" t="s">
        <v>74</v>
      </c>
      <c r="AD321" s="1" t="s">
        <v>74</v>
      </c>
      <c r="AE321" s="1" t="s">
        <v>74</v>
      </c>
      <c r="AF321" s="1" t="s">
        <v>74</v>
      </c>
      <c r="AG321" s="1" t="s">
        <v>74</v>
      </c>
      <c r="AH321" s="1" t="s">
        <v>74</v>
      </c>
      <c r="AI321" s="1" t="s">
        <v>74</v>
      </c>
      <c r="AJ321" s="1" t="s">
        <v>74</v>
      </c>
      <c r="AK321" s="1" t="s">
        <v>74</v>
      </c>
      <c r="AL321" s="1" t="s">
        <v>74</v>
      </c>
      <c r="AM321" s="1" t="s">
        <v>74</v>
      </c>
      <c r="AN321" s="1" t="s">
        <v>74</v>
      </c>
      <c r="AO321" s="1" t="s">
        <v>3381</v>
      </c>
      <c r="AP321" s="1" t="s">
        <v>3382</v>
      </c>
      <c r="AQ321" s="1" t="s">
        <v>74</v>
      </c>
      <c r="AR321" s="1" t="s">
        <v>74</v>
      </c>
      <c r="AS321" s="1" t="s">
        <v>74</v>
      </c>
      <c r="AT321" s="1" t="s">
        <v>559</v>
      </c>
      <c r="AU321" s="1">
        <v>2021.0</v>
      </c>
      <c r="AV321" s="1">
        <v>134.0</v>
      </c>
      <c r="AW321" s="1" t="s">
        <v>74</v>
      </c>
      <c r="AX321" s="1" t="s">
        <v>74</v>
      </c>
      <c r="AY321" s="1" t="s">
        <v>74</v>
      </c>
      <c r="AZ321" s="1" t="s">
        <v>74</v>
      </c>
      <c r="BA321" s="1" t="s">
        <v>74</v>
      </c>
      <c r="BB321" s="1" t="s">
        <v>74</v>
      </c>
      <c r="BC321" s="1" t="s">
        <v>74</v>
      </c>
      <c r="BD321" s="1">
        <v>109018.0</v>
      </c>
      <c r="BE321" s="1" t="s">
        <v>3383</v>
      </c>
      <c r="BF321" s="2" t="str">
        <f>HYPERLINK("http://dx.doi.org/10.1016/j.inoche.2021.109018","http://dx.doi.org/10.1016/j.inoche.2021.109018")</f>
        <v>http://dx.doi.org/10.1016/j.inoche.2021.109018</v>
      </c>
      <c r="BG321" s="1" t="s">
        <v>74</v>
      </c>
      <c r="BH321" s="1" t="s">
        <v>98</v>
      </c>
      <c r="BI321" s="1" t="s">
        <v>74</v>
      </c>
      <c r="BJ321" s="1" t="s">
        <v>74</v>
      </c>
      <c r="BK321" s="1" t="s">
        <v>74</v>
      </c>
      <c r="BL321" s="1" t="s">
        <v>74</v>
      </c>
      <c r="BM321" s="1" t="s">
        <v>74</v>
      </c>
      <c r="BN321" s="1" t="s">
        <v>74</v>
      </c>
      <c r="BO321" s="1" t="s">
        <v>74</v>
      </c>
      <c r="BP321" s="1" t="s">
        <v>74</v>
      </c>
      <c r="BQ321" s="1" t="s">
        <v>74</v>
      </c>
      <c r="BR321" s="1" t="s">
        <v>74</v>
      </c>
      <c r="BS321" s="1" t="s">
        <v>3384</v>
      </c>
      <c r="BT321" s="1" t="str">
        <f>HYPERLINK("https%3A%2F%2Fwww.webofscience.com%2Fwos%2Fwoscc%2Ffull-record%2FWOS:000718395500002","View Full Record in Web of Science")</f>
        <v>View Full Record in Web of Science</v>
      </c>
    </row>
    <row r="322" ht="12.75" customHeight="1">
      <c r="A322" s="1" t="s">
        <v>72</v>
      </c>
      <c r="B322" s="1" t="s">
        <v>3385</v>
      </c>
      <c r="C322" s="1" t="s">
        <v>74</v>
      </c>
      <c r="D322" s="1" t="s">
        <v>74</v>
      </c>
      <c r="E322" s="1" t="s">
        <v>74</v>
      </c>
      <c r="F322" s="1" t="s">
        <v>3386</v>
      </c>
      <c r="G322" s="1" t="s">
        <v>74</v>
      </c>
      <c r="H322" s="1" t="s">
        <v>74</v>
      </c>
      <c r="I322" s="1" t="s">
        <v>3387</v>
      </c>
      <c r="J322" s="1" t="s">
        <v>3388</v>
      </c>
      <c r="K322" s="1" t="s">
        <v>74</v>
      </c>
      <c r="L322" s="1" t="s">
        <v>74</v>
      </c>
      <c r="M322" s="1" t="s">
        <v>74</v>
      </c>
      <c r="N322" s="1" t="s">
        <v>74</v>
      </c>
      <c r="O322" s="1" t="s">
        <v>74</v>
      </c>
      <c r="P322" s="1" t="s">
        <v>74</v>
      </c>
      <c r="Q322" s="1" t="s">
        <v>74</v>
      </c>
      <c r="R322" s="1" t="s">
        <v>74</v>
      </c>
      <c r="S322" s="1" t="s">
        <v>74</v>
      </c>
      <c r="T322" s="1" t="s">
        <v>74</v>
      </c>
      <c r="U322" s="1" t="s">
        <v>74</v>
      </c>
      <c r="V322" s="1" t="s">
        <v>3389</v>
      </c>
      <c r="W322" s="1" t="s">
        <v>74</v>
      </c>
      <c r="X322" s="1" t="s">
        <v>74</v>
      </c>
      <c r="Y322" s="1" t="s">
        <v>74</v>
      </c>
      <c r="Z322" s="1" t="s">
        <v>74</v>
      </c>
      <c r="AA322" s="1" t="s">
        <v>3390</v>
      </c>
      <c r="AB322" s="1" t="s">
        <v>3391</v>
      </c>
      <c r="AC322" s="1" t="s">
        <v>74</v>
      </c>
      <c r="AD322" s="1" t="s">
        <v>74</v>
      </c>
      <c r="AE322" s="1" t="s">
        <v>74</v>
      </c>
      <c r="AF322" s="1" t="s">
        <v>74</v>
      </c>
      <c r="AG322" s="1" t="s">
        <v>74</v>
      </c>
      <c r="AH322" s="1" t="s">
        <v>74</v>
      </c>
      <c r="AI322" s="1" t="s">
        <v>74</v>
      </c>
      <c r="AJ322" s="1" t="s">
        <v>74</v>
      </c>
      <c r="AK322" s="1" t="s">
        <v>74</v>
      </c>
      <c r="AL322" s="1" t="s">
        <v>74</v>
      </c>
      <c r="AM322" s="1" t="s">
        <v>74</v>
      </c>
      <c r="AN322" s="1" t="s">
        <v>74</v>
      </c>
      <c r="AO322" s="1" t="s">
        <v>3392</v>
      </c>
      <c r="AP322" s="1" t="s">
        <v>3393</v>
      </c>
      <c r="AQ322" s="1" t="s">
        <v>74</v>
      </c>
      <c r="AR322" s="1" t="s">
        <v>74</v>
      </c>
      <c r="AS322" s="1" t="s">
        <v>74</v>
      </c>
      <c r="AT322" s="1" t="s">
        <v>3274</v>
      </c>
      <c r="AU322" s="1">
        <v>2021.0</v>
      </c>
      <c r="AV322" s="1">
        <v>15.0</v>
      </c>
      <c r="AW322" s="1" t="s">
        <v>74</v>
      </c>
      <c r="AX322" s="1" t="s">
        <v>74</v>
      </c>
      <c r="AY322" s="1" t="s">
        <v>74</v>
      </c>
      <c r="AZ322" s="1" t="s">
        <v>74</v>
      </c>
      <c r="BA322" s="1" t="s">
        <v>74</v>
      </c>
      <c r="BB322" s="1">
        <v>3759.0</v>
      </c>
      <c r="BC322" s="1">
        <v>3772.0</v>
      </c>
      <c r="BD322" s="1" t="s">
        <v>74</v>
      </c>
      <c r="BE322" s="1" t="s">
        <v>3394</v>
      </c>
      <c r="BF322" s="2" t="str">
        <f>HYPERLINK("http://dx.doi.org/10.1016/j.jmrt.2021.09.132","http://dx.doi.org/10.1016/j.jmrt.2021.09.132")</f>
        <v>http://dx.doi.org/10.1016/j.jmrt.2021.09.132</v>
      </c>
      <c r="BG322" s="1" t="s">
        <v>74</v>
      </c>
      <c r="BH322" s="1" t="s">
        <v>98</v>
      </c>
      <c r="BI322" s="1" t="s">
        <v>74</v>
      </c>
      <c r="BJ322" s="1" t="s">
        <v>74</v>
      </c>
      <c r="BK322" s="1" t="s">
        <v>74</v>
      </c>
      <c r="BL322" s="1" t="s">
        <v>74</v>
      </c>
      <c r="BM322" s="1" t="s">
        <v>74</v>
      </c>
      <c r="BN322" s="1" t="s">
        <v>74</v>
      </c>
      <c r="BO322" s="1" t="s">
        <v>74</v>
      </c>
      <c r="BP322" s="1" t="s">
        <v>74</v>
      </c>
      <c r="BQ322" s="1" t="s">
        <v>74</v>
      </c>
      <c r="BR322" s="1" t="s">
        <v>74</v>
      </c>
      <c r="BS322" s="1" t="s">
        <v>3395</v>
      </c>
      <c r="BT322" s="1" t="str">
        <f>HYPERLINK("https%3A%2F%2Fwww.webofscience.com%2Fwos%2Fwoscc%2Ffull-record%2FWOS:000712094100007","View Full Record in Web of Science")</f>
        <v>View Full Record in Web of Science</v>
      </c>
    </row>
    <row r="323" ht="12.75" customHeight="1">
      <c r="A323" s="1" t="s">
        <v>72</v>
      </c>
      <c r="B323" s="1" t="s">
        <v>3396</v>
      </c>
      <c r="C323" s="1" t="s">
        <v>74</v>
      </c>
      <c r="D323" s="1" t="s">
        <v>74</v>
      </c>
      <c r="E323" s="1" t="s">
        <v>74</v>
      </c>
      <c r="F323" s="1" t="s">
        <v>3397</v>
      </c>
      <c r="G323" s="1" t="s">
        <v>74</v>
      </c>
      <c r="H323" s="1" t="s">
        <v>74</v>
      </c>
      <c r="I323" s="1" t="s">
        <v>3398</v>
      </c>
      <c r="J323" s="1" t="s">
        <v>703</v>
      </c>
      <c r="K323" s="1" t="s">
        <v>74</v>
      </c>
      <c r="L323" s="1" t="s">
        <v>74</v>
      </c>
      <c r="M323" s="1" t="s">
        <v>74</v>
      </c>
      <c r="N323" s="1" t="s">
        <v>74</v>
      </c>
      <c r="O323" s="1" t="s">
        <v>74</v>
      </c>
      <c r="P323" s="1" t="s">
        <v>74</v>
      </c>
      <c r="Q323" s="1" t="s">
        <v>74</v>
      </c>
      <c r="R323" s="1" t="s">
        <v>74</v>
      </c>
      <c r="S323" s="1" t="s">
        <v>74</v>
      </c>
      <c r="T323" s="1" t="s">
        <v>74</v>
      </c>
      <c r="U323" s="1" t="s">
        <v>74</v>
      </c>
      <c r="V323" s="1" t="s">
        <v>3399</v>
      </c>
      <c r="W323" s="1" t="s">
        <v>74</v>
      </c>
      <c r="X323" s="1" t="s">
        <v>74</v>
      </c>
      <c r="Y323" s="1" t="s">
        <v>74</v>
      </c>
      <c r="Z323" s="1" t="s">
        <v>74</v>
      </c>
      <c r="AA323" s="1" t="s">
        <v>3400</v>
      </c>
      <c r="AB323" s="1" t="s">
        <v>3401</v>
      </c>
      <c r="AC323" s="1" t="s">
        <v>74</v>
      </c>
      <c r="AD323" s="1" t="s">
        <v>74</v>
      </c>
      <c r="AE323" s="1" t="s">
        <v>74</v>
      </c>
      <c r="AF323" s="1" t="s">
        <v>74</v>
      </c>
      <c r="AG323" s="1" t="s">
        <v>74</v>
      </c>
      <c r="AH323" s="1" t="s">
        <v>74</v>
      </c>
      <c r="AI323" s="1" t="s">
        <v>74</v>
      </c>
      <c r="AJ323" s="1" t="s">
        <v>74</v>
      </c>
      <c r="AK323" s="1" t="s">
        <v>74</v>
      </c>
      <c r="AL323" s="1" t="s">
        <v>74</v>
      </c>
      <c r="AM323" s="1" t="s">
        <v>74</v>
      </c>
      <c r="AN323" s="1" t="s">
        <v>74</v>
      </c>
      <c r="AO323" s="1" t="s">
        <v>74</v>
      </c>
      <c r="AP323" s="1" t="s">
        <v>707</v>
      </c>
      <c r="AQ323" s="1" t="s">
        <v>74</v>
      </c>
      <c r="AR323" s="1" t="s">
        <v>74</v>
      </c>
      <c r="AS323" s="1" t="s">
        <v>74</v>
      </c>
      <c r="AT323" s="1" t="s">
        <v>316</v>
      </c>
      <c r="AU323" s="1">
        <v>2020.0</v>
      </c>
      <c r="AV323" s="1">
        <v>17.0</v>
      </c>
      <c r="AW323" s="1">
        <v>19.0</v>
      </c>
      <c r="AX323" s="1" t="s">
        <v>74</v>
      </c>
      <c r="AY323" s="1" t="s">
        <v>74</v>
      </c>
      <c r="AZ323" s="1" t="s">
        <v>74</v>
      </c>
      <c r="BA323" s="1" t="s">
        <v>74</v>
      </c>
      <c r="BB323" s="1" t="s">
        <v>74</v>
      </c>
      <c r="BC323" s="1" t="s">
        <v>74</v>
      </c>
      <c r="BD323" s="1">
        <v>6942.0</v>
      </c>
      <c r="BE323" s="1" t="s">
        <v>3402</v>
      </c>
      <c r="BF323" s="2" t="str">
        <f>HYPERLINK("http://dx.doi.org/10.3390/ijerph17196942","http://dx.doi.org/10.3390/ijerph17196942")</f>
        <v>http://dx.doi.org/10.3390/ijerph17196942</v>
      </c>
      <c r="BG323" s="1" t="s">
        <v>74</v>
      </c>
      <c r="BH323" s="1" t="s">
        <v>74</v>
      </c>
      <c r="BI323" s="1" t="s">
        <v>74</v>
      </c>
      <c r="BJ323" s="1" t="s">
        <v>74</v>
      </c>
      <c r="BK323" s="1" t="s">
        <v>74</v>
      </c>
      <c r="BL323" s="1" t="s">
        <v>74</v>
      </c>
      <c r="BM323" s="1" t="s">
        <v>74</v>
      </c>
      <c r="BN323" s="1">
        <v>3.297741E7</v>
      </c>
      <c r="BO323" s="1" t="s">
        <v>74</v>
      </c>
      <c r="BP323" s="1" t="s">
        <v>74</v>
      </c>
      <c r="BQ323" s="1" t="s">
        <v>74</v>
      </c>
      <c r="BR323" s="1" t="s">
        <v>74</v>
      </c>
      <c r="BS323" s="1" t="s">
        <v>3403</v>
      </c>
      <c r="BT323" s="1" t="str">
        <f>HYPERLINK("https%3A%2F%2Fwww.webofscience.com%2Fwos%2Fwoscc%2Ffull-record%2FWOS:000586685200001","View Full Record in Web of Science")</f>
        <v>View Full Record in Web of Science</v>
      </c>
    </row>
    <row r="324" ht="12.75" customHeight="1">
      <c r="A324" s="1" t="s">
        <v>72</v>
      </c>
      <c r="B324" s="1" t="s">
        <v>3404</v>
      </c>
      <c r="C324" s="1" t="s">
        <v>74</v>
      </c>
      <c r="D324" s="1" t="s">
        <v>74</v>
      </c>
      <c r="E324" s="1" t="s">
        <v>74</v>
      </c>
      <c r="F324" s="1" t="s">
        <v>3405</v>
      </c>
      <c r="G324" s="1" t="s">
        <v>74</v>
      </c>
      <c r="H324" s="1" t="s">
        <v>74</v>
      </c>
      <c r="I324" s="1" t="s">
        <v>3406</v>
      </c>
      <c r="J324" s="1" t="s">
        <v>1113</v>
      </c>
      <c r="K324" s="1" t="s">
        <v>74</v>
      </c>
      <c r="L324" s="1" t="s">
        <v>74</v>
      </c>
      <c r="M324" s="1" t="s">
        <v>74</v>
      </c>
      <c r="N324" s="1" t="s">
        <v>74</v>
      </c>
      <c r="O324" s="1" t="s">
        <v>74</v>
      </c>
      <c r="P324" s="1" t="s">
        <v>74</v>
      </c>
      <c r="Q324" s="1" t="s">
        <v>74</v>
      </c>
      <c r="R324" s="1" t="s">
        <v>74</v>
      </c>
      <c r="S324" s="1" t="s">
        <v>74</v>
      </c>
      <c r="T324" s="1" t="s">
        <v>74</v>
      </c>
      <c r="U324" s="1" t="s">
        <v>74</v>
      </c>
      <c r="V324" s="1" t="s">
        <v>3407</v>
      </c>
      <c r="W324" s="1" t="s">
        <v>74</v>
      </c>
      <c r="X324" s="1" t="s">
        <v>74</v>
      </c>
      <c r="Y324" s="1" t="s">
        <v>74</v>
      </c>
      <c r="Z324" s="1" t="s">
        <v>74</v>
      </c>
      <c r="AA324" s="1" t="s">
        <v>3408</v>
      </c>
      <c r="AB324" s="1" t="s">
        <v>3409</v>
      </c>
      <c r="AC324" s="1" t="s">
        <v>74</v>
      </c>
      <c r="AD324" s="1" t="s">
        <v>74</v>
      </c>
      <c r="AE324" s="1" t="s">
        <v>74</v>
      </c>
      <c r="AF324" s="1" t="s">
        <v>74</v>
      </c>
      <c r="AG324" s="1" t="s">
        <v>74</v>
      </c>
      <c r="AH324" s="1" t="s">
        <v>74</v>
      </c>
      <c r="AI324" s="1" t="s">
        <v>74</v>
      </c>
      <c r="AJ324" s="1" t="s">
        <v>74</v>
      </c>
      <c r="AK324" s="1" t="s">
        <v>74</v>
      </c>
      <c r="AL324" s="1" t="s">
        <v>74</v>
      </c>
      <c r="AM324" s="1" t="s">
        <v>74</v>
      </c>
      <c r="AN324" s="1" t="s">
        <v>74</v>
      </c>
      <c r="AO324" s="1" t="s">
        <v>1117</v>
      </c>
      <c r="AP324" s="1" t="s">
        <v>1118</v>
      </c>
      <c r="AQ324" s="1" t="s">
        <v>74</v>
      </c>
      <c r="AR324" s="1" t="s">
        <v>74</v>
      </c>
      <c r="AS324" s="1" t="s">
        <v>74</v>
      </c>
      <c r="AT324" s="1" t="s">
        <v>259</v>
      </c>
      <c r="AU324" s="1">
        <v>2020.0</v>
      </c>
      <c r="AV324" s="1">
        <v>77.0</v>
      </c>
      <c r="AW324" s="1">
        <v>4.0</v>
      </c>
      <c r="AX324" s="1" t="s">
        <v>74</v>
      </c>
      <c r="AY324" s="1" t="s">
        <v>74</v>
      </c>
      <c r="AZ324" s="1" t="s">
        <v>74</v>
      </c>
      <c r="BA324" s="1" t="s">
        <v>74</v>
      </c>
      <c r="BB324" s="1">
        <v>687.0</v>
      </c>
      <c r="BC324" s="1">
        <v>714.0</v>
      </c>
      <c r="BD324" s="1" t="s">
        <v>74</v>
      </c>
      <c r="BE324" s="1" t="s">
        <v>3410</v>
      </c>
      <c r="BF324" s="2" t="str">
        <f>HYPERLINK("http://dx.doi.org/10.1007/s10898-020-00905-z","http://dx.doi.org/10.1007/s10898-020-00905-z")</f>
        <v>http://dx.doi.org/10.1007/s10898-020-00905-z</v>
      </c>
      <c r="BG324" s="1" t="s">
        <v>74</v>
      </c>
      <c r="BH324" s="1" t="s">
        <v>3411</v>
      </c>
      <c r="BI324" s="1" t="s">
        <v>74</v>
      </c>
      <c r="BJ324" s="1" t="s">
        <v>74</v>
      </c>
      <c r="BK324" s="1" t="s">
        <v>74</v>
      </c>
      <c r="BL324" s="1" t="s">
        <v>74</v>
      </c>
      <c r="BM324" s="1" t="s">
        <v>74</v>
      </c>
      <c r="BN324" s="1" t="s">
        <v>74</v>
      </c>
      <c r="BO324" s="1" t="s">
        <v>74</v>
      </c>
      <c r="BP324" s="1" t="s">
        <v>74</v>
      </c>
      <c r="BQ324" s="1" t="s">
        <v>74</v>
      </c>
      <c r="BR324" s="1" t="s">
        <v>74</v>
      </c>
      <c r="BS324" s="1" t="s">
        <v>3412</v>
      </c>
      <c r="BT324" s="1" t="str">
        <f>HYPERLINK("https%3A%2F%2Fwww.webofscience.com%2Fwos%2Fwoscc%2Ffull-record%2FWOS:000531519900001","View Full Record in Web of Science")</f>
        <v>View Full Record in Web of Science</v>
      </c>
    </row>
    <row r="325" ht="12.75" customHeight="1">
      <c r="A325" s="1" t="s">
        <v>72</v>
      </c>
      <c r="B325" s="1" t="s">
        <v>3413</v>
      </c>
      <c r="C325" s="1" t="s">
        <v>74</v>
      </c>
      <c r="D325" s="1" t="s">
        <v>74</v>
      </c>
      <c r="E325" s="1" t="s">
        <v>74</v>
      </c>
      <c r="F325" s="1" t="s">
        <v>3414</v>
      </c>
      <c r="G325" s="1" t="s">
        <v>74</v>
      </c>
      <c r="H325" s="1" t="s">
        <v>74</v>
      </c>
      <c r="I325" s="1" t="s">
        <v>3415</v>
      </c>
      <c r="J325" s="1" t="s">
        <v>3416</v>
      </c>
      <c r="K325" s="1" t="s">
        <v>74</v>
      </c>
      <c r="L325" s="1" t="s">
        <v>74</v>
      </c>
      <c r="M325" s="1" t="s">
        <v>74</v>
      </c>
      <c r="N325" s="1" t="s">
        <v>74</v>
      </c>
      <c r="O325" s="1" t="s">
        <v>74</v>
      </c>
      <c r="P325" s="1" t="s">
        <v>74</v>
      </c>
      <c r="Q325" s="1" t="s">
        <v>74</v>
      </c>
      <c r="R325" s="1" t="s">
        <v>74</v>
      </c>
      <c r="S325" s="1" t="s">
        <v>74</v>
      </c>
      <c r="T325" s="1" t="s">
        <v>74</v>
      </c>
      <c r="U325" s="1" t="s">
        <v>74</v>
      </c>
      <c r="V325" s="1" t="s">
        <v>3417</v>
      </c>
      <c r="W325" s="1" t="s">
        <v>74</v>
      </c>
      <c r="X325" s="1" t="s">
        <v>74</v>
      </c>
      <c r="Y325" s="1" t="s">
        <v>74</v>
      </c>
      <c r="Z325" s="1" t="s">
        <v>74</v>
      </c>
      <c r="AA325" s="1" t="s">
        <v>3418</v>
      </c>
      <c r="AB325" s="1" t="s">
        <v>3419</v>
      </c>
      <c r="AC325" s="1" t="s">
        <v>74</v>
      </c>
      <c r="AD325" s="1" t="s">
        <v>74</v>
      </c>
      <c r="AE325" s="1" t="s">
        <v>74</v>
      </c>
      <c r="AF325" s="1" t="s">
        <v>74</v>
      </c>
      <c r="AG325" s="1" t="s">
        <v>74</v>
      </c>
      <c r="AH325" s="1" t="s">
        <v>74</v>
      </c>
      <c r="AI325" s="1" t="s">
        <v>74</v>
      </c>
      <c r="AJ325" s="1" t="s">
        <v>74</v>
      </c>
      <c r="AK325" s="1" t="s">
        <v>74</v>
      </c>
      <c r="AL325" s="1" t="s">
        <v>74</v>
      </c>
      <c r="AM325" s="1" t="s">
        <v>74</v>
      </c>
      <c r="AN325" s="1" t="s">
        <v>74</v>
      </c>
      <c r="AO325" s="1" t="s">
        <v>74</v>
      </c>
      <c r="AP325" s="1" t="s">
        <v>3420</v>
      </c>
      <c r="AQ325" s="1" t="s">
        <v>74</v>
      </c>
      <c r="AR325" s="1" t="s">
        <v>74</v>
      </c>
      <c r="AS325" s="1" t="s">
        <v>74</v>
      </c>
      <c r="AT325" s="1" t="s">
        <v>438</v>
      </c>
      <c r="AU325" s="1">
        <v>2018.0</v>
      </c>
      <c r="AV325" s="1">
        <v>6.0</v>
      </c>
      <c r="AW325" s="1">
        <v>2.0</v>
      </c>
      <c r="AX325" s="1" t="s">
        <v>74</v>
      </c>
      <c r="AY325" s="1" t="s">
        <v>74</v>
      </c>
      <c r="AZ325" s="1" t="s">
        <v>74</v>
      </c>
      <c r="BA325" s="1" t="s">
        <v>74</v>
      </c>
      <c r="BB325" s="1">
        <v>2696.0</v>
      </c>
      <c r="BC325" s="1">
        <v>2704.0</v>
      </c>
      <c r="BD325" s="1" t="s">
        <v>74</v>
      </c>
      <c r="BE325" s="1" t="s">
        <v>3421</v>
      </c>
      <c r="BF325" s="2" t="str">
        <f>HYPERLINK("http://dx.doi.org/10.1016/j.jece.2018.03.034","http://dx.doi.org/10.1016/j.jece.2018.03.034")</f>
        <v>http://dx.doi.org/10.1016/j.jece.2018.03.034</v>
      </c>
      <c r="BG325" s="1" t="s">
        <v>74</v>
      </c>
      <c r="BH325" s="1" t="s">
        <v>74</v>
      </c>
      <c r="BI325" s="1" t="s">
        <v>74</v>
      </c>
      <c r="BJ325" s="1" t="s">
        <v>74</v>
      </c>
      <c r="BK325" s="1" t="s">
        <v>74</v>
      </c>
      <c r="BL325" s="1" t="s">
        <v>74</v>
      </c>
      <c r="BM325" s="1" t="s">
        <v>74</v>
      </c>
      <c r="BN325" s="1" t="s">
        <v>74</v>
      </c>
      <c r="BO325" s="1" t="s">
        <v>74</v>
      </c>
      <c r="BP325" s="1" t="s">
        <v>74</v>
      </c>
      <c r="BQ325" s="1" t="s">
        <v>74</v>
      </c>
      <c r="BR325" s="1" t="s">
        <v>74</v>
      </c>
      <c r="BS325" s="1" t="s">
        <v>3422</v>
      </c>
      <c r="BT325" s="1" t="str">
        <f>HYPERLINK("https%3A%2F%2Fwww.webofscience.com%2Fwos%2Fwoscc%2Ffull-record%2FWOS:000436927400114","View Full Record in Web of Science")</f>
        <v>View Full Record in Web of Science</v>
      </c>
    </row>
    <row r="326" ht="12.75" customHeight="1">
      <c r="A326" s="1" t="s">
        <v>72</v>
      </c>
      <c r="B326" s="1" t="s">
        <v>3423</v>
      </c>
      <c r="C326" s="1" t="s">
        <v>74</v>
      </c>
      <c r="D326" s="1" t="s">
        <v>74</v>
      </c>
      <c r="E326" s="1" t="s">
        <v>74</v>
      </c>
      <c r="F326" s="1" t="s">
        <v>3424</v>
      </c>
      <c r="G326" s="1" t="s">
        <v>74</v>
      </c>
      <c r="H326" s="1" t="s">
        <v>74</v>
      </c>
      <c r="I326" s="1" t="s">
        <v>3425</v>
      </c>
      <c r="J326" s="1" t="s">
        <v>3426</v>
      </c>
      <c r="K326" s="1" t="s">
        <v>74</v>
      </c>
      <c r="L326" s="1" t="s">
        <v>74</v>
      </c>
      <c r="M326" s="1" t="s">
        <v>74</v>
      </c>
      <c r="N326" s="1" t="s">
        <v>74</v>
      </c>
      <c r="O326" s="1" t="s">
        <v>74</v>
      </c>
      <c r="P326" s="1" t="s">
        <v>74</v>
      </c>
      <c r="Q326" s="1" t="s">
        <v>74</v>
      </c>
      <c r="R326" s="1" t="s">
        <v>74</v>
      </c>
      <c r="S326" s="1" t="s">
        <v>74</v>
      </c>
      <c r="T326" s="1" t="s">
        <v>74</v>
      </c>
      <c r="U326" s="1" t="s">
        <v>74</v>
      </c>
      <c r="V326" s="1" t="s">
        <v>3427</v>
      </c>
      <c r="W326" s="1" t="s">
        <v>74</v>
      </c>
      <c r="X326" s="1" t="s">
        <v>74</v>
      </c>
      <c r="Y326" s="1" t="s">
        <v>74</v>
      </c>
      <c r="Z326" s="1" t="s">
        <v>74</v>
      </c>
      <c r="AA326" s="1" t="s">
        <v>3428</v>
      </c>
      <c r="AB326" s="1" t="s">
        <v>3429</v>
      </c>
      <c r="AC326" s="1" t="s">
        <v>74</v>
      </c>
      <c r="AD326" s="1" t="s">
        <v>74</v>
      </c>
      <c r="AE326" s="1" t="s">
        <v>74</v>
      </c>
      <c r="AF326" s="1" t="s">
        <v>74</v>
      </c>
      <c r="AG326" s="1" t="s">
        <v>74</v>
      </c>
      <c r="AH326" s="1" t="s">
        <v>74</v>
      </c>
      <c r="AI326" s="1" t="s">
        <v>74</v>
      </c>
      <c r="AJ326" s="1" t="s">
        <v>74</v>
      </c>
      <c r="AK326" s="1" t="s">
        <v>74</v>
      </c>
      <c r="AL326" s="1" t="s">
        <v>74</v>
      </c>
      <c r="AM326" s="1" t="s">
        <v>74</v>
      </c>
      <c r="AN326" s="1" t="s">
        <v>74</v>
      </c>
      <c r="AO326" s="1" t="s">
        <v>3430</v>
      </c>
      <c r="AP326" s="1" t="s">
        <v>3431</v>
      </c>
      <c r="AQ326" s="1" t="s">
        <v>74</v>
      </c>
      <c r="AR326" s="1" t="s">
        <v>74</v>
      </c>
      <c r="AS326" s="1" t="s">
        <v>74</v>
      </c>
      <c r="AT326" s="1" t="s">
        <v>74</v>
      </c>
      <c r="AU326" s="1">
        <v>2017.0</v>
      </c>
      <c r="AV326" s="1">
        <v>35.0</v>
      </c>
      <c r="AW326" s="1">
        <v>8.0</v>
      </c>
      <c r="AX326" s="1" t="s">
        <v>74</v>
      </c>
      <c r="AY326" s="1" t="s">
        <v>74</v>
      </c>
      <c r="AZ326" s="1" t="s">
        <v>74</v>
      </c>
      <c r="BA326" s="1" t="s">
        <v>74</v>
      </c>
      <c r="BB326" s="1">
        <v>1785.0</v>
      </c>
      <c r="BC326" s="1">
        <v>1803.0</v>
      </c>
      <c r="BD326" s="1" t="s">
        <v>74</v>
      </c>
      <c r="BE326" s="1" t="s">
        <v>3432</v>
      </c>
      <c r="BF326" s="2" t="str">
        <f>HYPERLINK("http://dx.doi.org/10.1080/07391102.2016.1195283","http://dx.doi.org/10.1080/07391102.2016.1195283")</f>
        <v>http://dx.doi.org/10.1080/07391102.2016.1195283</v>
      </c>
      <c r="BG326" s="1" t="s">
        <v>74</v>
      </c>
      <c r="BH326" s="1" t="s">
        <v>74</v>
      </c>
      <c r="BI326" s="1" t="s">
        <v>74</v>
      </c>
      <c r="BJ326" s="1" t="s">
        <v>74</v>
      </c>
      <c r="BK326" s="1" t="s">
        <v>74</v>
      </c>
      <c r="BL326" s="1" t="s">
        <v>74</v>
      </c>
      <c r="BM326" s="1" t="s">
        <v>74</v>
      </c>
      <c r="BN326" s="1">
        <v>2.7232454E7</v>
      </c>
      <c r="BO326" s="1" t="s">
        <v>74</v>
      </c>
      <c r="BP326" s="1" t="s">
        <v>74</v>
      </c>
      <c r="BQ326" s="1" t="s">
        <v>74</v>
      </c>
      <c r="BR326" s="1" t="s">
        <v>74</v>
      </c>
      <c r="BS326" s="1" t="s">
        <v>3433</v>
      </c>
      <c r="BT326" s="1" t="str">
        <f>HYPERLINK("https%3A%2F%2Fwww.webofscience.com%2Fwos%2Fwoscc%2Ffull-record%2FWOS:000401432000012","View Full Record in Web of Science")</f>
        <v>View Full Record in Web of Science</v>
      </c>
    </row>
    <row r="327" ht="12.75" customHeight="1">
      <c r="A327" s="1" t="s">
        <v>72</v>
      </c>
      <c r="B327" s="1" t="s">
        <v>3434</v>
      </c>
      <c r="C327" s="1" t="s">
        <v>74</v>
      </c>
      <c r="D327" s="1" t="s">
        <v>74</v>
      </c>
      <c r="E327" s="1" t="s">
        <v>74</v>
      </c>
      <c r="F327" s="1" t="s">
        <v>3435</v>
      </c>
      <c r="G327" s="1" t="s">
        <v>74</v>
      </c>
      <c r="H327" s="1" t="s">
        <v>74</v>
      </c>
      <c r="I327" s="1" t="s">
        <v>3436</v>
      </c>
      <c r="J327" s="1" t="s">
        <v>3437</v>
      </c>
      <c r="K327" s="1" t="s">
        <v>74</v>
      </c>
      <c r="L327" s="1" t="s">
        <v>74</v>
      </c>
      <c r="M327" s="1" t="s">
        <v>74</v>
      </c>
      <c r="N327" s="1" t="s">
        <v>74</v>
      </c>
      <c r="O327" s="1" t="s">
        <v>74</v>
      </c>
      <c r="P327" s="1" t="s">
        <v>74</v>
      </c>
      <c r="Q327" s="1" t="s">
        <v>74</v>
      </c>
      <c r="R327" s="1" t="s">
        <v>74</v>
      </c>
      <c r="S327" s="1" t="s">
        <v>74</v>
      </c>
      <c r="T327" s="1" t="s">
        <v>74</v>
      </c>
      <c r="U327" s="1" t="s">
        <v>74</v>
      </c>
      <c r="V327" s="1" t="s">
        <v>3438</v>
      </c>
      <c r="W327" s="1" t="s">
        <v>74</v>
      </c>
      <c r="X327" s="1" t="s">
        <v>74</v>
      </c>
      <c r="Y327" s="1" t="s">
        <v>74</v>
      </c>
      <c r="Z327" s="1" t="s">
        <v>74</v>
      </c>
      <c r="AA327" s="1" t="s">
        <v>3439</v>
      </c>
      <c r="AB327" s="1" t="s">
        <v>3440</v>
      </c>
      <c r="AC327" s="1" t="s">
        <v>74</v>
      </c>
      <c r="AD327" s="1" t="s">
        <v>74</v>
      </c>
      <c r="AE327" s="1" t="s">
        <v>74</v>
      </c>
      <c r="AF327" s="1" t="s">
        <v>74</v>
      </c>
      <c r="AG327" s="1" t="s">
        <v>74</v>
      </c>
      <c r="AH327" s="1" t="s">
        <v>74</v>
      </c>
      <c r="AI327" s="1" t="s">
        <v>74</v>
      </c>
      <c r="AJ327" s="1" t="s">
        <v>74</v>
      </c>
      <c r="AK327" s="1" t="s">
        <v>74</v>
      </c>
      <c r="AL327" s="1" t="s">
        <v>74</v>
      </c>
      <c r="AM327" s="1" t="s">
        <v>74</v>
      </c>
      <c r="AN327" s="1" t="s">
        <v>74</v>
      </c>
      <c r="AO327" s="1" t="s">
        <v>3441</v>
      </c>
      <c r="AP327" s="1" t="s">
        <v>3442</v>
      </c>
      <c r="AQ327" s="1" t="s">
        <v>74</v>
      </c>
      <c r="AR327" s="1" t="s">
        <v>74</v>
      </c>
      <c r="AS327" s="1" t="s">
        <v>74</v>
      </c>
      <c r="AT327" s="1" t="s">
        <v>559</v>
      </c>
      <c r="AU327" s="1">
        <v>2015.0</v>
      </c>
      <c r="AV327" s="1">
        <v>39.0</v>
      </c>
      <c r="AW327" s="1">
        <v>6.0</v>
      </c>
      <c r="AX327" s="1" t="s">
        <v>74</v>
      </c>
      <c r="AY327" s="1" t="s">
        <v>74</v>
      </c>
      <c r="AZ327" s="1" t="s">
        <v>74</v>
      </c>
      <c r="BA327" s="1" t="s">
        <v>74</v>
      </c>
      <c r="BB327" s="1">
        <v>2844.0</v>
      </c>
      <c r="BC327" s="1">
        <v>2855.0</v>
      </c>
      <c r="BD327" s="1" t="s">
        <v>74</v>
      </c>
      <c r="BE327" s="1" t="s">
        <v>3443</v>
      </c>
      <c r="BF327" s="2" t="str">
        <f>HYPERLINK("http://dx.doi.org/10.1111/jfpp.12535","http://dx.doi.org/10.1111/jfpp.12535")</f>
        <v>http://dx.doi.org/10.1111/jfpp.12535</v>
      </c>
      <c r="BG327" s="1" t="s">
        <v>74</v>
      </c>
      <c r="BH327" s="1" t="s">
        <v>74</v>
      </c>
      <c r="BI327" s="1" t="s">
        <v>74</v>
      </c>
      <c r="BJ327" s="1" t="s">
        <v>74</v>
      </c>
      <c r="BK327" s="1" t="s">
        <v>74</v>
      </c>
      <c r="BL327" s="1" t="s">
        <v>74</v>
      </c>
      <c r="BM327" s="1" t="s">
        <v>74</v>
      </c>
      <c r="BN327" s="1" t="s">
        <v>74</v>
      </c>
      <c r="BO327" s="1" t="s">
        <v>74</v>
      </c>
      <c r="BP327" s="1" t="s">
        <v>74</v>
      </c>
      <c r="BQ327" s="1" t="s">
        <v>74</v>
      </c>
      <c r="BR327" s="1" t="s">
        <v>74</v>
      </c>
      <c r="BS327" s="1" t="s">
        <v>3444</v>
      </c>
      <c r="BT327" s="1" t="str">
        <f>HYPERLINK("https%3A%2F%2Fwww.webofscience.com%2Fwos%2Fwoscc%2Ffull-record%2FWOS:000368126300250","View Full Record in Web of Science")</f>
        <v>View Full Record in Web of Science</v>
      </c>
    </row>
    <row r="328" ht="12.75" customHeight="1">
      <c r="A328" s="1" t="s">
        <v>72</v>
      </c>
      <c r="B328" s="1" t="s">
        <v>3445</v>
      </c>
      <c r="C328" s="1" t="s">
        <v>74</v>
      </c>
      <c r="D328" s="1" t="s">
        <v>74</v>
      </c>
      <c r="E328" s="1" t="s">
        <v>74</v>
      </c>
      <c r="F328" s="1" t="s">
        <v>3446</v>
      </c>
      <c r="G328" s="1" t="s">
        <v>74</v>
      </c>
      <c r="H328" s="1" t="s">
        <v>74</v>
      </c>
      <c r="I328" s="1" t="s">
        <v>3447</v>
      </c>
      <c r="J328" s="1" t="s">
        <v>2334</v>
      </c>
      <c r="K328" s="1" t="s">
        <v>74</v>
      </c>
      <c r="L328" s="1" t="s">
        <v>74</v>
      </c>
      <c r="M328" s="1" t="s">
        <v>74</v>
      </c>
      <c r="N328" s="1" t="s">
        <v>74</v>
      </c>
      <c r="O328" s="1" t="s">
        <v>74</v>
      </c>
      <c r="P328" s="1" t="s">
        <v>74</v>
      </c>
      <c r="Q328" s="1" t="s">
        <v>74</v>
      </c>
      <c r="R328" s="1" t="s">
        <v>74</v>
      </c>
      <c r="S328" s="1" t="s">
        <v>74</v>
      </c>
      <c r="T328" s="1" t="s">
        <v>74</v>
      </c>
      <c r="U328" s="1" t="s">
        <v>74</v>
      </c>
      <c r="V328" s="1" t="s">
        <v>3448</v>
      </c>
      <c r="W328" s="1" t="s">
        <v>74</v>
      </c>
      <c r="X328" s="1" t="s">
        <v>74</v>
      </c>
      <c r="Y328" s="1" t="s">
        <v>74</v>
      </c>
      <c r="Z328" s="1" t="s">
        <v>74</v>
      </c>
      <c r="AA328" s="1" t="s">
        <v>3449</v>
      </c>
      <c r="AB328" s="1" t="s">
        <v>3450</v>
      </c>
      <c r="AC328" s="1" t="s">
        <v>74</v>
      </c>
      <c r="AD328" s="1" t="s">
        <v>74</v>
      </c>
      <c r="AE328" s="1" t="s">
        <v>74</v>
      </c>
      <c r="AF328" s="1" t="s">
        <v>74</v>
      </c>
      <c r="AG328" s="1" t="s">
        <v>74</v>
      </c>
      <c r="AH328" s="1" t="s">
        <v>74</v>
      </c>
      <c r="AI328" s="1" t="s">
        <v>74</v>
      </c>
      <c r="AJ328" s="1" t="s">
        <v>74</v>
      </c>
      <c r="AK328" s="1" t="s">
        <v>74</v>
      </c>
      <c r="AL328" s="1" t="s">
        <v>74</v>
      </c>
      <c r="AM328" s="1" t="s">
        <v>74</v>
      </c>
      <c r="AN328" s="1" t="s">
        <v>74</v>
      </c>
      <c r="AO328" s="1" t="s">
        <v>2338</v>
      </c>
      <c r="AP328" s="1" t="s">
        <v>2339</v>
      </c>
      <c r="AQ328" s="1" t="s">
        <v>74</v>
      </c>
      <c r="AR328" s="1" t="s">
        <v>74</v>
      </c>
      <c r="AS328" s="1" t="s">
        <v>74</v>
      </c>
      <c r="AT328" s="1" t="s">
        <v>250</v>
      </c>
      <c r="AU328" s="1">
        <v>2015.0</v>
      </c>
      <c r="AV328" s="1">
        <v>80.0</v>
      </c>
      <c r="AW328" s="1" t="s">
        <v>74</v>
      </c>
      <c r="AX328" s="1" t="s">
        <v>74</v>
      </c>
      <c r="AY328" s="1" t="s">
        <v>74</v>
      </c>
      <c r="AZ328" s="1" t="s">
        <v>74</v>
      </c>
      <c r="BA328" s="1" t="s">
        <v>74</v>
      </c>
      <c r="BB328" s="1">
        <v>70.0</v>
      </c>
      <c r="BC328" s="1">
        <v>78.0</v>
      </c>
      <c r="BD328" s="1" t="s">
        <v>74</v>
      </c>
      <c r="BE328" s="1" t="s">
        <v>3451</v>
      </c>
      <c r="BF328" s="2" t="str">
        <f>HYPERLINK("http://dx.doi.org/10.1016/j.vibspec.2015.08.002","http://dx.doi.org/10.1016/j.vibspec.2015.08.002")</f>
        <v>http://dx.doi.org/10.1016/j.vibspec.2015.08.002</v>
      </c>
      <c r="BG328" s="1" t="s">
        <v>74</v>
      </c>
      <c r="BH328" s="1" t="s">
        <v>74</v>
      </c>
      <c r="BI328" s="1" t="s">
        <v>74</v>
      </c>
      <c r="BJ328" s="1" t="s">
        <v>74</v>
      </c>
      <c r="BK328" s="1" t="s">
        <v>74</v>
      </c>
      <c r="BL328" s="1" t="s">
        <v>74</v>
      </c>
      <c r="BM328" s="1" t="s">
        <v>74</v>
      </c>
      <c r="BN328" s="1" t="s">
        <v>74</v>
      </c>
      <c r="BO328" s="1" t="s">
        <v>74</v>
      </c>
      <c r="BP328" s="1" t="s">
        <v>74</v>
      </c>
      <c r="BQ328" s="1" t="s">
        <v>74</v>
      </c>
      <c r="BR328" s="1" t="s">
        <v>74</v>
      </c>
      <c r="BS328" s="1" t="s">
        <v>3452</v>
      </c>
      <c r="BT328" s="1" t="str">
        <f>HYPERLINK("https%3A%2F%2Fwww.webofscience.com%2Fwos%2Fwoscc%2Ffull-record%2FWOS:000362858900012","View Full Record in Web of Science")</f>
        <v>View Full Record in Web of Science</v>
      </c>
    </row>
    <row r="329" ht="12.75" customHeight="1">
      <c r="A329" s="1" t="s">
        <v>72</v>
      </c>
      <c r="B329" s="1" t="s">
        <v>3453</v>
      </c>
      <c r="C329" s="1" t="s">
        <v>74</v>
      </c>
      <c r="D329" s="1" t="s">
        <v>74</v>
      </c>
      <c r="E329" s="1" t="s">
        <v>74</v>
      </c>
      <c r="F329" s="1" t="s">
        <v>3454</v>
      </c>
      <c r="G329" s="1" t="s">
        <v>74</v>
      </c>
      <c r="H329" s="1" t="s">
        <v>74</v>
      </c>
      <c r="I329" s="1" t="s">
        <v>3455</v>
      </c>
      <c r="J329" s="1" t="s">
        <v>3292</v>
      </c>
      <c r="K329" s="1" t="s">
        <v>74</v>
      </c>
      <c r="L329" s="1" t="s">
        <v>74</v>
      </c>
      <c r="M329" s="1" t="s">
        <v>74</v>
      </c>
      <c r="N329" s="1" t="s">
        <v>74</v>
      </c>
      <c r="O329" s="1" t="s">
        <v>74</v>
      </c>
      <c r="P329" s="1" t="s">
        <v>74</v>
      </c>
      <c r="Q329" s="1" t="s">
        <v>74</v>
      </c>
      <c r="R329" s="1" t="s">
        <v>74</v>
      </c>
      <c r="S329" s="1" t="s">
        <v>74</v>
      </c>
      <c r="T329" s="1" t="s">
        <v>74</v>
      </c>
      <c r="U329" s="1" t="s">
        <v>74</v>
      </c>
      <c r="V329" s="1" t="s">
        <v>3456</v>
      </c>
      <c r="W329" s="1" t="s">
        <v>74</v>
      </c>
      <c r="X329" s="1" t="s">
        <v>74</v>
      </c>
      <c r="Y329" s="1" t="s">
        <v>74</v>
      </c>
      <c r="Z329" s="1" t="s">
        <v>74</v>
      </c>
      <c r="AA329" s="1" t="s">
        <v>3457</v>
      </c>
      <c r="AB329" s="1" t="s">
        <v>3458</v>
      </c>
      <c r="AC329" s="1" t="s">
        <v>74</v>
      </c>
      <c r="AD329" s="1" t="s">
        <v>74</v>
      </c>
      <c r="AE329" s="1" t="s">
        <v>74</v>
      </c>
      <c r="AF329" s="1" t="s">
        <v>74</v>
      </c>
      <c r="AG329" s="1" t="s">
        <v>74</v>
      </c>
      <c r="AH329" s="1" t="s">
        <v>74</v>
      </c>
      <c r="AI329" s="1" t="s">
        <v>74</v>
      </c>
      <c r="AJ329" s="1" t="s">
        <v>74</v>
      </c>
      <c r="AK329" s="1" t="s">
        <v>74</v>
      </c>
      <c r="AL329" s="1" t="s">
        <v>74</v>
      </c>
      <c r="AM329" s="1" t="s">
        <v>74</v>
      </c>
      <c r="AN329" s="1" t="s">
        <v>74</v>
      </c>
      <c r="AO329" s="1" t="s">
        <v>74</v>
      </c>
      <c r="AP329" s="1" t="s">
        <v>3296</v>
      </c>
      <c r="AQ329" s="1" t="s">
        <v>74</v>
      </c>
      <c r="AR329" s="1" t="s">
        <v>74</v>
      </c>
      <c r="AS329" s="1" t="s">
        <v>74</v>
      </c>
      <c r="AT329" s="1" t="s">
        <v>74</v>
      </c>
      <c r="AU329" s="1">
        <v>2015.0</v>
      </c>
      <c r="AV329" s="1">
        <v>5.0</v>
      </c>
      <c r="AW329" s="1">
        <v>63.0</v>
      </c>
      <c r="AX329" s="1" t="s">
        <v>74</v>
      </c>
      <c r="AY329" s="1" t="s">
        <v>74</v>
      </c>
      <c r="AZ329" s="1" t="s">
        <v>74</v>
      </c>
      <c r="BA329" s="1" t="s">
        <v>74</v>
      </c>
      <c r="BB329" s="1">
        <v>50929.0</v>
      </c>
      <c r="BC329" s="1">
        <v>50937.0</v>
      </c>
      <c r="BD329" s="1" t="s">
        <v>74</v>
      </c>
      <c r="BE329" s="1" t="s">
        <v>3459</v>
      </c>
      <c r="BF329" s="2" t="str">
        <f>HYPERLINK("http://dx.doi.org/10.1039/c5ra10140a","http://dx.doi.org/10.1039/c5ra10140a")</f>
        <v>http://dx.doi.org/10.1039/c5ra10140a</v>
      </c>
      <c r="BG329" s="1" t="s">
        <v>74</v>
      </c>
      <c r="BH329" s="1" t="s">
        <v>74</v>
      </c>
      <c r="BI329" s="1" t="s">
        <v>74</v>
      </c>
      <c r="BJ329" s="1" t="s">
        <v>74</v>
      </c>
      <c r="BK329" s="1" t="s">
        <v>74</v>
      </c>
      <c r="BL329" s="1" t="s">
        <v>74</v>
      </c>
      <c r="BM329" s="1" t="s">
        <v>74</v>
      </c>
      <c r="BN329" s="1" t="s">
        <v>74</v>
      </c>
      <c r="BO329" s="1" t="s">
        <v>74</v>
      </c>
      <c r="BP329" s="1" t="s">
        <v>74</v>
      </c>
      <c r="BQ329" s="1" t="s">
        <v>74</v>
      </c>
      <c r="BR329" s="1" t="s">
        <v>74</v>
      </c>
      <c r="BS329" s="1" t="s">
        <v>3460</v>
      </c>
      <c r="BT329" s="1" t="str">
        <f>HYPERLINK("https%3A%2F%2Fwww.webofscience.com%2Fwos%2Fwoscc%2Ffull-record%2FWOS:000356303000034","View Full Record in Web of Science")</f>
        <v>View Full Record in Web of Science</v>
      </c>
    </row>
    <row r="330" ht="12.75" customHeight="1">
      <c r="A330" s="1" t="s">
        <v>72</v>
      </c>
      <c r="B330" s="1" t="s">
        <v>3461</v>
      </c>
      <c r="C330" s="1" t="s">
        <v>74</v>
      </c>
      <c r="D330" s="1" t="s">
        <v>74</v>
      </c>
      <c r="E330" s="1" t="s">
        <v>74</v>
      </c>
      <c r="F330" s="1" t="s">
        <v>3462</v>
      </c>
      <c r="G330" s="1" t="s">
        <v>74</v>
      </c>
      <c r="H330" s="1" t="s">
        <v>74</v>
      </c>
      <c r="I330" s="1" t="s">
        <v>3463</v>
      </c>
      <c r="J330" s="1" t="s">
        <v>3464</v>
      </c>
      <c r="K330" s="1" t="s">
        <v>74</v>
      </c>
      <c r="L330" s="1" t="s">
        <v>74</v>
      </c>
      <c r="M330" s="1" t="s">
        <v>74</v>
      </c>
      <c r="N330" s="1" t="s">
        <v>74</v>
      </c>
      <c r="O330" s="1" t="s">
        <v>74</v>
      </c>
      <c r="P330" s="1" t="s">
        <v>74</v>
      </c>
      <c r="Q330" s="1" t="s">
        <v>74</v>
      </c>
      <c r="R330" s="1" t="s">
        <v>74</v>
      </c>
      <c r="S330" s="1" t="s">
        <v>74</v>
      </c>
      <c r="T330" s="1" t="s">
        <v>74</v>
      </c>
      <c r="U330" s="1" t="s">
        <v>74</v>
      </c>
      <c r="V330" s="1" t="s">
        <v>3465</v>
      </c>
      <c r="W330" s="1" t="s">
        <v>74</v>
      </c>
      <c r="X330" s="1" t="s">
        <v>74</v>
      </c>
      <c r="Y330" s="1" t="s">
        <v>74</v>
      </c>
      <c r="Z330" s="1" t="s">
        <v>74</v>
      </c>
      <c r="AA330" s="1" t="s">
        <v>3466</v>
      </c>
      <c r="AB330" s="1" t="s">
        <v>74</v>
      </c>
      <c r="AC330" s="1" t="s">
        <v>74</v>
      </c>
      <c r="AD330" s="1" t="s">
        <v>74</v>
      </c>
      <c r="AE330" s="1" t="s">
        <v>74</v>
      </c>
      <c r="AF330" s="1" t="s">
        <v>74</v>
      </c>
      <c r="AG330" s="1" t="s">
        <v>74</v>
      </c>
      <c r="AH330" s="1" t="s">
        <v>74</v>
      </c>
      <c r="AI330" s="1" t="s">
        <v>74</v>
      </c>
      <c r="AJ330" s="1" t="s">
        <v>74</v>
      </c>
      <c r="AK330" s="1" t="s">
        <v>74</v>
      </c>
      <c r="AL330" s="1" t="s">
        <v>74</v>
      </c>
      <c r="AM330" s="1" t="s">
        <v>74</v>
      </c>
      <c r="AN330" s="1" t="s">
        <v>74</v>
      </c>
      <c r="AO330" s="1" t="s">
        <v>3467</v>
      </c>
      <c r="AP330" s="1" t="s">
        <v>3468</v>
      </c>
      <c r="AQ330" s="1" t="s">
        <v>74</v>
      </c>
      <c r="AR330" s="1" t="s">
        <v>74</v>
      </c>
      <c r="AS330" s="1" t="s">
        <v>74</v>
      </c>
      <c r="AT330" s="1" t="s">
        <v>74</v>
      </c>
      <c r="AU330" s="1">
        <v>2009.0</v>
      </c>
      <c r="AV330" s="1">
        <v>40.0</v>
      </c>
      <c r="AW330" s="1" t="s">
        <v>3469</v>
      </c>
      <c r="AX330" s="1" t="s">
        <v>74</v>
      </c>
      <c r="AY330" s="1" t="s">
        <v>74</v>
      </c>
      <c r="AZ330" s="1" t="s">
        <v>74</v>
      </c>
      <c r="BA330" s="1" t="s">
        <v>74</v>
      </c>
      <c r="BB330" s="1">
        <v>1862.0</v>
      </c>
      <c r="BC330" s="1">
        <v>1872.0</v>
      </c>
      <c r="BD330" s="1" t="s">
        <v>3470</v>
      </c>
      <c r="BE330" s="1" t="s">
        <v>3471</v>
      </c>
      <c r="BF330" s="2" t="str">
        <f>HYPERLINK("http://dx.doi.org/10.1080/00103620902896746","http://dx.doi.org/10.1080/00103620902896746")</f>
        <v>http://dx.doi.org/10.1080/00103620902896746</v>
      </c>
      <c r="BG330" s="1" t="s">
        <v>74</v>
      </c>
      <c r="BH330" s="1" t="s">
        <v>74</v>
      </c>
      <c r="BI330" s="1" t="s">
        <v>74</v>
      </c>
      <c r="BJ330" s="1" t="s">
        <v>74</v>
      </c>
      <c r="BK330" s="1" t="s">
        <v>74</v>
      </c>
      <c r="BL330" s="1" t="s">
        <v>74</v>
      </c>
      <c r="BM330" s="1" t="s">
        <v>74</v>
      </c>
      <c r="BN330" s="1" t="s">
        <v>74</v>
      </c>
      <c r="BO330" s="1" t="s">
        <v>74</v>
      </c>
      <c r="BP330" s="1" t="s">
        <v>74</v>
      </c>
      <c r="BQ330" s="1" t="s">
        <v>74</v>
      </c>
      <c r="BR330" s="1" t="s">
        <v>74</v>
      </c>
      <c r="BS330" s="1" t="s">
        <v>3472</v>
      </c>
      <c r="BT330" s="1" t="str">
        <f>HYPERLINK("https%3A%2F%2Fwww.webofscience.com%2Fwos%2Fwoscc%2Ffull-record%2FWOS:000274285000010","View Full Record in Web of Science")</f>
        <v>View Full Record in Web of Science</v>
      </c>
    </row>
    <row r="331" ht="12.75" customHeight="1">
      <c r="A331" s="1" t="s">
        <v>72</v>
      </c>
      <c r="B331" s="1" t="s">
        <v>3473</v>
      </c>
      <c r="C331" s="1" t="s">
        <v>74</v>
      </c>
      <c r="D331" s="1" t="s">
        <v>74</v>
      </c>
      <c r="E331" s="1" t="s">
        <v>74</v>
      </c>
      <c r="F331" s="1" t="s">
        <v>3474</v>
      </c>
      <c r="G331" s="1" t="s">
        <v>74</v>
      </c>
      <c r="H331" s="1" t="s">
        <v>74</v>
      </c>
      <c r="I331" s="1" t="s">
        <v>3475</v>
      </c>
      <c r="J331" s="1" t="s">
        <v>864</v>
      </c>
      <c r="K331" s="1" t="s">
        <v>74</v>
      </c>
      <c r="L331" s="1" t="s">
        <v>74</v>
      </c>
      <c r="M331" s="1" t="s">
        <v>74</v>
      </c>
      <c r="N331" s="1" t="s">
        <v>74</v>
      </c>
      <c r="O331" s="1" t="s">
        <v>74</v>
      </c>
      <c r="P331" s="1" t="s">
        <v>74</v>
      </c>
      <c r="Q331" s="1" t="s">
        <v>74</v>
      </c>
      <c r="R331" s="1" t="s">
        <v>74</v>
      </c>
      <c r="S331" s="1" t="s">
        <v>74</v>
      </c>
      <c r="T331" s="1" t="s">
        <v>74</v>
      </c>
      <c r="U331" s="1" t="s">
        <v>74</v>
      </c>
      <c r="V331" s="1" t="s">
        <v>3476</v>
      </c>
      <c r="W331" s="1" t="s">
        <v>74</v>
      </c>
      <c r="X331" s="1" t="s">
        <v>74</v>
      </c>
      <c r="Y331" s="1" t="s">
        <v>74</v>
      </c>
      <c r="Z331" s="1" t="s">
        <v>74</v>
      </c>
      <c r="AA331" s="1" t="s">
        <v>3477</v>
      </c>
      <c r="AB331" s="1" t="s">
        <v>3478</v>
      </c>
      <c r="AC331" s="1" t="s">
        <v>74</v>
      </c>
      <c r="AD331" s="1" t="s">
        <v>74</v>
      </c>
      <c r="AE331" s="1" t="s">
        <v>74</v>
      </c>
      <c r="AF331" s="1" t="s">
        <v>74</v>
      </c>
      <c r="AG331" s="1" t="s">
        <v>74</v>
      </c>
      <c r="AH331" s="1" t="s">
        <v>74</v>
      </c>
      <c r="AI331" s="1" t="s">
        <v>74</v>
      </c>
      <c r="AJ331" s="1" t="s">
        <v>74</v>
      </c>
      <c r="AK331" s="1" t="s">
        <v>74</v>
      </c>
      <c r="AL331" s="1" t="s">
        <v>74</v>
      </c>
      <c r="AM331" s="1" t="s">
        <v>74</v>
      </c>
      <c r="AN331" s="1" t="s">
        <v>74</v>
      </c>
      <c r="AO331" s="1" t="s">
        <v>1906</v>
      </c>
      <c r="AP331" s="1" t="s">
        <v>868</v>
      </c>
      <c r="AQ331" s="1" t="s">
        <v>74</v>
      </c>
      <c r="AR331" s="1" t="s">
        <v>74</v>
      </c>
      <c r="AS331" s="1" t="s">
        <v>74</v>
      </c>
      <c r="AT331" s="1" t="s">
        <v>3479</v>
      </c>
      <c r="AU331" s="1">
        <v>2025.0</v>
      </c>
      <c r="AV331" s="1">
        <v>26.0</v>
      </c>
      <c r="AW331" s="1">
        <v>7.0</v>
      </c>
      <c r="AX331" s="1" t="s">
        <v>74</v>
      </c>
      <c r="AY331" s="1" t="s">
        <v>74</v>
      </c>
      <c r="AZ331" s="1" t="s">
        <v>74</v>
      </c>
      <c r="BA331" s="1" t="s">
        <v>74</v>
      </c>
      <c r="BB331" s="1" t="s">
        <v>74</v>
      </c>
      <c r="BC331" s="1" t="s">
        <v>74</v>
      </c>
      <c r="BD331" s="1">
        <v>3307.0</v>
      </c>
      <c r="BE331" s="1" t="s">
        <v>3480</v>
      </c>
      <c r="BF331" s="2" t="str">
        <f>HYPERLINK("http://dx.doi.org/10.3390/ijms26073307","http://dx.doi.org/10.3390/ijms26073307")</f>
        <v>http://dx.doi.org/10.3390/ijms26073307</v>
      </c>
      <c r="BG331" s="1" t="s">
        <v>74</v>
      </c>
      <c r="BH331" s="1" t="s">
        <v>74</v>
      </c>
      <c r="BI331" s="1" t="s">
        <v>74</v>
      </c>
      <c r="BJ331" s="1" t="s">
        <v>74</v>
      </c>
      <c r="BK331" s="1" t="s">
        <v>74</v>
      </c>
      <c r="BL331" s="1" t="s">
        <v>74</v>
      </c>
      <c r="BM331" s="1" t="s">
        <v>74</v>
      </c>
      <c r="BN331" s="1">
        <v>4.024417E7</v>
      </c>
      <c r="BO331" s="1" t="s">
        <v>74</v>
      </c>
      <c r="BP331" s="1" t="s">
        <v>74</v>
      </c>
      <c r="BQ331" s="1" t="s">
        <v>74</v>
      </c>
      <c r="BR331" s="1" t="s">
        <v>74</v>
      </c>
      <c r="BS331" s="1" t="s">
        <v>3481</v>
      </c>
      <c r="BT331" s="1" t="str">
        <f>HYPERLINK("https%3A%2F%2Fwww.webofscience.com%2Fwos%2Fwoscc%2Ffull-record%2FWOS:001464011000001","View Full Record in Web of Science")</f>
        <v>View Full Record in Web of Science</v>
      </c>
    </row>
    <row r="332" ht="12.75" customHeight="1">
      <c r="A332" s="1" t="s">
        <v>72</v>
      </c>
      <c r="B332" s="1" t="s">
        <v>3482</v>
      </c>
      <c r="C332" s="1" t="s">
        <v>74</v>
      </c>
      <c r="D332" s="1" t="s">
        <v>74</v>
      </c>
      <c r="E332" s="1" t="s">
        <v>74</v>
      </c>
      <c r="F332" s="1" t="s">
        <v>3483</v>
      </c>
      <c r="G332" s="1" t="s">
        <v>74</v>
      </c>
      <c r="H332" s="1" t="s">
        <v>74</v>
      </c>
      <c r="I332" s="1" t="s">
        <v>3484</v>
      </c>
      <c r="J332" s="1" t="s">
        <v>973</v>
      </c>
      <c r="K332" s="1" t="s">
        <v>74</v>
      </c>
      <c r="L332" s="1" t="s">
        <v>74</v>
      </c>
      <c r="M332" s="1" t="s">
        <v>74</v>
      </c>
      <c r="N332" s="1" t="s">
        <v>74</v>
      </c>
      <c r="O332" s="1" t="s">
        <v>74</v>
      </c>
      <c r="P332" s="1" t="s">
        <v>74</v>
      </c>
      <c r="Q332" s="1" t="s">
        <v>74</v>
      </c>
      <c r="R332" s="1" t="s">
        <v>74</v>
      </c>
      <c r="S332" s="1" t="s">
        <v>74</v>
      </c>
      <c r="T332" s="1" t="s">
        <v>74</v>
      </c>
      <c r="U332" s="1" t="s">
        <v>74</v>
      </c>
      <c r="V332" s="1" t="s">
        <v>3485</v>
      </c>
      <c r="W332" s="1" t="s">
        <v>74</v>
      </c>
      <c r="X332" s="1" t="s">
        <v>74</v>
      </c>
      <c r="Y332" s="1" t="s">
        <v>74</v>
      </c>
      <c r="Z332" s="1" t="s">
        <v>74</v>
      </c>
      <c r="AA332" s="1" t="s">
        <v>3486</v>
      </c>
      <c r="AB332" s="1" t="s">
        <v>3487</v>
      </c>
      <c r="AC332" s="1" t="s">
        <v>74</v>
      </c>
      <c r="AD332" s="1" t="s">
        <v>74</v>
      </c>
      <c r="AE332" s="1" t="s">
        <v>74</v>
      </c>
      <c r="AF332" s="1" t="s">
        <v>74</v>
      </c>
      <c r="AG332" s="1" t="s">
        <v>74</v>
      </c>
      <c r="AH332" s="1" t="s">
        <v>74</v>
      </c>
      <c r="AI332" s="1" t="s">
        <v>74</v>
      </c>
      <c r="AJ332" s="1" t="s">
        <v>74</v>
      </c>
      <c r="AK332" s="1" t="s">
        <v>74</v>
      </c>
      <c r="AL332" s="1" t="s">
        <v>74</v>
      </c>
      <c r="AM332" s="1" t="s">
        <v>74</v>
      </c>
      <c r="AN332" s="1" t="s">
        <v>74</v>
      </c>
      <c r="AO332" s="1" t="s">
        <v>977</v>
      </c>
      <c r="AP332" s="1" t="s">
        <v>978</v>
      </c>
      <c r="AQ332" s="1" t="s">
        <v>74</v>
      </c>
      <c r="AR332" s="1" t="s">
        <v>74</v>
      </c>
      <c r="AS332" s="1" t="s">
        <v>74</v>
      </c>
      <c r="AT332" s="1" t="s">
        <v>1720</v>
      </c>
      <c r="AU332" s="1">
        <v>2025.0</v>
      </c>
      <c r="AV332" s="1">
        <v>75.0</v>
      </c>
      <c r="AW332" s="1">
        <v>1.0</v>
      </c>
      <c r="AX332" s="1" t="s">
        <v>74</v>
      </c>
      <c r="AY332" s="1" t="s">
        <v>74</v>
      </c>
      <c r="AZ332" s="1" t="s">
        <v>74</v>
      </c>
      <c r="BA332" s="1" t="s">
        <v>74</v>
      </c>
      <c r="BB332" s="1">
        <v>1033.0</v>
      </c>
      <c r="BC332" s="1">
        <v>1051.0</v>
      </c>
      <c r="BD332" s="1" t="s">
        <v>74</v>
      </c>
      <c r="BE332" s="1" t="s">
        <v>3488</v>
      </c>
      <c r="BF332" s="2" t="str">
        <f>HYPERLINK("http://dx.doi.org/10.1016/j.asr.2024.10.020","http://dx.doi.org/10.1016/j.asr.2024.10.020")</f>
        <v>http://dx.doi.org/10.1016/j.asr.2024.10.020</v>
      </c>
      <c r="BG332" s="1" t="s">
        <v>74</v>
      </c>
      <c r="BH332" s="1" t="s">
        <v>3489</v>
      </c>
      <c r="BI332" s="1" t="s">
        <v>74</v>
      </c>
      <c r="BJ332" s="1" t="s">
        <v>74</v>
      </c>
      <c r="BK332" s="1" t="s">
        <v>74</v>
      </c>
      <c r="BL332" s="1" t="s">
        <v>74</v>
      </c>
      <c r="BM332" s="1" t="s">
        <v>74</v>
      </c>
      <c r="BN332" s="1" t="s">
        <v>74</v>
      </c>
      <c r="BO332" s="1" t="s">
        <v>74</v>
      </c>
      <c r="BP332" s="1" t="s">
        <v>74</v>
      </c>
      <c r="BQ332" s="1" t="s">
        <v>74</v>
      </c>
      <c r="BR332" s="1" t="s">
        <v>74</v>
      </c>
      <c r="BS332" s="1" t="s">
        <v>3490</v>
      </c>
      <c r="BT332" s="1" t="str">
        <f>HYPERLINK("https%3A%2F%2Fwww.webofscience.com%2Fwos%2Fwoscc%2Ffull-record%2FWOS:001392513200001","View Full Record in Web of Science")</f>
        <v>View Full Record in Web of Science</v>
      </c>
    </row>
    <row r="333" ht="12.75" customHeight="1">
      <c r="A333" s="1" t="s">
        <v>72</v>
      </c>
      <c r="B333" s="1" t="s">
        <v>3491</v>
      </c>
      <c r="C333" s="1" t="s">
        <v>74</v>
      </c>
      <c r="D333" s="1" t="s">
        <v>74</v>
      </c>
      <c r="E333" s="1" t="s">
        <v>74</v>
      </c>
      <c r="F333" s="1" t="s">
        <v>3492</v>
      </c>
      <c r="G333" s="1" t="s">
        <v>74</v>
      </c>
      <c r="H333" s="1" t="s">
        <v>74</v>
      </c>
      <c r="I333" s="1" t="s">
        <v>3493</v>
      </c>
      <c r="J333" s="1" t="s">
        <v>3494</v>
      </c>
      <c r="K333" s="1" t="s">
        <v>74</v>
      </c>
      <c r="L333" s="1" t="s">
        <v>74</v>
      </c>
      <c r="M333" s="1" t="s">
        <v>74</v>
      </c>
      <c r="N333" s="1" t="s">
        <v>74</v>
      </c>
      <c r="O333" s="1" t="s">
        <v>74</v>
      </c>
      <c r="P333" s="1" t="s">
        <v>74</v>
      </c>
      <c r="Q333" s="1" t="s">
        <v>74</v>
      </c>
      <c r="R333" s="1" t="s">
        <v>74</v>
      </c>
      <c r="S333" s="1" t="s">
        <v>74</v>
      </c>
      <c r="T333" s="1" t="s">
        <v>74</v>
      </c>
      <c r="U333" s="1" t="s">
        <v>74</v>
      </c>
      <c r="V333" s="1" t="s">
        <v>3495</v>
      </c>
      <c r="W333" s="1" t="s">
        <v>74</v>
      </c>
      <c r="X333" s="1" t="s">
        <v>74</v>
      </c>
      <c r="Y333" s="1" t="s">
        <v>74</v>
      </c>
      <c r="Z333" s="1" t="s">
        <v>74</v>
      </c>
      <c r="AA333" s="1" t="s">
        <v>3496</v>
      </c>
      <c r="AB333" s="1" t="s">
        <v>3497</v>
      </c>
      <c r="AC333" s="1" t="s">
        <v>74</v>
      </c>
      <c r="AD333" s="1" t="s">
        <v>74</v>
      </c>
      <c r="AE333" s="1" t="s">
        <v>74</v>
      </c>
      <c r="AF333" s="1" t="s">
        <v>74</v>
      </c>
      <c r="AG333" s="1" t="s">
        <v>74</v>
      </c>
      <c r="AH333" s="1" t="s">
        <v>74</v>
      </c>
      <c r="AI333" s="1" t="s">
        <v>74</v>
      </c>
      <c r="AJ333" s="1" t="s">
        <v>74</v>
      </c>
      <c r="AK333" s="1" t="s">
        <v>74</v>
      </c>
      <c r="AL333" s="1" t="s">
        <v>74</v>
      </c>
      <c r="AM333" s="1" t="s">
        <v>74</v>
      </c>
      <c r="AN333" s="1" t="s">
        <v>74</v>
      </c>
      <c r="AO333" s="1" t="s">
        <v>3498</v>
      </c>
      <c r="AP333" s="1" t="s">
        <v>3499</v>
      </c>
      <c r="AQ333" s="1" t="s">
        <v>74</v>
      </c>
      <c r="AR333" s="1" t="s">
        <v>74</v>
      </c>
      <c r="AS333" s="1" t="s">
        <v>74</v>
      </c>
      <c r="AT333" s="1" t="s">
        <v>250</v>
      </c>
      <c r="AU333" s="1">
        <v>2024.0</v>
      </c>
      <c r="AV333" s="1">
        <v>191.0</v>
      </c>
      <c r="AW333" s="1">
        <v>9.0</v>
      </c>
      <c r="AX333" s="1" t="s">
        <v>74</v>
      </c>
      <c r="AY333" s="1" t="s">
        <v>74</v>
      </c>
      <c r="AZ333" s="1" t="s">
        <v>74</v>
      </c>
      <c r="BA333" s="1" t="s">
        <v>74</v>
      </c>
      <c r="BB333" s="1" t="s">
        <v>74</v>
      </c>
      <c r="BC333" s="1" t="s">
        <v>74</v>
      </c>
      <c r="BD333" s="1">
        <v>558.0</v>
      </c>
      <c r="BE333" s="1" t="s">
        <v>3500</v>
      </c>
      <c r="BF333" s="2" t="str">
        <f>HYPERLINK("http://dx.doi.org/10.1007/s00604-024-06608-6","http://dx.doi.org/10.1007/s00604-024-06608-6")</f>
        <v>http://dx.doi.org/10.1007/s00604-024-06608-6</v>
      </c>
      <c r="BG333" s="1" t="s">
        <v>74</v>
      </c>
      <c r="BH333" s="1" t="s">
        <v>74</v>
      </c>
      <c r="BI333" s="1" t="s">
        <v>74</v>
      </c>
      <c r="BJ333" s="1" t="s">
        <v>74</v>
      </c>
      <c r="BK333" s="1" t="s">
        <v>74</v>
      </c>
      <c r="BL333" s="1" t="s">
        <v>74</v>
      </c>
      <c r="BM333" s="1" t="s">
        <v>74</v>
      </c>
      <c r="BN333" s="1">
        <v>3.917782E7</v>
      </c>
      <c r="BO333" s="1" t="s">
        <v>74</v>
      </c>
      <c r="BP333" s="1" t="s">
        <v>74</v>
      </c>
      <c r="BQ333" s="1" t="s">
        <v>74</v>
      </c>
      <c r="BR333" s="1" t="s">
        <v>74</v>
      </c>
      <c r="BS333" s="1" t="s">
        <v>3501</v>
      </c>
      <c r="BT333" s="1" t="str">
        <f>HYPERLINK("https%3A%2F%2Fwww.webofscience.com%2Fwos%2Fwoscc%2Ffull-record%2FWOS:001297114700001","View Full Record in Web of Science")</f>
        <v>View Full Record in Web of Science</v>
      </c>
    </row>
    <row r="334" ht="12.75" customHeight="1">
      <c r="A334" s="1" t="s">
        <v>72</v>
      </c>
      <c r="B334" s="1" t="s">
        <v>3502</v>
      </c>
      <c r="C334" s="1" t="s">
        <v>74</v>
      </c>
      <c r="D334" s="1" t="s">
        <v>74</v>
      </c>
      <c r="E334" s="1" t="s">
        <v>74</v>
      </c>
      <c r="F334" s="1" t="s">
        <v>3503</v>
      </c>
      <c r="G334" s="1" t="s">
        <v>74</v>
      </c>
      <c r="H334" s="1" t="s">
        <v>74</v>
      </c>
      <c r="I334" s="1" t="s">
        <v>3504</v>
      </c>
      <c r="J334" s="1" t="s">
        <v>874</v>
      </c>
      <c r="K334" s="1" t="s">
        <v>74</v>
      </c>
      <c r="L334" s="1" t="s">
        <v>74</v>
      </c>
      <c r="M334" s="1" t="s">
        <v>74</v>
      </c>
      <c r="N334" s="1" t="s">
        <v>74</v>
      </c>
      <c r="O334" s="1" t="s">
        <v>74</v>
      </c>
      <c r="P334" s="1" t="s">
        <v>74</v>
      </c>
      <c r="Q334" s="1" t="s">
        <v>74</v>
      </c>
      <c r="R334" s="1" t="s">
        <v>74</v>
      </c>
      <c r="S334" s="1" t="s">
        <v>74</v>
      </c>
      <c r="T334" s="1" t="s">
        <v>74</v>
      </c>
      <c r="U334" s="1" t="s">
        <v>74</v>
      </c>
      <c r="V334" s="1" t="s">
        <v>3505</v>
      </c>
      <c r="W334" s="1" t="s">
        <v>74</v>
      </c>
      <c r="X334" s="1" t="s">
        <v>74</v>
      </c>
      <c r="Y334" s="1" t="s">
        <v>74</v>
      </c>
      <c r="Z334" s="1" t="s">
        <v>74</v>
      </c>
      <c r="AA334" s="1" t="s">
        <v>3506</v>
      </c>
      <c r="AB334" s="1" t="s">
        <v>3507</v>
      </c>
      <c r="AC334" s="1" t="s">
        <v>74</v>
      </c>
      <c r="AD334" s="1" t="s">
        <v>74</v>
      </c>
      <c r="AE334" s="1" t="s">
        <v>74</v>
      </c>
      <c r="AF334" s="1" t="s">
        <v>74</v>
      </c>
      <c r="AG334" s="1" t="s">
        <v>74</v>
      </c>
      <c r="AH334" s="1" t="s">
        <v>74</v>
      </c>
      <c r="AI334" s="1" t="s">
        <v>74</v>
      </c>
      <c r="AJ334" s="1" t="s">
        <v>74</v>
      </c>
      <c r="AK334" s="1" t="s">
        <v>74</v>
      </c>
      <c r="AL334" s="1" t="s">
        <v>74</v>
      </c>
      <c r="AM334" s="1" t="s">
        <v>74</v>
      </c>
      <c r="AN334" s="1" t="s">
        <v>74</v>
      </c>
      <c r="AO334" s="1" t="s">
        <v>878</v>
      </c>
      <c r="AP334" s="1" t="s">
        <v>879</v>
      </c>
      <c r="AQ334" s="1" t="s">
        <v>74</v>
      </c>
      <c r="AR334" s="1" t="s">
        <v>74</v>
      </c>
      <c r="AS334" s="1" t="s">
        <v>74</v>
      </c>
      <c r="AT334" s="1" t="s">
        <v>3508</v>
      </c>
      <c r="AU334" s="1">
        <v>2024.0</v>
      </c>
      <c r="AV334" s="1">
        <v>1008.0</v>
      </c>
      <c r="AW334" s="1" t="s">
        <v>74</v>
      </c>
      <c r="AX334" s="1" t="s">
        <v>74</v>
      </c>
      <c r="AY334" s="1" t="s">
        <v>74</v>
      </c>
      <c r="AZ334" s="1" t="s">
        <v>74</v>
      </c>
      <c r="BA334" s="1" t="s">
        <v>74</v>
      </c>
      <c r="BB334" s="1" t="s">
        <v>74</v>
      </c>
      <c r="BC334" s="1" t="s">
        <v>74</v>
      </c>
      <c r="BD334" s="1">
        <v>123063.0</v>
      </c>
      <c r="BE334" s="1" t="s">
        <v>3509</v>
      </c>
      <c r="BF334" s="2" t="str">
        <f>HYPERLINK("http://dx.doi.org/10.1016/j.jorganchem.2024.123063","http://dx.doi.org/10.1016/j.jorganchem.2024.123063")</f>
        <v>http://dx.doi.org/10.1016/j.jorganchem.2024.123063</v>
      </c>
      <c r="BG334" s="1" t="s">
        <v>74</v>
      </c>
      <c r="BH334" s="1" t="s">
        <v>2792</v>
      </c>
      <c r="BI334" s="1" t="s">
        <v>74</v>
      </c>
      <c r="BJ334" s="1" t="s">
        <v>74</v>
      </c>
      <c r="BK334" s="1" t="s">
        <v>74</v>
      </c>
      <c r="BL334" s="1" t="s">
        <v>74</v>
      </c>
      <c r="BM334" s="1" t="s">
        <v>74</v>
      </c>
      <c r="BN334" s="1" t="s">
        <v>74</v>
      </c>
      <c r="BO334" s="1" t="s">
        <v>74</v>
      </c>
      <c r="BP334" s="1" t="s">
        <v>74</v>
      </c>
      <c r="BQ334" s="1" t="s">
        <v>74</v>
      </c>
      <c r="BR334" s="1" t="s">
        <v>74</v>
      </c>
      <c r="BS334" s="1" t="s">
        <v>3510</v>
      </c>
      <c r="BT334" s="1" t="str">
        <f>HYPERLINK("https%3A%2F%2Fwww.webofscience.com%2Fwos%2Fwoscc%2Ffull-record%2FWOS:001202800700001","View Full Record in Web of Science")</f>
        <v>View Full Record in Web of Science</v>
      </c>
    </row>
    <row r="335" ht="12.75" customHeight="1">
      <c r="A335" s="1" t="s">
        <v>72</v>
      </c>
      <c r="B335" s="1" t="s">
        <v>3511</v>
      </c>
      <c r="C335" s="1" t="s">
        <v>74</v>
      </c>
      <c r="D335" s="1" t="s">
        <v>74</v>
      </c>
      <c r="E335" s="1" t="s">
        <v>74</v>
      </c>
      <c r="F335" s="1" t="s">
        <v>3512</v>
      </c>
      <c r="G335" s="1" t="s">
        <v>74</v>
      </c>
      <c r="H335" s="1" t="s">
        <v>74</v>
      </c>
      <c r="I335" s="1" t="s">
        <v>3513</v>
      </c>
      <c r="J335" s="1" t="s">
        <v>3514</v>
      </c>
      <c r="K335" s="1" t="s">
        <v>74</v>
      </c>
      <c r="L335" s="1" t="s">
        <v>74</v>
      </c>
      <c r="M335" s="1" t="s">
        <v>74</v>
      </c>
      <c r="N335" s="1" t="s">
        <v>74</v>
      </c>
      <c r="O335" s="1" t="s">
        <v>74</v>
      </c>
      <c r="P335" s="1" t="s">
        <v>74</v>
      </c>
      <c r="Q335" s="1" t="s">
        <v>74</v>
      </c>
      <c r="R335" s="1" t="s">
        <v>74</v>
      </c>
      <c r="S335" s="1" t="s">
        <v>74</v>
      </c>
      <c r="T335" s="1" t="s">
        <v>74</v>
      </c>
      <c r="U335" s="1" t="s">
        <v>74</v>
      </c>
      <c r="V335" s="1" t="s">
        <v>3515</v>
      </c>
      <c r="W335" s="1" t="s">
        <v>74</v>
      </c>
      <c r="X335" s="1" t="s">
        <v>74</v>
      </c>
      <c r="Y335" s="1" t="s">
        <v>74</v>
      </c>
      <c r="Z335" s="1" t="s">
        <v>74</v>
      </c>
      <c r="AA335" s="1" t="s">
        <v>3516</v>
      </c>
      <c r="AB335" s="1" t="s">
        <v>3517</v>
      </c>
      <c r="AC335" s="1" t="s">
        <v>74</v>
      </c>
      <c r="AD335" s="1" t="s">
        <v>74</v>
      </c>
      <c r="AE335" s="1" t="s">
        <v>74</v>
      </c>
      <c r="AF335" s="1" t="s">
        <v>74</v>
      </c>
      <c r="AG335" s="1" t="s">
        <v>74</v>
      </c>
      <c r="AH335" s="1" t="s">
        <v>74</v>
      </c>
      <c r="AI335" s="1" t="s">
        <v>74</v>
      </c>
      <c r="AJ335" s="1" t="s">
        <v>74</v>
      </c>
      <c r="AK335" s="1" t="s">
        <v>74</v>
      </c>
      <c r="AL335" s="1" t="s">
        <v>74</v>
      </c>
      <c r="AM335" s="1" t="s">
        <v>74</v>
      </c>
      <c r="AN335" s="1" t="s">
        <v>74</v>
      </c>
      <c r="AO335" s="1" t="s">
        <v>74</v>
      </c>
      <c r="AP335" s="1" t="s">
        <v>3518</v>
      </c>
      <c r="AQ335" s="1" t="s">
        <v>74</v>
      </c>
      <c r="AR335" s="1" t="s">
        <v>74</v>
      </c>
      <c r="AS335" s="1" t="s">
        <v>74</v>
      </c>
      <c r="AT335" s="1" t="s">
        <v>719</v>
      </c>
      <c r="AU335" s="1">
        <v>2023.0</v>
      </c>
      <c r="AV335" s="1">
        <v>11.0</v>
      </c>
      <c r="AW335" s="1">
        <v>7.0</v>
      </c>
      <c r="AX335" s="1" t="s">
        <v>74</v>
      </c>
      <c r="AY335" s="1" t="s">
        <v>74</v>
      </c>
      <c r="AZ335" s="1" t="s">
        <v>74</v>
      </c>
      <c r="BA335" s="1" t="s">
        <v>74</v>
      </c>
      <c r="BB335" s="1" t="s">
        <v>74</v>
      </c>
      <c r="BC335" s="1" t="s">
        <v>74</v>
      </c>
      <c r="BD335" s="1">
        <v>1803.0</v>
      </c>
      <c r="BE335" s="1" t="s">
        <v>3519</v>
      </c>
      <c r="BF335" s="2" t="str">
        <f>HYPERLINK("http://dx.doi.org/10.3390/microorganisms11071803","http://dx.doi.org/10.3390/microorganisms11071803")</f>
        <v>http://dx.doi.org/10.3390/microorganisms11071803</v>
      </c>
      <c r="BG335" s="1" t="s">
        <v>74</v>
      </c>
      <c r="BH335" s="1" t="s">
        <v>74</v>
      </c>
      <c r="BI335" s="1" t="s">
        <v>74</v>
      </c>
      <c r="BJ335" s="1" t="s">
        <v>74</v>
      </c>
      <c r="BK335" s="1" t="s">
        <v>74</v>
      </c>
      <c r="BL335" s="1" t="s">
        <v>74</v>
      </c>
      <c r="BM335" s="1" t="s">
        <v>74</v>
      </c>
      <c r="BN335" s="1">
        <v>3.7512975E7</v>
      </c>
      <c r="BO335" s="1" t="s">
        <v>74</v>
      </c>
      <c r="BP335" s="1" t="s">
        <v>74</v>
      </c>
      <c r="BQ335" s="1" t="s">
        <v>74</v>
      </c>
      <c r="BR335" s="1" t="s">
        <v>74</v>
      </c>
      <c r="BS335" s="1" t="s">
        <v>3520</v>
      </c>
      <c r="BT335" s="1" t="str">
        <f>HYPERLINK("https%3A%2F%2Fwww.webofscience.com%2Fwos%2Fwoscc%2Ffull-record%2FWOS:001039023600001","View Full Record in Web of Science")</f>
        <v>View Full Record in Web of Science</v>
      </c>
    </row>
    <row r="336" ht="12.75" customHeight="1">
      <c r="A336" s="1" t="s">
        <v>72</v>
      </c>
      <c r="B336" s="1" t="s">
        <v>3521</v>
      </c>
      <c r="C336" s="1" t="s">
        <v>74</v>
      </c>
      <c r="D336" s="1" t="s">
        <v>74</v>
      </c>
      <c r="E336" s="1" t="s">
        <v>74</v>
      </c>
      <c r="F336" s="1" t="s">
        <v>3522</v>
      </c>
      <c r="G336" s="1" t="s">
        <v>74</v>
      </c>
      <c r="H336" s="1" t="s">
        <v>74</v>
      </c>
      <c r="I336" s="1" t="s">
        <v>3523</v>
      </c>
      <c r="J336" s="1" t="s">
        <v>3524</v>
      </c>
      <c r="K336" s="1" t="s">
        <v>74</v>
      </c>
      <c r="L336" s="1" t="s">
        <v>74</v>
      </c>
      <c r="M336" s="1" t="s">
        <v>74</v>
      </c>
      <c r="N336" s="1" t="s">
        <v>74</v>
      </c>
      <c r="O336" s="1" t="s">
        <v>74</v>
      </c>
      <c r="P336" s="1" t="s">
        <v>74</v>
      </c>
      <c r="Q336" s="1" t="s">
        <v>74</v>
      </c>
      <c r="R336" s="1" t="s">
        <v>74</v>
      </c>
      <c r="S336" s="1" t="s">
        <v>74</v>
      </c>
      <c r="T336" s="1" t="s">
        <v>74</v>
      </c>
      <c r="U336" s="1" t="s">
        <v>74</v>
      </c>
      <c r="V336" s="1" t="s">
        <v>3525</v>
      </c>
      <c r="W336" s="1" t="s">
        <v>74</v>
      </c>
      <c r="X336" s="1" t="s">
        <v>74</v>
      </c>
      <c r="Y336" s="1" t="s">
        <v>74</v>
      </c>
      <c r="Z336" s="1" t="s">
        <v>74</v>
      </c>
      <c r="AA336" s="1" t="s">
        <v>3526</v>
      </c>
      <c r="AB336" s="1" t="s">
        <v>3527</v>
      </c>
      <c r="AC336" s="1" t="s">
        <v>74</v>
      </c>
      <c r="AD336" s="1" t="s">
        <v>74</v>
      </c>
      <c r="AE336" s="1" t="s">
        <v>74</v>
      </c>
      <c r="AF336" s="1" t="s">
        <v>74</v>
      </c>
      <c r="AG336" s="1" t="s">
        <v>74</v>
      </c>
      <c r="AH336" s="1" t="s">
        <v>74</v>
      </c>
      <c r="AI336" s="1" t="s">
        <v>74</v>
      </c>
      <c r="AJ336" s="1" t="s">
        <v>74</v>
      </c>
      <c r="AK336" s="1" t="s">
        <v>74</v>
      </c>
      <c r="AL336" s="1" t="s">
        <v>74</v>
      </c>
      <c r="AM336" s="1" t="s">
        <v>74</v>
      </c>
      <c r="AN336" s="1" t="s">
        <v>74</v>
      </c>
      <c r="AO336" s="1" t="s">
        <v>3528</v>
      </c>
      <c r="AP336" s="1" t="s">
        <v>3529</v>
      </c>
      <c r="AQ336" s="1" t="s">
        <v>74</v>
      </c>
      <c r="AR336" s="1" t="s">
        <v>74</v>
      </c>
      <c r="AS336" s="1" t="s">
        <v>74</v>
      </c>
      <c r="AT336" s="1" t="s">
        <v>3530</v>
      </c>
      <c r="AU336" s="1">
        <v>2023.0</v>
      </c>
      <c r="AV336" s="1">
        <v>23.0</v>
      </c>
      <c r="AW336" s="1">
        <v>8.0</v>
      </c>
      <c r="AX336" s="1" t="s">
        <v>74</v>
      </c>
      <c r="AY336" s="1" t="s">
        <v>74</v>
      </c>
      <c r="AZ336" s="1" t="s">
        <v>74</v>
      </c>
      <c r="BA336" s="1" t="s">
        <v>74</v>
      </c>
      <c r="BB336" s="1">
        <v>1810.0</v>
      </c>
      <c r="BC336" s="1">
        <v>1820.0</v>
      </c>
      <c r="BD336" s="1" t="s">
        <v>74</v>
      </c>
      <c r="BE336" s="1" t="s">
        <v>3531</v>
      </c>
      <c r="BF336" s="2" t="str">
        <f>HYPERLINK("http://dx.doi.org/10.1080/17461391.2023.2193944","http://dx.doi.org/10.1080/17461391.2023.2193944")</f>
        <v>http://dx.doi.org/10.1080/17461391.2023.2193944</v>
      </c>
      <c r="BG336" s="1" t="s">
        <v>74</v>
      </c>
      <c r="BH336" s="1" t="s">
        <v>1941</v>
      </c>
      <c r="BI336" s="1" t="s">
        <v>74</v>
      </c>
      <c r="BJ336" s="1" t="s">
        <v>74</v>
      </c>
      <c r="BK336" s="1" t="s">
        <v>74</v>
      </c>
      <c r="BL336" s="1" t="s">
        <v>74</v>
      </c>
      <c r="BM336" s="1" t="s">
        <v>74</v>
      </c>
      <c r="BN336" s="1">
        <v>3.6971121E7</v>
      </c>
      <c r="BO336" s="1" t="s">
        <v>74</v>
      </c>
      <c r="BP336" s="1" t="s">
        <v>74</v>
      </c>
      <c r="BQ336" s="1" t="s">
        <v>74</v>
      </c>
      <c r="BR336" s="1" t="s">
        <v>74</v>
      </c>
      <c r="BS336" s="1" t="s">
        <v>3532</v>
      </c>
      <c r="BT336" s="1" t="str">
        <f>HYPERLINK("https%3A%2F%2Fwww.webofscience.com%2Fwos%2Fwoscc%2Ffull-record%2FWOS:000973205100001","View Full Record in Web of Science")</f>
        <v>View Full Record in Web of Science</v>
      </c>
    </row>
    <row r="337" ht="12.75" customHeight="1">
      <c r="A337" s="1" t="s">
        <v>72</v>
      </c>
      <c r="B337" s="1" t="s">
        <v>3533</v>
      </c>
      <c r="C337" s="1" t="s">
        <v>74</v>
      </c>
      <c r="D337" s="1" t="s">
        <v>74</v>
      </c>
      <c r="E337" s="1" t="s">
        <v>74</v>
      </c>
      <c r="F337" s="1" t="s">
        <v>3534</v>
      </c>
      <c r="G337" s="1" t="s">
        <v>74</v>
      </c>
      <c r="H337" s="1" t="s">
        <v>74</v>
      </c>
      <c r="I337" s="1" t="s">
        <v>3535</v>
      </c>
      <c r="J337" s="1" t="s">
        <v>161</v>
      </c>
      <c r="K337" s="1" t="s">
        <v>74</v>
      </c>
      <c r="L337" s="1" t="s">
        <v>74</v>
      </c>
      <c r="M337" s="1" t="s">
        <v>74</v>
      </c>
      <c r="N337" s="1" t="s">
        <v>74</v>
      </c>
      <c r="O337" s="1" t="s">
        <v>74</v>
      </c>
      <c r="P337" s="1" t="s">
        <v>74</v>
      </c>
      <c r="Q337" s="1" t="s">
        <v>74</v>
      </c>
      <c r="R337" s="1" t="s">
        <v>74</v>
      </c>
      <c r="S337" s="1" t="s">
        <v>74</v>
      </c>
      <c r="T337" s="1" t="s">
        <v>74</v>
      </c>
      <c r="U337" s="1" t="s">
        <v>74</v>
      </c>
      <c r="V337" s="1" t="s">
        <v>3536</v>
      </c>
      <c r="W337" s="1" t="s">
        <v>74</v>
      </c>
      <c r="X337" s="1" t="s">
        <v>74</v>
      </c>
      <c r="Y337" s="1" t="s">
        <v>74</v>
      </c>
      <c r="Z337" s="1" t="s">
        <v>74</v>
      </c>
      <c r="AA337" s="1" t="s">
        <v>3537</v>
      </c>
      <c r="AB337" s="1" t="s">
        <v>3538</v>
      </c>
      <c r="AC337" s="1" t="s">
        <v>74</v>
      </c>
      <c r="AD337" s="1" t="s">
        <v>74</v>
      </c>
      <c r="AE337" s="1" t="s">
        <v>74</v>
      </c>
      <c r="AF337" s="1" t="s">
        <v>74</v>
      </c>
      <c r="AG337" s="1" t="s">
        <v>74</v>
      </c>
      <c r="AH337" s="1" t="s">
        <v>74</v>
      </c>
      <c r="AI337" s="1" t="s">
        <v>74</v>
      </c>
      <c r="AJ337" s="1" t="s">
        <v>74</v>
      </c>
      <c r="AK337" s="1" t="s">
        <v>74</v>
      </c>
      <c r="AL337" s="1" t="s">
        <v>74</v>
      </c>
      <c r="AM337" s="1" t="s">
        <v>74</v>
      </c>
      <c r="AN337" s="1" t="s">
        <v>74</v>
      </c>
      <c r="AO337" s="1" t="s">
        <v>165</v>
      </c>
      <c r="AP337" s="1" t="s">
        <v>166</v>
      </c>
      <c r="AQ337" s="1" t="s">
        <v>74</v>
      </c>
      <c r="AR337" s="1" t="s">
        <v>74</v>
      </c>
      <c r="AS337" s="1" t="s">
        <v>74</v>
      </c>
      <c r="AT337" s="1" t="s">
        <v>3539</v>
      </c>
      <c r="AU337" s="1">
        <v>2022.0</v>
      </c>
      <c r="AV337" s="1">
        <v>665.0</v>
      </c>
      <c r="AW337" s="1" t="s">
        <v>74</v>
      </c>
      <c r="AX337" s="1" t="s">
        <v>74</v>
      </c>
      <c r="AY337" s="1" t="s">
        <v>74</v>
      </c>
      <c r="AZ337" s="1" t="s">
        <v>74</v>
      </c>
      <c r="BA337" s="1" t="s">
        <v>74</v>
      </c>
      <c r="BB337" s="1" t="s">
        <v>74</v>
      </c>
      <c r="BC337" s="1" t="s">
        <v>74</v>
      </c>
      <c r="BD337" s="1" t="s">
        <v>3540</v>
      </c>
      <c r="BE337" s="1" t="s">
        <v>3541</v>
      </c>
      <c r="BF337" s="2" t="str">
        <f>HYPERLINK("http://dx.doi.org/10.1051/0004-6361/202243451","http://dx.doi.org/10.1051/0004-6361/202243451")</f>
        <v>http://dx.doi.org/10.1051/0004-6361/202243451</v>
      </c>
      <c r="BG337" s="1" t="s">
        <v>74</v>
      </c>
      <c r="BH337" s="1" t="s">
        <v>74</v>
      </c>
      <c r="BI337" s="1" t="s">
        <v>74</v>
      </c>
      <c r="BJ337" s="1" t="s">
        <v>74</v>
      </c>
      <c r="BK337" s="1" t="s">
        <v>74</v>
      </c>
      <c r="BL337" s="1" t="s">
        <v>74</v>
      </c>
      <c r="BM337" s="1" t="s">
        <v>74</v>
      </c>
      <c r="BN337" s="1" t="s">
        <v>74</v>
      </c>
      <c r="BO337" s="1" t="s">
        <v>74</v>
      </c>
      <c r="BP337" s="1" t="s">
        <v>74</v>
      </c>
      <c r="BQ337" s="1" t="s">
        <v>74</v>
      </c>
      <c r="BR337" s="1" t="s">
        <v>74</v>
      </c>
      <c r="BS337" s="1" t="s">
        <v>3542</v>
      </c>
      <c r="BT337" s="1" t="str">
        <f>HYPERLINK("https%3A%2F%2Fwww.webofscience.com%2Fwos%2Fwoscc%2Ffull-record%2FWOS:000850639800002","View Full Record in Web of Science")</f>
        <v>View Full Record in Web of Science</v>
      </c>
    </row>
    <row r="338" ht="12.75" customHeight="1">
      <c r="A338" s="1" t="s">
        <v>72</v>
      </c>
      <c r="B338" s="1" t="s">
        <v>3543</v>
      </c>
      <c r="C338" s="1" t="s">
        <v>74</v>
      </c>
      <c r="D338" s="1" t="s">
        <v>74</v>
      </c>
      <c r="E338" s="1" t="s">
        <v>74</v>
      </c>
      <c r="F338" s="1" t="s">
        <v>3544</v>
      </c>
      <c r="G338" s="1" t="s">
        <v>74</v>
      </c>
      <c r="H338" s="1" t="s">
        <v>74</v>
      </c>
      <c r="I338" s="1" t="s">
        <v>3545</v>
      </c>
      <c r="J338" s="1" t="s">
        <v>3546</v>
      </c>
      <c r="K338" s="1" t="s">
        <v>74</v>
      </c>
      <c r="L338" s="1" t="s">
        <v>74</v>
      </c>
      <c r="M338" s="1" t="s">
        <v>74</v>
      </c>
      <c r="N338" s="1" t="s">
        <v>74</v>
      </c>
      <c r="O338" s="1" t="s">
        <v>74</v>
      </c>
      <c r="P338" s="1" t="s">
        <v>74</v>
      </c>
      <c r="Q338" s="1" t="s">
        <v>74</v>
      </c>
      <c r="R338" s="1" t="s">
        <v>74</v>
      </c>
      <c r="S338" s="1" t="s">
        <v>74</v>
      </c>
      <c r="T338" s="1" t="s">
        <v>74</v>
      </c>
      <c r="U338" s="1" t="s">
        <v>74</v>
      </c>
      <c r="V338" s="1" t="s">
        <v>3547</v>
      </c>
      <c r="W338" s="1" t="s">
        <v>74</v>
      </c>
      <c r="X338" s="1" t="s">
        <v>74</v>
      </c>
      <c r="Y338" s="1" t="s">
        <v>74</v>
      </c>
      <c r="Z338" s="1" t="s">
        <v>74</v>
      </c>
      <c r="AA338" s="1" t="s">
        <v>3548</v>
      </c>
      <c r="AB338" s="1" t="s">
        <v>3549</v>
      </c>
      <c r="AC338" s="1" t="s">
        <v>74</v>
      </c>
      <c r="AD338" s="1" t="s">
        <v>74</v>
      </c>
      <c r="AE338" s="1" t="s">
        <v>74</v>
      </c>
      <c r="AF338" s="1" t="s">
        <v>74</v>
      </c>
      <c r="AG338" s="1" t="s">
        <v>74</v>
      </c>
      <c r="AH338" s="1" t="s">
        <v>74</v>
      </c>
      <c r="AI338" s="1" t="s">
        <v>74</v>
      </c>
      <c r="AJ338" s="1" t="s">
        <v>74</v>
      </c>
      <c r="AK338" s="1" t="s">
        <v>74</v>
      </c>
      <c r="AL338" s="1" t="s">
        <v>74</v>
      </c>
      <c r="AM338" s="1" t="s">
        <v>74</v>
      </c>
      <c r="AN338" s="1" t="s">
        <v>74</v>
      </c>
      <c r="AO338" s="1" t="s">
        <v>3550</v>
      </c>
      <c r="AP338" s="1" t="s">
        <v>3551</v>
      </c>
      <c r="AQ338" s="1" t="s">
        <v>74</v>
      </c>
      <c r="AR338" s="1" t="s">
        <v>74</v>
      </c>
      <c r="AS338" s="1" t="s">
        <v>74</v>
      </c>
      <c r="AT338" s="1" t="s">
        <v>3552</v>
      </c>
      <c r="AU338" s="1">
        <v>2021.0</v>
      </c>
      <c r="AV338" s="1">
        <v>801.0</v>
      </c>
      <c r="AW338" s="1" t="s">
        <v>74</v>
      </c>
      <c r="AX338" s="1" t="s">
        <v>74</v>
      </c>
      <c r="AY338" s="1" t="s">
        <v>74</v>
      </c>
      <c r="AZ338" s="1" t="s">
        <v>74</v>
      </c>
      <c r="BA338" s="1" t="s">
        <v>74</v>
      </c>
      <c r="BB338" s="1" t="s">
        <v>74</v>
      </c>
      <c r="BC338" s="1" t="s">
        <v>74</v>
      </c>
      <c r="BD338" s="1">
        <v>149661.0</v>
      </c>
      <c r="BE338" s="1" t="s">
        <v>3553</v>
      </c>
      <c r="BF338" s="2" t="str">
        <f>HYPERLINK("http://dx.doi.org/10.1016/j.scitotenv.2021.149661","http://dx.doi.org/10.1016/j.scitotenv.2021.149661")</f>
        <v>http://dx.doi.org/10.1016/j.scitotenv.2021.149661</v>
      </c>
      <c r="BG338" s="1" t="s">
        <v>74</v>
      </c>
      <c r="BH338" s="1" t="s">
        <v>2891</v>
      </c>
      <c r="BI338" s="1" t="s">
        <v>74</v>
      </c>
      <c r="BJ338" s="1" t="s">
        <v>74</v>
      </c>
      <c r="BK338" s="1" t="s">
        <v>74</v>
      </c>
      <c r="BL338" s="1" t="s">
        <v>74</v>
      </c>
      <c r="BM338" s="1" t="s">
        <v>74</v>
      </c>
      <c r="BN338" s="1">
        <v>3.4467908E7</v>
      </c>
      <c r="BO338" s="1" t="s">
        <v>74</v>
      </c>
      <c r="BP338" s="1" t="s">
        <v>74</v>
      </c>
      <c r="BQ338" s="1" t="s">
        <v>74</v>
      </c>
      <c r="BR338" s="1" t="s">
        <v>74</v>
      </c>
      <c r="BS338" s="1" t="s">
        <v>3554</v>
      </c>
      <c r="BT338" s="1" t="str">
        <f>HYPERLINK("https%3A%2F%2Fwww.webofscience.com%2Fwos%2Fwoscc%2Ffull-record%2FWOS:000701899300008","View Full Record in Web of Science")</f>
        <v>View Full Record in Web of Science</v>
      </c>
    </row>
    <row r="339" ht="12.75" customHeight="1">
      <c r="A339" s="1" t="s">
        <v>72</v>
      </c>
      <c r="B339" s="1" t="s">
        <v>3555</v>
      </c>
      <c r="C339" s="1" t="s">
        <v>74</v>
      </c>
      <c r="D339" s="1" t="s">
        <v>74</v>
      </c>
      <c r="E339" s="1" t="s">
        <v>74</v>
      </c>
      <c r="F339" s="1" t="s">
        <v>3556</v>
      </c>
      <c r="G339" s="1" t="s">
        <v>74</v>
      </c>
      <c r="H339" s="1" t="s">
        <v>74</v>
      </c>
      <c r="I339" s="1" t="s">
        <v>3557</v>
      </c>
      <c r="J339" s="1" t="s">
        <v>572</v>
      </c>
      <c r="K339" s="1" t="s">
        <v>74</v>
      </c>
      <c r="L339" s="1" t="s">
        <v>74</v>
      </c>
      <c r="M339" s="1" t="s">
        <v>74</v>
      </c>
      <c r="N339" s="1" t="s">
        <v>74</v>
      </c>
      <c r="O339" s="1" t="s">
        <v>74</v>
      </c>
      <c r="P339" s="1" t="s">
        <v>74</v>
      </c>
      <c r="Q339" s="1" t="s">
        <v>74</v>
      </c>
      <c r="R339" s="1" t="s">
        <v>74</v>
      </c>
      <c r="S339" s="1" t="s">
        <v>74</v>
      </c>
      <c r="T339" s="1" t="s">
        <v>74</v>
      </c>
      <c r="U339" s="1" t="s">
        <v>74</v>
      </c>
      <c r="V339" s="1" t="s">
        <v>3558</v>
      </c>
      <c r="W339" s="1" t="s">
        <v>74</v>
      </c>
      <c r="X339" s="1" t="s">
        <v>74</v>
      </c>
      <c r="Y339" s="1" t="s">
        <v>74</v>
      </c>
      <c r="Z339" s="1" t="s">
        <v>74</v>
      </c>
      <c r="AA339" s="1" t="s">
        <v>74</v>
      </c>
      <c r="AB339" s="1" t="s">
        <v>3559</v>
      </c>
      <c r="AC339" s="1" t="s">
        <v>74</v>
      </c>
      <c r="AD339" s="1" t="s">
        <v>74</v>
      </c>
      <c r="AE339" s="1" t="s">
        <v>74</v>
      </c>
      <c r="AF339" s="1" t="s">
        <v>74</v>
      </c>
      <c r="AG339" s="1" t="s">
        <v>74</v>
      </c>
      <c r="AH339" s="1" t="s">
        <v>74</v>
      </c>
      <c r="AI339" s="1" t="s">
        <v>74</v>
      </c>
      <c r="AJ339" s="1" t="s">
        <v>74</v>
      </c>
      <c r="AK339" s="1" t="s">
        <v>74</v>
      </c>
      <c r="AL339" s="1" t="s">
        <v>74</v>
      </c>
      <c r="AM339" s="1" t="s">
        <v>74</v>
      </c>
      <c r="AN339" s="1" t="s">
        <v>74</v>
      </c>
      <c r="AO339" s="1" t="s">
        <v>575</v>
      </c>
      <c r="AP339" s="1" t="s">
        <v>576</v>
      </c>
      <c r="AQ339" s="1" t="s">
        <v>74</v>
      </c>
      <c r="AR339" s="1" t="s">
        <v>74</v>
      </c>
      <c r="AS339" s="1" t="s">
        <v>74</v>
      </c>
      <c r="AT339" s="1" t="s">
        <v>3560</v>
      </c>
      <c r="AU339" s="1">
        <v>2021.0</v>
      </c>
      <c r="AV339" s="1">
        <v>281.0</v>
      </c>
      <c r="AW339" s="1">
        <v>9.0</v>
      </c>
      <c r="AX339" s="1" t="s">
        <v>74</v>
      </c>
      <c r="AY339" s="1" t="s">
        <v>74</v>
      </c>
      <c r="AZ339" s="1" t="s">
        <v>74</v>
      </c>
      <c r="BA339" s="1" t="s">
        <v>74</v>
      </c>
      <c r="BB339" s="1" t="s">
        <v>74</v>
      </c>
      <c r="BC339" s="1" t="s">
        <v>74</v>
      </c>
      <c r="BD339" s="1">
        <v>109149.0</v>
      </c>
      <c r="BE339" s="1" t="s">
        <v>3561</v>
      </c>
      <c r="BF339" s="2" t="str">
        <f>HYPERLINK("http://dx.doi.org/10.1016/j.jfa.2021.109149","http://dx.doi.org/10.1016/j.jfa.2021.109149")</f>
        <v>http://dx.doi.org/10.1016/j.jfa.2021.109149</v>
      </c>
      <c r="BG339" s="1" t="s">
        <v>74</v>
      </c>
      <c r="BH339" s="1" t="s">
        <v>2652</v>
      </c>
      <c r="BI339" s="1" t="s">
        <v>74</v>
      </c>
      <c r="BJ339" s="1" t="s">
        <v>74</v>
      </c>
      <c r="BK339" s="1" t="s">
        <v>74</v>
      </c>
      <c r="BL339" s="1" t="s">
        <v>74</v>
      </c>
      <c r="BM339" s="1" t="s">
        <v>74</v>
      </c>
      <c r="BN339" s="1" t="s">
        <v>74</v>
      </c>
      <c r="BO339" s="1" t="s">
        <v>74</v>
      </c>
      <c r="BP339" s="1" t="s">
        <v>74</v>
      </c>
      <c r="BQ339" s="1" t="s">
        <v>74</v>
      </c>
      <c r="BR339" s="1" t="s">
        <v>74</v>
      </c>
      <c r="BS339" s="1" t="s">
        <v>3562</v>
      </c>
      <c r="BT339" s="1" t="str">
        <f>HYPERLINK("https%3A%2F%2Fwww.webofscience.com%2Fwos%2Fwoscc%2Ffull-record%2FWOS:000686348800002","View Full Record in Web of Science")</f>
        <v>View Full Record in Web of Science</v>
      </c>
    </row>
    <row r="340" ht="12.75" customHeight="1">
      <c r="A340" s="1" t="s">
        <v>72</v>
      </c>
      <c r="B340" s="1" t="s">
        <v>3563</v>
      </c>
      <c r="C340" s="1" t="s">
        <v>74</v>
      </c>
      <c r="D340" s="1" t="s">
        <v>74</v>
      </c>
      <c r="E340" s="1" t="s">
        <v>74</v>
      </c>
      <c r="F340" s="1" t="s">
        <v>3564</v>
      </c>
      <c r="G340" s="1" t="s">
        <v>74</v>
      </c>
      <c r="H340" s="1" t="s">
        <v>74</v>
      </c>
      <c r="I340" s="1" t="s">
        <v>3565</v>
      </c>
      <c r="J340" s="1" t="s">
        <v>3566</v>
      </c>
      <c r="K340" s="1" t="s">
        <v>74</v>
      </c>
      <c r="L340" s="1" t="s">
        <v>74</v>
      </c>
      <c r="M340" s="1" t="s">
        <v>74</v>
      </c>
      <c r="N340" s="1" t="s">
        <v>74</v>
      </c>
      <c r="O340" s="1" t="s">
        <v>74</v>
      </c>
      <c r="P340" s="1" t="s">
        <v>74</v>
      </c>
      <c r="Q340" s="1" t="s">
        <v>74</v>
      </c>
      <c r="R340" s="1" t="s">
        <v>74</v>
      </c>
      <c r="S340" s="1" t="s">
        <v>74</v>
      </c>
      <c r="T340" s="1" t="s">
        <v>74</v>
      </c>
      <c r="U340" s="1" t="s">
        <v>74</v>
      </c>
      <c r="V340" s="1" t="s">
        <v>3567</v>
      </c>
      <c r="W340" s="1" t="s">
        <v>74</v>
      </c>
      <c r="X340" s="1" t="s">
        <v>74</v>
      </c>
      <c r="Y340" s="1" t="s">
        <v>74</v>
      </c>
      <c r="Z340" s="1" t="s">
        <v>74</v>
      </c>
      <c r="AA340" s="1" t="s">
        <v>74</v>
      </c>
      <c r="AB340" s="1" t="s">
        <v>3568</v>
      </c>
      <c r="AC340" s="1" t="s">
        <v>74</v>
      </c>
      <c r="AD340" s="1" t="s">
        <v>74</v>
      </c>
      <c r="AE340" s="1" t="s">
        <v>74</v>
      </c>
      <c r="AF340" s="1" t="s">
        <v>74</v>
      </c>
      <c r="AG340" s="1" t="s">
        <v>74</v>
      </c>
      <c r="AH340" s="1" t="s">
        <v>74</v>
      </c>
      <c r="AI340" s="1" t="s">
        <v>74</v>
      </c>
      <c r="AJ340" s="1" t="s">
        <v>74</v>
      </c>
      <c r="AK340" s="1" t="s">
        <v>74</v>
      </c>
      <c r="AL340" s="1" t="s">
        <v>74</v>
      </c>
      <c r="AM340" s="1" t="s">
        <v>74</v>
      </c>
      <c r="AN340" s="1" t="s">
        <v>74</v>
      </c>
      <c r="AO340" s="1" t="s">
        <v>3569</v>
      </c>
      <c r="AP340" s="1" t="s">
        <v>74</v>
      </c>
      <c r="AQ340" s="1" t="s">
        <v>74</v>
      </c>
      <c r="AR340" s="1" t="s">
        <v>74</v>
      </c>
      <c r="AS340" s="1" t="s">
        <v>74</v>
      </c>
      <c r="AT340" s="1" t="s">
        <v>3570</v>
      </c>
      <c r="AU340" s="1">
        <v>2021.0</v>
      </c>
      <c r="AV340" s="1">
        <v>14.0</v>
      </c>
      <c r="AW340" s="1">
        <v>2.0</v>
      </c>
      <c r="AX340" s="1" t="s">
        <v>74</v>
      </c>
      <c r="AY340" s="1" t="s">
        <v>74</v>
      </c>
      <c r="AZ340" s="1" t="s">
        <v>74</v>
      </c>
      <c r="BA340" s="1" t="s">
        <v>74</v>
      </c>
      <c r="BB340" s="1">
        <v>127.0</v>
      </c>
      <c r="BC340" s="1">
        <v>148.0</v>
      </c>
      <c r="BD340" s="1" t="s">
        <v>74</v>
      </c>
      <c r="BE340" s="1" t="s">
        <v>74</v>
      </c>
      <c r="BF340" s="1" t="s">
        <v>74</v>
      </c>
      <c r="BG340" s="1" t="s">
        <v>74</v>
      </c>
      <c r="BH340" s="1" t="s">
        <v>74</v>
      </c>
      <c r="BI340" s="1" t="s">
        <v>74</v>
      </c>
      <c r="BJ340" s="1" t="s">
        <v>74</v>
      </c>
      <c r="BK340" s="1" t="s">
        <v>74</v>
      </c>
      <c r="BL340" s="1" t="s">
        <v>74</v>
      </c>
      <c r="BM340" s="1" t="s">
        <v>74</v>
      </c>
      <c r="BN340" s="1" t="s">
        <v>74</v>
      </c>
      <c r="BO340" s="1" t="s">
        <v>74</v>
      </c>
      <c r="BP340" s="1" t="s">
        <v>74</v>
      </c>
      <c r="BQ340" s="1" t="s">
        <v>74</v>
      </c>
      <c r="BR340" s="1" t="s">
        <v>74</v>
      </c>
      <c r="BS340" s="1" t="s">
        <v>3571</v>
      </c>
      <c r="BT340" s="1" t="str">
        <f>HYPERLINK("https%3A%2F%2Fwww.webofscience.com%2Fwos%2Fwoscc%2Ffull-record%2FWOS:000732830800001","View Full Record in Web of Science")</f>
        <v>View Full Record in Web of Science</v>
      </c>
    </row>
    <row r="341" ht="12.75" customHeight="1">
      <c r="A341" s="1" t="s">
        <v>72</v>
      </c>
      <c r="B341" s="1" t="s">
        <v>3572</v>
      </c>
      <c r="C341" s="1" t="s">
        <v>74</v>
      </c>
      <c r="D341" s="1" t="s">
        <v>74</v>
      </c>
      <c r="E341" s="1" t="s">
        <v>74</v>
      </c>
      <c r="F341" s="1" t="s">
        <v>3573</v>
      </c>
      <c r="G341" s="1" t="s">
        <v>74</v>
      </c>
      <c r="H341" s="1" t="s">
        <v>74</v>
      </c>
      <c r="I341" s="1" t="s">
        <v>3574</v>
      </c>
      <c r="J341" s="1" t="s">
        <v>3575</v>
      </c>
      <c r="K341" s="1" t="s">
        <v>74</v>
      </c>
      <c r="L341" s="1" t="s">
        <v>74</v>
      </c>
      <c r="M341" s="1" t="s">
        <v>74</v>
      </c>
      <c r="N341" s="1" t="s">
        <v>74</v>
      </c>
      <c r="O341" s="1" t="s">
        <v>74</v>
      </c>
      <c r="P341" s="1" t="s">
        <v>74</v>
      </c>
      <c r="Q341" s="1" t="s">
        <v>74</v>
      </c>
      <c r="R341" s="1" t="s">
        <v>74</v>
      </c>
      <c r="S341" s="1" t="s">
        <v>74</v>
      </c>
      <c r="T341" s="1" t="s">
        <v>74</v>
      </c>
      <c r="U341" s="1" t="s">
        <v>74</v>
      </c>
      <c r="V341" s="1" t="s">
        <v>3576</v>
      </c>
      <c r="W341" s="1" t="s">
        <v>74</v>
      </c>
      <c r="X341" s="1" t="s">
        <v>74</v>
      </c>
      <c r="Y341" s="1" t="s">
        <v>74</v>
      </c>
      <c r="Z341" s="1" t="s">
        <v>74</v>
      </c>
      <c r="AA341" s="1" t="s">
        <v>3577</v>
      </c>
      <c r="AB341" s="1" t="s">
        <v>3578</v>
      </c>
      <c r="AC341" s="1" t="s">
        <v>74</v>
      </c>
      <c r="AD341" s="1" t="s">
        <v>74</v>
      </c>
      <c r="AE341" s="1" t="s">
        <v>74</v>
      </c>
      <c r="AF341" s="1" t="s">
        <v>74</v>
      </c>
      <c r="AG341" s="1" t="s">
        <v>74</v>
      </c>
      <c r="AH341" s="1" t="s">
        <v>74</v>
      </c>
      <c r="AI341" s="1" t="s">
        <v>74</v>
      </c>
      <c r="AJ341" s="1" t="s">
        <v>74</v>
      </c>
      <c r="AK341" s="1" t="s">
        <v>74</v>
      </c>
      <c r="AL341" s="1" t="s">
        <v>74</v>
      </c>
      <c r="AM341" s="1" t="s">
        <v>74</v>
      </c>
      <c r="AN341" s="1" t="s">
        <v>74</v>
      </c>
      <c r="AO341" s="1" t="s">
        <v>74</v>
      </c>
      <c r="AP341" s="1" t="s">
        <v>3579</v>
      </c>
      <c r="AQ341" s="1" t="s">
        <v>74</v>
      </c>
      <c r="AR341" s="1" t="s">
        <v>74</v>
      </c>
      <c r="AS341" s="1" t="s">
        <v>74</v>
      </c>
      <c r="AT341" s="1" t="s">
        <v>377</v>
      </c>
      <c r="AU341" s="1">
        <v>2020.0</v>
      </c>
      <c r="AV341" s="1">
        <v>9.0</v>
      </c>
      <c r="AW341" s="1">
        <v>5.0</v>
      </c>
      <c r="AX341" s="1" t="s">
        <v>74</v>
      </c>
      <c r="AY341" s="1" t="s">
        <v>74</v>
      </c>
      <c r="AZ341" s="1" t="s">
        <v>74</v>
      </c>
      <c r="BA341" s="1" t="s">
        <v>74</v>
      </c>
      <c r="BB341" s="1" t="s">
        <v>74</v>
      </c>
      <c r="BC341" s="1" t="s">
        <v>74</v>
      </c>
      <c r="BD341" s="1">
        <v>867.0</v>
      </c>
      <c r="BE341" s="1" t="s">
        <v>3580</v>
      </c>
      <c r="BF341" s="2" t="str">
        <f>HYPERLINK("http://dx.doi.org/10.3390/electronics9050867","http://dx.doi.org/10.3390/electronics9050867")</f>
        <v>http://dx.doi.org/10.3390/electronics9050867</v>
      </c>
      <c r="BG341" s="1" t="s">
        <v>74</v>
      </c>
      <c r="BH341" s="1" t="s">
        <v>74</v>
      </c>
      <c r="BI341" s="1" t="s">
        <v>74</v>
      </c>
      <c r="BJ341" s="1" t="s">
        <v>74</v>
      </c>
      <c r="BK341" s="1" t="s">
        <v>74</v>
      </c>
      <c r="BL341" s="1" t="s">
        <v>74</v>
      </c>
      <c r="BM341" s="1" t="s">
        <v>74</v>
      </c>
      <c r="BN341" s="1" t="s">
        <v>74</v>
      </c>
      <c r="BO341" s="1" t="s">
        <v>74</v>
      </c>
      <c r="BP341" s="1" t="s">
        <v>74</v>
      </c>
      <c r="BQ341" s="1" t="s">
        <v>74</v>
      </c>
      <c r="BR341" s="1" t="s">
        <v>74</v>
      </c>
      <c r="BS341" s="1" t="s">
        <v>3581</v>
      </c>
      <c r="BT341" s="1" t="str">
        <f>HYPERLINK("https%3A%2F%2Fwww.webofscience.com%2Fwos%2Fwoscc%2Ffull-record%2FWOS:000549854600166","View Full Record in Web of Science")</f>
        <v>View Full Record in Web of Science</v>
      </c>
    </row>
    <row r="342" ht="12.75" customHeight="1">
      <c r="A342" s="1" t="s">
        <v>72</v>
      </c>
      <c r="B342" s="1" t="s">
        <v>3582</v>
      </c>
      <c r="C342" s="1" t="s">
        <v>74</v>
      </c>
      <c r="D342" s="1" t="s">
        <v>74</v>
      </c>
      <c r="E342" s="1" t="s">
        <v>74</v>
      </c>
      <c r="F342" s="1" t="s">
        <v>3583</v>
      </c>
      <c r="G342" s="1" t="s">
        <v>74</v>
      </c>
      <c r="H342" s="1" t="s">
        <v>74</v>
      </c>
      <c r="I342" s="1" t="s">
        <v>3584</v>
      </c>
      <c r="J342" s="1" t="s">
        <v>197</v>
      </c>
      <c r="K342" s="1" t="s">
        <v>74</v>
      </c>
      <c r="L342" s="1" t="s">
        <v>74</v>
      </c>
      <c r="M342" s="1" t="s">
        <v>74</v>
      </c>
      <c r="N342" s="1" t="s">
        <v>74</v>
      </c>
      <c r="O342" s="1" t="s">
        <v>74</v>
      </c>
      <c r="P342" s="1" t="s">
        <v>74</v>
      </c>
      <c r="Q342" s="1" t="s">
        <v>74</v>
      </c>
      <c r="R342" s="1" t="s">
        <v>74</v>
      </c>
      <c r="S342" s="1" t="s">
        <v>74</v>
      </c>
      <c r="T342" s="1" t="s">
        <v>74</v>
      </c>
      <c r="U342" s="1" t="s">
        <v>74</v>
      </c>
      <c r="V342" s="1" t="s">
        <v>3585</v>
      </c>
      <c r="W342" s="1" t="s">
        <v>74</v>
      </c>
      <c r="X342" s="1" t="s">
        <v>74</v>
      </c>
      <c r="Y342" s="1" t="s">
        <v>74</v>
      </c>
      <c r="Z342" s="1" t="s">
        <v>74</v>
      </c>
      <c r="AA342" s="1" t="s">
        <v>3586</v>
      </c>
      <c r="AB342" s="1" t="s">
        <v>3587</v>
      </c>
      <c r="AC342" s="1" t="s">
        <v>74</v>
      </c>
      <c r="AD342" s="1" t="s">
        <v>74</v>
      </c>
      <c r="AE342" s="1" t="s">
        <v>74</v>
      </c>
      <c r="AF342" s="1" t="s">
        <v>74</v>
      </c>
      <c r="AG342" s="1" t="s">
        <v>74</v>
      </c>
      <c r="AH342" s="1" t="s">
        <v>74</v>
      </c>
      <c r="AI342" s="1" t="s">
        <v>74</v>
      </c>
      <c r="AJ342" s="1" t="s">
        <v>74</v>
      </c>
      <c r="AK342" s="1" t="s">
        <v>74</v>
      </c>
      <c r="AL342" s="1" t="s">
        <v>74</v>
      </c>
      <c r="AM342" s="1" t="s">
        <v>74</v>
      </c>
      <c r="AN342" s="1" t="s">
        <v>74</v>
      </c>
      <c r="AO342" s="1" t="s">
        <v>201</v>
      </c>
      <c r="AP342" s="1" t="s">
        <v>202</v>
      </c>
      <c r="AQ342" s="1" t="s">
        <v>74</v>
      </c>
      <c r="AR342" s="1" t="s">
        <v>74</v>
      </c>
      <c r="AS342" s="1" t="s">
        <v>74</v>
      </c>
      <c r="AT342" s="1" t="s">
        <v>1304</v>
      </c>
      <c r="AU342" s="1">
        <v>2019.0</v>
      </c>
      <c r="AV342" s="1">
        <v>172.0</v>
      </c>
      <c r="AW342" s="1" t="s">
        <v>74</v>
      </c>
      <c r="AX342" s="1" t="s">
        <v>74</v>
      </c>
      <c r="AY342" s="1" t="s">
        <v>74</v>
      </c>
      <c r="AZ342" s="1" t="s">
        <v>74</v>
      </c>
      <c r="BA342" s="1" t="s">
        <v>74</v>
      </c>
      <c r="BB342" s="1">
        <v>173.0</v>
      </c>
      <c r="BC342" s="1">
        <v>178.0</v>
      </c>
      <c r="BD342" s="1" t="s">
        <v>74</v>
      </c>
      <c r="BE342" s="1" t="s">
        <v>3588</v>
      </c>
      <c r="BF342" s="2" t="str">
        <f>HYPERLINK("http://dx.doi.org/10.1016/j.compositesb.2019.05.054","http://dx.doi.org/10.1016/j.compositesb.2019.05.054")</f>
        <v>http://dx.doi.org/10.1016/j.compositesb.2019.05.054</v>
      </c>
      <c r="BG342" s="1" t="s">
        <v>74</v>
      </c>
      <c r="BH342" s="1" t="s">
        <v>74</v>
      </c>
      <c r="BI342" s="1" t="s">
        <v>74</v>
      </c>
      <c r="BJ342" s="1" t="s">
        <v>74</v>
      </c>
      <c r="BK342" s="1" t="s">
        <v>74</v>
      </c>
      <c r="BL342" s="1" t="s">
        <v>74</v>
      </c>
      <c r="BM342" s="1" t="s">
        <v>74</v>
      </c>
      <c r="BN342" s="1" t="s">
        <v>74</v>
      </c>
      <c r="BO342" s="1" t="s">
        <v>74</v>
      </c>
      <c r="BP342" s="1" t="s">
        <v>74</v>
      </c>
      <c r="BQ342" s="1" t="s">
        <v>74</v>
      </c>
      <c r="BR342" s="1" t="s">
        <v>74</v>
      </c>
      <c r="BS342" s="1" t="s">
        <v>3589</v>
      </c>
      <c r="BT342" s="1" t="str">
        <f>HYPERLINK("https%3A%2F%2Fwww.webofscience.com%2Fwos%2Fwoscc%2Ffull-record%2FWOS:000482513400019","View Full Record in Web of Science")</f>
        <v>View Full Record in Web of Science</v>
      </c>
    </row>
    <row r="343" ht="12.75" customHeight="1">
      <c r="A343" s="1" t="s">
        <v>72</v>
      </c>
      <c r="B343" s="1" t="s">
        <v>3590</v>
      </c>
      <c r="C343" s="1" t="s">
        <v>74</v>
      </c>
      <c r="D343" s="1" t="s">
        <v>74</v>
      </c>
      <c r="E343" s="1" t="s">
        <v>74</v>
      </c>
      <c r="F343" s="1" t="s">
        <v>3591</v>
      </c>
      <c r="G343" s="1" t="s">
        <v>74</v>
      </c>
      <c r="H343" s="1" t="s">
        <v>74</v>
      </c>
      <c r="I343" s="1" t="s">
        <v>3592</v>
      </c>
      <c r="J343" s="1" t="s">
        <v>3593</v>
      </c>
      <c r="K343" s="1" t="s">
        <v>74</v>
      </c>
      <c r="L343" s="1" t="s">
        <v>74</v>
      </c>
      <c r="M343" s="1" t="s">
        <v>74</v>
      </c>
      <c r="N343" s="1" t="s">
        <v>74</v>
      </c>
      <c r="O343" s="1" t="s">
        <v>74</v>
      </c>
      <c r="P343" s="1" t="s">
        <v>74</v>
      </c>
      <c r="Q343" s="1" t="s">
        <v>74</v>
      </c>
      <c r="R343" s="1" t="s">
        <v>74</v>
      </c>
      <c r="S343" s="1" t="s">
        <v>74</v>
      </c>
      <c r="T343" s="1" t="s">
        <v>74</v>
      </c>
      <c r="U343" s="1" t="s">
        <v>74</v>
      </c>
      <c r="V343" s="1" t="s">
        <v>3594</v>
      </c>
      <c r="W343" s="1" t="s">
        <v>74</v>
      </c>
      <c r="X343" s="1" t="s">
        <v>74</v>
      </c>
      <c r="Y343" s="1" t="s">
        <v>74</v>
      </c>
      <c r="Z343" s="1" t="s">
        <v>74</v>
      </c>
      <c r="AA343" s="1" t="s">
        <v>3595</v>
      </c>
      <c r="AB343" s="1" t="s">
        <v>3596</v>
      </c>
      <c r="AC343" s="1" t="s">
        <v>74</v>
      </c>
      <c r="AD343" s="1" t="s">
        <v>74</v>
      </c>
      <c r="AE343" s="1" t="s">
        <v>74</v>
      </c>
      <c r="AF343" s="1" t="s">
        <v>74</v>
      </c>
      <c r="AG343" s="1" t="s">
        <v>74</v>
      </c>
      <c r="AH343" s="1" t="s">
        <v>74</v>
      </c>
      <c r="AI343" s="1" t="s">
        <v>74</v>
      </c>
      <c r="AJ343" s="1" t="s">
        <v>74</v>
      </c>
      <c r="AK343" s="1" t="s">
        <v>74</v>
      </c>
      <c r="AL343" s="1" t="s">
        <v>74</v>
      </c>
      <c r="AM343" s="1" t="s">
        <v>74</v>
      </c>
      <c r="AN343" s="1" t="s">
        <v>74</v>
      </c>
      <c r="AO343" s="1" t="s">
        <v>3597</v>
      </c>
      <c r="AP343" s="1" t="s">
        <v>3598</v>
      </c>
      <c r="AQ343" s="1" t="s">
        <v>74</v>
      </c>
      <c r="AR343" s="1" t="s">
        <v>74</v>
      </c>
      <c r="AS343" s="1" t="s">
        <v>74</v>
      </c>
      <c r="AT343" s="1" t="s">
        <v>3599</v>
      </c>
      <c r="AU343" s="1">
        <v>2018.0</v>
      </c>
      <c r="AV343" s="1">
        <v>51.0</v>
      </c>
      <c r="AW343" s="1">
        <v>45.0</v>
      </c>
      <c r="AX343" s="1" t="s">
        <v>74</v>
      </c>
      <c r="AY343" s="1" t="s">
        <v>74</v>
      </c>
      <c r="AZ343" s="1" t="s">
        <v>74</v>
      </c>
      <c r="BA343" s="1" t="s">
        <v>74</v>
      </c>
      <c r="BB343" s="1" t="s">
        <v>74</v>
      </c>
      <c r="BC343" s="1" t="s">
        <v>74</v>
      </c>
      <c r="BD343" s="1">
        <v>455003.0</v>
      </c>
      <c r="BE343" s="1" t="s">
        <v>3600</v>
      </c>
      <c r="BF343" s="2" t="str">
        <f>HYPERLINK("http://dx.doi.org/10.1088/1751-8121/aae163","http://dx.doi.org/10.1088/1751-8121/aae163")</f>
        <v>http://dx.doi.org/10.1088/1751-8121/aae163</v>
      </c>
      <c r="BG343" s="1" t="s">
        <v>74</v>
      </c>
      <c r="BH343" s="1" t="s">
        <v>74</v>
      </c>
      <c r="BI343" s="1" t="s">
        <v>74</v>
      </c>
      <c r="BJ343" s="1" t="s">
        <v>74</v>
      </c>
      <c r="BK343" s="1" t="s">
        <v>74</v>
      </c>
      <c r="BL343" s="1" t="s">
        <v>74</v>
      </c>
      <c r="BM343" s="1" t="s">
        <v>74</v>
      </c>
      <c r="BN343" s="1" t="s">
        <v>74</v>
      </c>
      <c r="BO343" s="1" t="s">
        <v>74</v>
      </c>
      <c r="BP343" s="1" t="s">
        <v>74</v>
      </c>
      <c r="BQ343" s="1" t="s">
        <v>74</v>
      </c>
      <c r="BR343" s="1" t="s">
        <v>74</v>
      </c>
      <c r="BS343" s="1" t="s">
        <v>3601</v>
      </c>
      <c r="BT343" s="1" t="str">
        <f>HYPERLINK("https%3A%2F%2Fwww.webofscience.com%2Fwos%2Fwoscc%2Ffull-record%2FWOS:000448102500003","View Full Record in Web of Science")</f>
        <v>View Full Record in Web of Science</v>
      </c>
    </row>
    <row r="344" ht="12.75" customHeight="1">
      <c r="A344" s="1" t="s">
        <v>72</v>
      </c>
      <c r="B344" s="1" t="s">
        <v>3602</v>
      </c>
      <c r="C344" s="1" t="s">
        <v>74</v>
      </c>
      <c r="D344" s="1" t="s">
        <v>74</v>
      </c>
      <c r="E344" s="1" t="s">
        <v>74</v>
      </c>
      <c r="F344" s="1" t="s">
        <v>3603</v>
      </c>
      <c r="G344" s="1" t="s">
        <v>74</v>
      </c>
      <c r="H344" s="1" t="s">
        <v>74</v>
      </c>
      <c r="I344" s="1" t="s">
        <v>3604</v>
      </c>
      <c r="J344" s="1" t="s">
        <v>3605</v>
      </c>
      <c r="K344" s="1" t="s">
        <v>74</v>
      </c>
      <c r="L344" s="1" t="s">
        <v>74</v>
      </c>
      <c r="M344" s="1" t="s">
        <v>74</v>
      </c>
      <c r="N344" s="1" t="s">
        <v>74</v>
      </c>
      <c r="O344" s="1" t="s">
        <v>74</v>
      </c>
      <c r="P344" s="1" t="s">
        <v>74</v>
      </c>
      <c r="Q344" s="1" t="s">
        <v>74</v>
      </c>
      <c r="R344" s="1" t="s">
        <v>74</v>
      </c>
      <c r="S344" s="1" t="s">
        <v>74</v>
      </c>
      <c r="T344" s="1" t="s">
        <v>74</v>
      </c>
      <c r="U344" s="1" t="s">
        <v>74</v>
      </c>
      <c r="V344" s="1" t="s">
        <v>3606</v>
      </c>
      <c r="W344" s="1" t="s">
        <v>74</v>
      </c>
      <c r="X344" s="1" t="s">
        <v>74</v>
      </c>
      <c r="Y344" s="1" t="s">
        <v>74</v>
      </c>
      <c r="Z344" s="1" t="s">
        <v>74</v>
      </c>
      <c r="AA344" s="1" t="s">
        <v>74</v>
      </c>
      <c r="AB344" s="1" t="s">
        <v>3607</v>
      </c>
      <c r="AC344" s="1" t="s">
        <v>74</v>
      </c>
      <c r="AD344" s="1" t="s">
        <v>74</v>
      </c>
      <c r="AE344" s="1" t="s">
        <v>74</v>
      </c>
      <c r="AF344" s="1" t="s">
        <v>74</v>
      </c>
      <c r="AG344" s="1" t="s">
        <v>74</v>
      </c>
      <c r="AH344" s="1" t="s">
        <v>74</v>
      </c>
      <c r="AI344" s="1" t="s">
        <v>74</v>
      </c>
      <c r="AJ344" s="1" t="s">
        <v>74</v>
      </c>
      <c r="AK344" s="1" t="s">
        <v>74</v>
      </c>
      <c r="AL344" s="1" t="s">
        <v>74</v>
      </c>
      <c r="AM344" s="1" t="s">
        <v>74</v>
      </c>
      <c r="AN344" s="1" t="s">
        <v>74</v>
      </c>
      <c r="AO344" s="1" t="s">
        <v>3608</v>
      </c>
      <c r="AP344" s="1" t="s">
        <v>74</v>
      </c>
      <c r="AQ344" s="1" t="s">
        <v>74</v>
      </c>
      <c r="AR344" s="1" t="s">
        <v>74</v>
      </c>
      <c r="AS344" s="1" t="s">
        <v>74</v>
      </c>
      <c r="AT344" s="1" t="s">
        <v>74</v>
      </c>
      <c r="AU344" s="1">
        <v>2018.0</v>
      </c>
      <c r="AV344" s="1">
        <v>17.0</v>
      </c>
      <c r="AW344" s="1">
        <v>2.0</v>
      </c>
      <c r="AX344" s="1" t="s">
        <v>74</v>
      </c>
      <c r="AY344" s="1" t="s">
        <v>74</v>
      </c>
      <c r="AZ344" s="1" t="s">
        <v>74</v>
      </c>
      <c r="BA344" s="1" t="s">
        <v>74</v>
      </c>
      <c r="BB344" s="1" t="s">
        <v>74</v>
      </c>
      <c r="BC344" s="1" t="s">
        <v>74</v>
      </c>
      <c r="BD344" s="1" t="s">
        <v>74</v>
      </c>
      <c r="BE344" s="1" t="s">
        <v>3609</v>
      </c>
      <c r="BF344" s="2" t="str">
        <f>HYPERLINK("http://dx.doi.org/10.11144/Javeriana.upsy17-2.pcdp","http://dx.doi.org/10.11144/Javeriana.upsy17-2.pcdp")</f>
        <v>http://dx.doi.org/10.11144/Javeriana.upsy17-2.pcdp</v>
      </c>
      <c r="BG344" s="1" t="s">
        <v>74</v>
      </c>
      <c r="BH344" s="1" t="s">
        <v>74</v>
      </c>
      <c r="BI344" s="1" t="s">
        <v>74</v>
      </c>
      <c r="BJ344" s="1" t="s">
        <v>74</v>
      </c>
      <c r="BK344" s="1" t="s">
        <v>74</v>
      </c>
      <c r="BL344" s="1" t="s">
        <v>74</v>
      </c>
      <c r="BM344" s="1" t="s">
        <v>74</v>
      </c>
      <c r="BN344" s="1" t="s">
        <v>74</v>
      </c>
      <c r="BO344" s="1" t="s">
        <v>74</v>
      </c>
      <c r="BP344" s="1" t="s">
        <v>74</v>
      </c>
      <c r="BQ344" s="1" t="s">
        <v>74</v>
      </c>
      <c r="BR344" s="1" t="s">
        <v>74</v>
      </c>
      <c r="BS344" s="1" t="s">
        <v>3610</v>
      </c>
      <c r="BT344" s="1" t="str">
        <f>HYPERLINK("https%3A%2F%2Fwww.webofscience.com%2Fwos%2Fwoscc%2Ffull-record%2FWOS:000433023600012","View Full Record in Web of Science")</f>
        <v>View Full Record in Web of Science</v>
      </c>
    </row>
    <row r="345" ht="12.75" customHeight="1">
      <c r="A345" s="1" t="s">
        <v>72</v>
      </c>
      <c r="B345" s="1" t="s">
        <v>3611</v>
      </c>
      <c r="C345" s="1" t="s">
        <v>74</v>
      </c>
      <c r="D345" s="1" t="s">
        <v>74</v>
      </c>
      <c r="E345" s="1" t="s">
        <v>74</v>
      </c>
      <c r="F345" s="1" t="s">
        <v>3612</v>
      </c>
      <c r="G345" s="1" t="s">
        <v>74</v>
      </c>
      <c r="H345" s="1" t="s">
        <v>74</v>
      </c>
      <c r="I345" s="1" t="s">
        <v>3613</v>
      </c>
      <c r="J345" s="1" t="s">
        <v>3614</v>
      </c>
      <c r="K345" s="1" t="s">
        <v>74</v>
      </c>
      <c r="L345" s="1" t="s">
        <v>74</v>
      </c>
      <c r="M345" s="1" t="s">
        <v>74</v>
      </c>
      <c r="N345" s="1" t="s">
        <v>74</v>
      </c>
      <c r="O345" s="1" t="s">
        <v>74</v>
      </c>
      <c r="P345" s="1" t="s">
        <v>74</v>
      </c>
      <c r="Q345" s="1" t="s">
        <v>74</v>
      </c>
      <c r="R345" s="1" t="s">
        <v>74</v>
      </c>
      <c r="S345" s="1" t="s">
        <v>74</v>
      </c>
      <c r="T345" s="1" t="s">
        <v>74</v>
      </c>
      <c r="U345" s="1" t="s">
        <v>74</v>
      </c>
      <c r="V345" s="1" t="s">
        <v>3615</v>
      </c>
      <c r="W345" s="1" t="s">
        <v>74</v>
      </c>
      <c r="X345" s="1" t="s">
        <v>74</v>
      </c>
      <c r="Y345" s="1" t="s">
        <v>74</v>
      </c>
      <c r="Z345" s="1" t="s">
        <v>74</v>
      </c>
      <c r="AA345" s="1" t="s">
        <v>3616</v>
      </c>
      <c r="AB345" s="1" t="s">
        <v>3617</v>
      </c>
      <c r="AC345" s="1" t="s">
        <v>74</v>
      </c>
      <c r="AD345" s="1" t="s">
        <v>74</v>
      </c>
      <c r="AE345" s="1" t="s">
        <v>74</v>
      </c>
      <c r="AF345" s="1" t="s">
        <v>74</v>
      </c>
      <c r="AG345" s="1" t="s">
        <v>74</v>
      </c>
      <c r="AH345" s="1" t="s">
        <v>74</v>
      </c>
      <c r="AI345" s="1" t="s">
        <v>74</v>
      </c>
      <c r="AJ345" s="1" t="s">
        <v>74</v>
      </c>
      <c r="AK345" s="1" t="s">
        <v>74</v>
      </c>
      <c r="AL345" s="1" t="s">
        <v>74</v>
      </c>
      <c r="AM345" s="1" t="s">
        <v>74</v>
      </c>
      <c r="AN345" s="1" t="s">
        <v>74</v>
      </c>
      <c r="AO345" s="1" t="s">
        <v>3618</v>
      </c>
      <c r="AP345" s="1" t="s">
        <v>3619</v>
      </c>
      <c r="AQ345" s="1" t="s">
        <v>74</v>
      </c>
      <c r="AR345" s="1" t="s">
        <v>74</v>
      </c>
      <c r="AS345" s="1" t="s">
        <v>74</v>
      </c>
      <c r="AT345" s="1" t="s">
        <v>411</v>
      </c>
      <c r="AU345" s="1">
        <v>2017.0</v>
      </c>
      <c r="AV345" s="1">
        <v>21.0</v>
      </c>
      <c r="AW345" s="1">
        <v>10.0</v>
      </c>
      <c r="AX345" s="1" t="s">
        <v>74</v>
      </c>
      <c r="AY345" s="1" t="s">
        <v>74</v>
      </c>
      <c r="AZ345" s="1" t="s">
        <v>74</v>
      </c>
      <c r="BA345" s="1" t="s">
        <v>74</v>
      </c>
      <c r="BB345" s="1">
        <v>1688.0</v>
      </c>
      <c r="BC345" s="1">
        <v>1696.0</v>
      </c>
      <c r="BD345" s="1" t="s">
        <v>74</v>
      </c>
      <c r="BE345" s="1" t="s">
        <v>3620</v>
      </c>
      <c r="BF345" s="2" t="str">
        <f>HYPERLINK("http://dx.doi.org/10.1002/ejp.1075","http://dx.doi.org/10.1002/ejp.1075")</f>
        <v>http://dx.doi.org/10.1002/ejp.1075</v>
      </c>
      <c r="BG345" s="1" t="s">
        <v>74</v>
      </c>
      <c r="BH345" s="1" t="s">
        <v>74</v>
      </c>
      <c r="BI345" s="1" t="s">
        <v>74</v>
      </c>
      <c r="BJ345" s="1" t="s">
        <v>74</v>
      </c>
      <c r="BK345" s="1" t="s">
        <v>74</v>
      </c>
      <c r="BL345" s="1" t="s">
        <v>74</v>
      </c>
      <c r="BM345" s="1" t="s">
        <v>74</v>
      </c>
      <c r="BN345" s="1">
        <v>2.8670835E7</v>
      </c>
      <c r="BO345" s="1" t="s">
        <v>74</v>
      </c>
      <c r="BP345" s="1" t="s">
        <v>74</v>
      </c>
      <c r="BQ345" s="1" t="s">
        <v>74</v>
      </c>
      <c r="BR345" s="1" t="s">
        <v>74</v>
      </c>
      <c r="BS345" s="1" t="s">
        <v>3621</v>
      </c>
      <c r="BT345" s="1" t="str">
        <f>HYPERLINK("https%3A%2F%2Fwww.webofscience.com%2Fwos%2Fwoscc%2Ffull-record%2FWOS:000412603400007","View Full Record in Web of Science")</f>
        <v>View Full Record in Web of Science</v>
      </c>
    </row>
    <row r="346" ht="12.75" customHeight="1">
      <c r="A346" s="1" t="s">
        <v>72</v>
      </c>
      <c r="B346" s="1" t="s">
        <v>3622</v>
      </c>
      <c r="C346" s="1" t="s">
        <v>74</v>
      </c>
      <c r="D346" s="1" t="s">
        <v>74</v>
      </c>
      <c r="E346" s="1" t="s">
        <v>74</v>
      </c>
      <c r="F346" s="1" t="s">
        <v>3623</v>
      </c>
      <c r="G346" s="1" t="s">
        <v>74</v>
      </c>
      <c r="H346" s="1" t="s">
        <v>74</v>
      </c>
      <c r="I346" s="1" t="s">
        <v>3624</v>
      </c>
      <c r="J346" s="1" t="s">
        <v>2409</v>
      </c>
      <c r="K346" s="1" t="s">
        <v>74</v>
      </c>
      <c r="L346" s="1" t="s">
        <v>74</v>
      </c>
      <c r="M346" s="1" t="s">
        <v>74</v>
      </c>
      <c r="N346" s="1" t="s">
        <v>74</v>
      </c>
      <c r="O346" s="1" t="s">
        <v>74</v>
      </c>
      <c r="P346" s="1" t="s">
        <v>74</v>
      </c>
      <c r="Q346" s="1" t="s">
        <v>74</v>
      </c>
      <c r="R346" s="1" t="s">
        <v>74</v>
      </c>
      <c r="S346" s="1" t="s">
        <v>74</v>
      </c>
      <c r="T346" s="1" t="s">
        <v>74</v>
      </c>
      <c r="U346" s="1" t="s">
        <v>74</v>
      </c>
      <c r="V346" s="1" t="s">
        <v>3625</v>
      </c>
      <c r="W346" s="1" t="s">
        <v>74</v>
      </c>
      <c r="X346" s="1" t="s">
        <v>74</v>
      </c>
      <c r="Y346" s="1" t="s">
        <v>74</v>
      </c>
      <c r="Z346" s="1" t="s">
        <v>74</v>
      </c>
      <c r="AA346" s="1" t="s">
        <v>3626</v>
      </c>
      <c r="AB346" s="1" t="s">
        <v>3627</v>
      </c>
      <c r="AC346" s="1" t="s">
        <v>74</v>
      </c>
      <c r="AD346" s="1" t="s">
        <v>74</v>
      </c>
      <c r="AE346" s="1" t="s">
        <v>74</v>
      </c>
      <c r="AF346" s="1" t="s">
        <v>74</v>
      </c>
      <c r="AG346" s="1" t="s">
        <v>74</v>
      </c>
      <c r="AH346" s="1" t="s">
        <v>74</v>
      </c>
      <c r="AI346" s="1" t="s">
        <v>74</v>
      </c>
      <c r="AJ346" s="1" t="s">
        <v>74</v>
      </c>
      <c r="AK346" s="1" t="s">
        <v>74</v>
      </c>
      <c r="AL346" s="1" t="s">
        <v>74</v>
      </c>
      <c r="AM346" s="1" t="s">
        <v>74</v>
      </c>
      <c r="AN346" s="1" t="s">
        <v>74</v>
      </c>
      <c r="AO346" s="1" t="s">
        <v>2413</v>
      </c>
      <c r="AP346" s="1" t="s">
        <v>2414</v>
      </c>
      <c r="AQ346" s="1" t="s">
        <v>74</v>
      </c>
      <c r="AR346" s="1" t="s">
        <v>74</v>
      </c>
      <c r="AS346" s="1" t="s">
        <v>74</v>
      </c>
      <c r="AT346" s="1" t="s">
        <v>438</v>
      </c>
      <c r="AU346" s="1">
        <v>2017.0</v>
      </c>
      <c r="AV346" s="1">
        <v>44.0</v>
      </c>
      <c r="AW346" s="1" t="s">
        <v>74</v>
      </c>
      <c r="AX346" s="1" t="s">
        <v>74</v>
      </c>
      <c r="AY346" s="1" t="s">
        <v>74</v>
      </c>
      <c r="AZ346" s="1" t="s">
        <v>74</v>
      </c>
      <c r="BA346" s="1" t="s">
        <v>74</v>
      </c>
      <c r="BB346" s="1">
        <v>481.0</v>
      </c>
      <c r="BC346" s="1">
        <v>496.0</v>
      </c>
      <c r="BD346" s="1" t="s">
        <v>74</v>
      </c>
      <c r="BE346" s="1" t="s">
        <v>3628</v>
      </c>
      <c r="BF346" s="2" t="str">
        <f>HYPERLINK("http://dx.doi.org/10.1016/j.apm.2017.02.009","http://dx.doi.org/10.1016/j.apm.2017.02.009")</f>
        <v>http://dx.doi.org/10.1016/j.apm.2017.02.009</v>
      </c>
      <c r="BG346" s="1" t="s">
        <v>74</v>
      </c>
      <c r="BH346" s="1" t="s">
        <v>74</v>
      </c>
      <c r="BI346" s="1" t="s">
        <v>74</v>
      </c>
      <c r="BJ346" s="1" t="s">
        <v>74</v>
      </c>
      <c r="BK346" s="1" t="s">
        <v>74</v>
      </c>
      <c r="BL346" s="1" t="s">
        <v>74</v>
      </c>
      <c r="BM346" s="1" t="s">
        <v>74</v>
      </c>
      <c r="BN346" s="1" t="s">
        <v>74</v>
      </c>
      <c r="BO346" s="1" t="s">
        <v>74</v>
      </c>
      <c r="BP346" s="1" t="s">
        <v>74</v>
      </c>
      <c r="BQ346" s="1" t="s">
        <v>74</v>
      </c>
      <c r="BR346" s="1" t="s">
        <v>74</v>
      </c>
      <c r="BS346" s="1" t="s">
        <v>3629</v>
      </c>
      <c r="BT346" s="1" t="str">
        <f>HYPERLINK("https%3A%2F%2Fwww.webofscience.com%2Fwos%2Fwoscc%2Ffull-record%2FWOS:000401208500032","View Full Record in Web of Science")</f>
        <v>View Full Record in Web of Science</v>
      </c>
    </row>
    <row r="347" ht="12.75" customHeight="1">
      <c r="A347" s="1" t="s">
        <v>72</v>
      </c>
      <c r="B347" s="1" t="s">
        <v>3630</v>
      </c>
      <c r="C347" s="1" t="s">
        <v>74</v>
      </c>
      <c r="D347" s="1" t="s">
        <v>74</v>
      </c>
      <c r="E347" s="1" t="s">
        <v>74</v>
      </c>
      <c r="F347" s="1" t="s">
        <v>3631</v>
      </c>
      <c r="G347" s="1" t="s">
        <v>74</v>
      </c>
      <c r="H347" s="1" t="s">
        <v>74</v>
      </c>
      <c r="I347" s="1" t="s">
        <v>3632</v>
      </c>
      <c r="J347" s="1" t="s">
        <v>3633</v>
      </c>
      <c r="K347" s="1" t="s">
        <v>74</v>
      </c>
      <c r="L347" s="1" t="s">
        <v>74</v>
      </c>
      <c r="M347" s="1" t="s">
        <v>74</v>
      </c>
      <c r="N347" s="1" t="s">
        <v>74</v>
      </c>
      <c r="O347" s="1" t="s">
        <v>74</v>
      </c>
      <c r="P347" s="1" t="s">
        <v>74</v>
      </c>
      <c r="Q347" s="1" t="s">
        <v>74</v>
      </c>
      <c r="R347" s="1" t="s">
        <v>74</v>
      </c>
      <c r="S347" s="1" t="s">
        <v>74</v>
      </c>
      <c r="T347" s="1" t="s">
        <v>74</v>
      </c>
      <c r="U347" s="1" t="s">
        <v>74</v>
      </c>
      <c r="V347" s="1" t="s">
        <v>3634</v>
      </c>
      <c r="W347" s="1" t="s">
        <v>74</v>
      </c>
      <c r="X347" s="1" t="s">
        <v>74</v>
      </c>
      <c r="Y347" s="1" t="s">
        <v>74</v>
      </c>
      <c r="Z347" s="1" t="s">
        <v>74</v>
      </c>
      <c r="AA347" s="1" t="s">
        <v>3635</v>
      </c>
      <c r="AB347" s="1" t="s">
        <v>3636</v>
      </c>
      <c r="AC347" s="1" t="s">
        <v>74</v>
      </c>
      <c r="AD347" s="1" t="s">
        <v>74</v>
      </c>
      <c r="AE347" s="1" t="s">
        <v>74</v>
      </c>
      <c r="AF347" s="1" t="s">
        <v>74</v>
      </c>
      <c r="AG347" s="1" t="s">
        <v>74</v>
      </c>
      <c r="AH347" s="1" t="s">
        <v>74</v>
      </c>
      <c r="AI347" s="1" t="s">
        <v>74</v>
      </c>
      <c r="AJ347" s="1" t="s">
        <v>74</v>
      </c>
      <c r="AK347" s="1" t="s">
        <v>74</v>
      </c>
      <c r="AL347" s="1" t="s">
        <v>74</v>
      </c>
      <c r="AM347" s="1" t="s">
        <v>74</v>
      </c>
      <c r="AN347" s="1" t="s">
        <v>74</v>
      </c>
      <c r="AO347" s="1" t="s">
        <v>3637</v>
      </c>
      <c r="AP347" s="1" t="s">
        <v>3638</v>
      </c>
      <c r="AQ347" s="1" t="s">
        <v>74</v>
      </c>
      <c r="AR347" s="1" t="s">
        <v>74</v>
      </c>
      <c r="AS347" s="1" t="s">
        <v>74</v>
      </c>
      <c r="AT347" s="1" t="s">
        <v>411</v>
      </c>
      <c r="AU347" s="1">
        <v>2016.0</v>
      </c>
      <c r="AV347" s="1">
        <v>14.0</v>
      </c>
      <c r="AW347" s="1">
        <v>9.0</v>
      </c>
      <c r="AX347" s="1" t="s">
        <v>74</v>
      </c>
      <c r="AY347" s="1" t="s">
        <v>74</v>
      </c>
      <c r="AZ347" s="1" t="s">
        <v>74</v>
      </c>
      <c r="BA347" s="1" t="s">
        <v>74</v>
      </c>
      <c r="BB347" s="1">
        <v>455.0</v>
      </c>
      <c r="BC347" s="1">
        <v>462.0</v>
      </c>
      <c r="BD347" s="1" t="s">
        <v>74</v>
      </c>
      <c r="BE347" s="1" t="s">
        <v>3639</v>
      </c>
      <c r="BF347" s="2" t="str">
        <f>HYPERLINK("http://dx.doi.org/10.1089/met.2016.0058","http://dx.doi.org/10.1089/met.2016.0058")</f>
        <v>http://dx.doi.org/10.1089/met.2016.0058</v>
      </c>
      <c r="BG347" s="1" t="s">
        <v>74</v>
      </c>
      <c r="BH347" s="1" t="s">
        <v>74</v>
      </c>
      <c r="BI347" s="1" t="s">
        <v>74</v>
      </c>
      <c r="BJ347" s="1" t="s">
        <v>74</v>
      </c>
      <c r="BK347" s="1" t="s">
        <v>74</v>
      </c>
      <c r="BL347" s="1" t="s">
        <v>74</v>
      </c>
      <c r="BM347" s="1" t="s">
        <v>74</v>
      </c>
      <c r="BN347" s="1">
        <v>2.750849E7</v>
      </c>
      <c r="BO347" s="1" t="s">
        <v>74</v>
      </c>
      <c r="BP347" s="1" t="s">
        <v>74</v>
      </c>
      <c r="BQ347" s="1" t="s">
        <v>74</v>
      </c>
      <c r="BR347" s="1" t="s">
        <v>74</v>
      </c>
      <c r="BS347" s="1" t="s">
        <v>3640</v>
      </c>
      <c r="BT347" s="1" t="str">
        <f>HYPERLINK("https%3A%2F%2Fwww.webofscience.com%2Fwos%2Fwoscc%2Ffull-record%2FWOS:000387222700006","View Full Record in Web of Science")</f>
        <v>View Full Record in Web of Science</v>
      </c>
    </row>
    <row r="348" ht="12.75" customHeight="1">
      <c r="A348" s="1" t="s">
        <v>647</v>
      </c>
      <c r="B348" s="1" t="s">
        <v>3641</v>
      </c>
      <c r="C348" s="1" t="s">
        <v>74</v>
      </c>
      <c r="D348" s="1" t="s">
        <v>74</v>
      </c>
      <c r="E348" s="1" t="s">
        <v>649</v>
      </c>
      <c r="F348" s="1" t="s">
        <v>3642</v>
      </c>
      <c r="G348" s="1" t="s">
        <v>74</v>
      </c>
      <c r="H348" s="1" t="s">
        <v>74</v>
      </c>
      <c r="I348" s="1" t="s">
        <v>3643</v>
      </c>
      <c r="J348" s="1" t="s">
        <v>3644</v>
      </c>
      <c r="K348" s="1" t="s">
        <v>1763</v>
      </c>
      <c r="L348" s="1" t="s">
        <v>74</v>
      </c>
      <c r="M348" s="1" t="s">
        <v>74</v>
      </c>
      <c r="N348" s="1" t="s">
        <v>74</v>
      </c>
      <c r="O348" s="1" t="s">
        <v>3645</v>
      </c>
      <c r="P348" s="1" t="s">
        <v>3646</v>
      </c>
      <c r="Q348" s="1" t="s">
        <v>3647</v>
      </c>
      <c r="R348" s="1" t="s">
        <v>3648</v>
      </c>
      <c r="S348" s="1" t="s">
        <v>74</v>
      </c>
      <c r="T348" s="1" t="s">
        <v>74</v>
      </c>
      <c r="U348" s="1" t="s">
        <v>74</v>
      </c>
      <c r="V348" s="1" t="s">
        <v>3649</v>
      </c>
      <c r="W348" s="1" t="s">
        <v>74</v>
      </c>
      <c r="X348" s="1" t="s">
        <v>74</v>
      </c>
      <c r="Y348" s="1" t="s">
        <v>74</v>
      </c>
      <c r="Z348" s="1" t="s">
        <v>74</v>
      </c>
      <c r="AA348" s="1" t="s">
        <v>3650</v>
      </c>
      <c r="AB348" s="1" t="s">
        <v>3651</v>
      </c>
      <c r="AC348" s="1" t="s">
        <v>74</v>
      </c>
      <c r="AD348" s="1" t="s">
        <v>74</v>
      </c>
      <c r="AE348" s="1" t="s">
        <v>74</v>
      </c>
      <c r="AF348" s="1" t="s">
        <v>74</v>
      </c>
      <c r="AG348" s="1" t="s">
        <v>74</v>
      </c>
      <c r="AH348" s="1" t="s">
        <v>74</v>
      </c>
      <c r="AI348" s="1" t="s">
        <v>74</v>
      </c>
      <c r="AJ348" s="1" t="s">
        <v>74</v>
      </c>
      <c r="AK348" s="1" t="s">
        <v>74</v>
      </c>
      <c r="AL348" s="1" t="s">
        <v>74</v>
      </c>
      <c r="AM348" s="1" t="s">
        <v>74</v>
      </c>
      <c r="AN348" s="1" t="s">
        <v>74</v>
      </c>
      <c r="AO348" s="1" t="s">
        <v>1770</v>
      </c>
      <c r="AP348" s="1" t="s">
        <v>74</v>
      </c>
      <c r="AQ348" s="1" t="s">
        <v>3652</v>
      </c>
      <c r="AR348" s="1" t="s">
        <v>74</v>
      </c>
      <c r="AS348" s="1" t="s">
        <v>74</v>
      </c>
      <c r="AT348" s="1" t="s">
        <v>74</v>
      </c>
      <c r="AU348" s="1">
        <v>2016.0</v>
      </c>
      <c r="AV348" s="1" t="s">
        <v>74</v>
      </c>
      <c r="AW348" s="1" t="s">
        <v>74</v>
      </c>
      <c r="AX348" s="1" t="s">
        <v>74</v>
      </c>
      <c r="AY348" s="1" t="s">
        <v>74</v>
      </c>
      <c r="AZ348" s="1" t="s">
        <v>74</v>
      </c>
      <c r="BA348" s="1" t="s">
        <v>74</v>
      </c>
      <c r="BB348" s="1">
        <v>5046.0</v>
      </c>
      <c r="BC348" s="1">
        <v>5051.0</v>
      </c>
      <c r="BD348" s="1" t="s">
        <v>74</v>
      </c>
      <c r="BE348" s="1" t="s">
        <v>74</v>
      </c>
      <c r="BF348" s="1" t="s">
        <v>74</v>
      </c>
      <c r="BG348" s="1" t="s">
        <v>74</v>
      </c>
      <c r="BH348" s="1" t="s">
        <v>74</v>
      </c>
      <c r="BI348" s="1" t="s">
        <v>74</v>
      </c>
      <c r="BJ348" s="1" t="s">
        <v>74</v>
      </c>
      <c r="BK348" s="1" t="s">
        <v>74</v>
      </c>
      <c r="BL348" s="1" t="s">
        <v>74</v>
      </c>
      <c r="BM348" s="1" t="s">
        <v>74</v>
      </c>
      <c r="BN348" s="1" t="s">
        <v>74</v>
      </c>
      <c r="BO348" s="1" t="s">
        <v>74</v>
      </c>
      <c r="BP348" s="1" t="s">
        <v>74</v>
      </c>
      <c r="BQ348" s="1" t="s">
        <v>74</v>
      </c>
      <c r="BR348" s="1" t="s">
        <v>74</v>
      </c>
      <c r="BS348" s="1" t="s">
        <v>3653</v>
      </c>
      <c r="BT348" s="1" t="str">
        <f>HYPERLINK("https%3A%2F%2Fwww.webofscience.com%2Fwos%2Fwoscc%2Ffull-record%2FWOS:000399031205051","View Full Record in Web of Science")</f>
        <v>View Full Record in Web of Science</v>
      </c>
    </row>
    <row r="349" ht="12.75" customHeight="1">
      <c r="A349" s="1" t="s">
        <v>72</v>
      </c>
      <c r="B349" s="1" t="s">
        <v>3654</v>
      </c>
      <c r="C349" s="1" t="s">
        <v>74</v>
      </c>
      <c r="D349" s="1" t="s">
        <v>74</v>
      </c>
      <c r="E349" s="1" t="s">
        <v>74</v>
      </c>
      <c r="F349" s="1" t="s">
        <v>3655</v>
      </c>
      <c r="G349" s="1" t="s">
        <v>74</v>
      </c>
      <c r="H349" s="1" t="s">
        <v>74</v>
      </c>
      <c r="I349" s="1" t="s">
        <v>3656</v>
      </c>
      <c r="J349" s="1" t="s">
        <v>3657</v>
      </c>
      <c r="K349" s="1" t="s">
        <v>74</v>
      </c>
      <c r="L349" s="1" t="s">
        <v>74</v>
      </c>
      <c r="M349" s="1" t="s">
        <v>74</v>
      </c>
      <c r="N349" s="1" t="s">
        <v>74</v>
      </c>
      <c r="O349" s="1" t="s">
        <v>74</v>
      </c>
      <c r="P349" s="1" t="s">
        <v>74</v>
      </c>
      <c r="Q349" s="1" t="s">
        <v>74</v>
      </c>
      <c r="R349" s="1" t="s">
        <v>74</v>
      </c>
      <c r="S349" s="1" t="s">
        <v>74</v>
      </c>
      <c r="T349" s="1" t="s">
        <v>74</v>
      </c>
      <c r="U349" s="1" t="s">
        <v>74</v>
      </c>
      <c r="V349" s="1" t="s">
        <v>3658</v>
      </c>
      <c r="W349" s="1" t="s">
        <v>74</v>
      </c>
      <c r="X349" s="1" t="s">
        <v>74</v>
      </c>
      <c r="Y349" s="1" t="s">
        <v>74</v>
      </c>
      <c r="Z349" s="1" t="s">
        <v>74</v>
      </c>
      <c r="AA349" s="1" t="s">
        <v>3659</v>
      </c>
      <c r="AB349" s="1" t="s">
        <v>3660</v>
      </c>
      <c r="AC349" s="1" t="s">
        <v>74</v>
      </c>
      <c r="AD349" s="1" t="s">
        <v>74</v>
      </c>
      <c r="AE349" s="1" t="s">
        <v>74</v>
      </c>
      <c r="AF349" s="1" t="s">
        <v>74</v>
      </c>
      <c r="AG349" s="1" t="s">
        <v>74</v>
      </c>
      <c r="AH349" s="1" t="s">
        <v>74</v>
      </c>
      <c r="AI349" s="1" t="s">
        <v>74</v>
      </c>
      <c r="AJ349" s="1" t="s">
        <v>74</v>
      </c>
      <c r="AK349" s="1" t="s">
        <v>74</v>
      </c>
      <c r="AL349" s="1" t="s">
        <v>74</v>
      </c>
      <c r="AM349" s="1" t="s">
        <v>74</v>
      </c>
      <c r="AN349" s="1" t="s">
        <v>74</v>
      </c>
      <c r="AO349" s="1" t="s">
        <v>74</v>
      </c>
      <c r="AP349" s="1" t="s">
        <v>3661</v>
      </c>
      <c r="AQ349" s="1" t="s">
        <v>74</v>
      </c>
      <c r="AR349" s="1" t="s">
        <v>74</v>
      </c>
      <c r="AS349" s="1" t="s">
        <v>74</v>
      </c>
      <c r="AT349" s="1" t="s">
        <v>3662</v>
      </c>
      <c r="AU349" s="1">
        <v>2015.0</v>
      </c>
      <c r="AV349" s="1">
        <v>67.0</v>
      </c>
      <c r="AW349" s="1" t="s">
        <v>74</v>
      </c>
      <c r="AX349" s="1" t="s">
        <v>74</v>
      </c>
      <c r="AY349" s="1" t="s">
        <v>74</v>
      </c>
      <c r="AZ349" s="1" t="s">
        <v>74</v>
      </c>
      <c r="BA349" s="1" t="s">
        <v>74</v>
      </c>
      <c r="BB349" s="1">
        <v>1.0</v>
      </c>
      <c r="BC349" s="1">
        <v>7.0</v>
      </c>
      <c r="BD349" s="1">
        <v>166.0</v>
      </c>
      <c r="BE349" s="1" t="s">
        <v>3663</v>
      </c>
      <c r="BF349" s="2" t="str">
        <f>HYPERLINK("http://dx.doi.org/10.1186/s40623-015-0336-6","http://dx.doi.org/10.1186/s40623-015-0336-6")</f>
        <v>http://dx.doi.org/10.1186/s40623-015-0336-6</v>
      </c>
      <c r="BG349" s="1" t="s">
        <v>74</v>
      </c>
      <c r="BH349" s="1" t="s">
        <v>74</v>
      </c>
      <c r="BI349" s="1" t="s">
        <v>74</v>
      </c>
      <c r="BJ349" s="1" t="s">
        <v>74</v>
      </c>
      <c r="BK349" s="1" t="s">
        <v>74</v>
      </c>
      <c r="BL349" s="1" t="s">
        <v>74</v>
      </c>
      <c r="BM349" s="1" t="s">
        <v>74</v>
      </c>
      <c r="BN349" s="1">
        <v>2.7656099E7</v>
      </c>
      <c r="BO349" s="1" t="s">
        <v>74</v>
      </c>
      <c r="BP349" s="1" t="s">
        <v>74</v>
      </c>
      <c r="BQ349" s="1" t="s">
        <v>74</v>
      </c>
      <c r="BR349" s="1" t="s">
        <v>74</v>
      </c>
      <c r="BS349" s="1" t="s">
        <v>3664</v>
      </c>
      <c r="BT349" s="1" t="str">
        <f>HYPERLINK("https%3A%2F%2Fwww.webofscience.com%2Fwos%2Fwoscc%2Ffull-record%2FWOS:000362631900001","View Full Record in Web of Science")</f>
        <v>View Full Record in Web of Science</v>
      </c>
    </row>
    <row r="350" ht="12.75" customHeight="1">
      <c r="A350" s="1" t="s">
        <v>72</v>
      </c>
      <c r="B350" s="1" t="s">
        <v>3665</v>
      </c>
      <c r="C350" s="1" t="s">
        <v>74</v>
      </c>
      <c r="D350" s="1" t="s">
        <v>74</v>
      </c>
      <c r="E350" s="1" t="s">
        <v>74</v>
      </c>
      <c r="F350" s="1" t="s">
        <v>3666</v>
      </c>
      <c r="G350" s="1" t="s">
        <v>74</v>
      </c>
      <c r="H350" s="1" t="s">
        <v>74</v>
      </c>
      <c r="I350" s="1" t="s">
        <v>3667</v>
      </c>
      <c r="J350" s="1" t="s">
        <v>332</v>
      </c>
      <c r="K350" s="1" t="s">
        <v>74</v>
      </c>
      <c r="L350" s="1" t="s">
        <v>74</v>
      </c>
      <c r="M350" s="1" t="s">
        <v>74</v>
      </c>
      <c r="N350" s="1" t="s">
        <v>74</v>
      </c>
      <c r="O350" s="1" t="s">
        <v>74</v>
      </c>
      <c r="P350" s="1" t="s">
        <v>74</v>
      </c>
      <c r="Q350" s="1" t="s">
        <v>74</v>
      </c>
      <c r="R350" s="1" t="s">
        <v>74</v>
      </c>
      <c r="S350" s="1" t="s">
        <v>74</v>
      </c>
      <c r="T350" s="1" t="s">
        <v>74</v>
      </c>
      <c r="U350" s="1" t="s">
        <v>74</v>
      </c>
      <c r="V350" s="1" t="s">
        <v>3668</v>
      </c>
      <c r="W350" s="1" t="s">
        <v>74</v>
      </c>
      <c r="X350" s="1" t="s">
        <v>74</v>
      </c>
      <c r="Y350" s="1" t="s">
        <v>74</v>
      </c>
      <c r="Z350" s="1" t="s">
        <v>74</v>
      </c>
      <c r="AA350" s="1" t="s">
        <v>3669</v>
      </c>
      <c r="AB350" s="1" t="s">
        <v>3670</v>
      </c>
      <c r="AC350" s="1" t="s">
        <v>74</v>
      </c>
      <c r="AD350" s="1" t="s">
        <v>74</v>
      </c>
      <c r="AE350" s="1" t="s">
        <v>74</v>
      </c>
      <c r="AF350" s="1" t="s">
        <v>74</v>
      </c>
      <c r="AG350" s="1" t="s">
        <v>74</v>
      </c>
      <c r="AH350" s="1" t="s">
        <v>74</v>
      </c>
      <c r="AI350" s="1" t="s">
        <v>74</v>
      </c>
      <c r="AJ350" s="1" t="s">
        <v>74</v>
      </c>
      <c r="AK350" s="1" t="s">
        <v>74</v>
      </c>
      <c r="AL350" s="1" t="s">
        <v>74</v>
      </c>
      <c r="AM350" s="1" t="s">
        <v>74</v>
      </c>
      <c r="AN350" s="1" t="s">
        <v>74</v>
      </c>
      <c r="AO350" s="1" t="s">
        <v>336</v>
      </c>
      <c r="AP350" s="1" t="s">
        <v>337</v>
      </c>
      <c r="AQ350" s="1" t="s">
        <v>74</v>
      </c>
      <c r="AR350" s="1" t="s">
        <v>74</v>
      </c>
      <c r="AS350" s="1" t="s">
        <v>74</v>
      </c>
      <c r="AT350" s="1" t="s">
        <v>3671</v>
      </c>
      <c r="AU350" s="1">
        <v>2015.0</v>
      </c>
      <c r="AV350" s="1">
        <v>179.0</v>
      </c>
      <c r="AW350" s="1" t="s">
        <v>74</v>
      </c>
      <c r="AX350" s="1" t="s">
        <v>74</v>
      </c>
      <c r="AY350" s="1" t="s">
        <v>74</v>
      </c>
      <c r="AZ350" s="1" t="s">
        <v>74</v>
      </c>
      <c r="BA350" s="1" t="s">
        <v>74</v>
      </c>
      <c r="BB350" s="1">
        <v>611.0</v>
      </c>
      <c r="BC350" s="1">
        <v>617.0</v>
      </c>
      <c r="BD350" s="1" t="s">
        <v>74</v>
      </c>
      <c r="BE350" s="1" t="s">
        <v>3672</v>
      </c>
      <c r="BF350" s="2" t="str">
        <f>HYPERLINK("http://dx.doi.org/10.1016/j.electacta.2015.03.150","http://dx.doi.org/10.1016/j.electacta.2015.03.150")</f>
        <v>http://dx.doi.org/10.1016/j.electacta.2015.03.150</v>
      </c>
      <c r="BG350" s="1" t="s">
        <v>74</v>
      </c>
      <c r="BH350" s="1" t="s">
        <v>74</v>
      </c>
      <c r="BI350" s="1" t="s">
        <v>74</v>
      </c>
      <c r="BJ350" s="1" t="s">
        <v>74</v>
      </c>
      <c r="BK350" s="1" t="s">
        <v>74</v>
      </c>
      <c r="BL350" s="1" t="s">
        <v>74</v>
      </c>
      <c r="BM350" s="1" t="s">
        <v>74</v>
      </c>
      <c r="BN350" s="1" t="s">
        <v>74</v>
      </c>
      <c r="BO350" s="1" t="s">
        <v>74</v>
      </c>
      <c r="BP350" s="1" t="s">
        <v>74</v>
      </c>
      <c r="BQ350" s="1" t="s">
        <v>74</v>
      </c>
      <c r="BR350" s="1" t="s">
        <v>74</v>
      </c>
      <c r="BS350" s="1" t="s">
        <v>3673</v>
      </c>
      <c r="BT350" s="1" t="str">
        <f>HYPERLINK("https%3A%2F%2Fwww.webofscience.com%2Fwos%2Fwoscc%2Ffull-record%2FWOS:000362292200072","View Full Record in Web of Science")</f>
        <v>View Full Record in Web of Science</v>
      </c>
    </row>
    <row r="351" ht="12.75" customHeight="1">
      <c r="A351" s="1" t="s">
        <v>72</v>
      </c>
      <c r="B351" s="1" t="s">
        <v>3674</v>
      </c>
      <c r="C351" s="1" t="s">
        <v>74</v>
      </c>
      <c r="D351" s="1" t="s">
        <v>74</v>
      </c>
      <c r="E351" s="1" t="s">
        <v>74</v>
      </c>
      <c r="F351" s="1" t="s">
        <v>3675</v>
      </c>
      <c r="G351" s="1" t="s">
        <v>74</v>
      </c>
      <c r="H351" s="1" t="s">
        <v>74</v>
      </c>
      <c r="I351" s="1" t="s">
        <v>3676</v>
      </c>
      <c r="J351" s="1" t="s">
        <v>3677</v>
      </c>
      <c r="K351" s="1" t="s">
        <v>74</v>
      </c>
      <c r="L351" s="1" t="s">
        <v>74</v>
      </c>
      <c r="M351" s="1" t="s">
        <v>74</v>
      </c>
      <c r="N351" s="1" t="s">
        <v>74</v>
      </c>
      <c r="O351" s="1" t="s">
        <v>74</v>
      </c>
      <c r="P351" s="1" t="s">
        <v>74</v>
      </c>
      <c r="Q351" s="1" t="s">
        <v>74</v>
      </c>
      <c r="R351" s="1" t="s">
        <v>74</v>
      </c>
      <c r="S351" s="1" t="s">
        <v>74</v>
      </c>
      <c r="T351" s="1" t="s">
        <v>74</v>
      </c>
      <c r="U351" s="1" t="s">
        <v>74</v>
      </c>
      <c r="V351" s="1" t="s">
        <v>3678</v>
      </c>
      <c r="W351" s="1" t="s">
        <v>74</v>
      </c>
      <c r="X351" s="1" t="s">
        <v>74</v>
      </c>
      <c r="Y351" s="1" t="s">
        <v>74</v>
      </c>
      <c r="Z351" s="1" t="s">
        <v>74</v>
      </c>
      <c r="AA351" s="1" t="s">
        <v>3679</v>
      </c>
      <c r="AB351" s="1" t="s">
        <v>3680</v>
      </c>
      <c r="AC351" s="1" t="s">
        <v>74</v>
      </c>
      <c r="AD351" s="1" t="s">
        <v>74</v>
      </c>
      <c r="AE351" s="1" t="s">
        <v>74</v>
      </c>
      <c r="AF351" s="1" t="s">
        <v>74</v>
      </c>
      <c r="AG351" s="1" t="s">
        <v>74</v>
      </c>
      <c r="AH351" s="1" t="s">
        <v>74</v>
      </c>
      <c r="AI351" s="1" t="s">
        <v>74</v>
      </c>
      <c r="AJ351" s="1" t="s">
        <v>74</v>
      </c>
      <c r="AK351" s="1" t="s">
        <v>74</v>
      </c>
      <c r="AL351" s="1" t="s">
        <v>74</v>
      </c>
      <c r="AM351" s="1" t="s">
        <v>74</v>
      </c>
      <c r="AN351" s="1" t="s">
        <v>74</v>
      </c>
      <c r="AO351" s="1" t="s">
        <v>3681</v>
      </c>
      <c r="AP351" s="1" t="s">
        <v>3682</v>
      </c>
      <c r="AQ351" s="1" t="s">
        <v>74</v>
      </c>
      <c r="AR351" s="1" t="s">
        <v>74</v>
      </c>
      <c r="AS351" s="1" t="s">
        <v>74</v>
      </c>
      <c r="AT351" s="1" t="s">
        <v>250</v>
      </c>
      <c r="AU351" s="1">
        <v>2015.0</v>
      </c>
      <c r="AV351" s="1">
        <v>75.0</v>
      </c>
      <c r="AW351" s="1">
        <v>3.0</v>
      </c>
      <c r="AX351" s="1" t="s">
        <v>74</v>
      </c>
      <c r="AY351" s="1" t="s">
        <v>74</v>
      </c>
      <c r="AZ351" s="1" t="s">
        <v>74</v>
      </c>
      <c r="BA351" s="1" t="s">
        <v>74</v>
      </c>
      <c r="BB351" s="1">
        <v>593.0</v>
      </c>
      <c r="BC351" s="1">
        <v>601.0</v>
      </c>
      <c r="BD351" s="1" t="s">
        <v>74</v>
      </c>
      <c r="BE351" s="1" t="s">
        <v>3683</v>
      </c>
      <c r="BF351" s="2" t="str">
        <f>HYPERLINK("http://dx.doi.org/10.1007/s10971-015-3730-4","http://dx.doi.org/10.1007/s10971-015-3730-4")</f>
        <v>http://dx.doi.org/10.1007/s10971-015-3730-4</v>
      </c>
      <c r="BG351" s="1" t="s">
        <v>74</v>
      </c>
      <c r="BH351" s="1" t="s">
        <v>74</v>
      </c>
      <c r="BI351" s="1" t="s">
        <v>74</v>
      </c>
      <c r="BJ351" s="1" t="s">
        <v>74</v>
      </c>
      <c r="BK351" s="1" t="s">
        <v>74</v>
      </c>
      <c r="BL351" s="1" t="s">
        <v>74</v>
      </c>
      <c r="BM351" s="1" t="s">
        <v>74</v>
      </c>
      <c r="BN351" s="1" t="s">
        <v>74</v>
      </c>
      <c r="BO351" s="1" t="s">
        <v>74</v>
      </c>
      <c r="BP351" s="1" t="s">
        <v>74</v>
      </c>
      <c r="BQ351" s="1" t="s">
        <v>74</v>
      </c>
      <c r="BR351" s="1" t="s">
        <v>74</v>
      </c>
      <c r="BS351" s="1" t="s">
        <v>3684</v>
      </c>
      <c r="BT351" s="1" t="str">
        <f>HYPERLINK("https%3A%2F%2Fwww.webofscience.com%2Fwos%2Fwoscc%2Ffull-record%2FWOS:000359360500012","View Full Record in Web of Science")</f>
        <v>View Full Record in Web of Science</v>
      </c>
    </row>
    <row r="352" ht="12.75" customHeight="1">
      <c r="A352" s="1" t="s">
        <v>72</v>
      </c>
      <c r="B352" s="1" t="s">
        <v>3685</v>
      </c>
      <c r="C352" s="1" t="s">
        <v>74</v>
      </c>
      <c r="D352" s="1" t="s">
        <v>74</v>
      </c>
      <c r="E352" s="1" t="s">
        <v>74</v>
      </c>
      <c r="F352" s="1" t="s">
        <v>3686</v>
      </c>
      <c r="G352" s="1" t="s">
        <v>74</v>
      </c>
      <c r="H352" s="1" t="s">
        <v>74</v>
      </c>
      <c r="I352" s="1" t="s">
        <v>3687</v>
      </c>
      <c r="J352" s="1" t="s">
        <v>3688</v>
      </c>
      <c r="K352" s="1" t="s">
        <v>74</v>
      </c>
      <c r="L352" s="1" t="s">
        <v>74</v>
      </c>
      <c r="M352" s="1" t="s">
        <v>74</v>
      </c>
      <c r="N352" s="1" t="s">
        <v>74</v>
      </c>
      <c r="O352" s="1" t="s">
        <v>74</v>
      </c>
      <c r="P352" s="1" t="s">
        <v>74</v>
      </c>
      <c r="Q352" s="1" t="s">
        <v>74</v>
      </c>
      <c r="R352" s="1" t="s">
        <v>74</v>
      </c>
      <c r="S352" s="1" t="s">
        <v>74</v>
      </c>
      <c r="T352" s="1" t="s">
        <v>74</v>
      </c>
      <c r="U352" s="1" t="s">
        <v>74</v>
      </c>
      <c r="V352" s="1" t="s">
        <v>3689</v>
      </c>
      <c r="W352" s="1" t="s">
        <v>74</v>
      </c>
      <c r="X352" s="1" t="s">
        <v>74</v>
      </c>
      <c r="Y352" s="1" t="s">
        <v>74</v>
      </c>
      <c r="Z352" s="1" t="s">
        <v>74</v>
      </c>
      <c r="AA352" s="1" t="s">
        <v>3690</v>
      </c>
      <c r="AB352" s="1" t="s">
        <v>3691</v>
      </c>
      <c r="AC352" s="1" t="s">
        <v>74</v>
      </c>
      <c r="AD352" s="1" t="s">
        <v>74</v>
      </c>
      <c r="AE352" s="1" t="s">
        <v>74</v>
      </c>
      <c r="AF352" s="1" t="s">
        <v>74</v>
      </c>
      <c r="AG352" s="1" t="s">
        <v>74</v>
      </c>
      <c r="AH352" s="1" t="s">
        <v>74</v>
      </c>
      <c r="AI352" s="1" t="s">
        <v>74</v>
      </c>
      <c r="AJ352" s="1" t="s">
        <v>74</v>
      </c>
      <c r="AK352" s="1" t="s">
        <v>74</v>
      </c>
      <c r="AL352" s="1" t="s">
        <v>74</v>
      </c>
      <c r="AM352" s="1" t="s">
        <v>74</v>
      </c>
      <c r="AN352" s="1" t="s">
        <v>74</v>
      </c>
      <c r="AO352" s="1" t="s">
        <v>3692</v>
      </c>
      <c r="AP352" s="1" t="s">
        <v>3693</v>
      </c>
      <c r="AQ352" s="1" t="s">
        <v>74</v>
      </c>
      <c r="AR352" s="1" t="s">
        <v>74</v>
      </c>
      <c r="AS352" s="1" t="s">
        <v>74</v>
      </c>
      <c r="AT352" s="1" t="s">
        <v>719</v>
      </c>
      <c r="AU352" s="1">
        <v>2015.0</v>
      </c>
      <c r="AV352" s="1">
        <v>145.0</v>
      </c>
      <c r="AW352" s="1">
        <v>7.0</v>
      </c>
      <c r="AX352" s="1" t="s">
        <v>74</v>
      </c>
      <c r="AY352" s="1" t="s">
        <v>74</v>
      </c>
      <c r="AZ352" s="1" t="s">
        <v>74</v>
      </c>
      <c r="BA352" s="1" t="s">
        <v>74</v>
      </c>
      <c r="BB352" s="1">
        <v>1396.0</v>
      </c>
      <c r="BC352" s="1">
        <v>1402.0</v>
      </c>
      <c r="BD352" s="1" t="s">
        <v>74</v>
      </c>
      <c r="BE352" s="1" t="s">
        <v>3694</v>
      </c>
      <c r="BF352" s="2" t="str">
        <f>HYPERLINK("http://dx.doi.org/10.1007/s10562-015-1502-y","http://dx.doi.org/10.1007/s10562-015-1502-y")</f>
        <v>http://dx.doi.org/10.1007/s10562-015-1502-y</v>
      </c>
      <c r="BG352" s="1" t="s">
        <v>74</v>
      </c>
      <c r="BH352" s="1" t="s">
        <v>74</v>
      </c>
      <c r="BI352" s="1" t="s">
        <v>74</v>
      </c>
      <c r="BJ352" s="1" t="s">
        <v>74</v>
      </c>
      <c r="BK352" s="1" t="s">
        <v>74</v>
      </c>
      <c r="BL352" s="1" t="s">
        <v>74</v>
      </c>
      <c r="BM352" s="1" t="s">
        <v>74</v>
      </c>
      <c r="BN352" s="1" t="s">
        <v>74</v>
      </c>
      <c r="BO352" s="1" t="s">
        <v>74</v>
      </c>
      <c r="BP352" s="1" t="s">
        <v>74</v>
      </c>
      <c r="BQ352" s="1" t="s">
        <v>74</v>
      </c>
      <c r="BR352" s="1" t="s">
        <v>74</v>
      </c>
      <c r="BS352" s="1" t="s">
        <v>3695</v>
      </c>
      <c r="BT352" s="1" t="str">
        <f>HYPERLINK("https%3A%2F%2Fwww.webofscience.com%2Fwos%2Fwoscc%2Ffull-record%2FWOS:000357481900005","View Full Record in Web of Science")</f>
        <v>View Full Record in Web of Science</v>
      </c>
    </row>
    <row r="353" ht="12.75" customHeight="1">
      <c r="A353" s="1" t="s">
        <v>72</v>
      </c>
      <c r="B353" s="1" t="s">
        <v>3696</v>
      </c>
      <c r="C353" s="1" t="s">
        <v>74</v>
      </c>
      <c r="D353" s="1" t="s">
        <v>74</v>
      </c>
      <c r="E353" s="1" t="s">
        <v>74</v>
      </c>
      <c r="F353" s="1" t="s">
        <v>3697</v>
      </c>
      <c r="G353" s="1" t="s">
        <v>74</v>
      </c>
      <c r="H353" s="1" t="s">
        <v>74</v>
      </c>
      <c r="I353" s="1" t="s">
        <v>3698</v>
      </c>
      <c r="J353" s="1" t="s">
        <v>3699</v>
      </c>
      <c r="K353" s="1" t="s">
        <v>74</v>
      </c>
      <c r="L353" s="1" t="s">
        <v>74</v>
      </c>
      <c r="M353" s="1" t="s">
        <v>74</v>
      </c>
      <c r="N353" s="1" t="s">
        <v>74</v>
      </c>
      <c r="O353" s="1" t="s">
        <v>74</v>
      </c>
      <c r="P353" s="1" t="s">
        <v>74</v>
      </c>
      <c r="Q353" s="1" t="s">
        <v>74</v>
      </c>
      <c r="R353" s="1" t="s">
        <v>74</v>
      </c>
      <c r="S353" s="1" t="s">
        <v>74</v>
      </c>
      <c r="T353" s="1" t="s">
        <v>74</v>
      </c>
      <c r="U353" s="1" t="s">
        <v>74</v>
      </c>
      <c r="V353" s="1" t="s">
        <v>3700</v>
      </c>
      <c r="W353" s="1" t="s">
        <v>74</v>
      </c>
      <c r="X353" s="1" t="s">
        <v>74</v>
      </c>
      <c r="Y353" s="1" t="s">
        <v>74</v>
      </c>
      <c r="Z353" s="1" t="s">
        <v>74</v>
      </c>
      <c r="AA353" s="1" t="s">
        <v>74</v>
      </c>
      <c r="AB353" s="1" t="s">
        <v>3701</v>
      </c>
      <c r="AC353" s="1" t="s">
        <v>74</v>
      </c>
      <c r="AD353" s="1" t="s">
        <v>74</v>
      </c>
      <c r="AE353" s="1" t="s">
        <v>74</v>
      </c>
      <c r="AF353" s="1" t="s">
        <v>74</v>
      </c>
      <c r="AG353" s="1" t="s">
        <v>74</v>
      </c>
      <c r="AH353" s="1" t="s">
        <v>74</v>
      </c>
      <c r="AI353" s="1" t="s">
        <v>74</v>
      </c>
      <c r="AJ353" s="1" t="s">
        <v>74</v>
      </c>
      <c r="AK353" s="1" t="s">
        <v>74</v>
      </c>
      <c r="AL353" s="1" t="s">
        <v>74</v>
      </c>
      <c r="AM353" s="1" t="s">
        <v>74</v>
      </c>
      <c r="AN353" s="1" t="s">
        <v>74</v>
      </c>
      <c r="AO353" s="1" t="s">
        <v>3702</v>
      </c>
      <c r="AP353" s="1" t="s">
        <v>3703</v>
      </c>
      <c r="AQ353" s="1" t="s">
        <v>74</v>
      </c>
      <c r="AR353" s="1" t="s">
        <v>74</v>
      </c>
      <c r="AS353" s="1" t="s">
        <v>74</v>
      </c>
      <c r="AT353" s="1" t="s">
        <v>3274</v>
      </c>
      <c r="AU353" s="1">
        <v>2013.0</v>
      </c>
      <c r="AV353" s="1">
        <v>104.0</v>
      </c>
      <c r="AW353" s="1">
        <v>7.0</v>
      </c>
      <c r="AX353" s="1" t="s">
        <v>74</v>
      </c>
      <c r="AY353" s="1" t="s">
        <v>74</v>
      </c>
      <c r="AZ353" s="1" t="s">
        <v>74</v>
      </c>
      <c r="BA353" s="1" t="s">
        <v>74</v>
      </c>
      <c r="BB353" s="1" t="s">
        <v>3704</v>
      </c>
      <c r="BC353" s="1" t="s">
        <v>3705</v>
      </c>
      <c r="BD353" s="1" t="s">
        <v>74</v>
      </c>
      <c r="BE353" s="1" t="s">
        <v>3706</v>
      </c>
      <c r="BF353" s="2" t="str">
        <f>HYPERLINK("http://dx.doi.org/10.17269/cjph.104.4045","http://dx.doi.org/10.17269/cjph.104.4045")</f>
        <v>http://dx.doi.org/10.17269/cjph.104.4045</v>
      </c>
      <c r="BG353" s="1" t="s">
        <v>74</v>
      </c>
      <c r="BH353" s="1" t="s">
        <v>74</v>
      </c>
      <c r="BI353" s="1" t="s">
        <v>74</v>
      </c>
      <c r="BJ353" s="1" t="s">
        <v>74</v>
      </c>
      <c r="BK353" s="1" t="s">
        <v>74</v>
      </c>
      <c r="BL353" s="1" t="s">
        <v>74</v>
      </c>
      <c r="BM353" s="1" t="s">
        <v>74</v>
      </c>
      <c r="BN353" s="1">
        <v>2.4495829E7</v>
      </c>
      <c r="BO353" s="1" t="s">
        <v>74</v>
      </c>
      <c r="BP353" s="1" t="s">
        <v>74</v>
      </c>
      <c r="BQ353" s="1" t="s">
        <v>74</v>
      </c>
      <c r="BR353" s="1" t="s">
        <v>74</v>
      </c>
      <c r="BS353" s="1" t="s">
        <v>3707</v>
      </c>
      <c r="BT353" s="1" t="str">
        <f>HYPERLINK("https%3A%2F%2Fwww.webofscience.com%2Fwos%2Fwoscc%2Ffull-record%2FWOS:000336445900015","View Full Record in Web of Science")</f>
        <v>View Full Record in Web of Science</v>
      </c>
    </row>
    <row r="354" ht="12.75" customHeight="1">
      <c r="A354" s="1" t="s">
        <v>72</v>
      </c>
      <c r="B354" s="1" t="s">
        <v>3708</v>
      </c>
      <c r="C354" s="1" t="s">
        <v>74</v>
      </c>
      <c r="D354" s="1" t="s">
        <v>74</v>
      </c>
      <c r="E354" s="1" t="s">
        <v>74</v>
      </c>
      <c r="F354" s="1" t="s">
        <v>3709</v>
      </c>
      <c r="G354" s="1" t="s">
        <v>74</v>
      </c>
      <c r="H354" s="1" t="s">
        <v>74</v>
      </c>
      <c r="I354" s="1" t="s">
        <v>3710</v>
      </c>
      <c r="J354" s="1" t="s">
        <v>3711</v>
      </c>
      <c r="K354" s="1" t="s">
        <v>74</v>
      </c>
      <c r="L354" s="1" t="s">
        <v>74</v>
      </c>
      <c r="M354" s="1" t="s">
        <v>74</v>
      </c>
      <c r="N354" s="1" t="s">
        <v>74</v>
      </c>
      <c r="O354" s="1" t="s">
        <v>74</v>
      </c>
      <c r="P354" s="1" t="s">
        <v>74</v>
      </c>
      <c r="Q354" s="1" t="s">
        <v>74</v>
      </c>
      <c r="R354" s="1" t="s">
        <v>74</v>
      </c>
      <c r="S354" s="1" t="s">
        <v>74</v>
      </c>
      <c r="T354" s="1" t="s">
        <v>74</v>
      </c>
      <c r="U354" s="1" t="s">
        <v>74</v>
      </c>
      <c r="V354" s="1" t="s">
        <v>3712</v>
      </c>
      <c r="W354" s="1" t="s">
        <v>74</v>
      </c>
      <c r="X354" s="1" t="s">
        <v>74</v>
      </c>
      <c r="Y354" s="1" t="s">
        <v>74</v>
      </c>
      <c r="Z354" s="1" t="s">
        <v>74</v>
      </c>
      <c r="AA354" s="1" t="s">
        <v>3713</v>
      </c>
      <c r="AB354" s="1" t="s">
        <v>3714</v>
      </c>
      <c r="AC354" s="1" t="s">
        <v>74</v>
      </c>
      <c r="AD354" s="1" t="s">
        <v>74</v>
      </c>
      <c r="AE354" s="1" t="s">
        <v>74</v>
      </c>
      <c r="AF354" s="1" t="s">
        <v>74</v>
      </c>
      <c r="AG354" s="1" t="s">
        <v>74</v>
      </c>
      <c r="AH354" s="1" t="s">
        <v>74</v>
      </c>
      <c r="AI354" s="1" t="s">
        <v>74</v>
      </c>
      <c r="AJ354" s="1" t="s">
        <v>74</v>
      </c>
      <c r="AK354" s="1" t="s">
        <v>74</v>
      </c>
      <c r="AL354" s="1" t="s">
        <v>74</v>
      </c>
      <c r="AM354" s="1" t="s">
        <v>74</v>
      </c>
      <c r="AN354" s="1" t="s">
        <v>74</v>
      </c>
      <c r="AO354" s="1" t="s">
        <v>3715</v>
      </c>
      <c r="AP354" s="1" t="s">
        <v>74</v>
      </c>
      <c r="AQ354" s="1" t="s">
        <v>74</v>
      </c>
      <c r="AR354" s="1" t="s">
        <v>74</v>
      </c>
      <c r="AS354" s="1" t="s">
        <v>74</v>
      </c>
      <c r="AT354" s="1" t="s">
        <v>74</v>
      </c>
      <c r="AU354" s="1">
        <v>2010.0</v>
      </c>
      <c r="AV354" s="1">
        <v>39.0</v>
      </c>
      <c r="AW354" s="1">
        <v>27.0</v>
      </c>
      <c r="AX354" s="1" t="s">
        <v>74</v>
      </c>
      <c r="AY354" s="1" t="s">
        <v>74</v>
      </c>
      <c r="AZ354" s="1" t="s">
        <v>74</v>
      </c>
      <c r="BA354" s="1" t="s">
        <v>74</v>
      </c>
      <c r="BB354" s="1">
        <v>6295.0</v>
      </c>
      <c r="BC354" s="1">
        <v>6301.0</v>
      </c>
      <c r="BD354" s="1" t="s">
        <v>74</v>
      </c>
      <c r="BE354" s="1" t="s">
        <v>3716</v>
      </c>
      <c r="BF354" s="2" t="str">
        <f>HYPERLINK("http://dx.doi.org/10.1039/b927265h","http://dx.doi.org/10.1039/b927265h")</f>
        <v>http://dx.doi.org/10.1039/b927265h</v>
      </c>
      <c r="BG354" s="1" t="s">
        <v>74</v>
      </c>
      <c r="BH354" s="1" t="s">
        <v>74</v>
      </c>
      <c r="BI354" s="1" t="s">
        <v>74</v>
      </c>
      <c r="BJ354" s="1" t="s">
        <v>74</v>
      </c>
      <c r="BK354" s="1" t="s">
        <v>74</v>
      </c>
      <c r="BL354" s="1" t="s">
        <v>74</v>
      </c>
      <c r="BM354" s="1" t="s">
        <v>74</v>
      </c>
      <c r="BN354" s="1">
        <v>2.052392E7</v>
      </c>
      <c r="BO354" s="1" t="s">
        <v>74</v>
      </c>
      <c r="BP354" s="1" t="s">
        <v>74</v>
      </c>
      <c r="BQ354" s="1" t="s">
        <v>74</v>
      </c>
      <c r="BR354" s="1" t="s">
        <v>74</v>
      </c>
      <c r="BS354" s="1" t="s">
        <v>3717</v>
      </c>
      <c r="BT354" s="1" t="str">
        <f>HYPERLINK("https%3A%2F%2Fwww.webofscience.com%2Fwos%2Fwoscc%2Ffull-record%2FWOS:000279388500020","View Full Record in Web of Science")</f>
        <v>View Full Record in Web of Science</v>
      </c>
    </row>
    <row r="355" ht="12.75" customHeight="1">
      <c r="A355" s="1" t="s">
        <v>72</v>
      </c>
      <c r="B355" s="1" t="s">
        <v>3718</v>
      </c>
      <c r="C355" s="1" t="s">
        <v>74</v>
      </c>
      <c r="D355" s="1" t="s">
        <v>74</v>
      </c>
      <c r="E355" s="1" t="s">
        <v>74</v>
      </c>
      <c r="F355" s="1" t="s">
        <v>3719</v>
      </c>
      <c r="G355" s="1" t="s">
        <v>74</v>
      </c>
      <c r="H355" s="1" t="s">
        <v>74</v>
      </c>
      <c r="I355" s="1" t="s">
        <v>3720</v>
      </c>
      <c r="J355" s="1" t="s">
        <v>582</v>
      </c>
      <c r="K355" s="1" t="s">
        <v>74</v>
      </c>
      <c r="L355" s="1" t="s">
        <v>74</v>
      </c>
      <c r="M355" s="1" t="s">
        <v>74</v>
      </c>
      <c r="N355" s="1" t="s">
        <v>74</v>
      </c>
      <c r="O355" s="1" t="s">
        <v>74</v>
      </c>
      <c r="P355" s="1" t="s">
        <v>74</v>
      </c>
      <c r="Q355" s="1" t="s">
        <v>74</v>
      </c>
      <c r="R355" s="1" t="s">
        <v>74</v>
      </c>
      <c r="S355" s="1" t="s">
        <v>74</v>
      </c>
      <c r="T355" s="1" t="s">
        <v>74</v>
      </c>
      <c r="U355" s="1" t="s">
        <v>74</v>
      </c>
      <c r="V355" s="1" t="s">
        <v>3721</v>
      </c>
      <c r="W355" s="1" t="s">
        <v>74</v>
      </c>
      <c r="X355" s="1" t="s">
        <v>74</v>
      </c>
      <c r="Y355" s="1" t="s">
        <v>74</v>
      </c>
      <c r="Z355" s="1" t="s">
        <v>74</v>
      </c>
      <c r="AA355" s="1" t="s">
        <v>3722</v>
      </c>
      <c r="AB355" s="1" t="s">
        <v>3723</v>
      </c>
      <c r="AC355" s="1" t="s">
        <v>74</v>
      </c>
      <c r="AD355" s="1" t="s">
        <v>74</v>
      </c>
      <c r="AE355" s="1" t="s">
        <v>74</v>
      </c>
      <c r="AF355" s="1" t="s">
        <v>74</v>
      </c>
      <c r="AG355" s="1" t="s">
        <v>74</v>
      </c>
      <c r="AH355" s="1" t="s">
        <v>74</v>
      </c>
      <c r="AI355" s="1" t="s">
        <v>74</v>
      </c>
      <c r="AJ355" s="1" t="s">
        <v>74</v>
      </c>
      <c r="AK355" s="1" t="s">
        <v>74</v>
      </c>
      <c r="AL355" s="1" t="s">
        <v>74</v>
      </c>
      <c r="AM355" s="1" t="s">
        <v>74</v>
      </c>
      <c r="AN355" s="1" t="s">
        <v>74</v>
      </c>
      <c r="AO355" s="1" t="s">
        <v>3724</v>
      </c>
      <c r="AP355" s="1" t="s">
        <v>74</v>
      </c>
      <c r="AQ355" s="1" t="s">
        <v>74</v>
      </c>
      <c r="AR355" s="1" t="s">
        <v>74</v>
      </c>
      <c r="AS355" s="1" t="s">
        <v>74</v>
      </c>
      <c r="AT355" s="1" t="s">
        <v>411</v>
      </c>
      <c r="AU355" s="1">
        <v>2009.0</v>
      </c>
      <c r="AV355" s="1">
        <v>80.0</v>
      </c>
      <c r="AW355" s="1">
        <v>17.0</v>
      </c>
      <c r="AX355" s="1" t="s">
        <v>74</v>
      </c>
      <c r="AY355" s="1" t="s">
        <v>74</v>
      </c>
      <c r="AZ355" s="1" t="s">
        <v>74</v>
      </c>
      <c r="BA355" s="1" t="s">
        <v>74</v>
      </c>
      <c r="BB355" s="1" t="s">
        <v>74</v>
      </c>
      <c r="BC355" s="1" t="s">
        <v>74</v>
      </c>
      <c r="BD355" s="1">
        <v>174402.0</v>
      </c>
      <c r="BE355" s="1" t="s">
        <v>3725</v>
      </c>
      <c r="BF355" s="2" t="str">
        <f>HYPERLINK("http://dx.doi.org/10.1103/PhysRevB.80.174402","http://dx.doi.org/10.1103/PhysRevB.80.174402")</f>
        <v>http://dx.doi.org/10.1103/PhysRevB.80.174402</v>
      </c>
      <c r="BG355" s="1" t="s">
        <v>74</v>
      </c>
      <c r="BH355" s="1" t="s">
        <v>74</v>
      </c>
      <c r="BI355" s="1" t="s">
        <v>74</v>
      </c>
      <c r="BJ355" s="1" t="s">
        <v>74</v>
      </c>
      <c r="BK355" s="1" t="s">
        <v>74</v>
      </c>
      <c r="BL355" s="1" t="s">
        <v>74</v>
      </c>
      <c r="BM355" s="1" t="s">
        <v>74</v>
      </c>
      <c r="BN355" s="1" t="s">
        <v>74</v>
      </c>
      <c r="BO355" s="1" t="s">
        <v>74</v>
      </c>
      <c r="BP355" s="1" t="s">
        <v>74</v>
      </c>
      <c r="BQ355" s="1" t="s">
        <v>74</v>
      </c>
      <c r="BR355" s="1" t="s">
        <v>74</v>
      </c>
      <c r="BS355" s="1" t="s">
        <v>3726</v>
      </c>
      <c r="BT355" s="1" t="str">
        <f>HYPERLINK("https%3A%2F%2Fwww.webofscience.com%2Fwos%2Fwoscc%2Ffull-record%2FWOS:000272310400046","View Full Record in Web of Science")</f>
        <v>View Full Record in Web of Science</v>
      </c>
    </row>
    <row r="356" ht="12.75" customHeight="1">
      <c r="A356" s="1" t="s">
        <v>72</v>
      </c>
      <c r="B356" s="1" t="s">
        <v>3727</v>
      </c>
      <c r="C356" s="1" t="s">
        <v>74</v>
      </c>
      <c r="D356" s="1" t="s">
        <v>74</v>
      </c>
      <c r="E356" s="1" t="s">
        <v>74</v>
      </c>
      <c r="F356" s="1" t="s">
        <v>3728</v>
      </c>
      <c r="G356" s="1" t="s">
        <v>74</v>
      </c>
      <c r="H356" s="1" t="s">
        <v>74</v>
      </c>
      <c r="I356" s="1" t="s">
        <v>3729</v>
      </c>
      <c r="J356" s="1" t="s">
        <v>3730</v>
      </c>
      <c r="K356" s="1" t="s">
        <v>74</v>
      </c>
      <c r="L356" s="1" t="s">
        <v>74</v>
      </c>
      <c r="M356" s="1" t="s">
        <v>74</v>
      </c>
      <c r="N356" s="1" t="s">
        <v>74</v>
      </c>
      <c r="O356" s="1" t="s">
        <v>74</v>
      </c>
      <c r="P356" s="1" t="s">
        <v>74</v>
      </c>
      <c r="Q356" s="1" t="s">
        <v>74</v>
      </c>
      <c r="R356" s="1" t="s">
        <v>74</v>
      </c>
      <c r="S356" s="1" t="s">
        <v>74</v>
      </c>
      <c r="T356" s="1" t="s">
        <v>74</v>
      </c>
      <c r="U356" s="1" t="s">
        <v>74</v>
      </c>
      <c r="V356" s="1" t="s">
        <v>3731</v>
      </c>
      <c r="W356" s="1" t="s">
        <v>74</v>
      </c>
      <c r="X356" s="1" t="s">
        <v>74</v>
      </c>
      <c r="Y356" s="1" t="s">
        <v>74</v>
      </c>
      <c r="Z356" s="1" t="s">
        <v>74</v>
      </c>
      <c r="AA356" s="1" t="s">
        <v>3732</v>
      </c>
      <c r="AB356" s="1" t="s">
        <v>3733</v>
      </c>
      <c r="AC356" s="1" t="s">
        <v>74</v>
      </c>
      <c r="AD356" s="1" t="s">
        <v>74</v>
      </c>
      <c r="AE356" s="1" t="s">
        <v>74</v>
      </c>
      <c r="AF356" s="1" t="s">
        <v>74</v>
      </c>
      <c r="AG356" s="1" t="s">
        <v>74</v>
      </c>
      <c r="AH356" s="1" t="s">
        <v>74</v>
      </c>
      <c r="AI356" s="1" t="s">
        <v>74</v>
      </c>
      <c r="AJ356" s="1" t="s">
        <v>74</v>
      </c>
      <c r="AK356" s="1" t="s">
        <v>74</v>
      </c>
      <c r="AL356" s="1" t="s">
        <v>74</v>
      </c>
      <c r="AM356" s="1" t="s">
        <v>74</v>
      </c>
      <c r="AN356" s="1" t="s">
        <v>74</v>
      </c>
      <c r="AO356" s="1" t="s">
        <v>3734</v>
      </c>
      <c r="AP356" s="1" t="s">
        <v>3735</v>
      </c>
      <c r="AQ356" s="1" t="s">
        <v>74</v>
      </c>
      <c r="AR356" s="1" t="s">
        <v>74</v>
      </c>
      <c r="AS356" s="1" t="s">
        <v>74</v>
      </c>
      <c r="AT356" s="1" t="s">
        <v>96</v>
      </c>
      <c r="AU356" s="1">
        <v>2009.0</v>
      </c>
      <c r="AV356" s="1">
        <v>160.0</v>
      </c>
      <c r="AW356" s="1">
        <v>2.0</v>
      </c>
      <c r="AX356" s="1" t="s">
        <v>74</v>
      </c>
      <c r="AY356" s="1" t="s">
        <v>74</v>
      </c>
      <c r="AZ356" s="1" t="s">
        <v>74</v>
      </c>
      <c r="BA356" s="1" t="s">
        <v>74</v>
      </c>
      <c r="BB356" s="1">
        <v>125.0</v>
      </c>
      <c r="BC356" s="1">
        <v>133.0</v>
      </c>
      <c r="BD356" s="1" t="s">
        <v>74</v>
      </c>
      <c r="BE356" s="1" t="s">
        <v>3736</v>
      </c>
      <c r="BF356" s="2" t="str">
        <f>HYPERLINK("http://dx.doi.org/10.1016/j.resmic.2008.12.004","http://dx.doi.org/10.1016/j.resmic.2008.12.004")</f>
        <v>http://dx.doi.org/10.1016/j.resmic.2008.12.004</v>
      </c>
      <c r="BG356" s="1" t="s">
        <v>74</v>
      </c>
      <c r="BH356" s="1" t="s">
        <v>74</v>
      </c>
      <c r="BI356" s="1" t="s">
        <v>74</v>
      </c>
      <c r="BJ356" s="1" t="s">
        <v>74</v>
      </c>
      <c r="BK356" s="1" t="s">
        <v>74</v>
      </c>
      <c r="BL356" s="1" t="s">
        <v>74</v>
      </c>
      <c r="BM356" s="1" t="s">
        <v>74</v>
      </c>
      <c r="BN356" s="1">
        <v>1.9154787E7</v>
      </c>
      <c r="BO356" s="1" t="s">
        <v>74</v>
      </c>
      <c r="BP356" s="1" t="s">
        <v>74</v>
      </c>
      <c r="BQ356" s="1" t="s">
        <v>74</v>
      </c>
      <c r="BR356" s="1" t="s">
        <v>74</v>
      </c>
      <c r="BS356" s="1" t="s">
        <v>3737</v>
      </c>
      <c r="BT356" s="1" t="str">
        <f>HYPERLINK("https%3A%2F%2Fwww.webofscience.com%2Fwos%2Fwoscc%2Ffull-record%2FWOS:000264611200005","View Full Record in Web of Science")</f>
        <v>View Full Record in Web of Science</v>
      </c>
    </row>
    <row r="357" ht="12.75" customHeight="1">
      <c r="A357" s="1" t="s">
        <v>72</v>
      </c>
      <c r="B357" s="1" t="s">
        <v>3738</v>
      </c>
      <c r="C357" s="1" t="s">
        <v>74</v>
      </c>
      <c r="D357" s="1" t="s">
        <v>74</v>
      </c>
      <c r="E357" s="1" t="s">
        <v>74</v>
      </c>
      <c r="F357" s="1" t="s">
        <v>3738</v>
      </c>
      <c r="G357" s="1" t="s">
        <v>74</v>
      </c>
      <c r="H357" s="1" t="s">
        <v>74</v>
      </c>
      <c r="I357" s="1" t="s">
        <v>3739</v>
      </c>
      <c r="J357" s="1" t="s">
        <v>3740</v>
      </c>
      <c r="K357" s="1" t="s">
        <v>74</v>
      </c>
      <c r="L357" s="1" t="s">
        <v>74</v>
      </c>
      <c r="M357" s="1" t="s">
        <v>74</v>
      </c>
      <c r="N357" s="1" t="s">
        <v>74</v>
      </c>
      <c r="O357" s="1" t="s">
        <v>74</v>
      </c>
      <c r="P357" s="1" t="s">
        <v>74</v>
      </c>
      <c r="Q357" s="1" t="s">
        <v>74</v>
      </c>
      <c r="R357" s="1" t="s">
        <v>74</v>
      </c>
      <c r="S357" s="1" t="s">
        <v>74</v>
      </c>
      <c r="T357" s="1" t="s">
        <v>74</v>
      </c>
      <c r="U357" s="1" t="s">
        <v>74</v>
      </c>
      <c r="V357" s="1" t="s">
        <v>3741</v>
      </c>
      <c r="W357" s="1" t="s">
        <v>74</v>
      </c>
      <c r="X357" s="1" t="s">
        <v>74</v>
      </c>
      <c r="Y357" s="1" t="s">
        <v>74</v>
      </c>
      <c r="Z357" s="1" t="s">
        <v>74</v>
      </c>
      <c r="AA357" s="1" t="s">
        <v>74</v>
      </c>
      <c r="AB357" s="1" t="s">
        <v>74</v>
      </c>
      <c r="AC357" s="1" t="s">
        <v>74</v>
      </c>
      <c r="AD357" s="1" t="s">
        <v>74</v>
      </c>
      <c r="AE357" s="1" t="s">
        <v>74</v>
      </c>
      <c r="AF357" s="1" t="s">
        <v>74</v>
      </c>
      <c r="AG357" s="1" t="s">
        <v>74</v>
      </c>
      <c r="AH357" s="1" t="s">
        <v>74</v>
      </c>
      <c r="AI357" s="1" t="s">
        <v>74</v>
      </c>
      <c r="AJ357" s="1" t="s">
        <v>74</v>
      </c>
      <c r="AK357" s="1" t="s">
        <v>74</v>
      </c>
      <c r="AL357" s="1" t="s">
        <v>74</v>
      </c>
      <c r="AM357" s="1" t="s">
        <v>74</v>
      </c>
      <c r="AN357" s="1" t="s">
        <v>74</v>
      </c>
      <c r="AO357" s="1" t="s">
        <v>3742</v>
      </c>
      <c r="AP357" s="1" t="s">
        <v>3743</v>
      </c>
      <c r="AQ357" s="1" t="s">
        <v>74</v>
      </c>
      <c r="AR357" s="1" t="s">
        <v>74</v>
      </c>
      <c r="AS357" s="1" t="s">
        <v>74</v>
      </c>
      <c r="AT357" s="1" t="s">
        <v>74</v>
      </c>
      <c r="AU357" s="1">
        <v>2005.0</v>
      </c>
      <c r="AV357" s="1">
        <v>38.0</v>
      </c>
      <c r="AW357" s="1">
        <v>1.0</v>
      </c>
      <c r="AX357" s="1" t="s">
        <v>74</v>
      </c>
      <c r="AY357" s="1" t="s">
        <v>74</v>
      </c>
      <c r="AZ357" s="1" t="s">
        <v>74</v>
      </c>
      <c r="BA357" s="1" t="s">
        <v>74</v>
      </c>
      <c r="BB357" s="1">
        <v>49.0</v>
      </c>
      <c r="BC357" s="1">
        <v>54.0</v>
      </c>
      <c r="BD357" s="1" t="s">
        <v>74</v>
      </c>
      <c r="BE357" s="1" t="s">
        <v>74</v>
      </c>
      <c r="BF357" s="1" t="s">
        <v>74</v>
      </c>
      <c r="BG357" s="1" t="s">
        <v>74</v>
      </c>
      <c r="BH357" s="1" t="s">
        <v>74</v>
      </c>
      <c r="BI357" s="1" t="s">
        <v>74</v>
      </c>
      <c r="BJ357" s="1" t="s">
        <v>74</v>
      </c>
      <c r="BK357" s="1" t="s">
        <v>74</v>
      </c>
      <c r="BL357" s="1" t="s">
        <v>74</v>
      </c>
      <c r="BM357" s="1" t="s">
        <v>74</v>
      </c>
      <c r="BN357" s="1">
        <v>1.597741E7</v>
      </c>
      <c r="BO357" s="1" t="s">
        <v>74</v>
      </c>
      <c r="BP357" s="1" t="s">
        <v>74</v>
      </c>
      <c r="BQ357" s="1" t="s">
        <v>74</v>
      </c>
      <c r="BR357" s="1" t="s">
        <v>74</v>
      </c>
      <c r="BS357" s="1" t="s">
        <v>3744</v>
      </c>
      <c r="BT357" s="1" t="str">
        <f>HYPERLINK("https%3A%2F%2Fwww.webofscience.com%2Fwos%2Fwoscc%2Ffull-record%2FWOS:000229899100007","View Full Record in Web of Science")</f>
        <v>View Full Record in Web of Science</v>
      </c>
    </row>
    <row r="358" ht="12.75" customHeight="1">
      <c r="A358" s="1" t="s">
        <v>72</v>
      </c>
      <c r="B358" s="1" t="s">
        <v>3745</v>
      </c>
      <c r="C358" s="1" t="s">
        <v>74</v>
      </c>
      <c r="D358" s="1" t="s">
        <v>74</v>
      </c>
      <c r="E358" s="1" t="s">
        <v>74</v>
      </c>
      <c r="F358" s="1" t="s">
        <v>3745</v>
      </c>
      <c r="G358" s="1" t="s">
        <v>74</v>
      </c>
      <c r="H358" s="1" t="s">
        <v>74</v>
      </c>
      <c r="I358" s="1" t="s">
        <v>3746</v>
      </c>
      <c r="J358" s="1" t="s">
        <v>3747</v>
      </c>
      <c r="K358" s="1" t="s">
        <v>74</v>
      </c>
      <c r="L358" s="1" t="s">
        <v>74</v>
      </c>
      <c r="M358" s="1" t="s">
        <v>74</v>
      </c>
      <c r="N358" s="1" t="s">
        <v>74</v>
      </c>
      <c r="O358" s="1" t="s">
        <v>74</v>
      </c>
      <c r="P358" s="1" t="s">
        <v>74</v>
      </c>
      <c r="Q358" s="1" t="s">
        <v>74</v>
      </c>
      <c r="R358" s="1" t="s">
        <v>74</v>
      </c>
      <c r="S358" s="1" t="s">
        <v>74</v>
      </c>
      <c r="T358" s="1" t="s">
        <v>74</v>
      </c>
      <c r="U358" s="1" t="s">
        <v>74</v>
      </c>
      <c r="V358" s="1" t="s">
        <v>3748</v>
      </c>
      <c r="W358" s="1" t="s">
        <v>74</v>
      </c>
      <c r="X358" s="1" t="s">
        <v>74</v>
      </c>
      <c r="Y358" s="1" t="s">
        <v>74</v>
      </c>
      <c r="Z358" s="1" t="s">
        <v>74</v>
      </c>
      <c r="AA358" s="1" t="s">
        <v>3749</v>
      </c>
      <c r="AB358" s="1" t="s">
        <v>3750</v>
      </c>
      <c r="AC358" s="1" t="s">
        <v>74</v>
      </c>
      <c r="AD358" s="1" t="s">
        <v>74</v>
      </c>
      <c r="AE358" s="1" t="s">
        <v>74</v>
      </c>
      <c r="AF358" s="1" t="s">
        <v>74</v>
      </c>
      <c r="AG358" s="1" t="s">
        <v>74</v>
      </c>
      <c r="AH358" s="1" t="s">
        <v>74</v>
      </c>
      <c r="AI358" s="1" t="s">
        <v>74</v>
      </c>
      <c r="AJ358" s="1" t="s">
        <v>74</v>
      </c>
      <c r="AK358" s="1" t="s">
        <v>74</v>
      </c>
      <c r="AL358" s="1" t="s">
        <v>74</v>
      </c>
      <c r="AM358" s="1" t="s">
        <v>74</v>
      </c>
      <c r="AN358" s="1" t="s">
        <v>74</v>
      </c>
      <c r="AO358" s="1" t="s">
        <v>3751</v>
      </c>
      <c r="AP358" s="1" t="s">
        <v>74</v>
      </c>
      <c r="AQ358" s="1" t="s">
        <v>74</v>
      </c>
      <c r="AR358" s="1" t="s">
        <v>74</v>
      </c>
      <c r="AS358" s="1" t="s">
        <v>74</v>
      </c>
      <c r="AT358" s="1" t="s">
        <v>559</v>
      </c>
      <c r="AU358" s="1">
        <v>1999.0</v>
      </c>
      <c r="AV358" s="1">
        <v>49.0</v>
      </c>
      <c r="AW358" s="1">
        <v>11.0</v>
      </c>
      <c r="AX358" s="1" t="s">
        <v>74</v>
      </c>
      <c r="AY358" s="1" t="s">
        <v>74</v>
      </c>
      <c r="AZ358" s="1" t="s">
        <v>74</v>
      </c>
      <c r="BA358" s="1" t="s">
        <v>74</v>
      </c>
      <c r="BB358" s="1">
        <v>1461.0</v>
      </c>
      <c r="BC358" s="1">
        <v>1471.0</v>
      </c>
      <c r="BD358" s="1" t="s">
        <v>74</v>
      </c>
      <c r="BE358" s="1" t="s">
        <v>3752</v>
      </c>
      <c r="BF358" s="2" t="str">
        <f>HYPERLINK("http://dx.doi.org/10.1016/S0277-9536(99)00208-7","http://dx.doi.org/10.1016/S0277-9536(99)00208-7")</f>
        <v>http://dx.doi.org/10.1016/S0277-9536(99)00208-7</v>
      </c>
      <c r="BG358" s="1" t="s">
        <v>74</v>
      </c>
      <c r="BH358" s="1" t="s">
        <v>74</v>
      </c>
      <c r="BI358" s="1" t="s">
        <v>74</v>
      </c>
      <c r="BJ358" s="1" t="s">
        <v>74</v>
      </c>
      <c r="BK358" s="1" t="s">
        <v>74</v>
      </c>
      <c r="BL358" s="1" t="s">
        <v>74</v>
      </c>
      <c r="BM358" s="1" t="s">
        <v>74</v>
      </c>
      <c r="BN358" s="1">
        <v>1.0515629E7</v>
      </c>
      <c r="BO358" s="1" t="s">
        <v>74</v>
      </c>
      <c r="BP358" s="1" t="s">
        <v>74</v>
      </c>
      <c r="BQ358" s="1" t="s">
        <v>74</v>
      </c>
      <c r="BR358" s="1" t="s">
        <v>74</v>
      </c>
      <c r="BS358" s="1" t="s">
        <v>3753</v>
      </c>
      <c r="BT358" s="1" t="str">
        <f>HYPERLINK("https%3A%2F%2Fwww.webofscience.com%2Fwos%2Fwoscc%2Ffull-record%2FWOS:000082689500002","View Full Record in Web of Science")</f>
        <v>View Full Record in Web of Science</v>
      </c>
    </row>
    <row r="359" ht="12.75" customHeight="1">
      <c r="A359" s="1" t="s">
        <v>72</v>
      </c>
      <c r="B359" s="1" t="s">
        <v>3754</v>
      </c>
      <c r="C359" s="1" t="s">
        <v>74</v>
      </c>
      <c r="D359" s="1" t="s">
        <v>74</v>
      </c>
      <c r="E359" s="1" t="s">
        <v>74</v>
      </c>
      <c r="F359" s="1" t="s">
        <v>3755</v>
      </c>
      <c r="G359" s="1" t="s">
        <v>74</v>
      </c>
      <c r="H359" s="1" t="s">
        <v>74</v>
      </c>
      <c r="I359" s="1" t="s">
        <v>3756</v>
      </c>
      <c r="J359" s="1" t="s">
        <v>3757</v>
      </c>
      <c r="K359" s="1" t="s">
        <v>74</v>
      </c>
      <c r="L359" s="1" t="s">
        <v>74</v>
      </c>
      <c r="M359" s="1" t="s">
        <v>74</v>
      </c>
      <c r="N359" s="1" t="s">
        <v>74</v>
      </c>
      <c r="O359" s="1" t="s">
        <v>74</v>
      </c>
      <c r="P359" s="1" t="s">
        <v>74</v>
      </c>
      <c r="Q359" s="1" t="s">
        <v>74</v>
      </c>
      <c r="R359" s="1" t="s">
        <v>74</v>
      </c>
      <c r="S359" s="1" t="s">
        <v>74</v>
      </c>
      <c r="T359" s="1" t="s">
        <v>74</v>
      </c>
      <c r="U359" s="1" t="s">
        <v>74</v>
      </c>
      <c r="V359" s="1" t="s">
        <v>3758</v>
      </c>
      <c r="W359" s="1" t="s">
        <v>74</v>
      </c>
      <c r="X359" s="1" t="s">
        <v>74</v>
      </c>
      <c r="Y359" s="1" t="s">
        <v>74</v>
      </c>
      <c r="Z359" s="1" t="s">
        <v>74</v>
      </c>
      <c r="AA359" s="1" t="s">
        <v>3759</v>
      </c>
      <c r="AB359" s="1" t="s">
        <v>3760</v>
      </c>
      <c r="AC359" s="1" t="s">
        <v>74</v>
      </c>
      <c r="AD359" s="1" t="s">
        <v>74</v>
      </c>
      <c r="AE359" s="1" t="s">
        <v>74</v>
      </c>
      <c r="AF359" s="1" t="s">
        <v>74</v>
      </c>
      <c r="AG359" s="1" t="s">
        <v>74</v>
      </c>
      <c r="AH359" s="1" t="s">
        <v>74</v>
      </c>
      <c r="AI359" s="1" t="s">
        <v>74</v>
      </c>
      <c r="AJ359" s="1" t="s">
        <v>74</v>
      </c>
      <c r="AK359" s="1" t="s">
        <v>74</v>
      </c>
      <c r="AL359" s="1" t="s">
        <v>74</v>
      </c>
      <c r="AM359" s="1" t="s">
        <v>74</v>
      </c>
      <c r="AN359" s="1" t="s">
        <v>74</v>
      </c>
      <c r="AO359" s="1" t="s">
        <v>74</v>
      </c>
      <c r="AP359" s="1" t="s">
        <v>3761</v>
      </c>
      <c r="AQ359" s="1" t="s">
        <v>74</v>
      </c>
      <c r="AR359" s="1" t="s">
        <v>74</v>
      </c>
      <c r="AS359" s="1" t="s">
        <v>74</v>
      </c>
      <c r="AT359" s="1" t="s">
        <v>316</v>
      </c>
      <c r="AU359" s="1">
        <v>2024.0</v>
      </c>
      <c r="AV359" s="1">
        <v>29.0</v>
      </c>
      <c r="AW359" s="1">
        <v>19.0</v>
      </c>
      <c r="AX359" s="1" t="s">
        <v>74</v>
      </c>
      <c r="AY359" s="1" t="s">
        <v>74</v>
      </c>
      <c r="AZ359" s="1" t="s">
        <v>74</v>
      </c>
      <c r="BA359" s="1" t="s">
        <v>74</v>
      </c>
      <c r="BB359" s="1" t="s">
        <v>74</v>
      </c>
      <c r="BC359" s="1" t="s">
        <v>74</v>
      </c>
      <c r="BD359" s="1">
        <v>4726.0</v>
      </c>
      <c r="BE359" s="1" t="s">
        <v>3762</v>
      </c>
      <c r="BF359" s="2" t="str">
        <f>HYPERLINK("http://dx.doi.org/10.3390/molecules29194726","http://dx.doi.org/10.3390/molecules29194726")</f>
        <v>http://dx.doi.org/10.3390/molecules29194726</v>
      </c>
      <c r="BG359" s="1" t="s">
        <v>74</v>
      </c>
      <c r="BH359" s="1" t="s">
        <v>74</v>
      </c>
      <c r="BI359" s="1" t="s">
        <v>74</v>
      </c>
      <c r="BJ359" s="1" t="s">
        <v>74</v>
      </c>
      <c r="BK359" s="1" t="s">
        <v>74</v>
      </c>
      <c r="BL359" s="1" t="s">
        <v>74</v>
      </c>
      <c r="BM359" s="1" t="s">
        <v>74</v>
      </c>
      <c r="BN359" s="1">
        <v>3.9407654E7</v>
      </c>
      <c r="BO359" s="1" t="s">
        <v>74</v>
      </c>
      <c r="BP359" s="1" t="s">
        <v>74</v>
      </c>
      <c r="BQ359" s="1" t="s">
        <v>74</v>
      </c>
      <c r="BR359" s="1" t="s">
        <v>74</v>
      </c>
      <c r="BS359" s="1" t="s">
        <v>3763</v>
      </c>
      <c r="BT359" s="1" t="str">
        <f>HYPERLINK("https%3A%2F%2Fwww.webofscience.com%2Fwos%2Fwoscc%2Ffull-record%2FWOS:001332628500001","View Full Record in Web of Science")</f>
        <v>View Full Record in Web of Science</v>
      </c>
    </row>
    <row r="360" ht="12.75" customHeight="1">
      <c r="A360" s="1" t="s">
        <v>72</v>
      </c>
      <c r="B360" s="1" t="s">
        <v>3764</v>
      </c>
      <c r="C360" s="1" t="s">
        <v>74</v>
      </c>
      <c r="D360" s="1" t="s">
        <v>74</v>
      </c>
      <c r="E360" s="1" t="s">
        <v>74</v>
      </c>
      <c r="F360" s="1" t="s">
        <v>3765</v>
      </c>
      <c r="G360" s="1" t="s">
        <v>74</v>
      </c>
      <c r="H360" s="1" t="s">
        <v>74</v>
      </c>
      <c r="I360" s="1" t="s">
        <v>3766</v>
      </c>
      <c r="J360" s="1" t="s">
        <v>3767</v>
      </c>
      <c r="K360" s="1" t="s">
        <v>74</v>
      </c>
      <c r="L360" s="1" t="s">
        <v>74</v>
      </c>
      <c r="M360" s="1" t="s">
        <v>74</v>
      </c>
      <c r="N360" s="1" t="s">
        <v>74</v>
      </c>
      <c r="O360" s="1" t="s">
        <v>74</v>
      </c>
      <c r="P360" s="1" t="s">
        <v>74</v>
      </c>
      <c r="Q360" s="1" t="s">
        <v>74</v>
      </c>
      <c r="R360" s="1" t="s">
        <v>74</v>
      </c>
      <c r="S360" s="1" t="s">
        <v>74</v>
      </c>
      <c r="T360" s="1" t="s">
        <v>74</v>
      </c>
      <c r="U360" s="1" t="s">
        <v>74</v>
      </c>
      <c r="V360" s="1" t="s">
        <v>3768</v>
      </c>
      <c r="W360" s="1" t="s">
        <v>74</v>
      </c>
      <c r="X360" s="1" t="s">
        <v>74</v>
      </c>
      <c r="Y360" s="1" t="s">
        <v>74</v>
      </c>
      <c r="Z360" s="1" t="s">
        <v>74</v>
      </c>
      <c r="AA360" s="1" t="s">
        <v>3769</v>
      </c>
      <c r="AB360" s="1" t="s">
        <v>3770</v>
      </c>
      <c r="AC360" s="1" t="s">
        <v>74</v>
      </c>
      <c r="AD360" s="1" t="s">
        <v>74</v>
      </c>
      <c r="AE360" s="1" t="s">
        <v>74</v>
      </c>
      <c r="AF360" s="1" t="s">
        <v>74</v>
      </c>
      <c r="AG360" s="1" t="s">
        <v>74</v>
      </c>
      <c r="AH360" s="1" t="s">
        <v>74</v>
      </c>
      <c r="AI360" s="1" t="s">
        <v>74</v>
      </c>
      <c r="AJ360" s="1" t="s">
        <v>74</v>
      </c>
      <c r="AK360" s="1" t="s">
        <v>74</v>
      </c>
      <c r="AL360" s="1" t="s">
        <v>74</v>
      </c>
      <c r="AM360" s="1" t="s">
        <v>74</v>
      </c>
      <c r="AN360" s="1" t="s">
        <v>74</v>
      </c>
      <c r="AO360" s="1" t="s">
        <v>3771</v>
      </c>
      <c r="AP360" s="1" t="s">
        <v>3772</v>
      </c>
      <c r="AQ360" s="1" t="s">
        <v>74</v>
      </c>
      <c r="AR360" s="1" t="s">
        <v>74</v>
      </c>
      <c r="AS360" s="1" t="s">
        <v>74</v>
      </c>
      <c r="AT360" s="1" t="s">
        <v>250</v>
      </c>
      <c r="AU360" s="1">
        <v>2023.0</v>
      </c>
      <c r="AV360" s="1">
        <v>70.0</v>
      </c>
      <c r="AW360" s="1">
        <v>9.0</v>
      </c>
      <c r="AX360" s="1" t="s">
        <v>74</v>
      </c>
      <c r="AY360" s="1" t="s">
        <v>74</v>
      </c>
      <c r="AZ360" s="1" t="s">
        <v>74</v>
      </c>
      <c r="BA360" s="1" t="s">
        <v>74</v>
      </c>
      <c r="BB360" s="1">
        <v>8723.0</v>
      </c>
      <c r="BC360" s="1">
        <v>8733.0</v>
      </c>
      <c r="BD360" s="1" t="s">
        <v>74</v>
      </c>
      <c r="BE360" s="1" t="s">
        <v>3773</v>
      </c>
      <c r="BF360" s="2" t="str">
        <f>HYPERLINK("http://dx.doi.org/10.1109/TIE.2022.3210515","http://dx.doi.org/10.1109/TIE.2022.3210515")</f>
        <v>http://dx.doi.org/10.1109/TIE.2022.3210515</v>
      </c>
      <c r="BG360" s="1" t="s">
        <v>74</v>
      </c>
      <c r="BH360" s="1" t="s">
        <v>74</v>
      </c>
      <c r="BI360" s="1" t="s">
        <v>74</v>
      </c>
      <c r="BJ360" s="1" t="s">
        <v>74</v>
      </c>
      <c r="BK360" s="1" t="s">
        <v>74</v>
      </c>
      <c r="BL360" s="1" t="s">
        <v>74</v>
      </c>
      <c r="BM360" s="1" t="s">
        <v>74</v>
      </c>
      <c r="BN360" s="1" t="s">
        <v>74</v>
      </c>
      <c r="BO360" s="1" t="s">
        <v>74</v>
      </c>
      <c r="BP360" s="1" t="s">
        <v>74</v>
      </c>
      <c r="BQ360" s="1" t="s">
        <v>74</v>
      </c>
      <c r="BR360" s="1" t="s">
        <v>74</v>
      </c>
      <c r="BS360" s="1" t="s">
        <v>3774</v>
      </c>
      <c r="BT360" s="1" t="str">
        <f>HYPERLINK("https%3A%2F%2Fwww.webofscience.com%2Fwos%2Fwoscc%2Ffull-record%2FWOS:000975959600011","View Full Record in Web of Science")</f>
        <v>View Full Record in Web of Science</v>
      </c>
    </row>
    <row r="361" ht="12.75" customHeight="1">
      <c r="A361" s="1" t="s">
        <v>72</v>
      </c>
      <c r="B361" s="1" t="s">
        <v>3775</v>
      </c>
      <c r="C361" s="1" t="s">
        <v>74</v>
      </c>
      <c r="D361" s="1" t="s">
        <v>74</v>
      </c>
      <c r="E361" s="1" t="s">
        <v>74</v>
      </c>
      <c r="F361" s="1" t="s">
        <v>3776</v>
      </c>
      <c r="G361" s="1" t="s">
        <v>74</v>
      </c>
      <c r="H361" s="1" t="s">
        <v>74</v>
      </c>
      <c r="I361" s="1" t="s">
        <v>3777</v>
      </c>
      <c r="J361" s="1" t="s">
        <v>3778</v>
      </c>
      <c r="K361" s="1" t="s">
        <v>74</v>
      </c>
      <c r="L361" s="1" t="s">
        <v>74</v>
      </c>
      <c r="M361" s="1" t="s">
        <v>74</v>
      </c>
      <c r="N361" s="1" t="s">
        <v>74</v>
      </c>
      <c r="O361" s="1" t="s">
        <v>74</v>
      </c>
      <c r="P361" s="1" t="s">
        <v>74</v>
      </c>
      <c r="Q361" s="1" t="s">
        <v>74</v>
      </c>
      <c r="R361" s="1" t="s">
        <v>74</v>
      </c>
      <c r="S361" s="1" t="s">
        <v>74</v>
      </c>
      <c r="T361" s="1" t="s">
        <v>74</v>
      </c>
      <c r="U361" s="1" t="s">
        <v>74</v>
      </c>
      <c r="V361" s="1" t="s">
        <v>3779</v>
      </c>
      <c r="W361" s="1" t="s">
        <v>74</v>
      </c>
      <c r="X361" s="1" t="s">
        <v>74</v>
      </c>
      <c r="Y361" s="1" t="s">
        <v>74</v>
      </c>
      <c r="Z361" s="1" t="s">
        <v>74</v>
      </c>
      <c r="AA361" s="1" t="s">
        <v>1538</v>
      </c>
      <c r="AB361" s="1" t="s">
        <v>3780</v>
      </c>
      <c r="AC361" s="1" t="s">
        <v>74</v>
      </c>
      <c r="AD361" s="1" t="s">
        <v>74</v>
      </c>
      <c r="AE361" s="1" t="s">
        <v>74</v>
      </c>
      <c r="AF361" s="1" t="s">
        <v>74</v>
      </c>
      <c r="AG361" s="1" t="s">
        <v>74</v>
      </c>
      <c r="AH361" s="1" t="s">
        <v>74</v>
      </c>
      <c r="AI361" s="1" t="s">
        <v>74</v>
      </c>
      <c r="AJ361" s="1" t="s">
        <v>74</v>
      </c>
      <c r="AK361" s="1" t="s">
        <v>74</v>
      </c>
      <c r="AL361" s="1" t="s">
        <v>74</v>
      </c>
      <c r="AM361" s="1" t="s">
        <v>74</v>
      </c>
      <c r="AN361" s="1" t="s">
        <v>74</v>
      </c>
      <c r="AO361" s="1" t="s">
        <v>3781</v>
      </c>
      <c r="AP361" s="1" t="s">
        <v>3782</v>
      </c>
      <c r="AQ361" s="1" t="s">
        <v>74</v>
      </c>
      <c r="AR361" s="1" t="s">
        <v>74</v>
      </c>
      <c r="AS361" s="1" t="s">
        <v>74</v>
      </c>
      <c r="AT361" s="1" t="s">
        <v>3539</v>
      </c>
      <c r="AU361" s="1">
        <v>2023.0</v>
      </c>
      <c r="AV361" s="1">
        <v>572.0</v>
      </c>
      <c r="AW361" s="1" t="s">
        <v>74</v>
      </c>
      <c r="AX361" s="1" t="s">
        <v>74</v>
      </c>
      <c r="AY361" s="1" t="s">
        <v>74</v>
      </c>
      <c r="AZ361" s="1" t="s">
        <v>74</v>
      </c>
      <c r="BA361" s="1" t="s">
        <v>74</v>
      </c>
      <c r="BB361" s="1" t="s">
        <v>74</v>
      </c>
      <c r="BC361" s="1" t="s">
        <v>74</v>
      </c>
      <c r="BD361" s="1">
        <v>111578.0</v>
      </c>
      <c r="BE361" s="1" t="s">
        <v>3783</v>
      </c>
      <c r="BF361" s="2" t="str">
        <f>HYPERLINK("http://dx.doi.org/10.1016/j.jtbi.2023.111578","http://dx.doi.org/10.1016/j.jtbi.2023.111578")</f>
        <v>http://dx.doi.org/10.1016/j.jtbi.2023.111578</v>
      </c>
      <c r="BG361" s="1" t="s">
        <v>74</v>
      </c>
      <c r="BH361" s="1" t="s">
        <v>1919</v>
      </c>
      <c r="BI361" s="1" t="s">
        <v>74</v>
      </c>
      <c r="BJ361" s="1" t="s">
        <v>74</v>
      </c>
      <c r="BK361" s="1" t="s">
        <v>74</v>
      </c>
      <c r="BL361" s="1" t="s">
        <v>74</v>
      </c>
      <c r="BM361" s="1" t="s">
        <v>74</v>
      </c>
      <c r="BN361" s="1">
        <v>3.7437709E7</v>
      </c>
      <c r="BO361" s="1" t="s">
        <v>74</v>
      </c>
      <c r="BP361" s="1" t="s">
        <v>74</v>
      </c>
      <c r="BQ361" s="1" t="s">
        <v>74</v>
      </c>
      <c r="BR361" s="1" t="s">
        <v>74</v>
      </c>
      <c r="BS361" s="1" t="s">
        <v>3784</v>
      </c>
      <c r="BT361" s="1" t="str">
        <f>HYPERLINK("https%3A%2F%2Fwww.webofscience.com%2Fwos%2Fwoscc%2Ffull-record%2FWOS:001046992400001","View Full Record in Web of Science")</f>
        <v>View Full Record in Web of Science</v>
      </c>
    </row>
    <row r="362" ht="12.75" customHeight="1">
      <c r="A362" s="1" t="s">
        <v>72</v>
      </c>
      <c r="B362" s="1" t="s">
        <v>3785</v>
      </c>
      <c r="C362" s="1" t="s">
        <v>74</v>
      </c>
      <c r="D362" s="1" t="s">
        <v>74</v>
      </c>
      <c r="E362" s="1" t="s">
        <v>74</v>
      </c>
      <c r="F362" s="1" t="s">
        <v>3786</v>
      </c>
      <c r="G362" s="1" t="s">
        <v>74</v>
      </c>
      <c r="H362" s="1" t="s">
        <v>74</v>
      </c>
      <c r="I362" s="1" t="s">
        <v>3787</v>
      </c>
      <c r="J362" s="1" t="s">
        <v>3788</v>
      </c>
      <c r="K362" s="1" t="s">
        <v>74</v>
      </c>
      <c r="L362" s="1" t="s">
        <v>74</v>
      </c>
      <c r="M362" s="1" t="s">
        <v>74</v>
      </c>
      <c r="N362" s="1" t="s">
        <v>74</v>
      </c>
      <c r="O362" s="1" t="s">
        <v>74</v>
      </c>
      <c r="P362" s="1" t="s">
        <v>74</v>
      </c>
      <c r="Q362" s="1" t="s">
        <v>74</v>
      </c>
      <c r="R362" s="1" t="s">
        <v>74</v>
      </c>
      <c r="S362" s="1" t="s">
        <v>74</v>
      </c>
      <c r="T362" s="1" t="s">
        <v>74</v>
      </c>
      <c r="U362" s="1" t="s">
        <v>74</v>
      </c>
      <c r="V362" s="1" t="s">
        <v>3789</v>
      </c>
      <c r="W362" s="1" t="s">
        <v>74</v>
      </c>
      <c r="X362" s="1" t="s">
        <v>74</v>
      </c>
      <c r="Y362" s="1" t="s">
        <v>74</v>
      </c>
      <c r="Z362" s="1" t="s">
        <v>74</v>
      </c>
      <c r="AA362" s="1" t="s">
        <v>3790</v>
      </c>
      <c r="AB362" s="1" t="s">
        <v>74</v>
      </c>
      <c r="AC362" s="1" t="s">
        <v>74</v>
      </c>
      <c r="AD362" s="1" t="s">
        <v>74</v>
      </c>
      <c r="AE362" s="1" t="s">
        <v>74</v>
      </c>
      <c r="AF362" s="1" t="s">
        <v>74</v>
      </c>
      <c r="AG362" s="1" t="s">
        <v>74</v>
      </c>
      <c r="AH362" s="1" t="s">
        <v>74</v>
      </c>
      <c r="AI362" s="1" t="s">
        <v>74</v>
      </c>
      <c r="AJ362" s="1" t="s">
        <v>74</v>
      </c>
      <c r="AK362" s="1" t="s">
        <v>74</v>
      </c>
      <c r="AL362" s="1" t="s">
        <v>74</v>
      </c>
      <c r="AM362" s="1" t="s">
        <v>74</v>
      </c>
      <c r="AN362" s="1" t="s">
        <v>74</v>
      </c>
      <c r="AO362" s="1" t="s">
        <v>74</v>
      </c>
      <c r="AP362" s="1" t="s">
        <v>3791</v>
      </c>
      <c r="AQ362" s="1" t="s">
        <v>74</v>
      </c>
      <c r="AR362" s="1" t="s">
        <v>74</v>
      </c>
      <c r="AS362" s="1" t="s">
        <v>74</v>
      </c>
      <c r="AT362" s="1" t="s">
        <v>3792</v>
      </c>
      <c r="AU362" s="1">
        <v>2023.0</v>
      </c>
      <c r="AV362" s="1">
        <v>22.0</v>
      </c>
      <c r="AW362" s="1">
        <v>1.0</v>
      </c>
      <c r="AX362" s="1" t="s">
        <v>74</v>
      </c>
      <c r="AY362" s="1" t="s">
        <v>74</v>
      </c>
      <c r="AZ362" s="1" t="s">
        <v>74</v>
      </c>
      <c r="BA362" s="1" t="s">
        <v>74</v>
      </c>
      <c r="BB362" s="1" t="s">
        <v>74</v>
      </c>
      <c r="BC362" s="1" t="s">
        <v>74</v>
      </c>
      <c r="BD362" s="1">
        <v>56.0</v>
      </c>
      <c r="BE362" s="1" t="s">
        <v>3793</v>
      </c>
      <c r="BF362" s="2" t="str">
        <f>HYPERLINK("http://dx.doi.org/10.1186/s12934-023-02060-y","http://dx.doi.org/10.1186/s12934-023-02060-y")</f>
        <v>http://dx.doi.org/10.1186/s12934-023-02060-y</v>
      </c>
      <c r="BG362" s="1" t="s">
        <v>74</v>
      </c>
      <c r="BH362" s="1" t="s">
        <v>74</v>
      </c>
      <c r="BI362" s="1" t="s">
        <v>74</v>
      </c>
      <c r="BJ362" s="1" t="s">
        <v>74</v>
      </c>
      <c r="BK362" s="1" t="s">
        <v>74</v>
      </c>
      <c r="BL362" s="1" t="s">
        <v>74</v>
      </c>
      <c r="BM362" s="1" t="s">
        <v>74</v>
      </c>
      <c r="BN362" s="1">
        <v>3.6964553E7</v>
      </c>
      <c r="BO362" s="1" t="s">
        <v>74</v>
      </c>
      <c r="BP362" s="1" t="s">
        <v>74</v>
      </c>
      <c r="BQ362" s="1" t="s">
        <v>74</v>
      </c>
      <c r="BR362" s="1" t="s">
        <v>74</v>
      </c>
      <c r="BS362" s="1" t="s">
        <v>3794</v>
      </c>
      <c r="BT362" s="1" t="str">
        <f>HYPERLINK("https%3A%2F%2Fwww.webofscience.com%2Fwos%2Fwoscc%2Ffull-record%2FWOS:000959546900001","View Full Record in Web of Science")</f>
        <v>View Full Record in Web of Science</v>
      </c>
    </row>
    <row r="363" ht="12.75" customHeight="1">
      <c r="A363" s="1" t="s">
        <v>72</v>
      </c>
      <c r="B363" s="1" t="s">
        <v>3795</v>
      </c>
      <c r="C363" s="1" t="s">
        <v>74</v>
      </c>
      <c r="D363" s="1" t="s">
        <v>74</v>
      </c>
      <c r="E363" s="1" t="s">
        <v>74</v>
      </c>
      <c r="F363" s="1" t="s">
        <v>3796</v>
      </c>
      <c r="G363" s="1" t="s">
        <v>74</v>
      </c>
      <c r="H363" s="1" t="s">
        <v>74</v>
      </c>
      <c r="I363" s="1" t="s">
        <v>3797</v>
      </c>
      <c r="J363" s="1" t="s">
        <v>3798</v>
      </c>
      <c r="K363" s="1" t="s">
        <v>74</v>
      </c>
      <c r="L363" s="1" t="s">
        <v>74</v>
      </c>
      <c r="M363" s="1" t="s">
        <v>74</v>
      </c>
      <c r="N363" s="1" t="s">
        <v>74</v>
      </c>
      <c r="O363" s="1" t="s">
        <v>74</v>
      </c>
      <c r="P363" s="1" t="s">
        <v>74</v>
      </c>
      <c r="Q363" s="1" t="s">
        <v>74</v>
      </c>
      <c r="R363" s="1" t="s">
        <v>74</v>
      </c>
      <c r="S363" s="1" t="s">
        <v>74</v>
      </c>
      <c r="T363" s="1" t="s">
        <v>74</v>
      </c>
      <c r="U363" s="1" t="s">
        <v>74</v>
      </c>
      <c r="V363" s="1" t="s">
        <v>3799</v>
      </c>
      <c r="W363" s="1" t="s">
        <v>74</v>
      </c>
      <c r="X363" s="1" t="s">
        <v>74</v>
      </c>
      <c r="Y363" s="1" t="s">
        <v>74</v>
      </c>
      <c r="Z363" s="1" t="s">
        <v>74</v>
      </c>
      <c r="AA363" s="1" t="s">
        <v>3800</v>
      </c>
      <c r="AB363" s="1" t="s">
        <v>3801</v>
      </c>
      <c r="AC363" s="1" t="s">
        <v>74</v>
      </c>
      <c r="AD363" s="1" t="s">
        <v>74</v>
      </c>
      <c r="AE363" s="1" t="s">
        <v>74</v>
      </c>
      <c r="AF363" s="1" t="s">
        <v>74</v>
      </c>
      <c r="AG363" s="1" t="s">
        <v>74</v>
      </c>
      <c r="AH363" s="1" t="s">
        <v>74</v>
      </c>
      <c r="AI363" s="1" t="s">
        <v>74</v>
      </c>
      <c r="AJ363" s="1" t="s">
        <v>74</v>
      </c>
      <c r="AK363" s="1" t="s">
        <v>74</v>
      </c>
      <c r="AL363" s="1" t="s">
        <v>74</v>
      </c>
      <c r="AM363" s="1" t="s">
        <v>74</v>
      </c>
      <c r="AN363" s="1" t="s">
        <v>74</v>
      </c>
      <c r="AO363" s="1" t="s">
        <v>3802</v>
      </c>
      <c r="AP363" s="1" t="s">
        <v>3803</v>
      </c>
      <c r="AQ363" s="1" t="s">
        <v>74</v>
      </c>
      <c r="AR363" s="1" t="s">
        <v>74</v>
      </c>
      <c r="AS363" s="1" t="s">
        <v>74</v>
      </c>
      <c r="AT363" s="1" t="s">
        <v>398</v>
      </c>
      <c r="AU363" s="1">
        <v>2023.0</v>
      </c>
      <c r="AV363" s="1">
        <v>210.0</v>
      </c>
      <c r="AW363" s="1" t="s">
        <v>74</v>
      </c>
      <c r="AX363" s="1" t="s">
        <v>74</v>
      </c>
      <c r="AY363" s="1" t="s">
        <v>74</v>
      </c>
      <c r="AZ363" s="1" t="s">
        <v>74</v>
      </c>
      <c r="BA363" s="1" t="s">
        <v>74</v>
      </c>
      <c r="BB363" s="1" t="s">
        <v>74</v>
      </c>
      <c r="BC363" s="1" t="s">
        <v>74</v>
      </c>
      <c r="BD363" s="1">
        <v>110986.0</v>
      </c>
      <c r="BE363" s="1" t="s">
        <v>3804</v>
      </c>
      <c r="BF363" s="2" t="str">
        <f>HYPERLINK("http://dx.doi.org/10.1016/j.dyepig.2022.110986","http://dx.doi.org/10.1016/j.dyepig.2022.110986")</f>
        <v>http://dx.doi.org/10.1016/j.dyepig.2022.110986</v>
      </c>
      <c r="BG363" s="1" t="s">
        <v>74</v>
      </c>
      <c r="BH363" s="1" t="s">
        <v>3805</v>
      </c>
      <c r="BI363" s="1" t="s">
        <v>74</v>
      </c>
      <c r="BJ363" s="1" t="s">
        <v>74</v>
      </c>
      <c r="BK363" s="1" t="s">
        <v>74</v>
      </c>
      <c r="BL363" s="1" t="s">
        <v>74</v>
      </c>
      <c r="BM363" s="1" t="s">
        <v>74</v>
      </c>
      <c r="BN363" s="1" t="s">
        <v>74</v>
      </c>
      <c r="BO363" s="1" t="s">
        <v>74</v>
      </c>
      <c r="BP363" s="1" t="s">
        <v>74</v>
      </c>
      <c r="BQ363" s="1" t="s">
        <v>74</v>
      </c>
      <c r="BR363" s="1" t="s">
        <v>74</v>
      </c>
      <c r="BS363" s="1" t="s">
        <v>3806</v>
      </c>
      <c r="BT363" s="1" t="str">
        <f>HYPERLINK("https%3A%2F%2Fwww.webofscience.com%2Fwos%2Fwoscc%2Ffull-record%2FWOS:000916948200006","View Full Record in Web of Science")</f>
        <v>View Full Record in Web of Science</v>
      </c>
    </row>
    <row r="364" ht="12.75" customHeight="1">
      <c r="A364" s="1" t="s">
        <v>72</v>
      </c>
      <c r="B364" s="1" t="s">
        <v>3807</v>
      </c>
      <c r="C364" s="1" t="s">
        <v>74</v>
      </c>
      <c r="D364" s="1" t="s">
        <v>74</v>
      </c>
      <c r="E364" s="1" t="s">
        <v>74</v>
      </c>
      <c r="F364" s="1" t="s">
        <v>3808</v>
      </c>
      <c r="G364" s="1" t="s">
        <v>74</v>
      </c>
      <c r="H364" s="1" t="s">
        <v>74</v>
      </c>
      <c r="I364" s="1" t="s">
        <v>3809</v>
      </c>
      <c r="J364" s="1" t="s">
        <v>3810</v>
      </c>
      <c r="K364" s="1" t="s">
        <v>74</v>
      </c>
      <c r="L364" s="1" t="s">
        <v>74</v>
      </c>
      <c r="M364" s="1" t="s">
        <v>74</v>
      </c>
      <c r="N364" s="1" t="s">
        <v>74</v>
      </c>
      <c r="O364" s="1" t="s">
        <v>74</v>
      </c>
      <c r="P364" s="1" t="s">
        <v>74</v>
      </c>
      <c r="Q364" s="1" t="s">
        <v>74</v>
      </c>
      <c r="R364" s="1" t="s">
        <v>74</v>
      </c>
      <c r="S364" s="1" t="s">
        <v>74</v>
      </c>
      <c r="T364" s="1" t="s">
        <v>74</v>
      </c>
      <c r="U364" s="1" t="s">
        <v>74</v>
      </c>
      <c r="V364" s="1" t="s">
        <v>3811</v>
      </c>
      <c r="W364" s="1" t="s">
        <v>74</v>
      </c>
      <c r="X364" s="1" t="s">
        <v>74</v>
      </c>
      <c r="Y364" s="1" t="s">
        <v>74</v>
      </c>
      <c r="Z364" s="1" t="s">
        <v>74</v>
      </c>
      <c r="AA364" s="1" t="s">
        <v>3812</v>
      </c>
      <c r="AB364" s="1" t="s">
        <v>3813</v>
      </c>
      <c r="AC364" s="1" t="s">
        <v>74</v>
      </c>
      <c r="AD364" s="1" t="s">
        <v>74</v>
      </c>
      <c r="AE364" s="1" t="s">
        <v>74</v>
      </c>
      <c r="AF364" s="1" t="s">
        <v>74</v>
      </c>
      <c r="AG364" s="1" t="s">
        <v>74</v>
      </c>
      <c r="AH364" s="1" t="s">
        <v>74</v>
      </c>
      <c r="AI364" s="1" t="s">
        <v>74</v>
      </c>
      <c r="AJ364" s="1" t="s">
        <v>74</v>
      </c>
      <c r="AK364" s="1" t="s">
        <v>74</v>
      </c>
      <c r="AL364" s="1" t="s">
        <v>74</v>
      </c>
      <c r="AM364" s="1" t="s">
        <v>74</v>
      </c>
      <c r="AN364" s="1" t="s">
        <v>74</v>
      </c>
      <c r="AO364" s="1" t="s">
        <v>3814</v>
      </c>
      <c r="AP364" s="1" t="s">
        <v>3815</v>
      </c>
      <c r="AQ364" s="1" t="s">
        <v>74</v>
      </c>
      <c r="AR364" s="1" t="s">
        <v>74</v>
      </c>
      <c r="AS364" s="1" t="s">
        <v>74</v>
      </c>
      <c r="AT364" s="1" t="s">
        <v>74</v>
      </c>
      <c r="AU364" s="1">
        <v>2022.0</v>
      </c>
      <c r="AV364" s="1">
        <v>17.0</v>
      </c>
      <c r="AW364" s="1">
        <v>1.0</v>
      </c>
      <c r="AX364" s="1" t="s">
        <v>74</v>
      </c>
      <c r="AY364" s="1" t="s">
        <v>74</v>
      </c>
      <c r="AZ364" s="1" t="s">
        <v>74</v>
      </c>
      <c r="BA364" s="1" t="s">
        <v>74</v>
      </c>
      <c r="BB364" s="1" t="s">
        <v>74</v>
      </c>
      <c r="BC364" s="1" t="s">
        <v>74</v>
      </c>
      <c r="BD364" s="1">
        <v>26.0</v>
      </c>
      <c r="BE364" s="1" t="s">
        <v>3816</v>
      </c>
      <c r="BF364" s="2" t="str">
        <f>HYPERLINK("http://dx.doi.org/10.5334/gh.1114","http://dx.doi.org/10.5334/gh.1114")</f>
        <v>http://dx.doi.org/10.5334/gh.1114</v>
      </c>
      <c r="BG364" s="1" t="s">
        <v>74</v>
      </c>
      <c r="BH364" s="1" t="s">
        <v>74</v>
      </c>
      <c r="BI364" s="1" t="s">
        <v>74</v>
      </c>
      <c r="BJ364" s="1" t="s">
        <v>74</v>
      </c>
      <c r="BK364" s="1" t="s">
        <v>74</v>
      </c>
      <c r="BL364" s="1" t="s">
        <v>74</v>
      </c>
      <c r="BM364" s="1" t="s">
        <v>74</v>
      </c>
      <c r="BN364" s="1">
        <v>3.5586747E7</v>
      </c>
      <c r="BO364" s="1" t="s">
        <v>74</v>
      </c>
      <c r="BP364" s="1" t="s">
        <v>74</v>
      </c>
      <c r="BQ364" s="1" t="s">
        <v>74</v>
      </c>
      <c r="BR364" s="1" t="s">
        <v>74</v>
      </c>
      <c r="BS364" s="1" t="s">
        <v>3817</v>
      </c>
      <c r="BT364" s="1" t="str">
        <f>HYPERLINK("https%3A%2F%2Fwww.webofscience.com%2Fwos%2Fwoscc%2Ffull-record%2FWOS:000788940000001","View Full Record in Web of Science")</f>
        <v>View Full Record in Web of Science</v>
      </c>
    </row>
    <row r="365" ht="12.75" customHeight="1">
      <c r="A365" s="1" t="s">
        <v>72</v>
      </c>
      <c r="B365" s="1" t="s">
        <v>3818</v>
      </c>
      <c r="C365" s="1" t="s">
        <v>74</v>
      </c>
      <c r="D365" s="1" t="s">
        <v>74</v>
      </c>
      <c r="E365" s="1" t="s">
        <v>74</v>
      </c>
      <c r="F365" s="1" t="s">
        <v>3819</v>
      </c>
      <c r="G365" s="1" t="s">
        <v>74</v>
      </c>
      <c r="H365" s="1" t="s">
        <v>74</v>
      </c>
      <c r="I365" s="1" t="s">
        <v>3820</v>
      </c>
      <c r="J365" s="1" t="s">
        <v>312</v>
      </c>
      <c r="K365" s="1" t="s">
        <v>74</v>
      </c>
      <c r="L365" s="1" t="s">
        <v>74</v>
      </c>
      <c r="M365" s="1" t="s">
        <v>74</v>
      </c>
      <c r="N365" s="1" t="s">
        <v>74</v>
      </c>
      <c r="O365" s="1" t="s">
        <v>74</v>
      </c>
      <c r="P365" s="1" t="s">
        <v>74</v>
      </c>
      <c r="Q365" s="1" t="s">
        <v>74</v>
      </c>
      <c r="R365" s="1" t="s">
        <v>74</v>
      </c>
      <c r="S365" s="1" t="s">
        <v>74</v>
      </c>
      <c r="T365" s="1" t="s">
        <v>74</v>
      </c>
      <c r="U365" s="1" t="s">
        <v>74</v>
      </c>
      <c r="V365" s="1" t="s">
        <v>3821</v>
      </c>
      <c r="W365" s="1" t="s">
        <v>74</v>
      </c>
      <c r="X365" s="1" t="s">
        <v>74</v>
      </c>
      <c r="Y365" s="1" t="s">
        <v>74</v>
      </c>
      <c r="Z365" s="1" t="s">
        <v>74</v>
      </c>
      <c r="AA365" s="1" t="s">
        <v>3822</v>
      </c>
      <c r="AB365" s="1" t="s">
        <v>3823</v>
      </c>
      <c r="AC365" s="1" t="s">
        <v>74</v>
      </c>
      <c r="AD365" s="1" t="s">
        <v>74</v>
      </c>
      <c r="AE365" s="1" t="s">
        <v>74</v>
      </c>
      <c r="AF365" s="1" t="s">
        <v>74</v>
      </c>
      <c r="AG365" s="1" t="s">
        <v>74</v>
      </c>
      <c r="AH365" s="1" t="s">
        <v>74</v>
      </c>
      <c r="AI365" s="1" t="s">
        <v>74</v>
      </c>
      <c r="AJ365" s="1" t="s">
        <v>74</v>
      </c>
      <c r="AK365" s="1" t="s">
        <v>74</v>
      </c>
      <c r="AL365" s="1" t="s">
        <v>74</v>
      </c>
      <c r="AM365" s="1" t="s">
        <v>74</v>
      </c>
      <c r="AN365" s="1" t="s">
        <v>74</v>
      </c>
      <c r="AO365" s="1" t="s">
        <v>314</v>
      </c>
      <c r="AP365" s="1" t="s">
        <v>315</v>
      </c>
      <c r="AQ365" s="1" t="s">
        <v>74</v>
      </c>
      <c r="AR365" s="1" t="s">
        <v>74</v>
      </c>
      <c r="AS365" s="1" t="s">
        <v>74</v>
      </c>
      <c r="AT365" s="1" t="s">
        <v>411</v>
      </c>
      <c r="AU365" s="1">
        <v>2021.0</v>
      </c>
      <c r="AV365" s="1">
        <v>35.0</v>
      </c>
      <c r="AW365" s="1">
        <v>11.0</v>
      </c>
      <c r="AX365" s="1" t="s">
        <v>74</v>
      </c>
      <c r="AY365" s="1" t="s">
        <v>74</v>
      </c>
      <c r="AZ365" s="1" t="s">
        <v>74</v>
      </c>
      <c r="BA365" s="1" t="s">
        <v>74</v>
      </c>
      <c r="BB365" s="1" t="s">
        <v>74</v>
      </c>
      <c r="BC365" s="1" t="s">
        <v>74</v>
      </c>
      <c r="BD365" s="1" t="s">
        <v>3824</v>
      </c>
      <c r="BE365" s="1" t="s">
        <v>3825</v>
      </c>
      <c r="BF365" s="2" t="str">
        <f>HYPERLINK("http://dx.doi.org/10.1002/aoc.6382","http://dx.doi.org/10.1002/aoc.6382")</f>
        <v>http://dx.doi.org/10.1002/aoc.6382</v>
      </c>
      <c r="BG365" s="1" t="s">
        <v>74</v>
      </c>
      <c r="BH365" s="1" t="s">
        <v>2652</v>
      </c>
      <c r="BI365" s="1" t="s">
        <v>74</v>
      </c>
      <c r="BJ365" s="1" t="s">
        <v>74</v>
      </c>
      <c r="BK365" s="1" t="s">
        <v>74</v>
      </c>
      <c r="BL365" s="1" t="s">
        <v>74</v>
      </c>
      <c r="BM365" s="1" t="s">
        <v>74</v>
      </c>
      <c r="BN365" s="1" t="s">
        <v>74</v>
      </c>
      <c r="BO365" s="1" t="s">
        <v>74</v>
      </c>
      <c r="BP365" s="1" t="s">
        <v>74</v>
      </c>
      <c r="BQ365" s="1" t="s">
        <v>74</v>
      </c>
      <c r="BR365" s="1" t="s">
        <v>74</v>
      </c>
      <c r="BS365" s="1" t="s">
        <v>3826</v>
      </c>
      <c r="BT365" s="1" t="str">
        <f>HYPERLINK("https%3A%2F%2Fwww.webofscience.com%2Fwos%2Fwoscc%2Ffull-record%2FWOS:000673851700001","View Full Record in Web of Science")</f>
        <v>View Full Record in Web of Science</v>
      </c>
    </row>
    <row r="366" ht="12.75" customHeight="1">
      <c r="A366" s="1" t="s">
        <v>72</v>
      </c>
      <c r="B366" s="1" t="s">
        <v>3827</v>
      </c>
      <c r="C366" s="1" t="s">
        <v>74</v>
      </c>
      <c r="D366" s="1" t="s">
        <v>74</v>
      </c>
      <c r="E366" s="1" t="s">
        <v>74</v>
      </c>
      <c r="F366" s="1" t="s">
        <v>3828</v>
      </c>
      <c r="G366" s="1" t="s">
        <v>74</v>
      </c>
      <c r="H366" s="1" t="s">
        <v>74</v>
      </c>
      <c r="I366" s="1" t="s">
        <v>3829</v>
      </c>
      <c r="J366" s="1" t="s">
        <v>3546</v>
      </c>
      <c r="K366" s="1" t="s">
        <v>74</v>
      </c>
      <c r="L366" s="1" t="s">
        <v>74</v>
      </c>
      <c r="M366" s="1" t="s">
        <v>74</v>
      </c>
      <c r="N366" s="1" t="s">
        <v>74</v>
      </c>
      <c r="O366" s="1" t="s">
        <v>74</v>
      </c>
      <c r="P366" s="1" t="s">
        <v>74</v>
      </c>
      <c r="Q366" s="1" t="s">
        <v>74</v>
      </c>
      <c r="R366" s="1" t="s">
        <v>74</v>
      </c>
      <c r="S366" s="1" t="s">
        <v>74</v>
      </c>
      <c r="T366" s="1" t="s">
        <v>74</v>
      </c>
      <c r="U366" s="1" t="s">
        <v>74</v>
      </c>
      <c r="V366" s="1" t="s">
        <v>3830</v>
      </c>
      <c r="W366" s="1" t="s">
        <v>74</v>
      </c>
      <c r="X366" s="1" t="s">
        <v>74</v>
      </c>
      <c r="Y366" s="1" t="s">
        <v>74</v>
      </c>
      <c r="Z366" s="1" t="s">
        <v>74</v>
      </c>
      <c r="AA366" s="1" t="s">
        <v>3831</v>
      </c>
      <c r="AB366" s="1" t="s">
        <v>3832</v>
      </c>
      <c r="AC366" s="1" t="s">
        <v>74</v>
      </c>
      <c r="AD366" s="1" t="s">
        <v>74</v>
      </c>
      <c r="AE366" s="1" t="s">
        <v>74</v>
      </c>
      <c r="AF366" s="1" t="s">
        <v>74</v>
      </c>
      <c r="AG366" s="1" t="s">
        <v>74</v>
      </c>
      <c r="AH366" s="1" t="s">
        <v>74</v>
      </c>
      <c r="AI366" s="1" t="s">
        <v>74</v>
      </c>
      <c r="AJ366" s="1" t="s">
        <v>74</v>
      </c>
      <c r="AK366" s="1" t="s">
        <v>74</v>
      </c>
      <c r="AL366" s="1" t="s">
        <v>74</v>
      </c>
      <c r="AM366" s="1" t="s">
        <v>74</v>
      </c>
      <c r="AN366" s="1" t="s">
        <v>74</v>
      </c>
      <c r="AO366" s="1" t="s">
        <v>3550</v>
      </c>
      <c r="AP366" s="1" t="s">
        <v>3551</v>
      </c>
      <c r="AQ366" s="1" t="s">
        <v>74</v>
      </c>
      <c r="AR366" s="1" t="s">
        <v>74</v>
      </c>
      <c r="AS366" s="1" t="s">
        <v>74</v>
      </c>
      <c r="AT366" s="1" t="s">
        <v>880</v>
      </c>
      <c r="AU366" s="1">
        <v>2021.0</v>
      </c>
      <c r="AV366" s="1">
        <v>765.0</v>
      </c>
      <c r="AW366" s="1" t="s">
        <v>74</v>
      </c>
      <c r="AX366" s="1" t="s">
        <v>74</v>
      </c>
      <c r="AY366" s="1" t="s">
        <v>74</v>
      </c>
      <c r="AZ366" s="1" t="s">
        <v>74</v>
      </c>
      <c r="BA366" s="1" t="s">
        <v>74</v>
      </c>
      <c r="BB366" s="1" t="s">
        <v>74</v>
      </c>
      <c r="BC366" s="1" t="s">
        <v>74</v>
      </c>
      <c r="BD366" s="1">
        <v>142713.0</v>
      </c>
      <c r="BE366" s="1" t="s">
        <v>3833</v>
      </c>
      <c r="BF366" s="2" t="str">
        <f>HYPERLINK("http://dx.doi.org/10.1016/j.scitotenv.2020.142713","http://dx.doi.org/10.1016/j.scitotenv.2020.142713")</f>
        <v>http://dx.doi.org/10.1016/j.scitotenv.2020.142713</v>
      </c>
      <c r="BG366" s="1" t="s">
        <v>74</v>
      </c>
      <c r="BH366" s="1" t="s">
        <v>131</v>
      </c>
      <c r="BI366" s="1" t="s">
        <v>74</v>
      </c>
      <c r="BJ366" s="1" t="s">
        <v>74</v>
      </c>
      <c r="BK366" s="1" t="s">
        <v>74</v>
      </c>
      <c r="BL366" s="1" t="s">
        <v>74</v>
      </c>
      <c r="BM366" s="1" t="s">
        <v>74</v>
      </c>
      <c r="BN366" s="1">
        <v>3.3077221E7</v>
      </c>
      <c r="BO366" s="1" t="s">
        <v>74</v>
      </c>
      <c r="BP366" s="1" t="s">
        <v>74</v>
      </c>
      <c r="BQ366" s="1" t="s">
        <v>74</v>
      </c>
      <c r="BR366" s="1" t="s">
        <v>74</v>
      </c>
      <c r="BS366" s="1" t="s">
        <v>3834</v>
      </c>
      <c r="BT366" s="1" t="str">
        <f>HYPERLINK("https%3A%2F%2Fwww.webofscience.com%2Fwos%2Fwoscc%2Ffull-record%2FWOS:000616232300140","View Full Record in Web of Science")</f>
        <v>View Full Record in Web of Science</v>
      </c>
    </row>
    <row r="367" ht="12.75" customHeight="1">
      <c r="A367" s="1" t="s">
        <v>72</v>
      </c>
      <c r="B367" s="1" t="s">
        <v>3835</v>
      </c>
      <c r="C367" s="1" t="s">
        <v>74</v>
      </c>
      <c r="D367" s="1" t="s">
        <v>74</v>
      </c>
      <c r="E367" s="1" t="s">
        <v>74</v>
      </c>
      <c r="F367" s="1" t="s">
        <v>3836</v>
      </c>
      <c r="G367" s="1" t="s">
        <v>74</v>
      </c>
      <c r="H367" s="1" t="s">
        <v>74</v>
      </c>
      <c r="I367" s="1" t="s">
        <v>3837</v>
      </c>
      <c r="J367" s="1" t="s">
        <v>3838</v>
      </c>
      <c r="K367" s="1" t="s">
        <v>74</v>
      </c>
      <c r="L367" s="1" t="s">
        <v>74</v>
      </c>
      <c r="M367" s="1" t="s">
        <v>74</v>
      </c>
      <c r="N367" s="1" t="s">
        <v>74</v>
      </c>
      <c r="O367" s="1" t="s">
        <v>74</v>
      </c>
      <c r="P367" s="1" t="s">
        <v>74</v>
      </c>
      <c r="Q367" s="1" t="s">
        <v>74</v>
      </c>
      <c r="R367" s="1" t="s">
        <v>74</v>
      </c>
      <c r="S367" s="1" t="s">
        <v>74</v>
      </c>
      <c r="T367" s="1" t="s">
        <v>74</v>
      </c>
      <c r="U367" s="1" t="s">
        <v>74</v>
      </c>
      <c r="V367" s="1" t="s">
        <v>3839</v>
      </c>
      <c r="W367" s="1" t="s">
        <v>74</v>
      </c>
      <c r="X367" s="1" t="s">
        <v>74</v>
      </c>
      <c r="Y367" s="1" t="s">
        <v>74</v>
      </c>
      <c r="Z367" s="1" t="s">
        <v>74</v>
      </c>
      <c r="AA367" s="1" t="s">
        <v>3840</v>
      </c>
      <c r="AB367" s="1" t="s">
        <v>3841</v>
      </c>
      <c r="AC367" s="1" t="s">
        <v>74</v>
      </c>
      <c r="AD367" s="1" t="s">
        <v>74</v>
      </c>
      <c r="AE367" s="1" t="s">
        <v>74</v>
      </c>
      <c r="AF367" s="1" t="s">
        <v>74</v>
      </c>
      <c r="AG367" s="1" t="s">
        <v>74</v>
      </c>
      <c r="AH367" s="1" t="s">
        <v>74</v>
      </c>
      <c r="AI367" s="1" t="s">
        <v>74</v>
      </c>
      <c r="AJ367" s="1" t="s">
        <v>74</v>
      </c>
      <c r="AK367" s="1" t="s">
        <v>74</v>
      </c>
      <c r="AL367" s="1" t="s">
        <v>74</v>
      </c>
      <c r="AM367" s="1" t="s">
        <v>74</v>
      </c>
      <c r="AN367" s="1" t="s">
        <v>74</v>
      </c>
      <c r="AO367" s="1" t="s">
        <v>74</v>
      </c>
      <c r="AP367" s="1" t="s">
        <v>3842</v>
      </c>
      <c r="AQ367" s="1" t="s">
        <v>74</v>
      </c>
      <c r="AR367" s="1" t="s">
        <v>74</v>
      </c>
      <c r="AS367" s="1" t="s">
        <v>74</v>
      </c>
      <c r="AT367" s="1" t="s">
        <v>411</v>
      </c>
      <c r="AU367" s="1">
        <v>2020.0</v>
      </c>
      <c r="AV367" s="1">
        <v>13.0</v>
      </c>
      <c r="AW367" s="1">
        <v>21.0</v>
      </c>
      <c r="AX367" s="1" t="s">
        <v>74</v>
      </c>
      <c r="AY367" s="1" t="s">
        <v>74</v>
      </c>
      <c r="AZ367" s="1" t="s">
        <v>74</v>
      </c>
      <c r="BA367" s="1" t="s">
        <v>74</v>
      </c>
      <c r="BB367" s="1" t="s">
        <v>74</v>
      </c>
      <c r="BC367" s="1" t="s">
        <v>74</v>
      </c>
      <c r="BD367" s="1">
        <v>5546.0</v>
      </c>
      <c r="BE367" s="1" t="s">
        <v>3843</v>
      </c>
      <c r="BF367" s="2" t="str">
        <f>HYPERLINK("http://dx.doi.org/10.3390/en13215546","http://dx.doi.org/10.3390/en13215546")</f>
        <v>http://dx.doi.org/10.3390/en13215546</v>
      </c>
      <c r="BG367" s="1" t="s">
        <v>74</v>
      </c>
      <c r="BH367" s="1" t="s">
        <v>74</v>
      </c>
      <c r="BI367" s="1" t="s">
        <v>74</v>
      </c>
      <c r="BJ367" s="1" t="s">
        <v>74</v>
      </c>
      <c r="BK367" s="1" t="s">
        <v>74</v>
      </c>
      <c r="BL367" s="1" t="s">
        <v>74</v>
      </c>
      <c r="BM367" s="1" t="s">
        <v>74</v>
      </c>
      <c r="BN367" s="1" t="s">
        <v>74</v>
      </c>
      <c r="BO367" s="1" t="s">
        <v>74</v>
      </c>
      <c r="BP367" s="1" t="s">
        <v>74</v>
      </c>
      <c r="BQ367" s="1" t="s">
        <v>74</v>
      </c>
      <c r="BR367" s="1" t="s">
        <v>74</v>
      </c>
      <c r="BS367" s="1" t="s">
        <v>3844</v>
      </c>
      <c r="BT367" s="1" t="str">
        <f>HYPERLINK("https%3A%2F%2Fwww.webofscience.com%2Fwos%2Fwoscc%2Ffull-record%2FWOS:000589034600001","View Full Record in Web of Science")</f>
        <v>View Full Record in Web of Science</v>
      </c>
    </row>
    <row r="368" ht="12.75" customHeight="1">
      <c r="A368" s="1" t="s">
        <v>72</v>
      </c>
      <c r="B368" s="1" t="s">
        <v>3845</v>
      </c>
      <c r="C368" s="1" t="s">
        <v>74</v>
      </c>
      <c r="D368" s="1" t="s">
        <v>74</v>
      </c>
      <c r="E368" s="1" t="s">
        <v>74</v>
      </c>
      <c r="F368" s="1" t="s">
        <v>3846</v>
      </c>
      <c r="G368" s="1" t="s">
        <v>74</v>
      </c>
      <c r="H368" s="1" t="s">
        <v>74</v>
      </c>
      <c r="I368" s="1" t="s">
        <v>3847</v>
      </c>
      <c r="J368" s="1" t="s">
        <v>3848</v>
      </c>
      <c r="K368" s="1" t="s">
        <v>74</v>
      </c>
      <c r="L368" s="1" t="s">
        <v>74</v>
      </c>
      <c r="M368" s="1" t="s">
        <v>74</v>
      </c>
      <c r="N368" s="1" t="s">
        <v>74</v>
      </c>
      <c r="O368" s="1" t="s">
        <v>74</v>
      </c>
      <c r="P368" s="1" t="s">
        <v>74</v>
      </c>
      <c r="Q368" s="1" t="s">
        <v>74</v>
      </c>
      <c r="R368" s="1" t="s">
        <v>74</v>
      </c>
      <c r="S368" s="1" t="s">
        <v>74</v>
      </c>
      <c r="T368" s="1" t="s">
        <v>74</v>
      </c>
      <c r="U368" s="1" t="s">
        <v>74</v>
      </c>
      <c r="V368" s="1" t="s">
        <v>3849</v>
      </c>
      <c r="W368" s="1" t="s">
        <v>74</v>
      </c>
      <c r="X368" s="1" t="s">
        <v>74</v>
      </c>
      <c r="Y368" s="1" t="s">
        <v>74</v>
      </c>
      <c r="Z368" s="1" t="s">
        <v>74</v>
      </c>
      <c r="AA368" s="1" t="s">
        <v>3850</v>
      </c>
      <c r="AB368" s="1" t="s">
        <v>3851</v>
      </c>
      <c r="AC368" s="1" t="s">
        <v>74</v>
      </c>
      <c r="AD368" s="1" t="s">
        <v>74</v>
      </c>
      <c r="AE368" s="1" t="s">
        <v>74</v>
      </c>
      <c r="AF368" s="1" t="s">
        <v>74</v>
      </c>
      <c r="AG368" s="1" t="s">
        <v>74</v>
      </c>
      <c r="AH368" s="1" t="s">
        <v>74</v>
      </c>
      <c r="AI368" s="1" t="s">
        <v>74</v>
      </c>
      <c r="AJ368" s="1" t="s">
        <v>74</v>
      </c>
      <c r="AK368" s="1" t="s">
        <v>74</v>
      </c>
      <c r="AL368" s="1" t="s">
        <v>74</v>
      </c>
      <c r="AM368" s="1" t="s">
        <v>74</v>
      </c>
      <c r="AN368" s="1" t="s">
        <v>74</v>
      </c>
      <c r="AO368" s="1" t="s">
        <v>3852</v>
      </c>
      <c r="AP368" s="1" t="s">
        <v>3853</v>
      </c>
      <c r="AQ368" s="1" t="s">
        <v>74</v>
      </c>
      <c r="AR368" s="1" t="s">
        <v>74</v>
      </c>
      <c r="AS368" s="1" t="s">
        <v>74</v>
      </c>
      <c r="AT368" s="1" t="s">
        <v>250</v>
      </c>
      <c r="AU368" s="1">
        <v>2020.0</v>
      </c>
      <c r="AV368" s="1">
        <v>125.0</v>
      </c>
      <c r="AW368" s="1">
        <v>9.0</v>
      </c>
      <c r="AX368" s="1" t="s">
        <v>74</v>
      </c>
      <c r="AY368" s="1" t="s">
        <v>74</v>
      </c>
      <c r="AZ368" s="1" t="s">
        <v>74</v>
      </c>
      <c r="BA368" s="1" t="s">
        <v>74</v>
      </c>
      <c r="BB368" s="1" t="s">
        <v>74</v>
      </c>
      <c r="BC368" s="1" t="s">
        <v>74</v>
      </c>
      <c r="BD368" s="1" t="s">
        <v>3854</v>
      </c>
      <c r="BE368" s="1" t="s">
        <v>3855</v>
      </c>
      <c r="BF368" s="2" t="str">
        <f>HYPERLINK("http://dx.doi.org/10.1029/2020JA027923","http://dx.doi.org/10.1029/2020JA027923")</f>
        <v>http://dx.doi.org/10.1029/2020JA027923</v>
      </c>
      <c r="BG368" s="1" t="s">
        <v>74</v>
      </c>
      <c r="BH368" s="1" t="s">
        <v>74</v>
      </c>
      <c r="BI368" s="1" t="s">
        <v>74</v>
      </c>
      <c r="BJ368" s="1" t="s">
        <v>74</v>
      </c>
      <c r="BK368" s="1" t="s">
        <v>74</v>
      </c>
      <c r="BL368" s="1" t="s">
        <v>74</v>
      </c>
      <c r="BM368" s="1" t="s">
        <v>74</v>
      </c>
      <c r="BN368" s="1" t="s">
        <v>74</v>
      </c>
      <c r="BO368" s="1" t="s">
        <v>74</v>
      </c>
      <c r="BP368" s="1" t="s">
        <v>74</v>
      </c>
      <c r="BQ368" s="1" t="s">
        <v>74</v>
      </c>
      <c r="BR368" s="1" t="s">
        <v>74</v>
      </c>
      <c r="BS368" s="1" t="s">
        <v>3856</v>
      </c>
      <c r="BT368" s="1" t="str">
        <f>HYPERLINK("https%3A%2F%2Fwww.webofscience.com%2Fwos%2Fwoscc%2Ffull-record%2FWOS:000600989000013","View Full Record in Web of Science")</f>
        <v>View Full Record in Web of Science</v>
      </c>
    </row>
    <row r="369" ht="12.75" customHeight="1">
      <c r="A369" s="1" t="s">
        <v>72</v>
      </c>
      <c r="B369" s="1" t="s">
        <v>3857</v>
      </c>
      <c r="C369" s="1" t="s">
        <v>74</v>
      </c>
      <c r="D369" s="1" t="s">
        <v>74</v>
      </c>
      <c r="E369" s="1" t="s">
        <v>74</v>
      </c>
      <c r="F369" s="1" t="s">
        <v>3858</v>
      </c>
      <c r="G369" s="1" t="s">
        <v>74</v>
      </c>
      <c r="H369" s="1" t="s">
        <v>74</v>
      </c>
      <c r="I369" s="1" t="s">
        <v>3859</v>
      </c>
      <c r="J369" s="1" t="s">
        <v>3860</v>
      </c>
      <c r="K369" s="1" t="s">
        <v>74</v>
      </c>
      <c r="L369" s="1" t="s">
        <v>74</v>
      </c>
      <c r="M369" s="1" t="s">
        <v>74</v>
      </c>
      <c r="N369" s="1" t="s">
        <v>74</v>
      </c>
      <c r="O369" s="1" t="s">
        <v>74</v>
      </c>
      <c r="P369" s="1" t="s">
        <v>74</v>
      </c>
      <c r="Q369" s="1" t="s">
        <v>74</v>
      </c>
      <c r="R369" s="1" t="s">
        <v>74</v>
      </c>
      <c r="S369" s="1" t="s">
        <v>74</v>
      </c>
      <c r="T369" s="1" t="s">
        <v>74</v>
      </c>
      <c r="U369" s="1" t="s">
        <v>74</v>
      </c>
      <c r="V369" s="1" t="s">
        <v>3861</v>
      </c>
      <c r="W369" s="1" t="s">
        <v>74</v>
      </c>
      <c r="X369" s="1" t="s">
        <v>74</v>
      </c>
      <c r="Y369" s="1" t="s">
        <v>74</v>
      </c>
      <c r="Z369" s="1" t="s">
        <v>74</v>
      </c>
      <c r="AA369" s="1" t="s">
        <v>3862</v>
      </c>
      <c r="AB369" s="1" t="s">
        <v>3863</v>
      </c>
      <c r="AC369" s="1" t="s">
        <v>74</v>
      </c>
      <c r="AD369" s="1" t="s">
        <v>74</v>
      </c>
      <c r="AE369" s="1" t="s">
        <v>74</v>
      </c>
      <c r="AF369" s="1" t="s">
        <v>74</v>
      </c>
      <c r="AG369" s="1" t="s">
        <v>74</v>
      </c>
      <c r="AH369" s="1" t="s">
        <v>74</v>
      </c>
      <c r="AI369" s="1" t="s">
        <v>74</v>
      </c>
      <c r="AJ369" s="1" t="s">
        <v>74</v>
      </c>
      <c r="AK369" s="1" t="s">
        <v>74</v>
      </c>
      <c r="AL369" s="1" t="s">
        <v>74</v>
      </c>
      <c r="AM369" s="1" t="s">
        <v>74</v>
      </c>
      <c r="AN369" s="1" t="s">
        <v>74</v>
      </c>
      <c r="AO369" s="1" t="s">
        <v>74</v>
      </c>
      <c r="AP369" s="1" t="s">
        <v>3864</v>
      </c>
      <c r="AQ369" s="1" t="s">
        <v>74</v>
      </c>
      <c r="AR369" s="1" t="s">
        <v>74</v>
      </c>
      <c r="AS369" s="1" t="s">
        <v>74</v>
      </c>
      <c r="AT369" s="1" t="s">
        <v>237</v>
      </c>
      <c r="AU369" s="1">
        <v>2020.0</v>
      </c>
      <c r="AV369" s="1">
        <v>12.0</v>
      </c>
      <c r="AW369" s="1">
        <v>2.0</v>
      </c>
      <c r="AX369" s="1" t="s">
        <v>74</v>
      </c>
      <c r="AY369" s="1" t="s">
        <v>74</v>
      </c>
      <c r="AZ369" s="1" t="s">
        <v>74</v>
      </c>
      <c r="BA369" s="1" t="s">
        <v>74</v>
      </c>
      <c r="BB369" s="1" t="s">
        <v>74</v>
      </c>
      <c r="BC369" s="1" t="s">
        <v>74</v>
      </c>
      <c r="BD369" s="1">
        <v>648.0</v>
      </c>
      <c r="BE369" s="1" t="s">
        <v>3865</v>
      </c>
      <c r="BF369" s="2" t="str">
        <f>HYPERLINK("http://dx.doi.org/10.3390/su12020648","http://dx.doi.org/10.3390/su12020648")</f>
        <v>http://dx.doi.org/10.3390/su12020648</v>
      </c>
      <c r="BG369" s="1" t="s">
        <v>74</v>
      </c>
      <c r="BH369" s="1" t="s">
        <v>74</v>
      </c>
      <c r="BI369" s="1" t="s">
        <v>74</v>
      </c>
      <c r="BJ369" s="1" t="s">
        <v>74</v>
      </c>
      <c r="BK369" s="1" t="s">
        <v>74</v>
      </c>
      <c r="BL369" s="1" t="s">
        <v>74</v>
      </c>
      <c r="BM369" s="1" t="s">
        <v>74</v>
      </c>
      <c r="BN369" s="1" t="s">
        <v>74</v>
      </c>
      <c r="BO369" s="1" t="s">
        <v>74</v>
      </c>
      <c r="BP369" s="1" t="s">
        <v>74</v>
      </c>
      <c r="BQ369" s="1" t="s">
        <v>74</v>
      </c>
      <c r="BR369" s="1" t="s">
        <v>74</v>
      </c>
      <c r="BS369" s="1" t="s">
        <v>3866</v>
      </c>
      <c r="BT369" s="1" t="str">
        <f>HYPERLINK("https%3A%2F%2Fwww.webofscience.com%2Fwos%2Fwoscc%2Ffull-record%2FWOS:000516824600206","View Full Record in Web of Science")</f>
        <v>View Full Record in Web of Science</v>
      </c>
    </row>
    <row r="370" ht="12.75" customHeight="1">
      <c r="A370" s="1" t="s">
        <v>72</v>
      </c>
      <c r="B370" s="1" t="s">
        <v>3867</v>
      </c>
      <c r="C370" s="1" t="s">
        <v>74</v>
      </c>
      <c r="D370" s="1" t="s">
        <v>74</v>
      </c>
      <c r="E370" s="1" t="s">
        <v>74</v>
      </c>
      <c r="F370" s="1" t="s">
        <v>3868</v>
      </c>
      <c r="G370" s="1" t="s">
        <v>74</v>
      </c>
      <c r="H370" s="1" t="s">
        <v>74</v>
      </c>
      <c r="I370" s="1" t="s">
        <v>3869</v>
      </c>
      <c r="J370" s="1" t="s">
        <v>2184</v>
      </c>
      <c r="K370" s="1" t="s">
        <v>74</v>
      </c>
      <c r="L370" s="1" t="s">
        <v>74</v>
      </c>
      <c r="M370" s="1" t="s">
        <v>74</v>
      </c>
      <c r="N370" s="1" t="s">
        <v>74</v>
      </c>
      <c r="O370" s="1" t="s">
        <v>74</v>
      </c>
      <c r="P370" s="1" t="s">
        <v>74</v>
      </c>
      <c r="Q370" s="1" t="s">
        <v>74</v>
      </c>
      <c r="R370" s="1" t="s">
        <v>74</v>
      </c>
      <c r="S370" s="1" t="s">
        <v>74</v>
      </c>
      <c r="T370" s="1" t="s">
        <v>74</v>
      </c>
      <c r="U370" s="1" t="s">
        <v>74</v>
      </c>
      <c r="V370" s="1" t="s">
        <v>3870</v>
      </c>
      <c r="W370" s="1" t="s">
        <v>74</v>
      </c>
      <c r="X370" s="1" t="s">
        <v>74</v>
      </c>
      <c r="Y370" s="1" t="s">
        <v>74</v>
      </c>
      <c r="Z370" s="1" t="s">
        <v>74</v>
      </c>
      <c r="AA370" s="1" t="s">
        <v>3871</v>
      </c>
      <c r="AB370" s="1" t="s">
        <v>3872</v>
      </c>
      <c r="AC370" s="1" t="s">
        <v>74</v>
      </c>
      <c r="AD370" s="1" t="s">
        <v>74</v>
      </c>
      <c r="AE370" s="1" t="s">
        <v>74</v>
      </c>
      <c r="AF370" s="1" t="s">
        <v>74</v>
      </c>
      <c r="AG370" s="1" t="s">
        <v>74</v>
      </c>
      <c r="AH370" s="1" t="s">
        <v>74</v>
      </c>
      <c r="AI370" s="1" t="s">
        <v>74</v>
      </c>
      <c r="AJ370" s="1" t="s">
        <v>74</v>
      </c>
      <c r="AK370" s="1" t="s">
        <v>74</v>
      </c>
      <c r="AL370" s="1" t="s">
        <v>74</v>
      </c>
      <c r="AM370" s="1" t="s">
        <v>74</v>
      </c>
      <c r="AN370" s="1" t="s">
        <v>74</v>
      </c>
      <c r="AO370" s="1" t="s">
        <v>74</v>
      </c>
      <c r="AP370" s="1" t="s">
        <v>2188</v>
      </c>
      <c r="AQ370" s="1" t="s">
        <v>74</v>
      </c>
      <c r="AR370" s="1" t="s">
        <v>74</v>
      </c>
      <c r="AS370" s="1" t="s">
        <v>74</v>
      </c>
      <c r="AT370" s="1" t="s">
        <v>3873</v>
      </c>
      <c r="AU370" s="1">
        <v>2018.0</v>
      </c>
      <c r="AV370" s="1">
        <v>9.0</v>
      </c>
      <c r="AW370" s="1" t="s">
        <v>74</v>
      </c>
      <c r="AX370" s="1" t="s">
        <v>74</v>
      </c>
      <c r="AY370" s="1" t="s">
        <v>74</v>
      </c>
      <c r="AZ370" s="1" t="s">
        <v>74</v>
      </c>
      <c r="BA370" s="1" t="s">
        <v>74</v>
      </c>
      <c r="BB370" s="1" t="s">
        <v>74</v>
      </c>
      <c r="BC370" s="1" t="s">
        <v>74</v>
      </c>
      <c r="BD370" s="1">
        <v>2463.0</v>
      </c>
      <c r="BE370" s="1" t="s">
        <v>3874</v>
      </c>
      <c r="BF370" s="2" t="str">
        <f>HYPERLINK("http://dx.doi.org/10.3389/fmicb.2018.02463","http://dx.doi.org/10.3389/fmicb.2018.02463")</f>
        <v>http://dx.doi.org/10.3389/fmicb.2018.02463</v>
      </c>
      <c r="BG370" s="1" t="s">
        <v>74</v>
      </c>
      <c r="BH370" s="1" t="s">
        <v>74</v>
      </c>
      <c r="BI370" s="1" t="s">
        <v>74</v>
      </c>
      <c r="BJ370" s="1" t="s">
        <v>74</v>
      </c>
      <c r="BK370" s="1" t="s">
        <v>74</v>
      </c>
      <c r="BL370" s="1" t="s">
        <v>74</v>
      </c>
      <c r="BM370" s="1" t="s">
        <v>74</v>
      </c>
      <c r="BN370" s="1">
        <v>3.0459723E7</v>
      </c>
      <c r="BO370" s="1" t="s">
        <v>74</v>
      </c>
      <c r="BP370" s="1" t="s">
        <v>74</v>
      </c>
      <c r="BQ370" s="1" t="s">
        <v>74</v>
      </c>
      <c r="BR370" s="1" t="s">
        <v>74</v>
      </c>
      <c r="BS370" s="1" t="s">
        <v>3875</v>
      </c>
      <c r="BT370" s="1" t="str">
        <f>HYPERLINK("https%3A%2F%2Fwww.webofscience.com%2Fwos%2Fwoscc%2Ffull-record%2FWOS:000447387800001","View Full Record in Web of Science")</f>
        <v>View Full Record in Web of Science</v>
      </c>
    </row>
    <row r="371" ht="12.75" customHeight="1">
      <c r="A371" s="1" t="s">
        <v>72</v>
      </c>
      <c r="B371" s="1" t="s">
        <v>3876</v>
      </c>
      <c r="C371" s="1" t="s">
        <v>74</v>
      </c>
      <c r="D371" s="1" t="s">
        <v>74</v>
      </c>
      <c r="E371" s="1" t="s">
        <v>74</v>
      </c>
      <c r="F371" s="1" t="s">
        <v>3877</v>
      </c>
      <c r="G371" s="1" t="s">
        <v>74</v>
      </c>
      <c r="H371" s="1" t="s">
        <v>74</v>
      </c>
      <c r="I371" s="1" t="s">
        <v>3878</v>
      </c>
      <c r="J371" s="1" t="s">
        <v>3879</v>
      </c>
      <c r="K371" s="1" t="s">
        <v>74</v>
      </c>
      <c r="L371" s="1" t="s">
        <v>74</v>
      </c>
      <c r="M371" s="1" t="s">
        <v>74</v>
      </c>
      <c r="N371" s="1" t="s">
        <v>74</v>
      </c>
      <c r="O371" s="1" t="s">
        <v>74</v>
      </c>
      <c r="P371" s="1" t="s">
        <v>74</v>
      </c>
      <c r="Q371" s="1" t="s">
        <v>74</v>
      </c>
      <c r="R371" s="1" t="s">
        <v>74</v>
      </c>
      <c r="S371" s="1" t="s">
        <v>74</v>
      </c>
      <c r="T371" s="1" t="s">
        <v>74</v>
      </c>
      <c r="U371" s="1" t="s">
        <v>74</v>
      </c>
      <c r="V371" s="1" t="s">
        <v>3880</v>
      </c>
      <c r="W371" s="1" t="s">
        <v>74</v>
      </c>
      <c r="X371" s="1" t="s">
        <v>74</v>
      </c>
      <c r="Y371" s="1" t="s">
        <v>74</v>
      </c>
      <c r="Z371" s="1" t="s">
        <v>74</v>
      </c>
      <c r="AA371" s="1" t="s">
        <v>3881</v>
      </c>
      <c r="AB371" s="1" t="s">
        <v>3882</v>
      </c>
      <c r="AC371" s="1" t="s">
        <v>74</v>
      </c>
      <c r="AD371" s="1" t="s">
        <v>74</v>
      </c>
      <c r="AE371" s="1" t="s">
        <v>74</v>
      </c>
      <c r="AF371" s="1" t="s">
        <v>74</v>
      </c>
      <c r="AG371" s="1" t="s">
        <v>74</v>
      </c>
      <c r="AH371" s="1" t="s">
        <v>74</v>
      </c>
      <c r="AI371" s="1" t="s">
        <v>74</v>
      </c>
      <c r="AJ371" s="1" t="s">
        <v>74</v>
      </c>
      <c r="AK371" s="1" t="s">
        <v>74</v>
      </c>
      <c r="AL371" s="1" t="s">
        <v>74</v>
      </c>
      <c r="AM371" s="1" t="s">
        <v>74</v>
      </c>
      <c r="AN371" s="1" t="s">
        <v>74</v>
      </c>
      <c r="AO371" s="1" t="s">
        <v>3883</v>
      </c>
      <c r="AP371" s="1" t="s">
        <v>3884</v>
      </c>
      <c r="AQ371" s="1" t="s">
        <v>74</v>
      </c>
      <c r="AR371" s="1" t="s">
        <v>74</v>
      </c>
      <c r="AS371" s="1" t="s">
        <v>74</v>
      </c>
      <c r="AT371" s="1" t="s">
        <v>398</v>
      </c>
      <c r="AU371" s="1">
        <v>2012.0</v>
      </c>
      <c r="AV371" s="1">
        <v>50.0</v>
      </c>
      <c r="AW371" s="1">
        <v>2.0</v>
      </c>
      <c r="AX371" s="1" t="s">
        <v>74</v>
      </c>
      <c r="AY371" s="1" t="s">
        <v>74</v>
      </c>
      <c r="AZ371" s="1" t="s">
        <v>74</v>
      </c>
      <c r="BA371" s="1" t="s">
        <v>74</v>
      </c>
      <c r="BB371" s="1">
        <v>231.0</v>
      </c>
      <c r="BC371" s="1">
        <v>235.0</v>
      </c>
      <c r="BD371" s="1" t="s">
        <v>74</v>
      </c>
      <c r="BE371" s="1" t="s">
        <v>3885</v>
      </c>
      <c r="BF371" s="2" t="str">
        <f>HYPERLINK("http://dx.doi.org/10.1016/j.optlaseng.2011.08.011","http://dx.doi.org/10.1016/j.optlaseng.2011.08.011")</f>
        <v>http://dx.doi.org/10.1016/j.optlaseng.2011.08.011</v>
      </c>
      <c r="BG371" s="1" t="s">
        <v>74</v>
      </c>
      <c r="BH371" s="1" t="s">
        <v>74</v>
      </c>
      <c r="BI371" s="1" t="s">
        <v>74</v>
      </c>
      <c r="BJ371" s="1" t="s">
        <v>74</v>
      </c>
      <c r="BK371" s="1" t="s">
        <v>74</v>
      </c>
      <c r="BL371" s="1" t="s">
        <v>74</v>
      </c>
      <c r="BM371" s="1" t="s">
        <v>74</v>
      </c>
      <c r="BN371" s="1" t="s">
        <v>74</v>
      </c>
      <c r="BO371" s="1" t="s">
        <v>74</v>
      </c>
      <c r="BP371" s="1" t="s">
        <v>74</v>
      </c>
      <c r="BQ371" s="1" t="s">
        <v>74</v>
      </c>
      <c r="BR371" s="1" t="s">
        <v>74</v>
      </c>
      <c r="BS371" s="1" t="s">
        <v>3886</v>
      </c>
      <c r="BT371" s="1" t="str">
        <f>HYPERLINK("https%3A%2F%2Fwww.webofscience.com%2Fwos%2Fwoscc%2Ffull-record%2FWOS:000297872800021","View Full Record in Web of Science")</f>
        <v>View Full Record in Web of Science</v>
      </c>
    </row>
    <row r="372" ht="12.75" customHeight="1">
      <c r="A372" s="1" t="s">
        <v>72</v>
      </c>
      <c r="B372" s="1" t="s">
        <v>3887</v>
      </c>
      <c r="C372" s="1" t="s">
        <v>74</v>
      </c>
      <c r="D372" s="1" t="s">
        <v>74</v>
      </c>
      <c r="E372" s="1" t="s">
        <v>74</v>
      </c>
      <c r="F372" s="1" t="s">
        <v>3888</v>
      </c>
      <c r="G372" s="1" t="s">
        <v>74</v>
      </c>
      <c r="H372" s="1" t="s">
        <v>74</v>
      </c>
      <c r="I372" s="1" t="s">
        <v>3889</v>
      </c>
      <c r="J372" s="1" t="s">
        <v>1954</v>
      </c>
      <c r="K372" s="1" t="s">
        <v>74</v>
      </c>
      <c r="L372" s="1" t="s">
        <v>74</v>
      </c>
      <c r="M372" s="1" t="s">
        <v>74</v>
      </c>
      <c r="N372" s="1" t="s">
        <v>74</v>
      </c>
      <c r="O372" s="1" t="s">
        <v>74</v>
      </c>
      <c r="P372" s="1" t="s">
        <v>74</v>
      </c>
      <c r="Q372" s="1" t="s">
        <v>74</v>
      </c>
      <c r="R372" s="1" t="s">
        <v>74</v>
      </c>
      <c r="S372" s="1" t="s">
        <v>74</v>
      </c>
      <c r="T372" s="1" t="s">
        <v>74</v>
      </c>
      <c r="U372" s="1" t="s">
        <v>74</v>
      </c>
      <c r="V372" s="1" t="s">
        <v>3890</v>
      </c>
      <c r="W372" s="1" t="s">
        <v>74</v>
      </c>
      <c r="X372" s="1" t="s">
        <v>74</v>
      </c>
      <c r="Y372" s="1" t="s">
        <v>74</v>
      </c>
      <c r="Z372" s="1" t="s">
        <v>74</v>
      </c>
      <c r="AA372" s="1" t="s">
        <v>3891</v>
      </c>
      <c r="AB372" s="1" t="s">
        <v>3892</v>
      </c>
      <c r="AC372" s="1" t="s">
        <v>74</v>
      </c>
      <c r="AD372" s="1" t="s">
        <v>74</v>
      </c>
      <c r="AE372" s="1" t="s">
        <v>74</v>
      </c>
      <c r="AF372" s="1" t="s">
        <v>74</v>
      </c>
      <c r="AG372" s="1" t="s">
        <v>74</v>
      </c>
      <c r="AH372" s="1" t="s">
        <v>74</v>
      </c>
      <c r="AI372" s="1" t="s">
        <v>74</v>
      </c>
      <c r="AJ372" s="1" t="s">
        <v>74</v>
      </c>
      <c r="AK372" s="1" t="s">
        <v>74</v>
      </c>
      <c r="AL372" s="1" t="s">
        <v>74</v>
      </c>
      <c r="AM372" s="1" t="s">
        <v>74</v>
      </c>
      <c r="AN372" s="1" t="s">
        <v>74</v>
      </c>
      <c r="AO372" s="1" t="s">
        <v>1958</v>
      </c>
      <c r="AP372" s="1" t="s">
        <v>1959</v>
      </c>
      <c r="AQ372" s="1" t="s">
        <v>74</v>
      </c>
      <c r="AR372" s="1" t="s">
        <v>74</v>
      </c>
      <c r="AS372" s="1" t="s">
        <v>74</v>
      </c>
      <c r="AT372" s="1" t="s">
        <v>74</v>
      </c>
      <c r="AU372" s="1">
        <v>2011.0</v>
      </c>
      <c r="AV372" s="1">
        <v>29.0</v>
      </c>
      <c r="AW372" s="1">
        <v>2.0</v>
      </c>
      <c r="AX372" s="1" t="s">
        <v>74</v>
      </c>
      <c r="AY372" s="1" t="s">
        <v>74</v>
      </c>
      <c r="AZ372" s="1" t="s">
        <v>74</v>
      </c>
      <c r="BA372" s="1" t="s">
        <v>74</v>
      </c>
      <c r="BB372" s="1">
        <v>403.0</v>
      </c>
      <c r="BC372" s="1">
        <v>408.0</v>
      </c>
      <c r="BD372" s="1" t="s">
        <v>74</v>
      </c>
      <c r="BE372" s="1" t="s">
        <v>3893</v>
      </c>
      <c r="BF372" s="2" t="str">
        <f>HYPERLINK("http://dx.doi.org/10.4067/S0717-95022011000200016","http://dx.doi.org/10.4067/S0717-95022011000200016")</f>
        <v>http://dx.doi.org/10.4067/S0717-95022011000200016</v>
      </c>
      <c r="BG372" s="1" t="s">
        <v>74</v>
      </c>
      <c r="BH372" s="1" t="s">
        <v>74</v>
      </c>
      <c r="BI372" s="1" t="s">
        <v>74</v>
      </c>
      <c r="BJ372" s="1" t="s">
        <v>74</v>
      </c>
      <c r="BK372" s="1" t="s">
        <v>74</v>
      </c>
      <c r="BL372" s="1" t="s">
        <v>74</v>
      </c>
      <c r="BM372" s="1" t="s">
        <v>74</v>
      </c>
      <c r="BN372" s="1" t="s">
        <v>74</v>
      </c>
      <c r="BO372" s="1" t="s">
        <v>74</v>
      </c>
      <c r="BP372" s="1" t="s">
        <v>74</v>
      </c>
      <c r="BQ372" s="1" t="s">
        <v>74</v>
      </c>
      <c r="BR372" s="1" t="s">
        <v>74</v>
      </c>
      <c r="BS372" s="1" t="s">
        <v>3894</v>
      </c>
      <c r="BT372" s="1" t="str">
        <f>HYPERLINK("https%3A%2F%2Fwww.webofscience.com%2Fwos%2Fwoscc%2Ffull-record%2FWOS:000293661000016","View Full Record in Web of Science")</f>
        <v>View Full Record in Web of Science</v>
      </c>
    </row>
    <row r="373" ht="12.75" customHeight="1">
      <c r="A373" s="1" t="s">
        <v>72</v>
      </c>
      <c r="B373" s="1" t="s">
        <v>3895</v>
      </c>
      <c r="C373" s="1" t="s">
        <v>74</v>
      </c>
      <c r="D373" s="1" t="s">
        <v>74</v>
      </c>
      <c r="E373" s="1" t="s">
        <v>74</v>
      </c>
      <c r="F373" s="1" t="s">
        <v>3896</v>
      </c>
      <c r="G373" s="1" t="s">
        <v>74</v>
      </c>
      <c r="H373" s="1" t="s">
        <v>74</v>
      </c>
      <c r="I373" s="1" t="s">
        <v>3897</v>
      </c>
      <c r="J373" s="1" t="s">
        <v>1375</v>
      </c>
      <c r="K373" s="1" t="s">
        <v>74</v>
      </c>
      <c r="L373" s="1" t="s">
        <v>74</v>
      </c>
      <c r="M373" s="1" t="s">
        <v>74</v>
      </c>
      <c r="N373" s="1" t="s">
        <v>74</v>
      </c>
      <c r="O373" s="1" t="s">
        <v>3898</v>
      </c>
      <c r="P373" s="1" t="s">
        <v>3899</v>
      </c>
      <c r="Q373" s="1" t="s">
        <v>3900</v>
      </c>
      <c r="R373" s="1" t="s">
        <v>74</v>
      </c>
      <c r="S373" s="1" t="s">
        <v>74</v>
      </c>
      <c r="T373" s="1" t="s">
        <v>74</v>
      </c>
      <c r="U373" s="1" t="s">
        <v>74</v>
      </c>
      <c r="V373" s="1" t="s">
        <v>3901</v>
      </c>
      <c r="W373" s="1" t="s">
        <v>74</v>
      </c>
      <c r="X373" s="1" t="s">
        <v>74</v>
      </c>
      <c r="Y373" s="1" t="s">
        <v>74</v>
      </c>
      <c r="Z373" s="1" t="s">
        <v>74</v>
      </c>
      <c r="AA373" s="1" t="s">
        <v>3902</v>
      </c>
      <c r="AB373" s="1" t="s">
        <v>3903</v>
      </c>
      <c r="AC373" s="1" t="s">
        <v>74</v>
      </c>
      <c r="AD373" s="1" t="s">
        <v>74</v>
      </c>
      <c r="AE373" s="1" t="s">
        <v>74</v>
      </c>
      <c r="AF373" s="1" t="s">
        <v>74</v>
      </c>
      <c r="AG373" s="1" t="s">
        <v>74</v>
      </c>
      <c r="AH373" s="1" t="s">
        <v>74</v>
      </c>
      <c r="AI373" s="1" t="s">
        <v>74</v>
      </c>
      <c r="AJ373" s="1" t="s">
        <v>74</v>
      </c>
      <c r="AK373" s="1" t="s">
        <v>74</v>
      </c>
      <c r="AL373" s="1" t="s">
        <v>74</v>
      </c>
      <c r="AM373" s="1" t="s">
        <v>74</v>
      </c>
      <c r="AN373" s="1" t="s">
        <v>74</v>
      </c>
      <c r="AO373" s="1" t="s">
        <v>1380</v>
      </c>
      <c r="AP373" s="1" t="s">
        <v>74</v>
      </c>
      <c r="AQ373" s="1" t="s">
        <v>74</v>
      </c>
      <c r="AR373" s="1" t="s">
        <v>74</v>
      </c>
      <c r="AS373" s="1" t="s">
        <v>74</v>
      </c>
      <c r="AT373" s="1" t="s">
        <v>96</v>
      </c>
      <c r="AU373" s="1">
        <v>2007.0</v>
      </c>
      <c r="AV373" s="1">
        <v>15.0</v>
      </c>
      <c r="AW373" s="1">
        <v>2.0</v>
      </c>
      <c r="AX373" s="1" t="s">
        <v>74</v>
      </c>
      <c r="AY373" s="1" t="s">
        <v>74</v>
      </c>
      <c r="AZ373" s="1" t="s">
        <v>74</v>
      </c>
      <c r="BA373" s="1" t="s">
        <v>74</v>
      </c>
      <c r="BB373" s="1">
        <v>163.0</v>
      </c>
      <c r="BC373" s="1">
        <v>176.0</v>
      </c>
      <c r="BD373" s="1" t="s">
        <v>74</v>
      </c>
      <c r="BE373" s="1" t="s">
        <v>3904</v>
      </c>
      <c r="BF373" s="2" t="str">
        <f>HYPERLINK("http://dx.doi.org/10.1080/17415970600873928","http://dx.doi.org/10.1080/17415970600873928")</f>
        <v>http://dx.doi.org/10.1080/17415970600873928</v>
      </c>
      <c r="BG373" s="1" t="s">
        <v>74</v>
      </c>
      <c r="BH373" s="1" t="s">
        <v>74</v>
      </c>
      <c r="BI373" s="1" t="s">
        <v>74</v>
      </c>
      <c r="BJ373" s="1" t="s">
        <v>74</v>
      </c>
      <c r="BK373" s="1" t="s">
        <v>74</v>
      </c>
      <c r="BL373" s="1" t="s">
        <v>74</v>
      </c>
      <c r="BM373" s="1" t="s">
        <v>74</v>
      </c>
      <c r="BN373" s="1" t="s">
        <v>74</v>
      </c>
      <c r="BO373" s="1" t="s">
        <v>74</v>
      </c>
      <c r="BP373" s="1" t="s">
        <v>74</v>
      </c>
      <c r="BQ373" s="1" t="s">
        <v>74</v>
      </c>
      <c r="BR373" s="1" t="s">
        <v>74</v>
      </c>
      <c r="BS373" s="1" t="s">
        <v>3905</v>
      </c>
      <c r="BT373" s="1" t="str">
        <f>HYPERLINK("https%3A%2F%2Fwww.webofscience.com%2Fwos%2Fwoscc%2Ffull-record%2FWOS:000243666700007","View Full Record in Web of Science")</f>
        <v>View Full Record in Web of Science</v>
      </c>
    </row>
    <row r="374" ht="12.75" customHeight="1">
      <c r="A374" s="1" t="s">
        <v>72</v>
      </c>
      <c r="B374" s="1" t="s">
        <v>3906</v>
      </c>
      <c r="C374" s="1" t="s">
        <v>74</v>
      </c>
      <c r="D374" s="1" t="s">
        <v>74</v>
      </c>
      <c r="E374" s="1" t="s">
        <v>74</v>
      </c>
      <c r="F374" s="1" t="s">
        <v>3906</v>
      </c>
      <c r="G374" s="1" t="s">
        <v>74</v>
      </c>
      <c r="H374" s="1" t="s">
        <v>74</v>
      </c>
      <c r="I374" s="1" t="s">
        <v>3907</v>
      </c>
      <c r="J374" s="1" t="s">
        <v>3908</v>
      </c>
      <c r="K374" s="1" t="s">
        <v>74</v>
      </c>
      <c r="L374" s="1" t="s">
        <v>74</v>
      </c>
      <c r="M374" s="1" t="s">
        <v>74</v>
      </c>
      <c r="N374" s="1" t="s">
        <v>74</v>
      </c>
      <c r="O374" s="1" t="s">
        <v>74</v>
      </c>
      <c r="P374" s="1" t="s">
        <v>74</v>
      </c>
      <c r="Q374" s="1" t="s">
        <v>74</v>
      </c>
      <c r="R374" s="1" t="s">
        <v>74</v>
      </c>
      <c r="S374" s="1" t="s">
        <v>74</v>
      </c>
      <c r="T374" s="1" t="s">
        <v>74</v>
      </c>
      <c r="U374" s="1" t="s">
        <v>74</v>
      </c>
      <c r="V374" s="1" t="s">
        <v>3909</v>
      </c>
      <c r="W374" s="1" t="s">
        <v>74</v>
      </c>
      <c r="X374" s="1" t="s">
        <v>74</v>
      </c>
      <c r="Y374" s="1" t="s">
        <v>74</v>
      </c>
      <c r="Z374" s="1" t="s">
        <v>74</v>
      </c>
      <c r="AA374" s="1" t="s">
        <v>3910</v>
      </c>
      <c r="AB374" s="1" t="s">
        <v>3911</v>
      </c>
      <c r="AC374" s="1" t="s">
        <v>74</v>
      </c>
      <c r="AD374" s="1" t="s">
        <v>74</v>
      </c>
      <c r="AE374" s="1" t="s">
        <v>74</v>
      </c>
      <c r="AF374" s="1" t="s">
        <v>74</v>
      </c>
      <c r="AG374" s="1" t="s">
        <v>74</v>
      </c>
      <c r="AH374" s="1" t="s">
        <v>74</v>
      </c>
      <c r="AI374" s="1" t="s">
        <v>74</v>
      </c>
      <c r="AJ374" s="1" t="s">
        <v>74</v>
      </c>
      <c r="AK374" s="1" t="s">
        <v>74</v>
      </c>
      <c r="AL374" s="1" t="s">
        <v>74</v>
      </c>
      <c r="AM374" s="1" t="s">
        <v>74</v>
      </c>
      <c r="AN374" s="1" t="s">
        <v>74</v>
      </c>
      <c r="AO374" s="1" t="s">
        <v>3912</v>
      </c>
      <c r="AP374" s="1" t="s">
        <v>3913</v>
      </c>
      <c r="AQ374" s="1" t="s">
        <v>74</v>
      </c>
      <c r="AR374" s="1" t="s">
        <v>74</v>
      </c>
      <c r="AS374" s="1" t="s">
        <v>74</v>
      </c>
      <c r="AT374" s="1" t="s">
        <v>398</v>
      </c>
      <c r="AU374" s="1">
        <v>2005.0</v>
      </c>
      <c r="AV374" s="1">
        <v>20.0</v>
      </c>
      <c r="AW374" s="1">
        <v>2.0</v>
      </c>
      <c r="AX374" s="1" t="s">
        <v>74</v>
      </c>
      <c r="AY374" s="1" t="s">
        <v>74</v>
      </c>
      <c r="AZ374" s="1" t="s">
        <v>74</v>
      </c>
      <c r="BA374" s="1" t="s">
        <v>74</v>
      </c>
      <c r="BB374" s="1">
        <v>476.0</v>
      </c>
      <c r="BC374" s="1">
        <v>483.0</v>
      </c>
      <c r="BD374" s="1" t="s">
        <v>74</v>
      </c>
      <c r="BE374" s="1" t="s">
        <v>3914</v>
      </c>
      <c r="BF374" s="2" t="str">
        <f>HYPERLINK("http://dx.doi.org/10.1093/humrep/deh498","http://dx.doi.org/10.1093/humrep/deh498")</f>
        <v>http://dx.doi.org/10.1093/humrep/deh498</v>
      </c>
      <c r="BG374" s="1" t="s">
        <v>74</v>
      </c>
      <c r="BH374" s="1" t="s">
        <v>74</v>
      </c>
      <c r="BI374" s="1" t="s">
        <v>74</v>
      </c>
      <c r="BJ374" s="1" t="s">
        <v>74</v>
      </c>
      <c r="BK374" s="1" t="s">
        <v>74</v>
      </c>
      <c r="BL374" s="1" t="s">
        <v>74</v>
      </c>
      <c r="BM374" s="1" t="s">
        <v>74</v>
      </c>
      <c r="BN374" s="1">
        <v>1.5576398E7</v>
      </c>
      <c r="BO374" s="1" t="s">
        <v>74</v>
      </c>
      <c r="BP374" s="1" t="s">
        <v>74</v>
      </c>
      <c r="BQ374" s="1" t="s">
        <v>74</v>
      </c>
      <c r="BR374" s="1" t="s">
        <v>74</v>
      </c>
      <c r="BS374" s="1" t="s">
        <v>3915</v>
      </c>
      <c r="BT374" s="1" t="str">
        <f>HYPERLINK("https%3A%2F%2Fwww.webofscience.com%2Fwos%2Fwoscc%2Ffull-record%2FWOS:000226611300025","View Full Record in Web of Science")</f>
        <v>View Full Record in Web of Science</v>
      </c>
    </row>
    <row r="375" ht="12.75" customHeight="1">
      <c r="A375" s="1" t="s">
        <v>72</v>
      </c>
      <c r="B375" s="1" t="s">
        <v>3916</v>
      </c>
      <c r="C375" s="1" t="s">
        <v>74</v>
      </c>
      <c r="D375" s="1" t="s">
        <v>74</v>
      </c>
      <c r="E375" s="1" t="s">
        <v>74</v>
      </c>
      <c r="F375" s="1" t="s">
        <v>3917</v>
      </c>
      <c r="G375" s="1" t="s">
        <v>74</v>
      </c>
      <c r="H375" s="1" t="s">
        <v>74</v>
      </c>
      <c r="I375" s="1" t="s">
        <v>3918</v>
      </c>
      <c r="J375" s="1" t="s">
        <v>3919</v>
      </c>
      <c r="K375" s="1" t="s">
        <v>74</v>
      </c>
      <c r="L375" s="1" t="s">
        <v>74</v>
      </c>
      <c r="M375" s="1" t="s">
        <v>74</v>
      </c>
      <c r="N375" s="1" t="s">
        <v>74</v>
      </c>
      <c r="O375" s="1" t="s">
        <v>74</v>
      </c>
      <c r="P375" s="1" t="s">
        <v>74</v>
      </c>
      <c r="Q375" s="1" t="s">
        <v>74</v>
      </c>
      <c r="R375" s="1" t="s">
        <v>74</v>
      </c>
      <c r="S375" s="1" t="s">
        <v>74</v>
      </c>
      <c r="T375" s="1" t="s">
        <v>74</v>
      </c>
      <c r="U375" s="1" t="s">
        <v>74</v>
      </c>
      <c r="V375" s="1" t="s">
        <v>3920</v>
      </c>
      <c r="W375" s="1" t="s">
        <v>74</v>
      </c>
      <c r="X375" s="1" t="s">
        <v>74</v>
      </c>
      <c r="Y375" s="1" t="s">
        <v>74</v>
      </c>
      <c r="Z375" s="1" t="s">
        <v>74</v>
      </c>
      <c r="AA375" s="1" t="s">
        <v>3921</v>
      </c>
      <c r="AB375" s="1" t="s">
        <v>3922</v>
      </c>
      <c r="AC375" s="1" t="s">
        <v>74</v>
      </c>
      <c r="AD375" s="1" t="s">
        <v>74</v>
      </c>
      <c r="AE375" s="1" t="s">
        <v>74</v>
      </c>
      <c r="AF375" s="1" t="s">
        <v>74</v>
      </c>
      <c r="AG375" s="1" t="s">
        <v>74</v>
      </c>
      <c r="AH375" s="1" t="s">
        <v>74</v>
      </c>
      <c r="AI375" s="1" t="s">
        <v>74</v>
      </c>
      <c r="AJ375" s="1" t="s">
        <v>74</v>
      </c>
      <c r="AK375" s="1" t="s">
        <v>74</v>
      </c>
      <c r="AL375" s="1" t="s">
        <v>74</v>
      </c>
      <c r="AM375" s="1" t="s">
        <v>74</v>
      </c>
      <c r="AN375" s="1" t="s">
        <v>74</v>
      </c>
      <c r="AO375" s="1" t="s">
        <v>74</v>
      </c>
      <c r="AP375" s="1" t="s">
        <v>3923</v>
      </c>
      <c r="AQ375" s="1" t="s">
        <v>74</v>
      </c>
      <c r="AR375" s="1" t="s">
        <v>74</v>
      </c>
      <c r="AS375" s="1" t="s">
        <v>74</v>
      </c>
      <c r="AT375" s="1" t="s">
        <v>155</v>
      </c>
      <c r="AU375" s="1">
        <v>2024.0</v>
      </c>
      <c r="AV375" s="1">
        <v>12.0</v>
      </c>
      <c r="AW375" s="1">
        <v>6.0</v>
      </c>
      <c r="AX375" s="1" t="s">
        <v>74</v>
      </c>
      <c r="AY375" s="1" t="s">
        <v>74</v>
      </c>
      <c r="AZ375" s="1" t="s">
        <v>74</v>
      </c>
      <c r="BA375" s="1" t="s">
        <v>74</v>
      </c>
      <c r="BB375" s="1" t="s">
        <v>74</v>
      </c>
      <c r="BC375" s="1" t="s">
        <v>74</v>
      </c>
      <c r="BD375" s="1">
        <v>976.0</v>
      </c>
      <c r="BE375" s="1" t="s">
        <v>3924</v>
      </c>
      <c r="BF375" s="2" t="str">
        <f>HYPERLINK("http://dx.doi.org/10.3390/jmse12060976","http://dx.doi.org/10.3390/jmse12060976")</f>
        <v>http://dx.doi.org/10.3390/jmse12060976</v>
      </c>
      <c r="BG375" s="1" t="s">
        <v>74</v>
      </c>
      <c r="BH375" s="1" t="s">
        <v>74</v>
      </c>
      <c r="BI375" s="1" t="s">
        <v>74</v>
      </c>
      <c r="BJ375" s="1" t="s">
        <v>74</v>
      </c>
      <c r="BK375" s="1" t="s">
        <v>74</v>
      </c>
      <c r="BL375" s="1" t="s">
        <v>74</v>
      </c>
      <c r="BM375" s="1" t="s">
        <v>74</v>
      </c>
      <c r="BN375" s="1" t="s">
        <v>74</v>
      </c>
      <c r="BO375" s="1" t="s">
        <v>74</v>
      </c>
      <c r="BP375" s="1" t="s">
        <v>74</v>
      </c>
      <c r="BQ375" s="1" t="s">
        <v>74</v>
      </c>
      <c r="BR375" s="1" t="s">
        <v>74</v>
      </c>
      <c r="BS375" s="1" t="s">
        <v>3925</v>
      </c>
      <c r="BT375" s="1" t="str">
        <f>HYPERLINK("https%3A%2F%2Fwww.webofscience.com%2Fwos%2Fwoscc%2Ffull-record%2FWOS:001257107600001","View Full Record in Web of Science")</f>
        <v>View Full Record in Web of Science</v>
      </c>
    </row>
    <row r="376" ht="12.75" customHeight="1">
      <c r="A376" s="1" t="s">
        <v>72</v>
      </c>
      <c r="B376" s="1" t="s">
        <v>3926</v>
      </c>
      <c r="C376" s="1" t="s">
        <v>74</v>
      </c>
      <c r="D376" s="1" t="s">
        <v>74</v>
      </c>
      <c r="E376" s="1" t="s">
        <v>74</v>
      </c>
      <c r="F376" s="1" t="s">
        <v>3927</v>
      </c>
      <c r="G376" s="1" t="s">
        <v>74</v>
      </c>
      <c r="H376" s="1" t="s">
        <v>74</v>
      </c>
      <c r="I376" s="1" t="s">
        <v>3928</v>
      </c>
      <c r="J376" s="1" t="s">
        <v>3711</v>
      </c>
      <c r="K376" s="1" t="s">
        <v>74</v>
      </c>
      <c r="L376" s="1" t="s">
        <v>74</v>
      </c>
      <c r="M376" s="1" t="s">
        <v>74</v>
      </c>
      <c r="N376" s="1" t="s">
        <v>74</v>
      </c>
      <c r="O376" s="1" t="s">
        <v>74</v>
      </c>
      <c r="P376" s="1" t="s">
        <v>74</v>
      </c>
      <c r="Q376" s="1" t="s">
        <v>74</v>
      </c>
      <c r="R376" s="1" t="s">
        <v>74</v>
      </c>
      <c r="S376" s="1" t="s">
        <v>74</v>
      </c>
      <c r="T376" s="1" t="s">
        <v>74</v>
      </c>
      <c r="U376" s="1" t="s">
        <v>74</v>
      </c>
      <c r="V376" s="1" t="s">
        <v>3929</v>
      </c>
      <c r="W376" s="1" t="s">
        <v>74</v>
      </c>
      <c r="X376" s="1" t="s">
        <v>74</v>
      </c>
      <c r="Y376" s="1" t="s">
        <v>74</v>
      </c>
      <c r="Z376" s="1" t="s">
        <v>74</v>
      </c>
      <c r="AA376" s="1" t="s">
        <v>3930</v>
      </c>
      <c r="AB376" s="1" t="s">
        <v>3931</v>
      </c>
      <c r="AC376" s="1" t="s">
        <v>74</v>
      </c>
      <c r="AD376" s="1" t="s">
        <v>74</v>
      </c>
      <c r="AE376" s="1" t="s">
        <v>74</v>
      </c>
      <c r="AF376" s="1" t="s">
        <v>74</v>
      </c>
      <c r="AG376" s="1" t="s">
        <v>74</v>
      </c>
      <c r="AH376" s="1" t="s">
        <v>74</v>
      </c>
      <c r="AI376" s="1" t="s">
        <v>74</v>
      </c>
      <c r="AJ376" s="1" t="s">
        <v>74</v>
      </c>
      <c r="AK376" s="1" t="s">
        <v>74</v>
      </c>
      <c r="AL376" s="1" t="s">
        <v>74</v>
      </c>
      <c r="AM376" s="1" t="s">
        <v>74</v>
      </c>
      <c r="AN376" s="1" t="s">
        <v>74</v>
      </c>
      <c r="AO376" s="1" t="s">
        <v>3715</v>
      </c>
      <c r="AP376" s="1" t="s">
        <v>3932</v>
      </c>
      <c r="AQ376" s="1" t="s">
        <v>74</v>
      </c>
      <c r="AR376" s="1" t="s">
        <v>74</v>
      </c>
      <c r="AS376" s="1" t="s">
        <v>74</v>
      </c>
      <c r="AT376" s="1" t="s">
        <v>3933</v>
      </c>
      <c r="AU376" s="1">
        <v>2023.0</v>
      </c>
      <c r="AV376" s="1">
        <v>52.0</v>
      </c>
      <c r="AW376" s="1">
        <v>48.0</v>
      </c>
      <c r="AX376" s="1" t="s">
        <v>74</v>
      </c>
      <c r="AY376" s="1" t="s">
        <v>74</v>
      </c>
      <c r="AZ376" s="1" t="s">
        <v>74</v>
      </c>
      <c r="BA376" s="1" t="s">
        <v>74</v>
      </c>
      <c r="BB376" s="1">
        <v>18480.0</v>
      </c>
      <c r="BC376" s="1">
        <v>18488.0</v>
      </c>
      <c r="BD376" s="1" t="s">
        <v>74</v>
      </c>
      <c r="BE376" s="1" t="s">
        <v>3934</v>
      </c>
      <c r="BF376" s="2" t="str">
        <f>HYPERLINK("http://dx.doi.org/10.1039/d3dt03042c","http://dx.doi.org/10.1039/d3dt03042c")</f>
        <v>http://dx.doi.org/10.1039/d3dt03042c</v>
      </c>
      <c r="BG376" s="1" t="s">
        <v>74</v>
      </c>
      <c r="BH376" s="1" t="s">
        <v>2383</v>
      </c>
      <c r="BI376" s="1" t="s">
        <v>74</v>
      </c>
      <c r="BJ376" s="1" t="s">
        <v>74</v>
      </c>
      <c r="BK376" s="1" t="s">
        <v>74</v>
      </c>
      <c r="BL376" s="1" t="s">
        <v>74</v>
      </c>
      <c r="BM376" s="1" t="s">
        <v>74</v>
      </c>
      <c r="BN376" s="1">
        <v>3.8014706E7</v>
      </c>
      <c r="BO376" s="1" t="s">
        <v>74</v>
      </c>
      <c r="BP376" s="1" t="s">
        <v>74</v>
      </c>
      <c r="BQ376" s="1" t="s">
        <v>74</v>
      </c>
      <c r="BR376" s="1" t="s">
        <v>74</v>
      </c>
      <c r="BS376" s="1" t="s">
        <v>3935</v>
      </c>
      <c r="BT376" s="1" t="str">
        <f>HYPERLINK("https%3A%2F%2Fwww.webofscience.com%2Fwos%2Fwoscc%2Ffull-record%2FWOS:001114835500001","View Full Record in Web of Science")</f>
        <v>View Full Record in Web of Science</v>
      </c>
    </row>
    <row r="377" ht="12.75" customHeight="1">
      <c r="A377" s="1" t="s">
        <v>72</v>
      </c>
      <c r="B377" s="1" t="s">
        <v>3936</v>
      </c>
      <c r="C377" s="1" t="s">
        <v>74</v>
      </c>
      <c r="D377" s="1" t="s">
        <v>74</v>
      </c>
      <c r="E377" s="1" t="s">
        <v>74</v>
      </c>
      <c r="F377" s="1" t="s">
        <v>3937</v>
      </c>
      <c r="G377" s="1" t="s">
        <v>74</v>
      </c>
      <c r="H377" s="1" t="s">
        <v>74</v>
      </c>
      <c r="I377" s="1" t="s">
        <v>3938</v>
      </c>
      <c r="J377" s="1" t="s">
        <v>910</v>
      </c>
      <c r="K377" s="1" t="s">
        <v>74</v>
      </c>
      <c r="L377" s="1" t="s">
        <v>74</v>
      </c>
      <c r="M377" s="1" t="s">
        <v>74</v>
      </c>
      <c r="N377" s="1" t="s">
        <v>74</v>
      </c>
      <c r="O377" s="1" t="s">
        <v>74</v>
      </c>
      <c r="P377" s="1" t="s">
        <v>74</v>
      </c>
      <c r="Q377" s="1" t="s">
        <v>74</v>
      </c>
      <c r="R377" s="1" t="s">
        <v>74</v>
      </c>
      <c r="S377" s="1" t="s">
        <v>74</v>
      </c>
      <c r="T377" s="1" t="s">
        <v>74</v>
      </c>
      <c r="U377" s="1" t="s">
        <v>74</v>
      </c>
      <c r="V377" s="1" t="s">
        <v>3939</v>
      </c>
      <c r="W377" s="1" t="s">
        <v>74</v>
      </c>
      <c r="X377" s="1" t="s">
        <v>74</v>
      </c>
      <c r="Y377" s="1" t="s">
        <v>74</v>
      </c>
      <c r="Z377" s="1" t="s">
        <v>74</v>
      </c>
      <c r="AA377" s="1" t="s">
        <v>3940</v>
      </c>
      <c r="AB377" s="1" t="s">
        <v>3941</v>
      </c>
      <c r="AC377" s="1" t="s">
        <v>74</v>
      </c>
      <c r="AD377" s="1" t="s">
        <v>74</v>
      </c>
      <c r="AE377" s="1" t="s">
        <v>74</v>
      </c>
      <c r="AF377" s="1" t="s">
        <v>74</v>
      </c>
      <c r="AG377" s="1" t="s">
        <v>74</v>
      </c>
      <c r="AH377" s="1" t="s">
        <v>74</v>
      </c>
      <c r="AI377" s="1" t="s">
        <v>74</v>
      </c>
      <c r="AJ377" s="1" t="s">
        <v>74</v>
      </c>
      <c r="AK377" s="1" t="s">
        <v>74</v>
      </c>
      <c r="AL377" s="1" t="s">
        <v>74</v>
      </c>
      <c r="AM377" s="1" t="s">
        <v>74</v>
      </c>
      <c r="AN377" s="1" t="s">
        <v>74</v>
      </c>
      <c r="AO377" s="1" t="s">
        <v>74</v>
      </c>
      <c r="AP377" s="1" t="s">
        <v>914</v>
      </c>
      <c r="AQ377" s="1" t="s">
        <v>74</v>
      </c>
      <c r="AR377" s="1" t="s">
        <v>74</v>
      </c>
      <c r="AS377" s="1" t="s">
        <v>74</v>
      </c>
      <c r="AT377" s="1" t="s">
        <v>358</v>
      </c>
      <c r="AU377" s="1">
        <v>2023.0</v>
      </c>
      <c r="AV377" s="1">
        <v>23.0</v>
      </c>
      <c r="AW377" s="1">
        <v>9.0</v>
      </c>
      <c r="AX377" s="1" t="s">
        <v>74</v>
      </c>
      <c r="AY377" s="1" t="s">
        <v>74</v>
      </c>
      <c r="AZ377" s="1" t="s">
        <v>74</v>
      </c>
      <c r="BA377" s="1" t="s">
        <v>74</v>
      </c>
      <c r="BB377" s="1" t="s">
        <v>74</v>
      </c>
      <c r="BC377" s="1" t="s">
        <v>74</v>
      </c>
      <c r="BD377" s="1">
        <v>4499.0</v>
      </c>
      <c r="BE377" s="1" t="s">
        <v>3942</v>
      </c>
      <c r="BF377" s="2" t="str">
        <f>HYPERLINK("http://dx.doi.org/10.3390/s23094499","http://dx.doi.org/10.3390/s23094499")</f>
        <v>http://dx.doi.org/10.3390/s23094499</v>
      </c>
      <c r="BG377" s="1" t="s">
        <v>74</v>
      </c>
      <c r="BH377" s="1" t="s">
        <v>74</v>
      </c>
      <c r="BI377" s="1" t="s">
        <v>74</v>
      </c>
      <c r="BJ377" s="1" t="s">
        <v>74</v>
      </c>
      <c r="BK377" s="1" t="s">
        <v>74</v>
      </c>
      <c r="BL377" s="1" t="s">
        <v>74</v>
      </c>
      <c r="BM377" s="1" t="s">
        <v>74</v>
      </c>
      <c r="BN377" s="1">
        <v>3.7177702E7</v>
      </c>
      <c r="BO377" s="1" t="s">
        <v>74</v>
      </c>
      <c r="BP377" s="1" t="s">
        <v>74</v>
      </c>
      <c r="BQ377" s="1" t="s">
        <v>74</v>
      </c>
      <c r="BR377" s="1" t="s">
        <v>74</v>
      </c>
      <c r="BS377" s="1" t="s">
        <v>3943</v>
      </c>
      <c r="BT377" s="1" t="str">
        <f>HYPERLINK("https%3A%2F%2Fwww.webofscience.com%2Fwos%2Fwoscc%2Ffull-record%2FWOS:000988167800001","View Full Record in Web of Science")</f>
        <v>View Full Record in Web of Science</v>
      </c>
    </row>
    <row r="378" ht="12.75" customHeight="1">
      <c r="A378" s="1" t="s">
        <v>72</v>
      </c>
      <c r="B378" s="1" t="s">
        <v>3944</v>
      </c>
      <c r="C378" s="1" t="s">
        <v>74</v>
      </c>
      <c r="D378" s="1" t="s">
        <v>74</v>
      </c>
      <c r="E378" s="1" t="s">
        <v>74</v>
      </c>
      <c r="F378" s="1" t="s">
        <v>3945</v>
      </c>
      <c r="G378" s="1" t="s">
        <v>74</v>
      </c>
      <c r="H378" s="1" t="s">
        <v>74</v>
      </c>
      <c r="I378" s="1" t="s">
        <v>3946</v>
      </c>
      <c r="J378" s="1" t="s">
        <v>3947</v>
      </c>
      <c r="K378" s="1" t="s">
        <v>74</v>
      </c>
      <c r="L378" s="1" t="s">
        <v>74</v>
      </c>
      <c r="M378" s="1" t="s">
        <v>74</v>
      </c>
      <c r="N378" s="1" t="s">
        <v>74</v>
      </c>
      <c r="O378" s="1" t="s">
        <v>74</v>
      </c>
      <c r="P378" s="1" t="s">
        <v>74</v>
      </c>
      <c r="Q378" s="1" t="s">
        <v>74</v>
      </c>
      <c r="R378" s="1" t="s">
        <v>74</v>
      </c>
      <c r="S378" s="1" t="s">
        <v>74</v>
      </c>
      <c r="T378" s="1" t="s">
        <v>74</v>
      </c>
      <c r="U378" s="1" t="s">
        <v>74</v>
      </c>
      <c r="V378" s="1" t="s">
        <v>3948</v>
      </c>
      <c r="W378" s="1" t="s">
        <v>74</v>
      </c>
      <c r="X378" s="1" t="s">
        <v>74</v>
      </c>
      <c r="Y378" s="1" t="s">
        <v>74</v>
      </c>
      <c r="Z378" s="1" t="s">
        <v>74</v>
      </c>
      <c r="AA378" s="1" t="s">
        <v>3949</v>
      </c>
      <c r="AB378" s="1" t="s">
        <v>3950</v>
      </c>
      <c r="AC378" s="1" t="s">
        <v>74</v>
      </c>
      <c r="AD378" s="1" t="s">
        <v>74</v>
      </c>
      <c r="AE378" s="1" t="s">
        <v>74</v>
      </c>
      <c r="AF378" s="1" t="s">
        <v>74</v>
      </c>
      <c r="AG378" s="1" t="s">
        <v>74</v>
      </c>
      <c r="AH378" s="1" t="s">
        <v>74</v>
      </c>
      <c r="AI378" s="1" t="s">
        <v>74</v>
      </c>
      <c r="AJ378" s="1" t="s">
        <v>74</v>
      </c>
      <c r="AK378" s="1" t="s">
        <v>74</v>
      </c>
      <c r="AL378" s="1" t="s">
        <v>74</v>
      </c>
      <c r="AM378" s="1" t="s">
        <v>74</v>
      </c>
      <c r="AN378" s="1" t="s">
        <v>74</v>
      </c>
      <c r="AO378" s="1" t="s">
        <v>74</v>
      </c>
      <c r="AP378" s="1" t="s">
        <v>3951</v>
      </c>
      <c r="AQ378" s="1" t="s">
        <v>74</v>
      </c>
      <c r="AR378" s="1" t="s">
        <v>74</v>
      </c>
      <c r="AS378" s="1" t="s">
        <v>74</v>
      </c>
      <c r="AT378" s="1" t="s">
        <v>559</v>
      </c>
      <c r="AU378" s="1">
        <v>2022.0</v>
      </c>
      <c r="AV378" s="1">
        <v>11.0</v>
      </c>
      <c r="AW378" s="1">
        <v>12.0</v>
      </c>
      <c r="AX378" s="1" t="s">
        <v>74</v>
      </c>
      <c r="AY378" s="1" t="s">
        <v>74</v>
      </c>
      <c r="AZ378" s="1" t="s">
        <v>74</v>
      </c>
      <c r="BA378" s="1" t="s">
        <v>74</v>
      </c>
      <c r="BB378" s="1" t="s">
        <v>74</v>
      </c>
      <c r="BC378" s="1" t="s">
        <v>74</v>
      </c>
      <c r="BD378" s="1">
        <v>2469.0</v>
      </c>
      <c r="BE378" s="1" t="s">
        <v>3952</v>
      </c>
      <c r="BF378" s="2" t="str">
        <f>HYPERLINK("http://dx.doi.org/10.3390/antiox11122469","http://dx.doi.org/10.3390/antiox11122469")</f>
        <v>http://dx.doi.org/10.3390/antiox11122469</v>
      </c>
      <c r="BG378" s="1" t="s">
        <v>74</v>
      </c>
      <c r="BH378" s="1" t="s">
        <v>74</v>
      </c>
      <c r="BI378" s="1" t="s">
        <v>74</v>
      </c>
      <c r="BJ378" s="1" t="s">
        <v>74</v>
      </c>
      <c r="BK378" s="1" t="s">
        <v>74</v>
      </c>
      <c r="BL378" s="1" t="s">
        <v>74</v>
      </c>
      <c r="BM378" s="1" t="s">
        <v>74</v>
      </c>
      <c r="BN378" s="1">
        <v>3.6552677E7</v>
      </c>
      <c r="BO378" s="1" t="s">
        <v>74</v>
      </c>
      <c r="BP378" s="1" t="s">
        <v>74</v>
      </c>
      <c r="BQ378" s="1" t="s">
        <v>74</v>
      </c>
      <c r="BR378" s="1" t="s">
        <v>74</v>
      </c>
      <c r="BS378" s="1" t="s">
        <v>3953</v>
      </c>
      <c r="BT378" s="1" t="str">
        <f>HYPERLINK("https%3A%2F%2Fwww.webofscience.com%2Fwos%2Fwoscc%2Ffull-record%2FWOS:000902100000001","View Full Record in Web of Science")</f>
        <v>View Full Record in Web of Science</v>
      </c>
    </row>
    <row r="379" ht="12.75" customHeight="1">
      <c r="A379" s="1" t="s">
        <v>72</v>
      </c>
      <c r="B379" s="1" t="s">
        <v>3954</v>
      </c>
      <c r="C379" s="1" t="s">
        <v>74</v>
      </c>
      <c r="D379" s="1" t="s">
        <v>74</v>
      </c>
      <c r="E379" s="1" t="s">
        <v>74</v>
      </c>
      <c r="F379" s="1" t="s">
        <v>3955</v>
      </c>
      <c r="G379" s="1" t="s">
        <v>74</v>
      </c>
      <c r="H379" s="1" t="s">
        <v>74</v>
      </c>
      <c r="I379" s="1" t="s">
        <v>3956</v>
      </c>
      <c r="J379" s="1" t="s">
        <v>3957</v>
      </c>
      <c r="K379" s="1" t="s">
        <v>74</v>
      </c>
      <c r="L379" s="1" t="s">
        <v>74</v>
      </c>
      <c r="M379" s="1" t="s">
        <v>74</v>
      </c>
      <c r="N379" s="1" t="s">
        <v>74</v>
      </c>
      <c r="O379" s="1" t="s">
        <v>74</v>
      </c>
      <c r="P379" s="1" t="s">
        <v>74</v>
      </c>
      <c r="Q379" s="1" t="s">
        <v>74</v>
      </c>
      <c r="R379" s="1" t="s">
        <v>74</v>
      </c>
      <c r="S379" s="1" t="s">
        <v>74</v>
      </c>
      <c r="T379" s="1" t="s">
        <v>74</v>
      </c>
      <c r="U379" s="1" t="s">
        <v>74</v>
      </c>
      <c r="V379" s="1" t="s">
        <v>3958</v>
      </c>
      <c r="W379" s="1" t="s">
        <v>74</v>
      </c>
      <c r="X379" s="1" t="s">
        <v>74</v>
      </c>
      <c r="Y379" s="1" t="s">
        <v>74</v>
      </c>
      <c r="Z379" s="1" t="s">
        <v>74</v>
      </c>
      <c r="AA379" s="1" t="s">
        <v>3959</v>
      </c>
      <c r="AB379" s="1" t="s">
        <v>3960</v>
      </c>
      <c r="AC379" s="1" t="s">
        <v>74</v>
      </c>
      <c r="AD379" s="1" t="s">
        <v>74</v>
      </c>
      <c r="AE379" s="1" t="s">
        <v>74</v>
      </c>
      <c r="AF379" s="1" t="s">
        <v>74</v>
      </c>
      <c r="AG379" s="1" t="s">
        <v>74</v>
      </c>
      <c r="AH379" s="1" t="s">
        <v>74</v>
      </c>
      <c r="AI379" s="1" t="s">
        <v>74</v>
      </c>
      <c r="AJ379" s="1" t="s">
        <v>74</v>
      </c>
      <c r="AK379" s="1" t="s">
        <v>74</v>
      </c>
      <c r="AL379" s="1" t="s">
        <v>74</v>
      </c>
      <c r="AM379" s="1" t="s">
        <v>74</v>
      </c>
      <c r="AN379" s="1" t="s">
        <v>74</v>
      </c>
      <c r="AO379" s="1" t="s">
        <v>74</v>
      </c>
      <c r="AP379" s="1" t="s">
        <v>3961</v>
      </c>
      <c r="AQ379" s="1" t="s">
        <v>74</v>
      </c>
      <c r="AR379" s="1" t="s">
        <v>74</v>
      </c>
      <c r="AS379" s="1" t="s">
        <v>74</v>
      </c>
      <c r="AT379" s="1" t="s">
        <v>411</v>
      </c>
      <c r="AU379" s="1">
        <v>2022.0</v>
      </c>
      <c r="AV379" s="1">
        <v>14.0</v>
      </c>
      <c r="AW379" s="1">
        <v>21.0</v>
      </c>
      <c r="AX379" s="1" t="s">
        <v>74</v>
      </c>
      <c r="AY379" s="1" t="s">
        <v>74</v>
      </c>
      <c r="AZ379" s="1" t="s">
        <v>74</v>
      </c>
      <c r="BA379" s="1" t="s">
        <v>74</v>
      </c>
      <c r="BB379" s="1" t="s">
        <v>74</v>
      </c>
      <c r="BC379" s="1" t="s">
        <v>74</v>
      </c>
      <c r="BD379" s="1">
        <v>4597.0</v>
      </c>
      <c r="BE379" s="1" t="s">
        <v>3962</v>
      </c>
      <c r="BF379" s="2" t="str">
        <f>HYPERLINK("http://dx.doi.org/10.3390/polym14214597","http://dx.doi.org/10.3390/polym14214597")</f>
        <v>http://dx.doi.org/10.3390/polym14214597</v>
      </c>
      <c r="BG379" s="1" t="s">
        <v>74</v>
      </c>
      <c r="BH379" s="1" t="s">
        <v>74</v>
      </c>
      <c r="BI379" s="1" t="s">
        <v>74</v>
      </c>
      <c r="BJ379" s="1" t="s">
        <v>74</v>
      </c>
      <c r="BK379" s="1" t="s">
        <v>74</v>
      </c>
      <c r="BL379" s="1" t="s">
        <v>74</v>
      </c>
      <c r="BM379" s="1" t="s">
        <v>74</v>
      </c>
      <c r="BN379" s="1">
        <v>3.6365591E7</v>
      </c>
      <c r="BO379" s="1" t="s">
        <v>74</v>
      </c>
      <c r="BP379" s="1" t="s">
        <v>74</v>
      </c>
      <c r="BQ379" s="1" t="s">
        <v>74</v>
      </c>
      <c r="BR379" s="1" t="s">
        <v>74</v>
      </c>
      <c r="BS379" s="1" t="s">
        <v>3963</v>
      </c>
      <c r="BT379" s="1" t="str">
        <f>HYPERLINK("https%3A%2F%2Fwww.webofscience.com%2Fwos%2Fwoscc%2Ffull-record%2FWOS:000883526200001","View Full Record in Web of Science")</f>
        <v>View Full Record in Web of Science</v>
      </c>
    </row>
    <row r="380" ht="12.75" customHeight="1">
      <c r="A380" s="1" t="s">
        <v>72</v>
      </c>
      <c r="B380" s="1" t="s">
        <v>3964</v>
      </c>
      <c r="C380" s="1" t="s">
        <v>74</v>
      </c>
      <c r="D380" s="1" t="s">
        <v>74</v>
      </c>
      <c r="E380" s="1" t="s">
        <v>74</v>
      </c>
      <c r="F380" s="1" t="s">
        <v>3965</v>
      </c>
      <c r="G380" s="1" t="s">
        <v>74</v>
      </c>
      <c r="H380" s="1" t="s">
        <v>74</v>
      </c>
      <c r="I380" s="1" t="s">
        <v>3966</v>
      </c>
      <c r="J380" s="1" t="s">
        <v>3967</v>
      </c>
      <c r="K380" s="1" t="s">
        <v>74</v>
      </c>
      <c r="L380" s="1" t="s">
        <v>74</v>
      </c>
      <c r="M380" s="1" t="s">
        <v>74</v>
      </c>
      <c r="N380" s="1" t="s">
        <v>74</v>
      </c>
      <c r="O380" s="1" t="s">
        <v>74</v>
      </c>
      <c r="P380" s="1" t="s">
        <v>74</v>
      </c>
      <c r="Q380" s="1" t="s">
        <v>74</v>
      </c>
      <c r="R380" s="1" t="s">
        <v>74</v>
      </c>
      <c r="S380" s="1" t="s">
        <v>74</v>
      </c>
      <c r="T380" s="1" t="s">
        <v>74</v>
      </c>
      <c r="U380" s="1" t="s">
        <v>74</v>
      </c>
      <c r="V380" s="1" t="s">
        <v>3968</v>
      </c>
      <c r="W380" s="1" t="s">
        <v>74</v>
      </c>
      <c r="X380" s="1" t="s">
        <v>74</v>
      </c>
      <c r="Y380" s="1" t="s">
        <v>74</v>
      </c>
      <c r="Z380" s="1" t="s">
        <v>74</v>
      </c>
      <c r="AA380" s="1" t="s">
        <v>3969</v>
      </c>
      <c r="AB380" s="1" t="s">
        <v>3970</v>
      </c>
      <c r="AC380" s="1" t="s">
        <v>74</v>
      </c>
      <c r="AD380" s="1" t="s">
        <v>74</v>
      </c>
      <c r="AE380" s="1" t="s">
        <v>74</v>
      </c>
      <c r="AF380" s="1" t="s">
        <v>74</v>
      </c>
      <c r="AG380" s="1" t="s">
        <v>74</v>
      </c>
      <c r="AH380" s="1" t="s">
        <v>74</v>
      </c>
      <c r="AI380" s="1" t="s">
        <v>74</v>
      </c>
      <c r="AJ380" s="1" t="s">
        <v>74</v>
      </c>
      <c r="AK380" s="1" t="s">
        <v>74</v>
      </c>
      <c r="AL380" s="1" t="s">
        <v>74</v>
      </c>
      <c r="AM380" s="1" t="s">
        <v>74</v>
      </c>
      <c r="AN380" s="1" t="s">
        <v>74</v>
      </c>
      <c r="AO380" s="1" t="s">
        <v>74</v>
      </c>
      <c r="AP380" s="1" t="s">
        <v>3971</v>
      </c>
      <c r="AQ380" s="1" t="s">
        <v>74</v>
      </c>
      <c r="AR380" s="1" t="s">
        <v>74</v>
      </c>
      <c r="AS380" s="1" t="s">
        <v>74</v>
      </c>
      <c r="AT380" s="1" t="s">
        <v>438</v>
      </c>
      <c r="AU380" s="1">
        <v>2021.0</v>
      </c>
      <c r="AV380" s="1">
        <v>8.0</v>
      </c>
      <c r="AW380" s="1">
        <v>4.0</v>
      </c>
      <c r="AX380" s="1" t="s">
        <v>74</v>
      </c>
      <c r="AY380" s="1" t="s">
        <v>74</v>
      </c>
      <c r="AZ380" s="1" t="s">
        <v>74</v>
      </c>
      <c r="BA380" s="1" t="s">
        <v>74</v>
      </c>
      <c r="BB380" s="1" t="s">
        <v>74</v>
      </c>
      <c r="BC380" s="1" t="s">
        <v>74</v>
      </c>
      <c r="BD380" s="1">
        <v>45002.0</v>
      </c>
      <c r="BE380" s="1" t="s">
        <v>3972</v>
      </c>
      <c r="BF380" s="2" t="str">
        <f>HYPERLINK("http://dx.doi.org/10.1088/2053-1591/abf0bb","http://dx.doi.org/10.1088/2053-1591/abf0bb")</f>
        <v>http://dx.doi.org/10.1088/2053-1591/abf0bb</v>
      </c>
      <c r="BG380" s="1" t="s">
        <v>74</v>
      </c>
      <c r="BH380" s="1" t="s">
        <v>74</v>
      </c>
      <c r="BI380" s="1" t="s">
        <v>74</v>
      </c>
      <c r="BJ380" s="1" t="s">
        <v>74</v>
      </c>
      <c r="BK380" s="1" t="s">
        <v>74</v>
      </c>
      <c r="BL380" s="1" t="s">
        <v>74</v>
      </c>
      <c r="BM380" s="1" t="s">
        <v>74</v>
      </c>
      <c r="BN380" s="1" t="s">
        <v>74</v>
      </c>
      <c r="BO380" s="1" t="s">
        <v>74</v>
      </c>
      <c r="BP380" s="1" t="s">
        <v>74</v>
      </c>
      <c r="BQ380" s="1" t="s">
        <v>74</v>
      </c>
      <c r="BR380" s="1" t="s">
        <v>74</v>
      </c>
      <c r="BS380" s="1" t="s">
        <v>3973</v>
      </c>
      <c r="BT380" s="1" t="str">
        <f>HYPERLINK("https%3A%2F%2Fwww.webofscience.com%2Fwos%2Fwoscc%2Ffull-record%2FWOS:000637347000001","View Full Record in Web of Science")</f>
        <v>View Full Record in Web of Science</v>
      </c>
    </row>
    <row r="381" ht="12.75" customHeight="1">
      <c r="A381" s="1" t="s">
        <v>72</v>
      </c>
      <c r="B381" s="1" t="s">
        <v>3974</v>
      </c>
      <c r="C381" s="1" t="s">
        <v>74</v>
      </c>
      <c r="D381" s="1" t="s">
        <v>74</v>
      </c>
      <c r="E381" s="1" t="s">
        <v>74</v>
      </c>
      <c r="F381" s="1" t="s">
        <v>3975</v>
      </c>
      <c r="G381" s="1" t="s">
        <v>74</v>
      </c>
      <c r="H381" s="1" t="s">
        <v>74</v>
      </c>
      <c r="I381" s="1" t="s">
        <v>3976</v>
      </c>
      <c r="J381" s="1" t="s">
        <v>1072</v>
      </c>
      <c r="K381" s="1" t="s">
        <v>74</v>
      </c>
      <c r="L381" s="1" t="s">
        <v>74</v>
      </c>
      <c r="M381" s="1" t="s">
        <v>74</v>
      </c>
      <c r="N381" s="1" t="s">
        <v>74</v>
      </c>
      <c r="O381" s="1" t="s">
        <v>74</v>
      </c>
      <c r="P381" s="1" t="s">
        <v>74</v>
      </c>
      <c r="Q381" s="1" t="s">
        <v>74</v>
      </c>
      <c r="R381" s="1" t="s">
        <v>74</v>
      </c>
      <c r="S381" s="1" t="s">
        <v>74</v>
      </c>
      <c r="T381" s="1" t="s">
        <v>74</v>
      </c>
      <c r="U381" s="1" t="s">
        <v>74</v>
      </c>
      <c r="V381" s="1" t="s">
        <v>3977</v>
      </c>
      <c r="W381" s="1" t="s">
        <v>74</v>
      </c>
      <c r="X381" s="1" t="s">
        <v>74</v>
      </c>
      <c r="Y381" s="1" t="s">
        <v>74</v>
      </c>
      <c r="Z381" s="1" t="s">
        <v>74</v>
      </c>
      <c r="AA381" s="1" t="s">
        <v>3978</v>
      </c>
      <c r="AB381" s="1" t="s">
        <v>3979</v>
      </c>
      <c r="AC381" s="1" t="s">
        <v>74</v>
      </c>
      <c r="AD381" s="1" t="s">
        <v>74</v>
      </c>
      <c r="AE381" s="1" t="s">
        <v>74</v>
      </c>
      <c r="AF381" s="1" t="s">
        <v>74</v>
      </c>
      <c r="AG381" s="1" t="s">
        <v>74</v>
      </c>
      <c r="AH381" s="1" t="s">
        <v>74</v>
      </c>
      <c r="AI381" s="1" t="s">
        <v>74</v>
      </c>
      <c r="AJ381" s="1" t="s">
        <v>74</v>
      </c>
      <c r="AK381" s="1" t="s">
        <v>74</v>
      </c>
      <c r="AL381" s="1" t="s">
        <v>74</v>
      </c>
      <c r="AM381" s="1" t="s">
        <v>74</v>
      </c>
      <c r="AN381" s="1" t="s">
        <v>74</v>
      </c>
      <c r="AO381" s="1" t="s">
        <v>1075</v>
      </c>
      <c r="AP381" s="1" t="s">
        <v>1076</v>
      </c>
      <c r="AQ381" s="1" t="s">
        <v>74</v>
      </c>
      <c r="AR381" s="1" t="s">
        <v>74</v>
      </c>
      <c r="AS381" s="1" t="s">
        <v>74</v>
      </c>
      <c r="AT381" s="1" t="s">
        <v>74</v>
      </c>
      <c r="AU381" s="1">
        <v>2021.0</v>
      </c>
      <c r="AV381" s="1" t="s">
        <v>74</v>
      </c>
      <c r="AW381" s="1">
        <v>39.0</v>
      </c>
      <c r="AX381" s="1" t="s">
        <v>74</v>
      </c>
      <c r="AY381" s="1" t="s">
        <v>74</v>
      </c>
      <c r="AZ381" s="1" t="s">
        <v>74</v>
      </c>
      <c r="BA381" s="1" t="s">
        <v>74</v>
      </c>
      <c r="BB381" s="1">
        <v>505.0</v>
      </c>
      <c r="BC381" s="1">
        <v>508.0</v>
      </c>
      <c r="BD381" s="1" t="s">
        <v>74</v>
      </c>
      <c r="BE381" s="1" t="s">
        <v>74</v>
      </c>
      <c r="BF381" s="1" t="s">
        <v>74</v>
      </c>
      <c r="BG381" s="1" t="s">
        <v>74</v>
      </c>
      <c r="BH381" s="1" t="s">
        <v>74</v>
      </c>
      <c r="BI381" s="1" t="s">
        <v>74</v>
      </c>
      <c r="BJ381" s="1" t="s">
        <v>74</v>
      </c>
      <c r="BK381" s="1" t="s">
        <v>74</v>
      </c>
      <c r="BL381" s="1" t="s">
        <v>74</v>
      </c>
      <c r="BM381" s="1" t="s">
        <v>74</v>
      </c>
      <c r="BN381" s="1" t="s">
        <v>74</v>
      </c>
      <c r="BO381" s="1" t="s">
        <v>74</v>
      </c>
      <c r="BP381" s="1" t="s">
        <v>74</v>
      </c>
      <c r="BQ381" s="1" t="s">
        <v>74</v>
      </c>
      <c r="BR381" s="1" t="s">
        <v>74</v>
      </c>
      <c r="BS381" s="1" t="s">
        <v>3980</v>
      </c>
      <c r="BT381" s="1" t="str">
        <f>HYPERLINK("https%3A%2F%2Fwww.webofscience.com%2Fwos%2Fwoscc%2Ffull-record%2FWOS:000577432400001","View Full Record in Web of Science")</f>
        <v>View Full Record in Web of Science</v>
      </c>
    </row>
    <row r="382" ht="12.75" customHeight="1">
      <c r="A382" s="1" t="s">
        <v>72</v>
      </c>
      <c r="B382" s="1" t="s">
        <v>3981</v>
      </c>
      <c r="C382" s="1" t="s">
        <v>74</v>
      </c>
      <c r="D382" s="1" t="s">
        <v>74</v>
      </c>
      <c r="E382" s="1" t="s">
        <v>74</v>
      </c>
      <c r="F382" s="1" t="s">
        <v>3982</v>
      </c>
      <c r="G382" s="1" t="s">
        <v>74</v>
      </c>
      <c r="H382" s="1" t="s">
        <v>74</v>
      </c>
      <c r="I382" s="1" t="s">
        <v>3983</v>
      </c>
      <c r="J382" s="1" t="s">
        <v>3984</v>
      </c>
      <c r="K382" s="1" t="s">
        <v>74</v>
      </c>
      <c r="L382" s="1" t="s">
        <v>74</v>
      </c>
      <c r="M382" s="1" t="s">
        <v>74</v>
      </c>
      <c r="N382" s="1" t="s">
        <v>74</v>
      </c>
      <c r="O382" s="1" t="s">
        <v>74</v>
      </c>
      <c r="P382" s="1" t="s">
        <v>74</v>
      </c>
      <c r="Q382" s="1" t="s">
        <v>74</v>
      </c>
      <c r="R382" s="1" t="s">
        <v>74</v>
      </c>
      <c r="S382" s="1" t="s">
        <v>74</v>
      </c>
      <c r="T382" s="1" t="s">
        <v>74</v>
      </c>
      <c r="U382" s="1" t="s">
        <v>74</v>
      </c>
      <c r="V382" s="1" t="s">
        <v>3985</v>
      </c>
      <c r="W382" s="1" t="s">
        <v>74</v>
      </c>
      <c r="X382" s="1" t="s">
        <v>74</v>
      </c>
      <c r="Y382" s="1" t="s">
        <v>74</v>
      </c>
      <c r="Z382" s="1" t="s">
        <v>74</v>
      </c>
      <c r="AA382" s="1" t="s">
        <v>2004</v>
      </c>
      <c r="AB382" s="1" t="s">
        <v>3986</v>
      </c>
      <c r="AC382" s="1" t="s">
        <v>74</v>
      </c>
      <c r="AD382" s="1" t="s">
        <v>74</v>
      </c>
      <c r="AE382" s="1" t="s">
        <v>74</v>
      </c>
      <c r="AF382" s="1" t="s">
        <v>74</v>
      </c>
      <c r="AG382" s="1" t="s">
        <v>74</v>
      </c>
      <c r="AH382" s="1" t="s">
        <v>74</v>
      </c>
      <c r="AI382" s="1" t="s">
        <v>74</v>
      </c>
      <c r="AJ382" s="1" t="s">
        <v>74</v>
      </c>
      <c r="AK382" s="1" t="s">
        <v>74</v>
      </c>
      <c r="AL382" s="1" t="s">
        <v>74</v>
      </c>
      <c r="AM382" s="1" t="s">
        <v>74</v>
      </c>
      <c r="AN382" s="1" t="s">
        <v>74</v>
      </c>
      <c r="AO382" s="1" t="s">
        <v>3987</v>
      </c>
      <c r="AP382" s="1" t="s">
        <v>3988</v>
      </c>
      <c r="AQ382" s="1" t="s">
        <v>74</v>
      </c>
      <c r="AR382" s="1" t="s">
        <v>74</v>
      </c>
      <c r="AS382" s="1" t="s">
        <v>74</v>
      </c>
      <c r="AT382" s="1" t="s">
        <v>3989</v>
      </c>
      <c r="AU382" s="1">
        <v>2020.0</v>
      </c>
      <c r="AV382" s="1">
        <v>797.0</v>
      </c>
      <c r="AW382" s="1" t="s">
        <v>74</v>
      </c>
      <c r="AX382" s="1" t="s">
        <v>74</v>
      </c>
      <c r="AY382" s="1" t="s">
        <v>74</v>
      </c>
      <c r="AZ382" s="1" t="s">
        <v>74</v>
      </c>
      <c r="BA382" s="1" t="s">
        <v>74</v>
      </c>
      <c r="BB382" s="1" t="s">
        <v>74</v>
      </c>
      <c r="BC382" s="1" t="s">
        <v>74</v>
      </c>
      <c r="BD382" s="1">
        <v>140061.0</v>
      </c>
      <c r="BE382" s="1" t="s">
        <v>3990</v>
      </c>
      <c r="BF382" s="2" t="str">
        <f>HYPERLINK("http://dx.doi.org/10.1016/j.msea.2020.140061","http://dx.doi.org/10.1016/j.msea.2020.140061")</f>
        <v>http://dx.doi.org/10.1016/j.msea.2020.140061</v>
      </c>
      <c r="BG382" s="1" t="s">
        <v>74</v>
      </c>
      <c r="BH382" s="1" t="s">
        <v>74</v>
      </c>
      <c r="BI382" s="1" t="s">
        <v>74</v>
      </c>
      <c r="BJ382" s="1" t="s">
        <v>74</v>
      </c>
      <c r="BK382" s="1" t="s">
        <v>74</v>
      </c>
      <c r="BL382" s="1" t="s">
        <v>74</v>
      </c>
      <c r="BM382" s="1" t="s">
        <v>74</v>
      </c>
      <c r="BN382" s="1" t="s">
        <v>74</v>
      </c>
      <c r="BO382" s="1" t="s">
        <v>74</v>
      </c>
      <c r="BP382" s="1" t="s">
        <v>74</v>
      </c>
      <c r="BQ382" s="1" t="s">
        <v>74</v>
      </c>
      <c r="BR382" s="1" t="s">
        <v>74</v>
      </c>
      <c r="BS382" s="1" t="s">
        <v>3991</v>
      </c>
      <c r="BT382" s="1" t="str">
        <f>HYPERLINK("https%3A%2F%2Fwww.webofscience.com%2Fwos%2Fwoscc%2Ffull-record%2FWOS:000579487100018","View Full Record in Web of Science")</f>
        <v>View Full Record in Web of Science</v>
      </c>
    </row>
    <row r="383" ht="12.75" customHeight="1">
      <c r="A383" s="1" t="s">
        <v>72</v>
      </c>
      <c r="B383" s="1" t="s">
        <v>3992</v>
      </c>
      <c r="C383" s="1" t="s">
        <v>74</v>
      </c>
      <c r="D383" s="1" t="s">
        <v>74</v>
      </c>
      <c r="E383" s="1" t="s">
        <v>74</v>
      </c>
      <c r="F383" s="1" t="s">
        <v>3993</v>
      </c>
      <c r="G383" s="1" t="s">
        <v>74</v>
      </c>
      <c r="H383" s="1" t="s">
        <v>74</v>
      </c>
      <c r="I383" s="1" t="s">
        <v>3994</v>
      </c>
      <c r="J383" s="1" t="s">
        <v>3995</v>
      </c>
      <c r="K383" s="1" t="s">
        <v>74</v>
      </c>
      <c r="L383" s="1" t="s">
        <v>74</v>
      </c>
      <c r="M383" s="1" t="s">
        <v>74</v>
      </c>
      <c r="N383" s="1" t="s">
        <v>74</v>
      </c>
      <c r="O383" s="1" t="s">
        <v>74</v>
      </c>
      <c r="P383" s="1" t="s">
        <v>74</v>
      </c>
      <c r="Q383" s="1" t="s">
        <v>74</v>
      </c>
      <c r="R383" s="1" t="s">
        <v>74</v>
      </c>
      <c r="S383" s="1" t="s">
        <v>74</v>
      </c>
      <c r="T383" s="1" t="s">
        <v>74</v>
      </c>
      <c r="U383" s="1" t="s">
        <v>74</v>
      </c>
      <c r="V383" s="1" t="s">
        <v>3996</v>
      </c>
      <c r="W383" s="1" t="s">
        <v>74</v>
      </c>
      <c r="X383" s="1" t="s">
        <v>74</v>
      </c>
      <c r="Y383" s="1" t="s">
        <v>74</v>
      </c>
      <c r="Z383" s="1" t="s">
        <v>74</v>
      </c>
      <c r="AA383" s="1" t="s">
        <v>3997</v>
      </c>
      <c r="AB383" s="1" t="s">
        <v>3998</v>
      </c>
      <c r="AC383" s="1" t="s">
        <v>74</v>
      </c>
      <c r="AD383" s="1" t="s">
        <v>74</v>
      </c>
      <c r="AE383" s="1" t="s">
        <v>74</v>
      </c>
      <c r="AF383" s="1" t="s">
        <v>74</v>
      </c>
      <c r="AG383" s="1" t="s">
        <v>74</v>
      </c>
      <c r="AH383" s="1" t="s">
        <v>74</v>
      </c>
      <c r="AI383" s="1" t="s">
        <v>74</v>
      </c>
      <c r="AJ383" s="1" t="s">
        <v>74</v>
      </c>
      <c r="AK383" s="1" t="s">
        <v>74</v>
      </c>
      <c r="AL383" s="1" t="s">
        <v>74</v>
      </c>
      <c r="AM383" s="1" t="s">
        <v>74</v>
      </c>
      <c r="AN383" s="1" t="s">
        <v>74</v>
      </c>
      <c r="AO383" s="1" t="s">
        <v>3999</v>
      </c>
      <c r="AP383" s="1" t="s">
        <v>74</v>
      </c>
      <c r="AQ383" s="1" t="s">
        <v>74</v>
      </c>
      <c r="AR383" s="1" t="s">
        <v>74</v>
      </c>
      <c r="AS383" s="1" t="s">
        <v>74</v>
      </c>
      <c r="AT383" s="1" t="s">
        <v>588</v>
      </c>
      <c r="AU383" s="1">
        <v>2019.0</v>
      </c>
      <c r="AV383" s="1">
        <v>6.0</v>
      </c>
      <c r="AW383" s="1">
        <v>7.0</v>
      </c>
      <c r="AX383" s="1" t="s">
        <v>74</v>
      </c>
      <c r="AY383" s="1" t="s">
        <v>74</v>
      </c>
      <c r="AZ383" s="1" t="s">
        <v>74</v>
      </c>
      <c r="BA383" s="1" t="s">
        <v>74</v>
      </c>
      <c r="BB383" s="1">
        <v>1701.0</v>
      </c>
      <c r="BC383" s="1">
        <v>1706.0</v>
      </c>
      <c r="BD383" s="1" t="s">
        <v>74</v>
      </c>
      <c r="BE383" s="1" t="s">
        <v>4000</v>
      </c>
      <c r="BF383" s="2" t="str">
        <f>HYPERLINK("http://dx.doi.org/10.1039/c8qi01398e","http://dx.doi.org/10.1039/c8qi01398e")</f>
        <v>http://dx.doi.org/10.1039/c8qi01398e</v>
      </c>
      <c r="BG383" s="1" t="s">
        <v>74</v>
      </c>
      <c r="BH383" s="1" t="s">
        <v>74</v>
      </c>
      <c r="BI383" s="1" t="s">
        <v>74</v>
      </c>
      <c r="BJ383" s="1" t="s">
        <v>74</v>
      </c>
      <c r="BK383" s="1" t="s">
        <v>74</v>
      </c>
      <c r="BL383" s="1" t="s">
        <v>74</v>
      </c>
      <c r="BM383" s="1" t="s">
        <v>74</v>
      </c>
      <c r="BN383" s="1" t="s">
        <v>74</v>
      </c>
      <c r="BO383" s="1" t="s">
        <v>74</v>
      </c>
      <c r="BP383" s="1" t="s">
        <v>74</v>
      </c>
      <c r="BQ383" s="1" t="s">
        <v>74</v>
      </c>
      <c r="BR383" s="1" t="s">
        <v>74</v>
      </c>
      <c r="BS383" s="1" t="s">
        <v>4001</v>
      </c>
      <c r="BT383" s="1" t="str">
        <f>HYPERLINK("https%3A%2F%2Fwww.webofscience.com%2Fwos%2Fwoscc%2Ffull-record%2FWOS:000475394700008","View Full Record in Web of Science")</f>
        <v>View Full Record in Web of Science</v>
      </c>
    </row>
    <row r="384" ht="12.75" customHeight="1">
      <c r="A384" s="1" t="s">
        <v>72</v>
      </c>
      <c r="B384" s="1" t="s">
        <v>4002</v>
      </c>
      <c r="C384" s="1" t="s">
        <v>74</v>
      </c>
      <c r="D384" s="1" t="s">
        <v>74</v>
      </c>
      <c r="E384" s="1" t="s">
        <v>74</v>
      </c>
      <c r="F384" s="1" t="s">
        <v>4003</v>
      </c>
      <c r="G384" s="1" t="s">
        <v>74</v>
      </c>
      <c r="H384" s="1" t="s">
        <v>74</v>
      </c>
      <c r="I384" s="1" t="s">
        <v>4004</v>
      </c>
      <c r="J384" s="1" t="s">
        <v>4005</v>
      </c>
      <c r="K384" s="1" t="s">
        <v>74</v>
      </c>
      <c r="L384" s="1" t="s">
        <v>74</v>
      </c>
      <c r="M384" s="1" t="s">
        <v>74</v>
      </c>
      <c r="N384" s="1" t="s">
        <v>74</v>
      </c>
      <c r="O384" s="1" t="s">
        <v>74</v>
      </c>
      <c r="P384" s="1" t="s">
        <v>74</v>
      </c>
      <c r="Q384" s="1" t="s">
        <v>74</v>
      </c>
      <c r="R384" s="1" t="s">
        <v>74</v>
      </c>
      <c r="S384" s="1" t="s">
        <v>74</v>
      </c>
      <c r="T384" s="1" t="s">
        <v>74</v>
      </c>
      <c r="U384" s="1" t="s">
        <v>74</v>
      </c>
      <c r="V384" s="1" t="s">
        <v>4006</v>
      </c>
      <c r="W384" s="1" t="s">
        <v>74</v>
      </c>
      <c r="X384" s="1" t="s">
        <v>74</v>
      </c>
      <c r="Y384" s="1" t="s">
        <v>74</v>
      </c>
      <c r="Z384" s="1" t="s">
        <v>74</v>
      </c>
      <c r="AA384" s="1" t="s">
        <v>4007</v>
      </c>
      <c r="AB384" s="1" t="s">
        <v>4008</v>
      </c>
      <c r="AC384" s="1" t="s">
        <v>74</v>
      </c>
      <c r="AD384" s="1" t="s">
        <v>74</v>
      </c>
      <c r="AE384" s="1" t="s">
        <v>74</v>
      </c>
      <c r="AF384" s="1" t="s">
        <v>74</v>
      </c>
      <c r="AG384" s="1" t="s">
        <v>74</v>
      </c>
      <c r="AH384" s="1" t="s">
        <v>74</v>
      </c>
      <c r="AI384" s="1" t="s">
        <v>74</v>
      </c>
      <c r="AJ384" s="1" t="s">
        <v>74</v>
      </c>
      <c r="AK384" s="1" t="s">
        <v>74</v>
      </c>
      <c r="AL384" s="1" t="s">
        <v>74</v>
      </c>
      <c r="AM384" s="1" t="s">
        <v>74</v>
      </c>
      <c r="AN384" s="1" t="s">
        <v>74</v>
      </c>
      <c r="AO384" s="1" t="s">
        <v>4009</v>
      </c>
      <c r="AP384" s="1" t="s">
        <v>74</v>
      </c>
      <c r="AQ384" s="1" t="s">
        <v>74</v>
      </c>
      <c r="AR384" s="1" t="s">
        <v>74</v>
      </c>
      <c r="AS384" s="1" t="s">
        <v>74</v>
      </c>
      <c r="AT384" s="1" t="s">
        <v>2283</v>
      </c>
      <c r="AU384" s="1">
        <v>2018.0</v>
      </c>
      <c r="AV384" s="1">
        <v>197.0</v>
      </c>
      <c r="AW384" s="1" t="s">
        <v>74</v>
      </c>
      <c r="AX384" s="1" t="s">
        <v>74</v>
      </c>
      <c r="AY384" s="1" t="s">
        <v>74</v>
      </c>
      <c r="AZ384" s="1" t="s">
        <v>74</v>
      </c>
      <c r="BA384" s="1" t="s">
        <v>74</v>
      </c>
      <c r="BB384" s="1">
        <v>22.0</v>
      </c>
      <c r="BC384" s="1">
        <v>28.0</v>
      </c>
      <c r="BD384" s="1" t="s">
        <v>74</v>
      </c>
      <c r="BE384" s="1" t="s">
        <v>4010</v>
      </c>
      <c r="BF384" s="2" t="str">
        <f>HYPERLINK("http://dx.doi.org/10.1016/j.physbeh.2018.09.010","http://dx.doi.org/10.1016/j.physbeh.2018.09.010")</f>
        <v>http://dx.doi.org/10.1016/j.physbeh.2018.09.010</v>
      </c>
      <c r="BG384" s="1" t="s">
        <v>74</v>
      </c>
      <c r="BH384" s="1" t="s">
        <v>74</v>
      </c>
      <c r="BI384" s="1" t="s">
        <v>74</v>
      </c>
      <c r="BJ384" s="1" t="s">
        <v>74</v>
      </c>
      <c r="BK384" s="1" t="s">
        <v>74</v>
      </c>
      <c r="BL384" s="1" t="s">
        <v>74</v>
      </c>
      <c r="BM384" s="1" t="s">
        <v>74</v>
      </c>
      <c r="BN384" s="1">
        <v>3.0248301E7</v>
      </c>
      <c r="BO384" s="1" t="s">
        <v>74</v>
      </c>
      <c r="BP384" s="1" t="s">
        <v>74</v>
      </c>
      <c r="BQ384" s="1" t="s">
        <v>74</v>
      </c>
      <c r="BR384" s="1" t="s">
        <v>74</v>
      </c>
      <c r="BS384" s="1" t="s">
        <v>4011</v>
      </c>
      <c r="BT384" s="1" t="str">
        <f>HYPERLINK("https%3A%2F%2Fwww.webofscience.com%2Fwos%2Fwoscc%2Ffull-record%2FWOS:000449132300004","View Full Record in Web of Science")</f>
        <v>View Full Record in Web of Science</v>
      </c>
    </row>
    <row r="385" ht="12.75" customHeight="1">
      <c r="A385" s="1" t="s">
        <v>72</v>
      </c>
      <c r="B385" s="1" t="s">
        <v>4012</v>
      </c>
      <c r="C385" s="1" t="s">
        <v>74</v>
      </c>
      <c r="D385" s="1" t="s">
        <v>74</v>
      </c>
      <c r="E385" s="1" t="s">
        <v>74</v>
      </c>
      <c r="F385" s="1" t="s">
        <v>4013</v>
      </c>
      <c r="G385" s="1" t="s">
        <v>74</v>
      </c>
      <c r="H385" s="1" t="s">
        <v>4014</v>
      </c>
      <c r="I385" s="1" t="s">
        <v>4015</v>
      </c>
      <c r="J385" s="1" t="s">
        <v>4016</v>
      </c>
      <c r="K385" s="1" t="s">
        <v>74</v>
      </c>
      <c r="L385" s="1" t="s">
        <v>74</v>
      </c>
      <c r="M385" s="1" t="s">
        <v>74</v>
      </c>
      <c r="N385" s="1" t="s">
        <v>74</v>
      </c>
      <c r="O385" s="1" t="s">
        <v>74</v>
      </c>
      <c r="P385" s="1" t="s">
        <v>74</v>
      </c>
      <c r="Q385" s="1" t="s">
        <v>74</v>
      </c>
      <c r="R385" s="1" t="s">
        <v>74</v>
      </c>
      <c r="S385" s="1" t="s">
        <v>74</v>
      </c>
      <c r="T385" s="1" t="s">
        <v>74</v>
      </c>
      <c r="U385" s="1" t="s">
        <v>74</v>
      </c>
      <c r="V385" s="1" t="s">
        <v>4017</v>
      </c>
      <c r="W385" s="1" t="s">
        <v>74</v>
      </c>
      <c r="X385" s="1" t="s">
        <v>74</v>
      </c>
      <c r="Y385" s="1" t="s">
        <v>74</v>
      </c>
      <c r="Z385" s="1" t="s">
        <v>74</v>
      </c>
      <c r="AA385" s="1" t="s">
        <v>4018</v>
      </c>
      <c r="AB385" s="1" t="s">
        <v>4019</v>
      </c>
      <c r="AC385" s="1" t="s">
        <v>74</v>
      </c>
      <c r="AD385" s="1" t="s">
        <v>74</v>
      </c>
      <c r="AE385" s="1" t="s">
        <v>74</v>
      </c>
      <c r="AF385" s="1" t="s">
        <v>74</v>
      </c>
      <c r="AG385" s="1" t="s">
        <v>74</v>
      </c>
      <c r="AH385" s="1" t="s">
        <v>74</v>
      </c>
      <c r="AI385" s="1" t="s">
        <v>74</v>
      </c>
      <c r="AJ385" s="1" t="s">
        <v>74</v>
      </c>
      <c r="AK385" s="1" t="s">
        <v>74</v>
      </c>
      <c r="AL385" s="1" t="s">
        <v>74</v>
      </c>
      <c r="AM385" s="1" t="s">
        <v>74</v>
      </c>
      <c r="AN385" s="1" t="s">
        <v>74</v>
      </c>
      <c r="AO385" s="1" t="s">
        <v>4020</v>
      </c>
      <c r="AP385" s="1" t="s">
        <v>4021</v>
      </c>
      <c r="AQ385" s="1" t="s">
        <v>74</v>
      </c>
      <c r="AR385" s="1" t="s">
        <v>74</v>
      </c>
      <c r="AS385" s="1" t="s">
        <v>74</v>
      </c>
      <c r="AT385" s="1" t="s">
        <v>4022</v>
      </c>
      <c r="AU385" s="1">
        <v>2018.0</v>
      </c>
      <c r="AV385" s="1">
        <v>55.0</v>
      </c>
      <c r="AW385" s="1">
        <v>11.0</v>
      </c>
      <c r="AX385" s="1" t="s">
        <v>74</v>
      </c>
      <c r="AY385" s="1" t="s">
        <v>74</v>
      </c>
      <c r="AZ385" s="1" t="s">
        <v>74</v>
      </c>
      <c r="BA385" s="1" t="s">
        <v>74</v>
      </c>
      <c r="BB385" s="1">
        <v>1214.0</v>
      </c>
      <c r="BC385" s="1">
        <v>1222.0</v>
      </c>
      <c r="BD385" s="1" t="s">
        <v>74</v>
      </c>
      <c r="BE385" s="1" t="s">
        <v>4023</v>
      </c>
      <c r="BF385" s="2" t="str">
        <f>HYPERLINK("http://dx.doi.org/10.1080/02770903.2017.1403625","http://dx.doi.org/10.1080/02770903.2017.1403625")</f>
        <v>http://dx.doi.org/10.1080/02770903.2017.1403625</v>
      </c>
      <c r="BG385" s="1" t="s">
        <v>74</v>
      </c>
      <c r="BH385" s="1" t="s">
        <v>74</v>
      </c>
      <c r="BI385" s="1" t="s">
        <v>74</v>
      </c>
      <c r="BJ385" s="1" t="s">
        <v>74</v>
      </c>
      <c r="BK385" s="1" t="s">
        <v>74</v>
      </c>
      <c r="BL385" s="1" t="s">
        <v>74</v>
      </c>
      <c r="BM385" s="1" t="s">
        <v>74</v>
      </c>
      <c r="BN385" s="1">
        <v>2.9231772E7</v>
      </c>
      <c r="BO385" s="1" t="s">
        <v>74</v>
      </c>
      <c r="BP385" s="1" t="s">
        <v>74</v>
      </c>
      <c r="BQ385" s="1" t="s">
        <v>74</v>
      </c>
      <c r="BR385" s="1" t="s">
        <v>74</v>
      </c>
      <c r="BS385" s="1" t="s">
        <v>4024</v>
      </c>
      <c r="BT385" s="1" t="str">
        <f>HYPERLINK("https%3A%2F%2Fwww.webofscience.com%2Fwos%2Fwoscc%2Ffull-record%2FWOS:000458675000007","View Full Record in Web of Science")</f>
        <v>View Full Record in Web of Science</v>
      </c>
    </row>
    <row r="386" ht="12.75" customHeight="1">
      <c r="A386" s="1" t="s">
        <v>72</v>
      </c>
      <c r="B386" s="1" t="s">
        <v>4025</v>
      </c>
      <c r="C386" s="1" t="s">
        <v>74</v>
      </c>
      <c r="D386" s="1" t="s">
        <v>74</v>
      </c>
      <c r="E386" s="1" t="s">
        <v>74</v>
      </c>
      <c r="F386" s="1" t="s">
        <v>4026</v>
      </c>
      <c r="G386" s="1" t="s">
        <v>74</v>
      </c>
      <c r="H386" s="1" t="s">
        <v>74</v>
      </c>
      <c r="I386" s="1" t="s">
        <v>4027</v>
      </c>
      <c r="J386" s="1" t="s">
        <v>4028</v>
      </c>
      <c r="K386" s="1" t="s">
        <v>74</v>
      </c>
      <c r="L386" s="1" t="s">
        <v>74</v>
      </c>
      <c r="M386" s="1" t="s">
        <v>74</v>
      </c>
      <c r="N386" s="1" t="s">
        <v>74</v>
      </c>
      <c r="O386" s="1" t="s">
        <v>4029</v>
      </c>
      <c r="P386" s="1" t="s">
        <v>4030</v>
      </c>
      <c r="Q386" s="1" t="s">
        <v>4031</v>
      </c>
      <c r="R386" s="1" t="s">
        <v>74</v>
      </c>
      <c r="S386" s="1" t="s">
        <v>4032</v>
      </c>
      <c r="T386" s="1" t="s">
        <v>74</v>
      </c>
      <c r="U386" s="1" t="s">
        <v>74</v>
      </c>
      <c r="V386" s="1" t="s">
        <v>4033</v>
      </c>
      <c r="W386" s="1" t="s">
        <v>74</v>
      </c>
      <c r="X386" s="1" t="s">
        <v>74</v>
      </c>
      <c r="Y386" s="1" t="s">
        <v>74</v>
      </c>
      <c r="Z386" s="1" t="s">
        <v>74</v>
      </c>
      <c r="AA386" s="1" t="s">
        <v>4034</v>
      </c>
      <c r="AB386" s="1" t="s">
        <v>4035</v>
      </c>
      <c r="AC386" s="1" t="s">
        <v>74</v>
      </c>
      <c r="AD386" s="1" t="s">
        <v>74</v>
      </c>
      <c r="AE386" s="1" t="s">
        <v>74</v>
      </c>
      <c r="AF386" s="1" t="s">
        <v>74</v>
      </c>
      <c r="AG386" s="1" t="s">
        <v>74</v>
      </c>
      <c r="AH386" s="1" t="s">
        <v>74</v>
      </c>
      <c r="AI386" s="1" t="s">
        <v>74</v>
      </c>
      <c r="AJ386" s="1" t="s">
        <v>74</v>
      </c>
      <c r="AK386" s="1" t="s">
        <v>74</v>
      </c>
      <c r="AL386" s="1" t="s">
        <v>74</v>
      </c>
      <c r="AM386" s="1" t="s">
        <v>74</v>
      </c>
      <c r="AN386" s="1" t="s">
        <v>74</v>
      </c>
      <c r="AO386" s="1" t="s">
        <v>4036</v>
      </c>
      <c r="AP386" s="1" t="s">
        <v>74</v>
      </c>
      <c r="AQ386" s="1" t="s">
        <v>74</v>
      </c>
      <c r="AR386" s="1" t="s">
        <v>74</v>
      </c>
      <c r="AS386" s="1" t="s">
        <v>74</v>
      </c>
      <c r="AT386" s="1" t="s">
        <v>411</v>
      </c>
      <c r="AU386" s="1">
        <v>2018.0</v>
      </c>
      <c r="AV386" s="1">
        <v>87.0</v>
      </c>
      <c r="AW386" s="1" t="s">
        <v>74</v>
      </c>
      <c r="AX386" s="1" t="s">
        <v>74</v>
      </c>
      <c r="AY386" s="1" t="s">
        <v>74</v>
      </c>
      <c r="AZ386" s="1" t="s">
        <v>399</v>
      </c>
      <c r="BA386" s="1" t="s">
        <v>74</v>
      </c>
      <c r="BB386" s="1">
        <v>157.0</v>
      </c>
      <c r="BC386" s="1">
        <v>173.0</v>
      </c>
      <c r="BD386" s="1" t="s">
        <v>74</v>
      </c>
      <c r="BE386" s="1" t="s">
        <v>4037</v>
      </c>
      <c r="BF386" s="2" t="str">
        <f>HYPERLINK("http://dx.doi.org/10.1016/j.jsames.2017.10.018","http://dx.doi.org/10.1016/j.jsames.2017.10.018")</f>
        <v>http://dx.doi.org/10.1016/j.jsames.2017.10.018</v>
      </c>
      <c r="BG386" s="1" t="s">
        <v>74</v>
      </c>
      <c r="BH386" s="1" t="s">
        <v>74</v>
      </c>
      <c r="BI386" s="1" t="s">
        <v>74</v>
      </c>
      <c r="BJ386" s="1" t="s">
        <v>74</v>
      </c>
      <c r="BK386" s="1" t="s">
        <v>74</v>
      </c>
      <c r="BL386" s="1" t="s">
        <v>74</v>
      </c>
      <c r="BM386" s="1" t="s">
        <v>74</v>
      </c>
      <c r="BN386" s="1" t="s">
        <v>74</v>
      </c>
      <c r="BO386" s="1" t="s">
        <v>74</v>
      </c>
      <c r="BP386" s="1" t="s">
        <v>74</v>
      </c>
      <c r="BQ386" s="1" t="s">
        <v>74</v>
      </c>
      <c r="BR386" s="1" t="s">
        <v>74</v>
      </c>
      <c r="BS386" s="1" t="s">
        <v>4038</v>
      </c>
      <c r="BT386" s="1" t="str">
        <f>HYPERLINK("https%3A%2F%2Fwww.webofscience.com%2Fwos%2Fwoscc%2Ffull-record%2FWOS:000449246000011","View Full Record in Web of Science")</f>
        <v>View Full Record in Web of Science</v>
      </c>
    </row>
    <row r="387" ht="12.75" customHeight="1">
      <c r="A387" s="1" t="s">
        <v>72</v>
      </c>
      <c r="B387" s="1" t="s">
        <v>4039</v>
      </c>
      <c r="C387" s="1" t="s">
        <v>74</v>
      </c>
      <c r="D387" s="1" t="s">
        <v>74</v>
      </c>
      <c r="E387" s="1" t="s">
        <v>74</v>
      </c>
      <c r="F387" s="1" t="s">
        <v>4040</v>
      </c>
      <c r="G387" s="1" t="s">
        <v>74</v>
      </c>
      <c r="H387" s="1" t="s">
        <v>74</v>
      </c>
      <c r="I387" s="1" t="s">
        <v>4041</v>
      </c>
      <c r="J387" s="1" t="s">
        <v>332</v>
      </c>
      <c r="K387" s="1" t="s">
        <v>74</v>
      </c>
      <c r="L387" s="1" t="s">
        <v>74</v>
      </c>
      <c r="M387" s="1" t="s">
        <v>74</v>
      </c>
      <c r="N387" s="1" t="s">
        <v>74</v>
      </c>
      <c r="O387" s="1" t="s">
        <v>74</v>
      </c>
      <c r="P387" s="1" t="s">
        <v>74</v>
      </c>
      <c r="Q387" s="1" t="s">
        <v>74</v>
      </c>
      <c r="R387" s="1" t="s">
        <v>74</v>
      </c>
      <c r="S387" s="1" t="s">
        <v>74</v>
      </c>
      <c r="T387" s="1" t="s">
        <v>74</v>
      </c>
      <c r="U387" s="1" t="s">
        <v>74</v>
      </c>
      <c r="V387" s="1" t="s">
        <v>4042</v>
      </c>
      <c r="W387" s="1" t="s">
        <v>74</v>
      </c>
      <c r="X387" s="1" t="s">
        <v>74</v>
      </c>
      <c r="Y387" s="1" t="s">
        <v>74</v>
      </c>
      <c r="Z387" s="1" t="s">
        <v>74</v>
      </c>
      <c r="AA387" s="1" t="s">
        <v>4043</v>
      </c>
      <c r="AB387" s="1" t="s">
        <v>4044</v>
      </c>
      <c r="AC387" s="1" t="s">
        <v>74</v>
      </c>
      <c r="AD387" s="1" t="s">
        <v>74</v>
      </c>
      <c r="AE387" s="1" t="s">
        <v>74</v>
      </c>
      <c r="AF387" s="1" t="s">
        <v>74</v>
      </c>
      <c r="AG387" s="1" t="s">
        <v>74</v>
      </c>
      <c r="AH387" s="1" t="s">
        <v>74</v>
      </c>
      <c r="AI387" s="1" t="s">
        <v>74</v>
      </c>
      <c r="AJ387" s="1" t="s">
        <v>74</v>
      </c>
      <c r="AK387" s="1" t="s">
        <v>74</v>
      </c>
      <c r="AL387" s="1" t="s">
        <v>74</v>
      </c>
      <c r="AM387" s="1" t="s">
        <v>74</v>
      </c>
      <c r="AN387" s="1" t="s">
        <v>74</v>
      </c>
      <c r="AO387" s="1" t="s">
        <v>336</v>
      </c>
      <c r="AP387" s="1" t="s">
        <v>337</v>
      </c>
      <c r="AQ387" s="1" t="s">
        <v>74</v>
      </c>
      <c r="AR387" s="1" t="s">
        <v>74</v>
      </c>
      <c r="AS387" s="1" t="s">
        <v>74</v>
      </c>
      <c r="AT387" s="1" t="s">
        <v>4045</v>
      </c>
      <c r="AU387" s="1">
        <v>2018.0</v>
      </c>
      <c r="AV387" s="1">
        <v>276.0</v>
      </c>
      <c r="AW387" s="1" t="s">
        <v>74</v>
      </c>
      <c r="AX387" s="1" t="s">
        <v>74</v>
      </c>
      <c r="AY387" s="1" t="s">
        <v>74</v>
      </c>
      <c r="AZ387" s="1" t="s">
        <v>74</v>
      </c>
      <c r="BA387" s="1" t="s">
        <v>74</v>
      </c>
      <c r="BB387" s="1">
        <v>64.0</v>
      </c>
      <c r="BC387" s="1">
        <v>72.0</v>
      </c>
      <c r="BD387" s="1" t="s">
        <v>74</v>
      </c>
      <c r="BE387" s="1" t="s">
        <v>4046</v>
      </c>
      <c r="BF387" s="2" t="str">
        <f>HYPERLINK("http://dx.doi.org/10.1016/j.electacta.2018.04.147","http://dx.doi.org/10.1016/j.electacta.2018.04.147")</f>
        <v>http://dx.doi.org/10.1016/j.electacta.2018.04.147</v>
      </c>
      <c r="BG387" s="1" t="s">
        <v>74</v>
      </c>
      <c r="BH387" s="1" t="s">
        <v>74</v>
      </c>
      <c r="BI387" s="1" t="s">
        <v>74</v>
      </c>
      <c r="BJ387" s="1" t="s">
        <v>74</v>
      </c>
      <c r="BK387" s="1" t="s">
        <v>74</v>
      </c>
      <c r="BL387" s="1" t="s">
        <v>74</v>
      </c>
      <c r="BM387" s="1" t="s">
        <v>74</v>
      </c>
      <c r="BN387" s="1" t="s">
        <v>74</v>
      </c>
      <c r="BO387" s="1" t="s">
        <v>74</v>
      </c>
      <c r="BP387" s="1" t="s">
        <v>74</v>
      </c>
      <c r="BQ387" s="1" t="s">
        <v>74</v>
      </c>
      <c r="BR387" s="1" t="s">
        <v>74</v>
      </c>
      <c r="BS387" s="1" t="s">
        <v>4047</v>
      </c>
      <c r="BT387" s="1" t="str">
        <f>HYPERLINK("https%3A%2F%2Fwww.webofscience.com%2Fwos%2Fwoscc%2Ffull-record%2FWOS:000433042500007","View Full Record in Web of Science")</f>
        <v>View Full Record in Web of Science</v>
      </c>
    </row>
    <row r="388" ht="12.75" customHeight="1">
      <c r="A388" s="1" t="s">
        <v>72</v>
      </c>
      <c r="B388" s="1" t="s">
        <v>4048</v>
      </c>
      <c r="C388" s="1" t="s">
        <v>74</v>
      </c>
      <c r="D388" s="1" t="s">
        <v>74</v>
      </c>
      <c r="E388" s="1" t="s">
        <v>74</v>
      </c>
      <c r="F388" s="1" t="s">
        <v>4049</v>
      </c>
      <c r="G388" s="1" t="s">
        <v>74</v>
      </c>
      <c r="H388" s="1" t="s">
        <v>74</v>
      </c>
      <c r="I388" s="1" t="s">
        <v>4050</v>
      </c>
      <c r="J388" s="1" t="s">
        <v>3767</v>
      </c>
      <c r="K388" s="1" t="s">
        <v>74</v>
      </c>
      <c r="L388" s="1" t="s">
        <v>74</v>
      </c>
      <c r="M388" s="1" t="s">
        <v>74</v>
      </c>
      <c r="N388" s="1" t="s">
        <v>74</v>
      </c>
      <c r="O388" s="1" t="s">
        <v>74</v>
      </c>
      <c r="P388" s="1" t="s">
        <v>74</v>
      </c>
      <c r="Q388" s="1" t="s">
        <v>74</v>
      </c>
      <c r="R388" s="1" t="s">
        <v>74</v>
      </c>
      <c r="S388" s="1" t="s">
        <v>74</v>
      </c>
      <c r="T388" s="1" t="s">
        <v>74</v>
      </c>
      <c r="U388" s="1" t="s">
        <v>74</v>
      </c>
      <c r="V388" s="1" t="s">
        <v>4051</v>
      </c>
      <c r="W388" s="1" t="s">
        <v>74</v>
      </c>
      <c r="X388" s="1" t="s">
        <v>74</v>
      </c>
      <c r="Y388" s="1" t="s">
        <v>74</v>
      </c>
      <c r="Z388" s="1" t="s">
        <v>74</v>
      </c>
      <c r="AA388" s="1" t="s">
        <v>4052</v>
      </c>
      <c r="AB388" s="1" t="s">
        <v>4053</v>
      </c>
      <c r="AC388" s="1" t="s">
        <v>74</v>
      </c>
      <c r="AD388" s="1" t="s">
        <v>74</v>
      </c>
      <c r="AE388" s="1" t="s">
        <v>74</v>
      </c>
      <c r="AF388" s="1" t="s">
        <v>74</v>
      </c>
      <c r="AG388" s="1" t="s">
        <v>74</v>
      </c>
      <c r="AH388" s="1" t="s">
        <v>74</v>
      </c>
      <c r="AI388" s="1" t="s">
        <v>74</v>
      </c>
      <c r="AJ388" s="1" t="s">
        <v>74</v>
      </c>
      <c r="AK388" s="1" t="s">
        <v>74</v>
      </c>
      <c r="AL388" s="1" t="s">
        <v>74</v>
      </c>
      <c r="AM388" s="1" t="s">
        <v>74</v>
      </c>
      <c r="AN388" s="1" t="s">
        <v>74</v>
      </c>
      <c r="AO388" s="1" t="s">
        <v>3771</v>
      </c>
      <c r="AP388" s="1" t="s">
        <v>3772</v>
      </c>
      <c r="AQ388" s="1" t="s">
        <v>74</v>
      </c>
      <c r="AR388" s="1" t="s">
        <v>74</v>
      </c>
      <c r="AS388" s="1" t="s">
        <v>74</v>
      </c>
      <c r="AT388" s="1" t="s">
        <v>411</v>
      </c>
      <c r="AU388" s="1">
        <v>2017.0</v>
      </c>
      <c r="AV388" s="1">
        <v>64.0</v>
      </c>
      <c r="AW388" s="1">
        <v>11.0</v>
      </c>
      <c r="AX388" s="1" t="s">
        <v>74</v>
      </c>
      <c r="AY388" s="1" t="s">
        <v>74</v>
      </c>
      <c r="AZ388" s="1" t="s">
        <v>74</v>
      </c>
      <c r="BA388" s="1" t="s">
        <v>74</v>
      </c>
      <c r="BB388" s="1">
        <v>8799.0</v>
      </c>
      <c r="BC388" s="1">
        <v>8810.0</v>
      </c>
      <c r="BD388" s="1" t="s">
        <v>74</v>
      </c>
      <c r="BE388" s="1" t="s">
        <v>4054</v>
      </c>
      <c r="BF388" s="2" t="str">
        <f>HYPERLINK("http://dx.doi.org/10.1109/TIE.2017.2733467","http://dx.doi.org/10.1109/TIE.2017.2733467")</f>
        <v>http://dx.doi.org/10.1109/TIE.2017.2733467</v>
      </c>
      <c r="BG388" s="1" t="s">
        <v>74</v>
      </c>
      <c r="BH388" s="1" t="s">
        <v>74</v>
      </c>
      <c r="BI388" s="1" t="s">
        <v>74</v>
      </c>
      <c r="BJ388" s="1" t="s">
        <v>74</v>
      </c>
      <c r="BK388" s="1" t="s">
        <v>74</v>
      </c>
      <c r="BL388" s="1" t="s">
        <v>74</v>
      </c>
      <c r="BM388" s="1" t="s">
        <v>74</v>
      </c>
      <c r="BN388" s="1" t="s">
        <v>74</v>
      </c>
      <c r="BO388" s="1" t="s">
        <v>74</v>
      </c>
      <c r="BP388" s="1" t="s">
        <v>74</v>
      </c>
      <c r="BQ388" s="1" t="s">
        <v>74</v>
      </c>
      <c r="BR388" s="1" t="s">
        <v>74</v>
      </c>
      <c r="BS388" s="1" t="s">
        <v>4055</v>
      </c>
      <c r="BT388" s="1" t="str">
        <f>HYPERLINK("https%3A%2F%2Fwww.webofscience.com%2Fwos%2Fwoscc%2Ffull-record%2FWOS:000412579300041","View Full Record in Web of Science")</f>
        <v>View Full Record in Web of Science</v>
      </c>
    </row>
    <row r="389" ht="12.75" customHeight="1">
      <c r="A389" s="1" t="s">
        <v>647</v>
      </c>
      <c r="B389" s="1" t="s">
        <v>4056</v>
      </c>
      <c r="C389" s="1" t="s">
        <v>74</v>
      </c>
      <c r="D389" s="1" t="s">
        <v>74</v>
      </c>
      <c r="E389" s="1" t="s">
        <v>649</v>
      </c>
      <c r="F389" s="1" t="s">
        <v>4057</v>
      </c>
      <c r="G389" s="1" t="s">
        <v>74</v>
      </c>
      <c r="H389" s="1" t="s">
        <v>74</v>
      </c>
      <c r="I389" s="1" t="s">
        <v>4058</v>
      </c>
      <c r="J389" s="1" t="s">
        <v>3644</v>
      </c>
      <c r="K389" s="1" t="s">
        <v>1763</v>
      </c>
      <c r="L389" s="1" t="s">
        <v>74</v>
      </c>
      <c r="M389" s="1" t="s">
        <v>74</v>
      </c>
      <c r="N389" s="1" t="s">
        <v>74</v>
      </c>
      <c r="O389" s="1" t="s">
        <v>3645</v>
      </c>
      <c r="P389" s="1" t="s">
        <v>3646</v>
      </c>
      <c r="Q389" s="1" t="s">
        <v>3647</v>
      </c>
      <c r="R389" s="1" t="s">
        <v>3648</v>
      </c>
      <c r="S389" s="1" t="s">
        <v>74</v>
      </c>
      <c r="T389" s="1" t="s">
        <v>74</v>
      </c>
      <c r="U389" s="1" t="s">
        <v>74</v>
      </c>
      <c r="V389" s="1" t="s">
        <v>4059</v>
      </c>
      <c r="W389" s="1" t="s">
        <v>74</v>
      </c>
      <c r="X389" s="1" t="s">
        <v>74</v>
      </c>
      <c r="Y389" s="1" t="s">
        <v>74</v>
      </c>
      <c r="Z389" s="1" t="s">
        <v>74</v>
      </c>
      <c r="AA389" s="1" t="s">
        <v>2479</v>
      </c>
      <c r="AB389" s="1" t="s">
        <v>74</v>
      </c>
      <c r="AC389" s="1" t="s">
        <v>74</v>
      </c>
      <c r="AD389" s="1" t="s">
        <v>74</v>
      </c>
      <c r="AE389" s="1" t="s">
        <v>74</v>
      </c>
      <c r="AF389" s="1" t="s">
        <v>74</v>
      </c>
      <c r="AG389" s="1" t="s">
        <v>74</v>
      </c>
      <c r="AH389" s="1" t="s">
        <v>74</v>
      </c>
      <c r="AI389" s="1" t="s">
        <v>74</v>
      </c>
      <c r="AJ389" s="1" t="s">
        <v>74</v>
      </c>
      <c r="AK389" s="1" t="s">
        <v>74</v>
      </c>
      <c r="AL389" s="1" t="s">
        <v>74</v>
      </c>
      <c r="AM389" s="1" t="s">
        <v>74</v>
      </c>
      <c r="AN389" s="1" t="s">
        <v>74</v>
      </c>
      <c r="AO389" s="1" t="s">
        <v>1770</v>
      </c>
      <c r="AP389" s="1" t="s">
        <v>74</v>
      </c>
      <c r="AQ389" s="1" t="s">
        <v>3652</v>
      </c>
      <c r="AR389" s="1" t="s">
        <v>74</v>
      </c>
      <c r="AS389" s="1" t="s">
        <v>74</v>
      </c>
      <c r="AT389" s="1" t="s">
        <v>74</v>
      </c>
      <c r="AU389" s="1">
        <v>2016.0</v>
      </c>
      <c r="AV389" s="1" t="s">
        <v>74</v>
      </c>
      <c r="AW389" s="1" t="s">
        <v>74</v>
      </c>
      <c r="AX389" s="1" t="s">
        <v>74</v>
      </c>
      <c r="AY389" s="1" t="s">
        <v>74</v>
      </c>
      <c r="AZ389" s="1" t="s">
        <v>74</v>
      </c>
      <c r="BA389" s="1" t="s">
        <v>74</v>
      </c>
      <c r="BB389" s="1">
        <v>5052.0</v>
      </c>
      <c r="BC389" s="1">
        <v>5057.0</v>
      </c>
      <c r="BD389" s="1" t="s">
        <v>74</v>
      </c>
      <c r="BE389" s="1" t="s">
        <v>74</v>
      </c>
      <c r="BF389" s="1" t="s">
        <v>74</v>
      </c>
      <c r="BG389" s="1" t="s">
        <v>74</v>
      </c>
      <c r="BH389" s="1" t="s">
        <v>74</v>
      </c>
      <c r="BI389" s="1" t="s">
        <v>74</v>
      </c>
      <c r="BJ389" s="1" t="s">
        <v>74</v>
      </c>
      <c r="BK389" s="1" t="s">
        <v>74</v>
      </c>
      <c r="BL389" s="1" t="s">
        <v>74</v>
      </c>
      <c r="BM389" s="1" t="s">
        <v>74</v>
      </c>
      <c r="BN389" s="1" t="s">
        <v>74</v>
      </c>
      <c r="BO389" s="1" t="s">
        <v>74</v>
      </c>
      <c r="BP389" s="1" t="s">
        <v>74</v>
      </c>
      <c r="BQ389" s="1" t="s">
        <v>74</v>
      </c>
      <c r="BR389" s="1" t="s">
        <v>74</v>
      </c>
      <c r="BS389" s="1" t="s">
        <v>4060</v>
      </c>
      <c r="BT389" s="1" t="str">
        <f>HYPERLINK("https%3A%2F%2Fwww.webofscience.com%2Fwos%2Fwoscc%2Ffull-record%2FWOS:000399031205052","View Full Record in Web of Science")</f>
        <v>View Full Record in Web of Science</v>
      </c>
    </row>
    <row r="390" ht="12.75" customHeight="1">
      <c r="A390" s="1" t="s">
        <v>72</v>
      </c>
      <c r="B390" s="1" t="s">
        <v>4061</v>
      </c>
      <c r="C390" s="1" t="s">
        <v>74</v>
      </c>
      <c r="D390" s="1" t="s">
        <v>74</v>
      </c>
      <c r="E390" s="1" t="s">
        <v>74</v>
      </c>
      <c r="F390" s="1" t="s">
        <v>4062</v>
      </c>
      <c r="G390" s="1" t="s">
        <v>74</v>
      </c>
      <c r="H390" s="1" t="s">
        <v>74</v>
      </c>
      <c r="I390" s="1" t="s">
        <v>4063</v>
      </c>
      <c r="J390" s="1" t="s">
        <v>4064</v>
      </c>
      <c r="K390" s="1" t="s">
        <v>74</v>
      </c>
      <c r="L390" s="1" t="s">
        <v>74</v>
      </c>
      <c r="M390" s="1" t="s">
        <v>74</v>
      </c>
      <c r="N390" s="1" t="s">
        <v>74</v>
      </c>
      <c r="O390" s="1" t="s">
        <v>74</v>
      </c>
      <c r="P390" s="1" t="s">
        <v>74</v>
      </c>
      <c r="Q390" s="1" t="s">
        <v>74</v>
      </c>
      <c r="R390" s="1" t="s">
        <v>74</v>
      </c>
      <c r="S390" s="1" t="s">
        <v>74</v>
      </c>
      <c r="T390" s="1" t="s">
        <v>74</v>
      </c>
      <c r="U390" s="1" t="s">
        <v>74</v>
      </c>
      <c r="V390" s="1" t="s">
        <v>4065</v>
      </c>
      <c r="W390" s="1" t="s">
        <v>74</v>
      </c>
      <c r="X390" s="1" t="s">
        <v>74</v>
      </c>
      <c r="Y390" s="1" t="s">
        <v>74</v>
      </c>
      <c r="Z390" s="1" t="s">
        <v>74</v>
      </c>
      <c r="AA390" s="1" t="s">
        <v>4066</v>
      </c>
      <c r="AB390" s="1" t="s">
        <v>4067</v>
      </c>
      <c r="AC390" s="1" t="s">
        <v>74</v>
      </c>
      <c r="AD390" s="1" t="s">
        <v>74</v>
      </c>
      <c r="AE390" s="1" t="s">
        <v>74</v>
      </c>
      <c r="AF390" s="1" t="s">
        <v>74</v>
      </c>
      <c r="AG390" s="1" t="s">
        <v>74</v>
      </c>
      <c r="AH390" s="1" t="s">
        <v>74</v>
      </c>
      <c r="AI390" s="1" t="s">
        <v>74</v>
      </c>
      <c r="AJ390" s="1" t="s">
        <v>74</v>
      </c>
      <c r="AK390" s="1" t="s">
        <v>74</v>
      </c>
      <c r="AL390" s="1" t="s">
        <v>74</v>
      </c>
      <c r="AM390" s="1" t="s">
        <v>74</v>
      </c>
      <c r="AN390" s="1" t="s">
        <v>74</v>
      </c>
      <c r="AO390" s="1" t="s">
        <v>74</v>
      </c>
      <c r="AP390" s="1" t="s">
        <v>4068</v>
      </c>
      <c r="AQ390" s="1" t="s">
        <v>74</v>
      </c>
      <c r="AR390" s="1" t="s">
        <v>74</v>
      </c>
      <c r="AS390" s="1" t="s">
        <v>74</v>
      </c>
      <c r="AT390" s="1" t="s">
        <v>74</v>
      </c>
      <c r="AU390" s="1">
        <v>2016.0</v>
      </c>
      <c r="AV390" s="1">
        <v>3.0</v>
      </c>
      <c r="AW390" s="1" t="s">
        <v>74</v>
      </c>
      <c r="AX390" s="1" t="s">
        <v>74</v>
      </c>
      <c r="AY390" s="1" t="s">
        <v>74</v>
      </c>
      <c r="AZ390" s="1" t="s">
        <v>74</v>
      </c>
      <c r="BA390" s="1" t="s">
        <v>74</v>
      </c>
      <c r="BB390" s="1" t="s">
        <v>74</v>
      </c>
      <c r="BC390" s="1" t="s">
        <v>74</v>
      </c>
      <c r="BD390" s="1">
        <v>45.0</v>
      </c>
      <c r="BE390" s="1" t="s">
        <v>4069</v>
      </c>
      <c r="BF390" s="2" t="str">
        <f>HYPERLINK("http://dx.doi.org/10.3389/fmolb.2016.00045","http://dx.doi.org/10.3389/fmolb.2016.00045")</f>
        <v>http://dx.doi.org/10.3389/fmolb.2016.00045</v>
      </c>
      <c r="BG390" s="1" t="s">
        <v>74</v>
      </c>
      <c r="BH390" s="1" t="s">
        <v>74</v>
      </c>
      <c r="BI390" s="1" t="s">
        <v>74</v>
      </c>
      <c r="BJ390" s="1" t="s">
        <v>74</v>
      </c>
      <c r="BK390" s="1" t="s">
        <v>74</v>
      </c>
      <c r="BL390" s="1" t="s">
        <v>74</v>
      </c>
      <c r="BM390" s="1" t="s">
        <v>74</v>
      </c>
      <c r="BN390" s="1">
        <v>2.763099E7</v>
      </c>
      <c r="BO390" s="1" t="s">
        <v>74</v>
      </c>
      <c r="BP390" s="1" t="s">
        <v>74</v>
      </c>
      <c r="BQ390" s="1" t="s">
        <v>74</v>
      </c>
      <c r="BR390" s="1" t="s">
        <v>74</v>
      </c>
      <c r="BS390" s="1" t="s">
        <v>4070</v>
      </c>
      <c r="BT390" s="1" t="str">
        <f>HYPERLINK("https%3A%2F%2Fwww.webofscience.com%2Fwos%2Fwoscc%2Ffull-record%2FWOS:000455328600045","View Full Record in Web of Science")</f>
        <v>View Full Record in Web of Science</v>
      </c>
    </row>
    <row r="391" ht="12.75" customHeight="1">
      <c r="A391" s="1" t="s">
        <v>72</v>
      </c>
      <c r="B391" s="1" t="s">
        <v>4071</v>
      </c>
      <c r="C391" s="1" t="s">
        <v>74</v>
      </c>
      <c r="D391" s="1" t="s">
        <v>74</v>
      </c>
      <c r="E391" s="1" t="s">
        <v>74</v>
      </c>
      <c r="F391" s="1" t="s">
        <v>4072</v>
      </c>
      <c r="G391" s="1" t="s">
        <v>74</v>
      </c>
      <c r="H391" s="1" t="s">
        <v>74</v>
      </c>
      <c r="I391" s="1" t="s">
        <v>4073</v>
      </c>
      <c r="J391" s="1" t="s">
        <v>4074</v>
      </c>
      <c r="K391" s="1" t="s">
        <v>74</v>
      </c>
      <c r="L391" s="1" t="s">
        <v>74</v>
      </c>
      <c r="M391" s="1" t="s">
        <v>74</v>
      </c>
      <c r="N391" s="1" t="s">
        <v>74</v>
      </c>
      <c r="O391" s="1" t="s">
        <v>74</v>
      </c>
      <c r="P391" s="1" t="s">
        <v>74</v>
      </c>
      <c r="Q391" s="1" t="s">
        <v>74</v>
      </c>
      <c r="R391" s="1" t="s">
        <v>74</v>
      </c>
      <c r="S391" s="1" t="s">
        <v>74</v>
      </c>
      <c r="T391" s="1" t="s">
        <v>74</v>
      </c>
      <c r="U391" s="1" t="s">
        <v>74</v>
      </c>
      <c r="V391" s="1" t="s">
        <v>4075</v>
      </c>
      <c r="W391" s="1" t="s">
        <v>74</v>
      </c>
      <c r="X391" s="1" t="s">
        <v>74</v>
      </c>
      <c r="Y391" s="1" t="s">
        <v>74</v>
      </c>
      <c r="Z391" s="1" t="s">
        <v>74</v>
      </c>
      <c r="AA391" s="1" t="s">
        <v>4076</v>
      </c>
      <c r="AB391" s="1" t="s">
        <v>4077</v>
      </c>
      <c r="AC391" s="1" t="s">
        <v>74</v>
      </c>
      <c r="AD391" s="1" t="s">
        <v>74</v>
      </c>
      <c r="AE391" s="1" t="s">
        <v>74</v>
      </c>
      <c r="AF391" s="1" t="s">
        <v>74</v>
      </c>
      <c r="AG391" s="1" t="s">
        <v>74</v>
      </c>
      <c r="AH391" s="1" t="s">
        <v>74</v>
      </c>
      <c r="AI391" s="1" t="s">
        <v>74</v>
      </c>
      <c r="AJ391" s="1" t="s">
        <v>74</v>
      </c>
      <c r="AK391" s="1" t="s">
        <v>74</v>
      </c>
      <c r="AL391" s="1" t="s">
        <v>74</v>
      </c>
      <c r="AM391" s="1" t="s">
        <v>74</v>
      </c>
      <c r="AN391" s="1" t="s">
        <v>74</v>
      </c>
      <c r="AO391" s="1" t="s">
        <v>4078</v>
      </c>
      <c r="AP391" s="1" t="s">
        <v>4079</v>
      </c>
      <c r="AQ391" s="1" t="s">
        <v>74</v>
      </c>
      <c r="AR391" s="1" t="s">
        <v>74</v>
      </c>
      <c r="AS391" s="1" t="s">
        <v>74</v>
      </c>
      <c r="AT391" s="1" t="s">
        <v>316</v>
      </c>
      <c r="AU391" s="1">
        <v>2013.0</v>
      </c>
      <c r="AV391" s="1">
        <v>103.0</v>
      </c>
      <c r="AW391" s="1" t="s">
        <v>74</v>
      </c>
      <c r="AX391" s="1" t="s">
        <v>74</v>
      </c>
      <c r="AY391" s="1" t="s">
        <v>74</v>
      </c>
      <c r="AZ391" s="1" t="s">
        <v>74</v>
      </c>
      <c r="BA391" s="1" t="s">
        <v>74</v>
      </c>
      <c r="BB391" s="1">
        <v>49.0</v>
      </c>
      <c r="BC391" s="1">
        <v>60.0</v>
      </c>
      <c r="BD391" s="1" t="s">
        <v>74</v>
      </c>
      <c r="BE391" s="1" t="s">
        <v>4080</v>
      </c>
      <c r="BF391" s="2" t="str">
        <f>HYPERLINK("http://dx.doi.org/10.1016/j.epsr.2013.04.006","http://dx.doi.org/10.1016/j.epsr.2013.04.006")</f>
        <v>http://dx.doi.org/10.1016/j.epsr.2013.04.006</v>
      </c>
      <c r="BG391" s="1" t="s">
        <v>74</v>
      </c>
      <c r="BH391" s="1" t="s">
        <v>74</v>
      </c>
      <c r="BI391" s="1" t="s">
        <v>74</v>
      </c>
      <c r="BJ391" s="1" t="s">
        <v>74</v>
      </c>
      <c r="BK391" s="1" t="s">
        <v>74</v>
      </c>
      <c r="BL391" s="1" t="s">
        <v>74</v>
      </c>
      <c r="BM391" s="1" t="s">
        <v>74</v>
      </c>
      <c r="BN391" s="1" t="s">
        <v>74</v>
      </c>
      <c r="BO391" s="1" t="s">
        <v>74</v>
      </c>
      <c r="BP391" s="1" t="s">
        <v>74</v>
      </c>
      <c r="BQ391" s="1" t="s">
        <v>74</v>
      </c>
      <c r="BR391" s="1" t="s">
        <v>74</v>
      </c>
      <c r="BS391" s="1" t="s">
        <v>4081</v>
      </c>
      <c r="BT391" s="1" t="str">
        <f>HYPERLINK("https%3A%2F%2Fwww.webofscience.com%2Fwos%2Fwoscc%2Ffull-record%2FWOS:000322939700007","View Full Record in Web of Science")</f>
        <v>View Full Record in Web of Science</v>
      </c>
    </row>
    <row r="392" ht="12.75" customHeight="1">
      <c r="A392" s="1" t="s">
        <v>72</v>
      </c>
      <c r="B392" s="1" t="s">
        <v>4082</v>
      </c>
      <c r="C392" s="1" t="s">
        <v>74</v>
      </c>
      <c r="D392" s="1" t="s">
        <v>74</v>
      </c>
      <c r="E392" s="1" t="s">
        <v>74</v>
      </c>
      <c r="F392" s="1" t="s">
        <v>4083</v>
      </c>
      <c r="G392" s="1" t="s">
        <v>74</v>
      </c>
      <c r="H392" s="1" t="s">
        <v>74</v>
      </c>
      <c r="I392" s="1" t="s">
        <v>4084</v>
      </c>
      <c r="J392" s="1" t="s">
        <v>174</v>
      </c>
      <c r="K392" s="1" t="s">
        <v>74</v>
      </c>
      <c r="L392" s="1" t="s">
        <v>74</v>
      </c>
      <c r="M392" s="1" t="s">
        <v>74</v>
      </c>
      <c r="N392" s="1" t="s">
        <v>74</v>
      </c>
      <c r="O392" s="1" t="s">
        <v>74</v>
      </c>
      <c r="P392" s="1" t="s">
        <v>74</v>
      </c>
      <c r="Q392" s="1" t="s">
        <v>74</v>
      </c>
      <c r="R392" s="1" t="s">
        <v>74</v>
      </c>
      <c r="S392" s="1" t="s">
        <v>74</v>
      </c>
      <c r="T392" s="1" t="s">
        <v>74</v>
      </c>
      <c r="U392" s="1" t="s">
        <v>74</v>
      </c>
      <c r="V392" s="1" t="s">
        <v>4085</v>
      </c>
      <c r="W392" s="1" t="s">
        <v>74</v>
      </c>
      <c r="X392" s="1" t="s">
        <v>74</v>
      </c>
      <c r="Y392" s="1" t="s">
        <v>74</v>
      </c>
      <c r="Z392" s="1" t="s">
        <v>74</v>
      </c>
      <c r="AA392" s="1" t="s">
        <v>4086</v>
      </c>
      <c r="AB392" s="1" t="s">
        <v>4087</v>
      </c>
      <c r="AC392" s="1" t="s">
        <v>74</v>
      </c>
      <c r="AD392" s="1" t="s">
        <v>74</v>
      </c>
      <c r="AE392" s="1" t="s">
        <v>74</v>
      </c>
      <c r="AF392" s="1" t="s">
        <v>74</v>
      </c>
      <c r="AG392" s="1" t="s">
        <v>74</v>
      </c>
      <c r="AH392" s="1" t="s">
        <v>74</v>
      </c>
      <c r="AI392" s="1" t="s">
        <v>74</v>
      </c>
      <c r="AJ392" s="1" t="s">
        <v>74</v>
      </c>
      <c r="AK392" s="1" t="s">
        <v>74</v>
      </c>
      <c r="AL392" s="1" t="s">
        <v>74</v>
      </c>
      <c r="AM392" s="1" t="s">
        <v>74</v>
      </c>
      <c r="AN392" s="1" t="s">
        <v>74</v>
      </c>
      <c r="AO392" s="1" t="s">
        <v>178</v>
      </c>
      <c r="AP392" s="1" t="s">
        <v>74</v>
      </c>
      <c r="AQ392" s="1" t="s">
        <v>74</v>
      </c>
      <c r="AR392" s="1" t="s">
        <v>74</v>
      </c>
      <c r="AS392" s="1" t="s">
        <v>74</v>
      </c>
      <c r="AT392" s="1" t="s">
        <v>4088</v>
      </c>
      <c r="AU392" s="1">
        <v>2012.0</v>
      </c>
      <c r="AV392" s="1">
        <v>7.0</v>
      </c>
      <c r="AW392" s="1">
        <v>9.0</v>
      </c>
      <c r="AX392" s="1" t="s">
        <v>74</v>
      </c>
      <c r="AY392" s="1" t="s">
        <v>74</v>
      </c>
      <c r="AZ392" s="1" t="s">
        <v>74</v>
      </c>
      <c r="BA392" s="1" t="s">
        <v>74</v>
      </c>
      <c r="BB392" s="1" t="s">
        <v>74</v>
      </c>
      <c r="BC392" s="1" t="s">
        <v>74</v>
      </c>
      <c r="BD392" s="1" t="s">
        <v>4089</v>
      </c>
      <c r="BE392" s="1" t="s">
        <v>4090</v>
      </c>
      <c r="BF392" s="2" t="str">
        <f>HYPERLINK("http://dx.doi.org/10.1371/journal.pone.0045272","http://dx.doi.org/10.1371/journal.pone.0045272")</f>
        <v>http://dx.doi.org/10.1371/journal.pone.0045272</v>
      </c>
      <c r="BG392" s="1" t="s">
        <v>74</v>
      </c>
      <c r="BH392" s="1" t="s">
        <v>74</v>
      </c>
      <c r="BI392" s="1" t="s">
        <v>74</v>
      </c>
      <c r="BJ392" s="1" t="s">
        <v>74</v>
      </c>
      <c r="BK392" s="1" t="s">
        <v>74</v>
      </c>
      <c r="BL392" s="1" t="s">
        <v>74</v>
      </c>
      <c r="BM392" s="1" t="s">
        <v>74</v>
      </c>
      <c r="BN392" s="1">
        <v>2.3028899E7</v>
      </c>
      <c r="BO392" s="1" t="s">
        <v>74</v>
      </c>
      <c r="BP392" s="1" t="s">
        <v>74</v>
      </c>
      <c r="BQ392" s="1" t="s">
        <v>74</v>
      </c>
      <c r="BR392" s="1" t="s">
        <v>74</v>
      </c>
      <c r="BS392" s="1" t="s">
        <v>4091</v>
      </c>
      <c r="BT392" s="1" t="str">
        <f>HYPERLINK("https%3A%2F%2Fwww.webofscience.com%2Fwos%2Fwoscc%2Ffull-record%2FWOS:000309742800047","View Full Record in Web of Science")</f>
        <v>View Full Record in Web of Science</v>
      </c>
    </row>
    <row r="393" ht="12.75" customHeight="1">
      <c r="A393" s="1" t="s">
        <v>72</v>
      </c>
      <c r="B393" s="1" t="s">
        <v>4092</v>
      </c>
      <c r="C393" s="1" t="s">
        <v>74</v>
      </c>
      <c r="D393" s="1" t="s">
        <v>74</v>
      </c>
      <c r="E393" s="1" t="s">
        <v>74</v>
      </c>
      <c r="F393" s="1" t="s">
        <v>4093</v>
      </c>
      <c r="G393" s="1" t="s">
        <v>74</v>
      </c>
      <c r="H393" s="1" t="s">
        <v>74</v>
      </c>
      <c r="I393" s="1" t="s">
        <v>4094</v>
      </c>
      <c r="J393" s="1" t="s">
        <v>4095</v>
      </c>
      <c r="K393" s="1" t="s">
        <v>74</v>
      </c>
      <c r="L393" s="1" t="s">
        <v>74</v>
      </c>
      <c r="M393" s="1" t="s">
        <v>74</v>
      </c>
      <c r="N393" s="1" t="s">
        <v>74</v>
      </c>
      <c r="O393" s="1" t="s">
        <v>74</v>
      </c>
      <c r="P393" s="1" t="s">
        <v>74</v>
      </c>
      <c r="Q393" s="1" t="s">
        <v>74</v>
      </c>
      <c r="R393" s="1" t="s">
        <v>74</v>
      </c>
      <c r="S393" s="1" t="s">
        <v>74</v>
      </c>
      <c r="T393" s="1" t="s">
        <v>74</v>
      </c>
      <c r="U393" s="1" t="s">
        <v>74</v>
      </c>
      <c r="V393" s="1" t="s">
        <v>4096</v>
      </c>
      <c r="W393" s="1" t="s">
        <v>74</v>
      </c>
      <c r="X393" s="1" t="s">
        <v>74</v>
      </c>
      <c r="Y393" s="1" t="s">
        <v>74</v>
      </c>
      <c r="Z393" s="1" t="s">
        <v>74</v>
      </c>
      <c r="AA393" s="1" t="s">
        <v>4097</v>
      </c>
      <c r="AB393" s="1" t="s">
        <v>4098</v>
      </c>
      <c r="AC393" s="1" t="s">
        <v>74</v>
      </c>
      <c r="AD393" s="1" t="s">
        <v>74</v>
      </c>
      <c r="AE393" s="1" t="s">
        <v>74</v>
      </c>
      <c r="AF393" s="1" t="s">
        <v>74</v>
      </c>
      <c r="AG393" s="1" t="s">
        <v>74</v>
      </c>
      <c r="AH393" s="1" t="s">
        <v>74</v>
      </c>
      <c r="AI393" s="1" t="s">
        <v>74</v>
      </c>
      <c r="AJ393" s="1" t="s">
        <v>74</v>
      </c>
      <c r="AK393" s="1" t="s">
        <v>74</v>
      </c>
      <c r="AL393" s="1" t="s">
        <v>74</v>
      </c>
      <c r="AM393" s="1" t="s">
        <v>74</v>
      </c>
      <c r="AN393" s="1" t="s">
        <v>74</v>
      </c>
      <c r="AO393" s="1" t="s">
        <v>4099</v>
      </c>
      <c r="AP393" s="1" t="s">
        <v>4100</v>
      </c>
      <c r="AQ393" s="1" t="s">
        <v>74</v>
      </c>
      <c r="AR393" s="1" t="s">
        <v>74</v>
      </c>
      <c r="AS393" s="1" t="s">
        <v>74</v>
      </c>
      <c r="AT393" s="1" t="s">
        <v>96</v>
      </c>
      <c r="AU393" s="1">
        <v>2012.0</v>
      </c>
      <c r="AV393" s="1">
        <v>12.0</v>
      </c>
      <c r="AW393" s="1">
        <v>5.0</v>
      </c>
      <c r="AX393" s="1" t="s">
        <v>74</v>
      </c>
      <c r="AY393" s="1" t="s">
        <v>74</v>
      </c>
      <c r="AZ393" s="1" t="s">
        <v>74</v>
      </c>
      <c r="BA393" s="1" t="s">
        <v>74</v>
      </c>
      <c r="BB393" s="1">
        <v>677.0</v>
      </c>
      <c r="BC393" s="1">
        <v>686.0</v>
      </c>
      <c r="BD393" s="1" t="s">
        <v>74</v>
      </c>
      <c r="BE393" s="1" t="s">
        <v>4101</v>
      </c>
      <c r="BF393" s="2" t="str">
        <f>HYPERLINK("http://dx.doi.org/10.1007/s10404-011-0910-6","http://dx.doi.org/10.1007/s10404-011-0910-6")</f>
        <v>http://dx.doi.org/10.1007/s10404-011-0910-6</v>
      </c>
      <c r="BG393" s="1" t="s">
        <v>74</v>
      </c>
      <c r="BH393" s="1" t="s">
        <v>74</v>
      </c>
      <c r="BI393" s="1" t="s">
        <v>74</v>
      </c>
      <c r="BJ393" s="1" t="s">
        <v>74</v>
      </c>
      <c r="BK393" s="1" t="s">
        <v>74</v>
      </c>
      <c r="BL393" s="1" t="s">
        <v>74</v>
      </c>
      <c r="BM393" s="1" t="s">
        <v>74</v>
      </c>
      <c r="BN393" s="1" t="s">
        <v>74</v>
      </c>
      <c r="BO393" s="1" t="s">
        <v>74</v>
      </c>
      <c r="BP393" s="1" t="s">
        <v>74</v>
      </c>
      <c r="BQ393" s="1" t="s">
        <v>74</v>
      </c>
      <c r="BR393" s="1" t="s">
        <v>74</v>
      </c>
      <c r="BS393" s="1" t="s">
        <v>4102</v>
      </c>
      <c r="BT393" s="1" t="str">
        <f>HYPERLINK("https%3A%2F%2Fwww.webofscience.com%2Fwos%2Fwoscc%2Ffull-record%2FWOS:000300670200001","View Full Record in Web of Science")</f>
        <v>View Full Record in Web of Science</v>
      </c>
    </row>
    <row r="394" ht="12.75" customHeight="1">
      <c r="A394" s="1" t="s">
        <v>72</v>
      </c>
      <c r="B394" s="1" t="s">
        <v>4103</v>
      </c>
      <c r="C394" s="1" t="s">
        <v>74</v>
      </c>
      <c r="D394" s="1" t="s">
        <v>74</v>
      </c>
      <c r="E394" s="1" t="s">
        <v>74</v>
      </c>
      <c r="F394" s="1" t="s">
        <v>4103</v>
      </c>
      <c r="G394" s="1" t="s">
        <v>74</v>
      </c>
      <c r="H394" s="1" t="s">
        <v>74</v>
      </c>
      <c r="I394" s="1" t="s">
        <v>4104</v>
      </c>
      <c r="J394" s="1" t="s">
        <v>4105</v>
      </c>
      <c r="K394" s="1" t="s">
        <v>74</v>
      </c>
      <c r="L394" s="1" t="s">
        <v>74</v>
      </c>
      <c r="M394" s="1" t="s">
        <v>74</v>
      </c>
      <c r="N394" s="1" t="s">
        <v>74</v>
      </c>
      <c r="O394" s="1" t="s">
        <v>74</v>
      </c>
      <c r="P394" s="1" t="s">
        <v>74</v>
      </c>
      <c r="Q394" s="1" t="s">
        <v>74</v>
      </c>
      <c r="R394" s="1" t="s">
        <v>74</v>
      </c>
      <c r="S394" s="1" t="s">
        <v>74</v>
      </c>
      <c r="T394" s="1" t="s">
        <v>74</v>
      </c>
      <c r="U394" s="1" t="s">
        <v>74</v>
      </c>
      <c r="V394" s="1" t="s">
        <v>4106</v>
      </c>
      <c r="W394" s="1" t="s">
        <v>74</v>
      </c>
      <c r="X394" s="1" t="s">
        <v>74</v>
      </c>
      <c r="Y394" s="1" t="s">
        <v>74</v>
      </c>
      <c r="Z394" s="1" t="s">
        <v>74</v>
      </c>
      <c r="AA394" s="1" t="s">
        <v>4107</v>
      </c>
      <c r="AB394" s="1" t="s">
        <v>4108</v>
      </c>
      <c r="AC394" s="1" t="s">
        <v>74</v>
      </c>
      <c r="AD394" s="1" t="s">
        <v>74</v>
      </c>
      <c r="AE394" s="1" t="s">
        <v>74</v>
      </c>
      <c r="AF394" s="1" t="s">
        <v>74</v>
      </c>
      <c r="AG394" s="1" t="s">
        <v>74</v>
      </c>
      <c r="AH394" s="1" t="s">
        <v>74</v>
      </c>
      <c r="AI394" s="1" t="s">
        <v>74</v>
      </c>
      <c r="AJ394" s="1" t="s">
        <v>74</v>
      </c>
      <c r="AK394" s="1" t="s">
        <v>74</v>
      </c>
      <c r="AL394" s="1" t="s">
        <v>74</v>
      </c>
      <c r="AM394" s="1" t="s">
        <v>74</v>
      </c>
      <c r="AN394" s="1" t="s">
        <v>74</v>
      </c>
      <c r="AO394" s="1" t="s">
        <v>4109</v>
      </c>
      <c r="AP394" s="1" t="s">
        <v>4110</v>
      </c>
      <c r="AQ394" s="1" t="s">
        <v>74</v>
      </c>
      <c r="AR394" s="1" t="s">
        <v>74</v>
      </c>
      <c r="AS394" s="1" t="s">
        <v>74</v>
      </c>
      <c r="AT394" s="1" t="s">
        <v>4111</v>
      </c>
      <c r="AU394" s="1">
        <v>2005.0</v>
      </c>
      <c r="AV394" s="1">
        <v>619.0</v>
      </c>
      <c r="AW394" s="1" t="s">
        <v>822</v>
      </c>
      <c r="AX394" s="1" t="s">
        <v>74</v>
      </c>
      <c r="AY394" s="1" t="s">
        <v>74</v>
      </c>
      <c r="AZ394" s="1" t="s">
        <v>74</v>
      </c>
      <c r="BA394" s="1" t="s">
        <v>74</v>
      </c>
      <c r="BB394" s="1">
        <v>367.0</v>
      </c>
      <c r="BC394" s="1">
        <v>376.0</v>
      </c>
      <c r="BD394" s="1" t="s">
        <v>74</v>
      </c>
      <c r="BE394" s="1" t="s">
        <v>4112</v>
      </c>
      <c r="BF394" s="2" t="str">
        <f>HYPERLINK("http://dx.doi.org/10.1016/j.physletb.2005.04.044","http://dx.doi.org/10.1016/j.physletb.2005.04.044")</f>
        <v>http://dx.doi.org/10.1016/j.physletb.2005.04.044</v>
      </c>
      <c r="BG394" s="1" t="s">
        <v>74</v>
      </c>
      <c r="BH394" s="1" t="s">
        <v>74</v>
      </c>
      <c r="BI394" s="1" t="s">
        <v>74</v>
      </c>
      <c r="BJ394" s="1" t="s">
        <v>74</v>
      </c>
      <c r="BK394" s="1" t="s">
        <v>74</v>
      </c>
      <c r="BL394" s="1" t="s">
        <v>74</v>
      </c>
      <c r="BM394" s="1" t="s">
        <v>74</v>
      </c>
      <c r="BN394" s="1" t="s">
        <v>74</v>
      </c>
      <c r="BO394" s="1" t="s">
        <v>74</v>
      </c>
      <c r="BP394" s="1" t="s">
        <v>74</v>
      </c>
      <c r="BQ394" s="1" t="s">
        <v>74</v>
      </c>
      <c r="BR394" s="1" t="s">
        <v>74</v>
      </c>
      <c r="BS394" s="1" t="s">
        <v>4113</v>
      </c>
      <c r="BT394" s="1" t="str">
        <f>HYPERLINK("https%3A%2F%2Fwww.webofscience.com%2Fwos%2Fwoscc%2Ffull-record%2FWOS:000230373400023","View Full Record in Web of Science")</f>
        <v>View Full Record in Web of Science</v>
      </c>
    </row>
    <row r="395" ht="12.75" customHeight="1">
      <c r="A395" s="1" t="s">
        <v>72</v>
      </c>
      <c r="B395" s="1" t="s">
        <v>4114</v>
      </c>
      <c r="C395" s="1" t="s">
        <v>74</v>
      </c>
      <c r="D395" s="1" t="s">
        <v>74</v>
      </c>
      <c r="E395" s="1" t="s">
        <v>74</v>
      </c>
      <c r="F395" s="1" t="s">
        <v>4114</v>
      </c>
      <c r="G395" s="1" t="s">
        <v>74</v>
      </c>
      <c r="H395" s="1" t="s">
        <v>74</v>
      </c>
      <c r="I395" s="1" t="s">
        <v>4115</v>
      </c>
      <c r="J395" s="1" t="s">
        <v>1037</v>
      </c>
      <c r="K395" s="1" t="s">
        <v>74</v>
      </c>
      <c r="L395" s="1" t="s">
        <v>74</v>
      </c>
      <c r="M395" s="1" t="s">
        <v>74</v>
      </c>
      <c r="N395" s="1" t="s">
        <v>74</v>
      </c>
      <c r="O395" s="1" t="s">
        <v>74</v>
      </c>
      <c r="P395" s="1" t="s">
        <v>74</v>
      </c>
      <c r="Q395" s="1" t="s">
        <v>74</v>
      </c>
      <c r="R395" s="1" t="s">
        <v>74</v>
      </c>
      <c r="S395" s="1" t="s">
        <v>74</v>
      </c>
      <c r="T395" s="1" t="s">
        <v>74</v>
      </c>
      <c r="U395" s="1" t="s">
        <v>74</v>
      </c>
      <c r="V395" s="1" t="s">
        <v>4116</v>
      </c>
      <c r="W395" s="1" t="s">
        <v>74</v>
      </c>
      <c r="X395" s="1" t="s">
        <v>74</v>
      </c>
      <c r="Y395" s="1" t="s">
        <v>74</v>
      </c>
      <c r="Z395" s="1" t="s">
        <v>74</v>
      </c>
      <c r="AA395" s="1" t="s">
        <v>74</v>
      </c>
      <c r="AB395" s="1" t="s">
        <v>74</v>
      </c>
      <c r="AC395" s="1" t="s">
        <v>74</v>
      </c>
      <c r="AD395" s="1" t="s">
        <v>74</v>
      </c>
      <c r="AE395" s="1" t="s">
        <v>74</v>
      </c>
      <c r="AF395" s="1" t="s">
        <v>74</v>
      </c>
      <c r="AG395" s="1" t="s">
        <v>74</v>
      </c>
      <c r="AH395" s="1" t="s">
        <v>74</v>
      </c>
      <c r="AI395" s="1" t="s">
        <v>74</v>
      </c>
      <c r="AJ395" s="1" t="s">
        <v>74</v>
      </c>
      <c r="AK395" s="1" t="s">
        <v>74</v>
      </c>
      <c r="AL395" s="1" t="s">
        <v>74</v>
      </c>
      <c r="AM395" s="1" t="s">
        <v>74</v>
      </c>
      <c r="AN395" s="1" t="s">
        <v>74</v>
      </c>
      <c r="AO395" s="1" t="s">
        <v>1041</v>
      </c>
      <c r="AP395" s="1" t="s">
        <v>74</v>
      </c>
      <c r="AQ395" s="1" t="s">
        <v>74</v>
      </c>
      <c r="AR395" s="1" t="s">
        <v>74</v>
      </c>
      <c r="AS395" s="1" t="s">
        <v>74</v>
      </c>
      <c r="AT395" s="1" t="s">
        <v>464</v>
      </c>
      <c r="AU395" s="1">
        <v>2004.0</v>
      </c>
      <c r="AV395" s="1">
        <v>75.0</v>
      </c>
      <c r="AW395" s="1">
        <v>1.0</v>
      </c>
      <c r="AX395" s="1" t="s">
        <v>74</v>
      </c>
      <c r="AY395" s="1" t="s">
        <v>74</v>
      </c>
      <c r="AZ395" s="1" t="s">
        <v>74</v>
      </c>
      <c r="BA395" s="1" t="s">
        <v>74</v>
      </c>
      <c r="BB395" s="1">
        <v>5.0</v>
      </c>
      <c r="BC395" s="1">
        <v>8.0</v>
      </c>
      <c r="BD395" s="1" t="s">
        <v>74</v>
      </c>
      <c r="BE395" s="1" t="s">
        <v>4117</v>
      </c>
      <c r="BF395" s="2" t="str">
        <f>HYPERLINK("http://dx.doi.org/10.1016/j.fitote.2003.06.003","http://dx.doi.org/10.1016/j.fitote.2003.06.003")</f>
        <v>http://dx.doi.org/10.1016/j.fitote.2003.06.003</v>
      </c>
      <c r="BG395" s="1" t="s">
        <v>74</v>
      </c>
      <c r="BH395" s="1" t="s">
        <v>74</v>
      </c>
      <c r="BI395" s="1" t="s">
        <v>74</v>
      </c>
      <c r="BJ395" s="1" t="s">
        <v>74</v>
      </c>
      <c r="BK395" s="1" t="s">
        <v>74</v>
      </c>
      <c r="BL395" s="1" t="s">
        <v>74</v>
      </c>
      <c r="BM395" s="1" t="s">
        <v>74</v>
      </c>
      <c r="BN395" s="1">
        <v>1.4693213E7</v>
      </c>
      <c r="BO395" s="1" t="s">
        <v>74</v>
      </c>
      <c r="BP395" s="1" t="s">
        <v>74</v>
      </c>
      <c r="BQ395" s="1" t="s">
        <v>74</v>
      </c>
      <c r="BR395" s="1" t="s">
        <v>74</v>
      </c>
      <c r="BS395" s="1" t="s">
        <v>4118</v>
      </c>
      <c r="BT395" s="1" t="str">
        <f>HYPERLINK("https%3A%2F%2Fwww.webofscience.com%2Fwos%2Fwoscc%2Ffull-record%2FWOS:000188125800002","View Full Record in Web of Science")</f>
        <v>View Full Record in Web of Science</v>
      </c>
    </row>
    <row r="396" ht="12.75" customHeight="1">
      <c r="A396" s="1" t="s">
        <v>72</v>
      </c>
      <c r="B396" s="1" t="s">
        <v>4119</v>
      </c>
      <c r="C396" s="1" t="s">
        <v>74</v>
      </c>
      <c r="D396" s="1" t="s">
        <v>74</v>
      </c>
      <c r="E396" s="1" t="s">
        <v>74</v>
      </c>
      <c r="F396" s="1" t="s">
        <v>4119</v>
      </c>
      <c r="G396" s="1" t="s">
        <v>74</v>
      </c>
      <c r="H396" s="1" t="s">
        <v>74</v>
      </c>
      <c r="I396" s="1" t="s">
        <v>4120</v>
      </c>
      <c r="J396" s="1" t="s">
        <v>4121</v>
      </c>
      <c r="K396" s="1" t="s">
        <v>74</v>
      </c>
      <c r="L396" s="1" t="s">
        <v>74</v>
      </c>
      <c r="M396" s="1" t="s">
        <v>74</v>
      </c>
      <c r="N396" s="1" t="s">
        <v>74</v>
      </c>
      <c r="O396" s="1" t="s">
        <v>74</v>
      </c>
      <c r="P396" s="1" t="s">
        <v>74</v>
      </c>
      <c r="Q396" s="1" t="s">
        <v>74</v>
      </c>
      <c r="R396" s="1" t="s">
        <v>74</v>
      </c>
      <c r="S396" s="1" t="s">
        <v>74</v>
      </c>
      <c r="T396" s="1" t="s">
        <v>74</v>
      </c>
      <c r="U396" s="1" t="s">
        <v>74</v>
      </c>
      <c r="V396" s="1" t="s">
        <v>4122</v>
      </c>
      <c r="W396" s="1" t="s">
        <v>74</v>
      </c>
      <c r="X396" s="1" t="s">
        <v>74</v>
      </c>
      <c r="Y396" s="1" t="s">
        <v>74</v>
      </c>
      <c r="Z396" s="1" t="s">
        <v>74</v>
      </c>
      <c r="AA396" s="1" t="s">
        <v>4123</v>
      </c>
      <c r="AB396" s="1" t="s">
        <v>4124</v>
      </c>
      <c r="AC396" s="1" t="s">
        <v>74</v>
      </c>
      <c r="AD396" s="1" t="s">
        <v>74</v>
      </c>
      <c r="AE396" s="1" t="s">
        <v>74</v>
      </c>
      <c r="AF396" s="1" t="s">
        <v>74</v>
      </c>
      <c r="AG396" s="1" t="s">
        <v>74</v>
      </c>
      <c r="AH396" s="1" t="s">
        <v>74</v>
      </c>
      <c r="AI396" s="1" t="s">
        <v>74</v>
      </c>
      <c r="AJ396" s="1" t="s">
        <v>74</v>
      </c>
      <c r="AK396" s="1" t="s">
        <v>74</v>
      </c>
      <c r="AL396" s="1" t="s">
        <v>74</v>
      </c>
      <c r="AM396" s="1" t="s">
        <v>74</v>
      </c>
      <c r="AN396" s="1" t="s">
        <v>74</v>
      </c>
      <c r="AO396" s="1" t="s">
        <v>4125</v>
      </c>
      <c r="AP396" s="1" t="s">
        <v>4126</v>
      </c>
      <c r="AQ396" s="1" t="s">
        <v>74</v>
      </c>
      <c r="AR396" s="1" t="s">
        <v>74</v>
      </c>
      <c r="AS396" s="1" t="s">
        <v>74</v>
      </c>
      <c r="AT396" s="1" t="s">
        <v>695</v>
      </c>
      <c r="AU396" s="1">
        <v>2002.0</v>
      </c>
      <c r="AV396" s="1">
        <v>41.0</v>
      </c>
      <c r="AW396" s="1">
        <v>15.0</v>
      </c>
      <c r="AX396" s="1" t="s">
        <v>74</v>
      </c>
      <c r="AY396" s="1" t="s">
        <v>74</v>
      </c>
      <c r="AZ396" s="1" t="s">
        <v>74</v>
      </c>
      <c r="BA396" s="1" t="s">
        <v>74</v>
      </c>
      <c r="BB396" s="1">
        <v>2973.0</v>
      </c>
      <c r="BC396" s="1">
        <v>2977.0</v>
      </c>
      <c r="BD396" s="1" t="s">
        <v>74</v>
      </c>
      <c r="BE396" s="1" t="s">
        <v>4127</v>
      </c>
      <c r="BF396" s="2" t="str">
        <f>HYPERLINK("http://dx.doi.org/10.1364/AO.41.002973","http://dx.doi.org/10.1364/AO.41.002973")</f>
        <v>http://dx.doi.org/10.1364/AO.41.002973</v>
      </c>
      <c r="BG396" s="1" t="s">
        <v>74</v>
      </c>
      <c r="BH396" s="1" t="s">
        <v>74</v>
      </c>
      <c r="BI396" s="1" t="s">
        <v>74</v>
      </c>
      <c r="BJ396" s="1" t="s">
        <v>74</v>
      </c>
      <c r="BK396" s="1" t="s">
        <v>74</v>
      </c>
      <c r="BL396" s="1" t="s">
        <v>74</v>
      </c>
      <c r="BM396" s="1" t="s">
        <v>74</v>
      </c>
      <c r="BN396" s="1">
        <v>1.2027187E7</v>
      </c>
      <c r="BO396" s="1" t="s">
        <v>74</v>
      </c>
      <c r="BP396" s="1" t="s">
        <v>74</v>
      </c>
      <c r="BQ396" s="1" t="s">
        <v>74</v>
      </c>
      <c r="BR396" s="1" t="s">
        <v>74</v>
      </c>
      <c r="BS396" s="1" t="s">
        <v>4128</v>
      </c>
      <c r="BT396" s="1" t="str">
        <f>HYPERLINK("https%3A%2F%2Fwww.webofscience.com%2Fwos%2Fwoscc%2Ffull-record%2FWOS:000175697300031","View Full Record in Web of Science")</f>
        <v>View Full Record in Web of Science</v>
      </c>
    </row>
    <row r="397" ht="12.75" customHeight="1">
      <c r="A397" s="1" t="s">
        <v>72</v>
      </c>
      <c r="B397" s="1" t="s">
        <v>4129</v>
      </c>
      <c r="C397" s="1" t="s">
        <v>74</v>
      </c>
      <c r="D397" s="1" t="s">
        <v>74</v>
      </c>
      <c r="E397" s="1" t="s">
        <v>74</v>
      </c>
      <c r="F397" s="1" t="s">
        <v>4130</v>
      </c>
      <c r="G397" s="1" t="s">
        <v>74</v>
      </c>
      <c r="H397" s="1" t="s">
        <v>74</v>
      </c>
      <c r="I397" s="1" t="s">
        <v>4131</v>
      </c>
      <c r="J397" s="1" t="s">
        <v>3957</v>
      </c>
      <c r="K397" s="1" t="s">
        <v>74</v>
      </c>
      <c r="L397" s="1" t="s">
        <v>74</v>
      </c>
      <c r="M397" s="1" t="s">
        <v>74</v>
      </c>
      <c r="N397" s="1" t="s">
        <v>74</v>
      </c>
      <c r="O397" s="1" t="s">
        <v>74</v>
      </c>
      <c r="P397" s="1" t="s">
        <v>74</v>
      </c>
      <c r="Q397" s="1" t="s">
        <v>74</v>
      </c>
      <c r="R397" s="1" t="s">
        <v>74</v>
      </c>
      <c r="S397" s="1" t="s">
        <v>74</v>
      </c>
      <c r="T397" s="1" t="s">
        <v>74</v>
      </c>
      <c r="U397" s="1" t="s">
        <v>74</v>
      </c>
      <c r="V397" s="1" t="s">
        <v>4132</v>
      </c>
      <c r="W397" s="1" t="s">
        <v>74</v>
      </c>
      <c r="X397" s="1" t="s">
        <v>74</v>
      </c>
      <c r="Y397" s="1" t="s">
        <v>74</v>
      </c>
      <c r="Z397" s="1" t="s">
        <v>74</v>
      </c>
      <c r="AA397" s="1" t="s">
        <v>4133</v>
      </c>
      <c r="AB397" s="1" t="s">
        <v>4134</v>
      </c>
      <c r="AC397" s="1" t="s">
        <v>74</v>
      </c>
      <c r="AD397" s="1" t="s">
        <v>74</v>
      </c>
      <c r="AE397" s="1" t="s">
        <v>74</v>
      </c>
      <c r="AF397" s="1" t="s">
        <v>74</v>
      </c>
      <c r="AG397" s="1" t="s">
        <v>74</v>
      </c>
      <c r="AH397" s="1" t="s">
        <v>74</v>
      </c>
      <c r="AI397" s="1" t="s">
        <v>74</v>
      </c>
      <c r="AJ397" s="1" t="s">
        <v>74</v>
      </c>
      <c r="AK397" s="1" t="s">
        <v>74</v>
      </c>
      <c r="AL397" s="1" t="s">
        <v>74</v>
      </c>
      <c r="AM397" s="1" t="s">
        <v>74</v>
      </c>
      <c r="AN397" s="1" t="s">
        <v>74</v>
      </c>
      <c r="AO397" s="1" t="s">
        <v>74</v>
      </c>
      <c r="AP397" s="1" t="s">
        <v>3961</v>
      </c>
      <c r="AQ397" s="1" t="s">
        <v>74</v>
      </c>
      <c r="AR397" s="1" t="s">
        <v>74</v>
      </c>
      <c r="AS397" s="1" t="s">
        <v>74</v>
      </c>
      <c r="AT397" s="1" t="s">
        <v>464</v>
      </c>
      <c r="AU397" s="1">
        <v>2024.0</v>
      </c>
      <c r="AV397" s="1">
        <v>16.0</v>
      </c>
      <c r="AW397" s="1">
        <v>1.0</v>
      </c>
      <c r="AX397" s="1" t="s">
        <v>74</v>
      </c>
      <c r="AY397" s="1" t="s">
        <v>74</v>
      </c>
      <c r="AZ397" s="1" t="s">
        <v>74</v>
      </c>
      <c r="BA397" s="1" t="s">
        <v>74</v>
      </c>
      <c r="BB397" s="1" t="s">
        <v>74</v>
      </c>
      <c r="BC397" s="1" t="s">
        <v>74</v>
      </c>
      <c r="BD397" s="1">
        <v>129.0</v>
      </c>
      <c r="BE397" s="1" t="s">
        <v>4135</v>
      </c>
      <c r="BF397" s="2" t="str">
        <f>HYPERLINK("http://dx.doi.org/10.3390/polym16010129","http://dx.doi.org/10.3390/polym16010129")</f>
        <v>http://dx.doi.org/10.3390/polym16010129</v>
      </c>
      <c r="BG397" s="1" t="s">
        <v>74</v>
      </c>
      <c r="BH397" s="1" t="s">
        <v>74</v>
      </c>
      <c r="BI397" s="1" t="s">
        <v>74</v>
      </c>
      <c r="BJ397" s="1" t="s">
        <v>74</v>
      </c>
      <c r="BK397" s="1" t="s">
        <v>74</v>
      </c>
      <c r="BL397" s="1" t="s">
        <v>74</v>
      </c>
      <c r="BM397" s="1" t="s">
        <v>74</v>
      </c>
      <c r="BN397" s="1">
        <v>3.8201794E7</v>
      </c>
      <c r="BO397" s="1" t="s">
        <v>74</v>
      </c>
      <c r="BP397" s="1" t="s">
        <v>74</v>
      </c>
      <c r="BQ397" s="1" t="s">
        <v>74</v>
      </c>
      <c r="BR397" s="1" t="s">
        <v>74</v>
      </c>
      <c r="BS397" s="1" t="s">
        <v>4136</v>
      </c>
      <c r="BT397" s="1" t="str">
        <f>HYPERLINK("https%3A%2F%2Fwww.webofscience.com%2Fwos%2Fwoscc%2Ffull-record%2FWOS:001140615100001","View Full Record in Web of Science")</f>
        <v>View Full Record in Web of Science</v>
      </c>
    </row>
    <row r="398" ht="12.75" customHeight="1">
      <c r="A398" s="1" t="s">
        <v>72</v>
      </c>
      <c r="B398" s="1" t="s">
        <v>4137</v>
      </c>
      <c r="C398" s="1" t="s">
        <v>74</v>
      </c>
      <c r="D398" s="1" t="s">
        <v>74</v>
      </c>
      <c r="E398" s="1" t="s">
        <v>74</v>
      </c>
      <c r="F398" s="1" t="s">
        <v>4138</v>
      </c>
      <c r="G398" s="1" t="s">
        <v>74</v>
      </c>
      <c r="H398" s="1" t="s">
        <v>74</v>
      </c>
      <c r="I398" s="1" t="s">
        <v>4139</v>
      </c>
      <c r="J398" s="1" t="s">
        <v>4140</v>
      </c>
      <c r="K398" s="1" t="s">
        <v>74</v>
      </c>
      <c r="L398" s="1" t="s">
        <v>74</v>
      </c>
      <c r="M398" s="1" t="s">
        <v>74</v>
      </c>
      <c r="N398" s="1" t="s">
        <v>74</v>
      </c>
      <c r="O398" s="1" t="s">
        <v>74</v>
      </c>
      <c r="P398" s="1" t="s">
        <v>74</v>
      </c>
      <c r="Q398" s="1" t="s">
        <v>74</v>
      </c>
      <c r="R398" s="1" t="s">
        <v>74</v>
      </c>
      <c r="S398" s="1" t="s">
        <v>74</v>
      </c>
      <c r="T398" s="1" t="s">
        <v>74</v>
      </c>
      <c r="U398" s="1" t="s">
        <v>74</v>
      </c>
      <c r="V398" s="1" t="s">
        <v>4141</v>
      </c>
      <c r="W398" s="1" t="s">
        <v>74</v>
      </c>
      <c r="X398" s="1" t="s">
        <v>74</v>
      </c>
      <c r="Y398" s="1" t="s">
        <v>74</v>
      </c>
      <c r="Z398" s="1" t="s">
        <v>74</v>
      </c>
      <c r="AA398" s="1" t="s">
        <v>4142</v>
      </c>
      <c r="AB398" s="1" t="s">
        <v>74</v>
      </c>
      <c r="AC398" s="1" t="s">
        <v>74</v>
      </c>
      <c r="AD398" s="1" t="s">
        <v>74</v>
      </c>
      <c r="AE398" s="1" t="s">
        <v>74</v>
      </c>
      <c r="AF398" s="1" t="s">
        <v>74</v>
      </c>
      <c r="AG398" s="1" t="s">
        <v>74</v>
      </c>
      <c r="AH398" s="1" t="s">
        <v>74</v>
      </c>
      <c r="AI398" s="1" t="s">
        <v>74</v>
      </c>
      <c r="AJ398" s="1" t="s">
        <v>74</v>
      </c>
      <c r="AK398" s="1" t="s">
        <v>74</v>
      </c>
      <c r="AL398" s="1" t="s">
        <v>74</v>
      </c>
      <c r="AM398" s="1" t="s">
        <v>74</v>
      </c>
      <c r="AN398" s="1" t="s">
        <v>74</v>
      </c>
      <c r="AO398" s="1" t="s">
        <v>4143</v>
      </c>
      <c r="AP398" s="1" t="s">
        <v>4144</v>
      </c>
      <c r="AQ398" s="1" t="s">
        <v>74</v>
      </c>
      <c r="AR398" s="1" t="s">
        <v>74</v>
      </c>
      <c r="AS398" s="1" t="s">
        <v>74</v>
      </c>
      <c r="AT398" s="1" t="s">
        <v>464</v>
      </c>
      <c r="AU398" s="1">
        <v>2024.0</v>
      </c>
      <c r="AV398" s="1">
        <v>122.0</v>
      </c>
      <c r="AW398" s="1" t="s">
        <v>74</v>
      </c>
      <c r="AX398" s="1" t="s">
        <v>74</v>
      </c>
      <c r="AY398" s="1" t="s">
        <v>74</v>
      </c>
      <c r="AZ398" s="1" t="s">
        <v>74</v>
      </c>
      <c r="BA398" s="1" t="s">
        <v>74</v>
      </c>
      <c r="BB398" s="1" t="s">
        <v>74</v>
      </c>
      <c r="BC398" s="1" t="s">
        <v>74</v>
      </c>
      <c r="BD398" s="1">
        <v>155149.0</v>
      </c>
      <c r="BE398" s="1" t="s">
        <v>4145</v>
      </c>
      <c r="BF398" s="2" t="str">
        <f>HYPERLINK("http://dx.doi.org/10.1016/j.phymed.2023.155149","http://dx.doi.org/10.1016/j.phymed.2023.155149")</f>
        <v>http://dx.doi.org/10.1016/j.phymed.2023.155149</v>
      </c>
      <c r="BG398" s="1" t="s">
        <v>74</v>
      </c>
      <c r="BH398" s="1" t="s">
        <v>414</v>
      </c>
      <c r="BI398" s="1" t="s">
        <v>74</v>
      </c>
      <c r="BJ398" s="1" t="s">
        <v>74</v>
      </c>
      <c r="BK398" s="1" t="s">
        <v>74</v>
      </c>
      <c r="BL398" s="1" t="s">
        <v>74</v>
      </c>
      <c r="BM398" s="1" t="s">
        <v>74</v>
      </c>
      <c r="BN398" s="1">
        <v>3.7890444E7</v>
      </c>
      <c r="BO398" s="1" t="s">
        <v>74</v>
      </c>
      <c r="BP398" s="1" t="s">
        <v>74</v>
      </c>
      <c r="BQ398" s="1" t="s">
        <v>74</v>
      </c>
      <c r="BR398" s="1" t="s">
        <v>74</v>
      </c>
      <c r="BS398" s="1" t="s">
        <v>4146</v>
      </c>
      <c r="BT398" s="1" t="str">
        <f>HYPERLINK("https%3A%2F%2Fwww.webofscience.com%2Fwos%2Fwoscc%2Ffull-record%2FWOS:001103695300001","View Full Record in Web of Science")</f>
        <v>View Full Record in Web of Science</v>
      </c>
    </row>
    <row r="399" ht="12.75" customHeight="1">
      <c r="A399" s="1" t="s">
        <v>72</v>
      </c>
      <c r="B399" s="1" t="s">
        <v>4147</v>
      </c>
      <c r="C399" s="1" t="s">
        <v>74</v>
      </c>
      <c r="D399" s="1" t="s">
        <v>74</v>
      </c>
      <c r="E399" s="1" t="s">
        <v>74</v>
      </c>
      <c r="F399" s="1" t="s">
        <v>4148</v>
      </c>
      <c r="G399" s="1" t="s">
        <v>74</v>
      </c>
      <c r="H399" s="1" t="s">
        <v>74</v>
      </c>
      <c r="I399" s="1" t="s">
        <v>4149</v>
      </c>
      <c r="J399" s="1" t="s">
        <v>2969</v>
      </c>
      <c r="K399" s="1" t="s">
        <v>74</v>
      </c>
      <c r="L399" s="1" t="s">
        <v>74</v>
      </c>
      <c r="M399" s="1" t="s">
        <v>74</v>
      </c>
      <c r="N399" s="1" t="s">
        <v>74</v>
      </c>
      <c r="O399" s="1" t="s">
        <v>74</v>
      </c>
      <c r="P399" s="1" t="s">
        <v>74</v>
      </c>
      <c r="Q399" s="1" t="s">
        <v>74</v>
      </c>
      <c r="R399" s="1" t="s">
        <v>74</v>
      </c>
      <c r="S399" s="1" t="s">
        <v>74</v>
      </c>
      <c r="T399" s="1" t="s">
        <v>74</v>
      </c>
      <c r="U399" s="1" t="s">
        <v>74</v>
      </c>
      <c r="V399" s="1" t="s">
        <v>4150</v>
      </c>
      <c r="W399" s="1" t="s">
        <v>74</v>
      </c>
      <c r="X399" s="1" t="s">
        <v>74</v>
      </c>
      <c r="Y399" s="1" t="s">
        <v>74</v>
      </c>
      <c r="Z399" s="1" t="s">
        <v>74</v>
      </c>
      <c r="AA399" s="1" t="s">
        <v>4151</v>
      </c>
      <c r="AB399" s="1" t="s">
        <v>4152</v>
      </c>
      <c r="AC399" s="1" t="s">
        <v>74</v>
      </c>
      <c r="AD399" s="1" t="s">
        <v>74</v>
      </c>
      <c r="AE399" s="1" t="s">
        <v>74</v>
      </c>
      <c r="AF399" s="1" t="s">
        <v>74</v>
      </c>
      <c r="AG399" s="1" t="s">
        <v>74</v>
      </c>
      <c r="AH399" s="1" t="s">
        <v>74</v>
      </c>
      <c r="AI399" s="1" t="s">
        <v>74</v>
      </c>
      <c r="AJ399" s="1" t="s">
        <v>74</v>
      </c>
      <c r="AK399" s="1" t="s">
        <v>74</v>
      </c>
      <c r="AL399" s="1" t="s">
        <v>74</v>
      </c>
      <c r="AM399" s="1" t="s">
        <v>74</v>
      </c>
      <c r="AN399" s="1" t="s">
        <v>74</v>
      </c>
      <c r="AO399" s="1" t="s">
        <v>2973</v>
      </c>
      <c r="AP399" s="1" t="s">
        <v>2974</v>
      </c>
      <c r="AQ399" s="1" t="s">
        <v>74</v>
      </c>
      <c r="AR399" s="1" t="s">
        <v>74</v>
      </c>
      <c r="AS399" s="1" t="s">
        <v>74</v>
      </c>
      <c r="AT399" s="1" t="s">
        <v>155</v>
      </c>
      <c r="AU399" s="1">
        <v>2023.0</v>
      </c>
      <c r="AV399" s="1">
        <v>27.0</v>
      </c>
      <c r="AW399" s="1">
        <v>6.0</v>
      </c>
      <c r="AX399" s="1" t="s">
        <v>74</v>
      </c>
      <c r="AY399" s="1" t="s">
        <v>74</v>
      </c>
      <c r="AZ399" s="1" t="s">
        <v>399</v>
      </c>
      <c r="BA399" s="1" t="s">
        <v>74</v>
      </c>
      <c r="BB399" s="1">
        <v>1511.0</v>
      </c>
      <c r="BC399" s="1">
        <v>1521.0</v>
      </c>
      <c r="BD399" s="1" t="s">
        <v>74</v>
      </c>
      <c r="BE399" s="1" t="s">
        <v>4153</v>
      </c>
      <c r="BF399" s="2" t="str">
        <f>HYPERLINK("http://dx.doi.org/10.1007/s10008-023-05435-8","http://dx.doi.org/10.1007/s10008-023-05435-8")</f>
        <v>http://dx.doi.org/10.1007/s10008-023-05435-8</v>
      </c>
      <c r="BG399" s="1" t="s">
        <v>74</v>
      </c>
      <c r="BH399" s="1" t="s">
        <v>1749</v>
      </c>
      <c r="BI399" s="1" t="s">
        <v>74</v>
      </c>
      <c r="BJ399" s="1" t="s">
        <v>74</v>
      </c>
      <c r="BK399" s="1" t="s">
        <v>74</v>
      </c>
      <c r="BL399" s="1" t="s">
        <v>74</v>
      </c>
      <c r="BM399" s="1" t="s">
        <v>74</v>
      </c>
      <c r="BN399" s="1" t="s">
        <v>74</v>
      </c>
      <c r="BO399" s="1" t="s">
        <v>74</v>
      </c>
      <c r="BP399" s="1" t="s">
        <v>74</v>
      </c>
      <c r="BQ399" s="1" t="s">
        <v>74</v>
      </c>
      <c r="BR399" s="1" t="s">
        <v>74</v>
      </c>
      <c r="BS399" s="1" t="s">
        <v>4154</v>
      </c>
      <c r="BT399" s="1" t="str">
        <f>HYPERLINK("https%3A%2F%2Fwww.webofscience.com%2Fwos%2Fwoscc%2Ffull-record%2FWOS:000946437800001","View Full Record in Web of Science")</f>
        <v>View Full Record in Web of Science</v>
      </c>
    </row>
    <row r="400" ht="12.75" customHeight="1">
      <c r="A400" s="1" t="s">
        <v>72</v>
      </c>
      <c r="B400" s="1" t="s">
        <v>4155</v>
      </c>
      <c r="C400" s="1" t="s">
        <v>74</v>
      </c>
      <c r="D400" s="1" t="s">
        <v>74</v>
      </c>
      <c r="E400" s="1" t="s">
        <v>74</v>
      </c>
      <c r="F400" s="1" t="s">
        <v>4156</v>
      </c>
      <c r="G400" s="1" t="s">
        <v>74</v>
      </c>
      <c r="H400" s="1" t="s">
        <v>74</v>
      </c>
      <c r="I400" s="1" t="s">
        <v>4157</v>
      </c>
      <c r="J400" s="1" t="s">
        <v>3957</v>
      </c>
      <c r="K400" s="1" t="s">
        <v>74</v>
      </c>
      <c r="L400" s="1" t="s">
        <v>74</v>
      </c>
      <c r="M400" s="1" t="s">
        <v>74</v>
      </c>
      <c r="N400" s="1" t="s">
        <v>74</v>
      </c>
      <c r="O400" s="1" t="s">
        <v>74</v>
      </c>
      <c r="P400" s="1" t="s">
        <v>74</v>
      </c>
      <c r="Q400" s="1" t="s">
        <v>74</v>
      </c>
      <c r="R400" s="1" t="s">
        <v>74</v>
      </c>
      <c r="S400" s="1" t="s">
        <v>74</v>
      </c>
      <c r="T400" s="1" t="s">
        <v>74</v>
      </c>
      <c r="U400" s="1" t="s">
        <v>74</v>
      </c>
      <c r="V400" s="1" t="s">
        <v>4158</v>
      </c>
      <c r="W400" s="1" t="s">
        <v>74</v>
      </c>
      <c r="X400" s="1" t="s">
        <v>74</v>
      </c>
      <c r="Y400" s="1" t="s">
        <v>74</v>
      </c>
      <c r="Z400" s="1" t="s">
        <v>74</v>
      </c>
      <c r="AA400" s="1" t="s">
        <v>4159</v>
      </c>
      <c r="AB400" s="1" t="s">
        <v>4160</v>
      </c>
      <c r="AC400" s="1" t="s">
        <v>74</v>
      </c>
      <c r="AD400" s="1" t="s">
        <v>74</v>
      </c>
      <c r="AE400" s="1" t="s">
        <v>74</v>
      </c>
      <c r="AF400" s="1" t="s">
        <v>74</v>
      </c>
      <c r="AG400" s="1" t="s">
        <v>74</v>
      </c>
      <c r="AH400" s="1" t="s">
        <v>74</v>
      </c>
      <c r="AI400" s="1" t="s">
        <v>74</v>
      </c>
      <c r="AJ400" s="1" t="s">
        <v>74</v>
      </c>
      <c r="AK400" s="1" t="s">
        <v>74</v>
      </c>
      <c r="AL400" s="1" t="s">
        <v>74</v>
      </c>
      <c r="AM400" s="1" t="s">
        <v>74</v>
      </c>
      <c r="AN400" s="1" t="s">
        <v>74</v>
      </c>
      <c r="AO400" s="1" t="s">
        <v>74</v>
      </c>
      <c r="AP400" s="1" t="s">
        <v>3961</v>
      </c>
      <c r="AQ400" s="1" t="s">
        <v>74</v>
      </c>
      <c r="AR400" s="1" t="s">
        <v>74</v>
      </c>
      <c r="AS400" s="1" t="s">
        <v>74</v>
      </c>
      <c r="AT400" s="1" t="s">
        <v>96</v>
      </c>
      <c r="AU400" s="1">
        <v>2023.0</v>
      </c>
      <c r="AV400" s="1">
        <v>15.0</v>
      </c>
      <c r="AW400" s="1">
        <v>5.0</v>
      </c>
      <c r="AX400" s="1" t="s">
        <v>74</v>
      </c>
      <c r="AY400" s="1" t="s">
        <v>74</v>
      </c>
      <c r="AZ400" s="1" t="s">
        <v>74</v>
      </c>
      <c r="BA400" s="1" t="s">
        <v>74</v>
      </c>
      <c r="BB400" s="1" t="s">
        <v>74</v>
      </c>
      <c r="BC400" s="1" t="s">
        <v>74</v>
      </c>
      <c r="BD400" s="1">
        <v>1142.0</v>
      </c>
      <c r="BE400" s="1" t="s">
        <v>4161</v>
      </c>
      <c r="BF400" s="2" t="str">
        <f>HYPERLINK("http://dx.doi.org/10.3390/polym15051142","http://dx.doi.org/10.3390/polym15051142")</f>
        <v>http://dx.doi.org/10.3390/polym15051142</v>
      </c>
      <c r="BG400" s="1" t="s">
        <v>74</v>
      </c>
      <c r="BH400" s="1" t="s">
        <v>74</v>
      </c>
      <c r="BI400" s="1" t="s">
        <v>74</v>
      </c>
      <c r="BJ400" s="1" t="s">
        <v>74</v>
      </c>
      <c r="BK400" s="1" t="s">
        <v>74</v>
      </c>
      <c r="BL400" s="1" t="s">
        <v>74</v>
      </c>
      <c r="BM400" s="1" t="s">
        <v>74</v>
      </c>
      <c r="BN400" s="1">
        <v>3.6904386E7</v>
      </c>
      <c r="BO400" s="1" t="s">
        <v>74</v>
      </c>
      <c r="BP400" s="1" t="s">
        <v>74</v>
      </c>
      <c r="BQ400" s="1" t="s">
        <v>74</v>
      </c>
      <c r="BR400" s="1" t="s">
        <v>74</v>
      </c>
      <c r="BS400" s="1" t="s">
        <v>4162</v>
      </c>
      <c r="BT400" s="1" t="str">
        <f>HYPERLINK("https%3A%2F%2Fwww.webofscience.com%2Fwos%2Fwoscc%2Ffull-record%2FWOS:000948248700001","View Full Record in Web of Science")</f>
        <v>View Full Record in Web of Science</v>
      </c>
    </row>
    <row r="401" ht="12.75" customHeight="1">
      <c r="A401" s="1" t="s">
        <v>72</v>
      </c>
      <c r="B401" s="1" t="s">
        <v>4163</v>
      </c>
      <c r="C401" s="1" t="s">
        <v>74</v>
      </c>
      <c r="D401" s="1" t="s">
        <v>74</v>
      </c>
      <c r="E401" s="1" t="s">
        <v>74</v>
      </c>
      <c r="F401" s="1" t="s">
        <v>4164</v>
      </c>
      <c r="G401" s="1" t="s">
        <v>74</v>
      </c>
      <c r="H401" s="1" t="s">
        <v>74</v>
      </c>
      <c r="I401" s="1" t="s">
        <v>4165</v>
      </c>
      <c r="J401" s="1" t="s">
        <v>4166</v>
      </c>
      <c r="K401" s="1" t="s">
        <v>74</v>
      </c>
      <c r="L401" s="1" t="s">
        <v>74</v>
      </c>
      <c r="M401" s="1" t="s">
        <v>74</v>
      </c>
      <c r="N401" s="1" t="s">
        <v>74</v>
      </c>
      <c r="O401" s="1" t="s">
        <v>74</v>
      </c>
      <c r="P401" s="1" t="s">
        <v>74</v>
      </c>
      <c r="Q401" s="1" t="s">
        <v>74</v>
      </c>
      <c r="R401" s="1" t="s">
        <v>74</v>
      </c>
      <c r="S401" s="1" t="s">
        <v>74</v>
      </c>
      <c r="T401" s="1" t="s">
        <v>74</v>
      </c>
      <c r="U401" s="1" t="s">
        <v>74</v>
      </c>
      <c r="V401" s="1" t="s">
        <v>4167</v>
      </c>
      <c r="W401" s="1" t="s">
        <v>74</v>
      </c>
      <c r="X401" s="1" t="s">
        <v>74</v>
      </c>
      <c r="Y401" s="1" t="s">
        <v>74</v>
      </c>
      <c r="Z401" s="1" t="s">
        <v>74</v>
      </c>
      <c r="AA401" s="1" t="s">
        <v>4168</v>
      </c>
      <c r="AB401" s="1" t="s">
        <v>4169</v>
      </c>
      <c r="AC401" s="1" t="s">
        <v>74</v>
      </c>
      <c r="AD401" s="1" t="s">
        <v>74</v>
      </c>
      <c r="AE401" s="1" t="s">
        <v>74</v>
      </c>
      <c r="AF401" s="1" t="s">
        <v>74</v>
      </c>
      <c r="AG401" s="1" t="s">
        <v>74</v>
      </c>
      <c r="AH401" s="1" t="s">
        <v>74</v>
      </c>
      <c r="AI401" s="1" t="s">
        <v>74</v>
      </c>
      <c r="AJ401" s="1" t="s">
        <v>74</v>
      </c>
      <c r="AK401" s="1" t="s">
        <v>74</v>
      </c>
      <c r="AL401" s="1" t="s">
        <v>74</v>
      </c>
      <c r="AM401" s="1" t="s">
        <v>74</v>
      </c>
      <c r="AN401" s="1" t="s">
        <v>74</v>
      </c>
      <c r="AO401" s="1" t="s">
        <v>4170</v>
      </c>
      <c r="AP401" s="1" t="s">
        <v>4171</v>
      </c>
      <c r="AQ401" s="1" t="s">
        <v>74</v>
      </c>
      <c r="AR401" s="1" t="s">
        <v>74</v>
      </c>
      <c r="AS401" s="1" t="s">
        <v>74</v>
      </c>
      <c r="AT401" s="1" t="s">
        <v>74</v>
      </c>
      <c r="AU401" s="1">
        <v>2022.0</v>
      </c>
      <c r="AV401" s="1">
        <v>22.0</v>
      </c>
      <c r="AW401" s="1">
        <v>1.0</v>
      </c>
      <c r="AX401" s="1" t="s">
        <v>74</v>
      </c>
      <c r="AY401" s="1" t="s">
        <v>74</v>
      </c>
      <c r="AZ401" s="1" t="s">
        <v>74</v>
      </c>
      <c r="BA401" s="1" t="s">
        <v>74</v>
      </c>
      <c r="BB401" s="1">
        <v>9.0</v>
      </c>
      <c r="BC401" s="1">
        <v>14.0</v>
      </c>
      <c r="BD401" s="1" t="s">
        <v>74</v>
      </c>
      <c r="BE401" s="1" t="s">
        <v>4172</v>
      </c>
      <c r="BF401" s="2" t="str">
        <f>HYPERLINK("http://dx.doi.org/10.14589/ido.22.1.2","http://dx.doi.org/10.14589/ido.22.1.2")</f>
        <v>http://dx.doi.org/10.14589/ido.22.1.2</v>
      </c>
      <c r="BG401" s="1" t="s">
        <v>74</v>
      </c>
      <c r="BH401" s="1" t="s">
        <v>74</v>
      </c>
      <c r="BI401" s="1" t="s">
        <v>74</v>
      </c>
      <c r="BJ401" s="1" t="s">
        <v>74</v>
      </c>
      <c r="BK401" s="1" t="s">
        <v>74</v>
      </c>
      <c r="BL401" s="1" t="s">
        <v>74</v>
      </c>
      <c r="BM401" s="1" t="s">
        <v>74</v>
      </c>
      <c r="BN401" s="1" t="s">
        <v>74</v>
      </c>
      <c r="BO401" s="1" t="s">
        <v>74</v>
      </c>
      <c r="BP401" s="1" t="s">
        <v>74</v>
      </c>
      <c r="BQ401" s="1" t="s">
        <v>74</v>
      </c>
      <c r="BR401" s="1" t="s">
        <v>74</v>
      </c>
      <c r="BS401" s="1" t="s">
        <v>4173</v>
      </c>
      <c r="BT401" s="1" t="str">
        <f>HYPERLINK("https%3A%2F%2Fwww.webofscience.com%2Fwos%2Fwoscc%2Ffull-record%2FWOS:000739116000002","View Full Record in Web of Science")</f>
        <v>View Full Record in Web of Science</v>
      </c>
    </row>
    <row r="402" ht="12.75" customHeight="1">
      <c r="A402" s="1" t="s">
        <v>72</v>
      </c>
      <c r="B402" s="1" t="s">
        <v>4174</v>
      </c>
      <c r="C402" s="1" t="s">
        <v>74</v>
      </c>
      <c r="D402" s="1" t="s">
        <v>74</v>
      </c>
      <c r="E402" s="1" t="s">
        <v>74</v>
      </c>
      <c r="F402" s="1" t="s">
        <v>4175</v>
      </c>
      <c r="G402" s="1" t="s">
        <v>74</v>
      </c>
      <c r="H402" s="1" t="s">
        <v>74</v>
      </c>
      <c r="I402" s="1" t="s">
        <v>4176</v>
      </c>
      <c r="J402" s="1" t="s">
        <v>4177</v>
      </c>
      <c r="K402" s="1" t="s">
        <v>74</v>
      </c>
      <c r="L402" s="1" t="s">
        <v>74</v>
      </c>
      <c r="M402" s="1" t="s">
        <v>74</v>
      </c>
      <c r="N402" s="1" t="s">
        <v>74</v>
      </c>
      <c r="O402" s="1" t="s">
        <v>74</v>
      </c>
      <c r="P402" s="1" t="s">
        <v>74</v>
      </c>
      <c r="Q402" s="1" t="s">
        <v>74</v>
      </c>
      <c r="R402" s="1" t="s">
        <v>74</v>
      </c>
      <c r="S402" s="1" t="s">
        <v>74</v>
      </c>
      <c r="T402" s="1" t="s">
        <v>74</v>
      </c>
      <c r="U402" s="1" t="s">
        <v>74</v>
      </c>
      <c r="V402" s="1" t="s">
        <v>4178</v>
      </c>
      <c r="W402" s="1" t="s">
        <v>74</v>
      </c>
      <c r="X402" s="1" t="s">
        <v>74</v>
      </c>
      <c r="Y402" s="1" t="s">
        <v>74</v>
      </c>
      <c r="Z402" s="1" t="s">
        <v>74</v>
      </c>
      <c r="AA402" s="1" t="s">
        <v>3311</v>
      </c>
      <c r="AB402" s="1" t="s">
        <v>4179</v>
      </c>
      <c r="AC402" s="1" t="s">
        <v>74</v>
      </c>
      <c r="AD402" s="1" t="s">
        <v>74</v>
      </c>
      <c r="AE402" s="1" t="s">
        <v>74</v>
      </c>
      <c r="AF402" s="1" t="s">
        <v>74</v>
      </c>
      <c r="AG402" s="1" t="s">
        <v>74</v>
      </c>
      <c r="AH402" s="1" t="s">
        <v>74</v>
      </c>
      <c r="AI402" s="1" t="s">
        <v>74</v>
      </c>
      <c r="AJ402" s="1" t="s">
        <v>74</v>
      </c>
      <c r="AK402" s="1" t="s">
        <v>74</v>
      </c>
      <c r="AL402" s="1" t="s">
        <v>74</v>
      </c>
      <c r="AM402" s="1" t="s">
        <v>74</v>
      </c>
      <c r="AN402" s="1" t="s">
        <v>74</v>
      </c>
      <c r="AO402" s="1" t="s">
        <v>4180</v>
      </c>
      <c r="AP402" s="1" t="s">
        <v>74</v>
      </c>
      <c r="AQ402" s="1" t="s">
        <v>74</v>
      </c>
      <c r="AR402" s="1" t="s">
        <v>74</v>
      </c>
      <c r="AS402" s="1" t="s">
        <v>74</v>
      </c>
      <c r="AT402" s="1" t="s">
        <v>250</v>
      </c>
      <c r="AU402" s="1">
        <v>2020.0</v>
      </c>
      <c r="AV402" s="1">
        <v>157.0</v>
      </c>
      <c r="AW402" s="1" t="s">
        <v>74</v>
      </c>
      <c r="AX402" s="1" t="s">
        <v>74</v>
      </c>
      <c r="AY402" s="1" t="s">
        <v>74</v>
      </c>
      <c r="AZ402" s="1" t="s">
        <v>74</v>
      </c>
      <c r="BA402" s="1" t="s">
        <v>74</v>
      </c>
      <c r="BB402" s="1">
        <v>404.0</v>
      </c>
      <c r="BC402" s="1">
        <v>414.0</v>
      </c>
      <c r="BD402" s="1" t="s">
        <v>74</v>
      </c>
      <c r="BE402" s="1" t="s">
        <v>4181</v>
      </c>
      <c r="BF402" s="2" t="str">
        <f>HYPERLINK("http://dx.doi.org/10.1016/j.renene.2020.05.041","http://dx.doi.org/10.1016/j.renene.2020.05.041")</f>
        <v>http://dx.doi.org/10.1016/j.renene.2020.05.041</v>
      </c>
      <c r="BG402" s="1" t="s">
        <v>74</v>
      </c>
      <c r="BH402" s="1" t="s">
        <v>74</v>
      </c>
      <c r="BI402" s="1" t="s">
        <v>74</v>
      </c>
      <c r="BJ402" s="1" t="s">
        <v>74</v>
      </c>
      <c r="BK402" s="1" t="s">
        <v>74</v>
      </c>
      <c r="BL402" s="1" t="s">
        <v>74</v>
      </c>
      <c r="BM402" s="1" t="s">
        <v>74</v>
      </c>
      <c r="BN402" s="1" t="s">
        <v>74</v>
      </c>
      <c r="BO402" s="1" t="s">
        <v>74</v>
      </c>
      <c r="BP402" s="1" t="s">
        <v>74</v>
      </c>
      <c r="BQ402" s="1" t="s">
        <v>74</v>
      </c>
      <c r="BR402" s="1" t="s">
        <v>74</v>
      </c>
      <c r="BS402" s="1" t="s">
        <v>4182</v>
      </c>
      <c r="BT402" s="1" t="str">
        <f>HYPERLINK("https%3A%2F%2Fwww.webofscience.com%2Fwos%2Fwoscc%2Ffull-record%2FWOS:000541747100032","View Full Record in Web of Science")</f>
        <v>View Full Record in Web of Science</v>
      </c>
    </row>
    <row r="403" ht="12.75" customHeight="1">
      <c r="A403" s="1" t="s">
        <v>72</v>
      </c>
      <c r="B403" s="1" t="s">
        <v>4183</v>
      </c>
      <c r="C403" s="1" t="s">
        <v>74</v>
      </c>
      <c r="D403" s="1" t="s">
        <v>74</v>
      </c>
      <c r="E403" s="1" t="s">
        <v>74</v>
      </c>
      <c r="F403" s="1" t="s">
        <v>4184</v>
      </c>
      <c r="G403" s="1" t="s">
        <v>74</v>
      </c>
      <c r="H403" s="1" t="s">
        <v>74</v>
      </c>
      <c r="I403" s="1" t="s">
        <v>4185</v>
      </c>
      <c r="J403" s="1" t="s">
        <v>725</v>
      </c>
      <c r="K403" s="1" t="s">
        <v>74</v>
      </c>
      <c r="L403" s="1" t="s">
        <v>74</v>
      </c>
      <c r="M403" s="1" t="s">
        <v>74</v>
      </c>
      <c r="N403" s="1" t="s">
        <v>74</v>
      </c>
      <c r="O403" s="1" t="s">
        <v>74</v>
      </c>
      <c r="P403" s="1" t="s">
        <v>74</v>
      </c>
      <c r="Q403" s="1" t="s">
        <v>74</v>
      </c>
      <c r="R403" s="1" t="s">
        <v>74</v>
      </c>
      <c r="S403" s="1" t="s">
        <v>74</v>
      </c>
      <c r="T403" s="1" t="s">
        <v>74</v>
      </c>
      <c r="U403" s="1" t="s">
        <v>74</v>
      </c>
      <c r="V403" s="1" t="s">
        <v>4186</v>
      </c>
      <c r="W403" s="1" t="s">
        <v>74</v>
      </c>
      <c r="X403" s="1" t="s">
        <v>74</v>
      </c>
      <c r="Y403" s="1" t="s">
        <v>74</v>
      </c>
      <c r="Z403" s="1" t="s">
        <v>74</v>
      </c>
      <c r="AA403" s="1" t="s">
        <v>4187</v>
      </c>
      <c r="AB403" s="1" t="s">
        <v>4188</v>
      </c>
      <c r="AC403" s="1" t="s">
        <v>74</v>
      </c>
      <c r="AD403" s="1" t="s">
        <v>74</v>
      </c>
      <c r="AE403" s="1" t="s">
        <v>74</v>
      </c>
      <c r="AF403" s="1" t="s">
        <v>74</v>
      </c>
      <c r="AG403" s="1" t="s">
        <v>74</v>
      </c>
      <c r="AH403" s="1" t="s">
        <v>74</v>
      </c>
      <c r="AI403" s="1" t="s">
        <v>74</v>
      </c>
      <c r="AJ403" s="1" t="s">
        <v>74</v>
      </c>
      <c r="AK403" s="1" t="s">
        <v>74</v>
      </c>
      <c r="AL403" s="1" t="s">
        <v>74</v>
      </c>
      <c r="AM403" s="1" t="s">
        <v>74</v>
      </c>
      <c r="AN403" s="1" t="s">
        <v>74</v>
      </c>
      <c r="AO403" s="1" t="s">
        <v>729</v>
      </c>
      <c r="AP403" s="1" t="s">
        <v>74</v>
      </c>
      <c r="AQ403" s="1" t="s">
        <v>74</v>
      </c>
      <c r="AR403" s="1" t="s">
        <v>74</v>
      </c>
      <c r="AS403" s="1" t="s">
        <v>74</v>
      </c>
      <c r="AT403" s="1" t="s">
        <v>719</v>
      </c>
      <c r="AU403" s="1">
        <v>2020.0</v>
      </c>
      <c r="AV403" s="1">
        <v>46.0</v>
      </c>
      <c r="AW403" s="1" t="s">
        <v>74</v>
      </c>
      <c r="AX403" s="1" t="s">
        <v>74</v>
      </c>
      <c r="AY403" s="1" t="s">
        <v>74</v>
      </c>
      <c r="AZ403" s="1" t="s">
        <v>74</v>
      </c>
      <c r="BA403" s="1" t="s">
        <v>74</v>
      </c>
      <c r="BB403" s="1">
        <v>8.0</v>
      </c>
      <c r="BC403" s="1">
        <v>13.0</v>
      </c>
      <c r="BD403" s="1" t="s">
        <v>74</v>
      </c>
      <c r="BE403" s="1" t="s">
        <v>4189</v>
      </c>
      <c r="BF403" s="2" t="str">
        <f>HYPERLINK("http://dx.doi.org/10.1016/j.ejbt.2020.04.005","http://dx.doi.org/10.1016/j.ejbt.2020.04.005")</f>
        <v>http://dx.doi.org/10.1016/j.ejbt.2020.04.005</v>
      </c>
      <c r="BG403" s="1" t="s">
        <v>74</v>
      </c>
      <c r="BH403" s="1" t="s">
        <v>74</v>
      </c>
      <c r="BI403" s="1" t="s">
        <v>74</v>
      </c>
      <c r="BJ403" s="1" t="s">
        <v>74</v>
      </c>
      <c r="BK403" s="1" t="s">
        <v>74</v>
      </c>
      <c r="BL403" s="1" t="s">
        <v>74</v>
      </c>
      <c r="BM403" s="1" t="s">
        <v>74</v>
      </c>
      <c r="BN403" s="1" t="s">
        <v>74</v>
      </c>
      <c r="BO403" s="1" t="s">
        <v>74</v>
      </c>
      <c r="BP403" s="1" t="s">
        <v>74</v>
      </c>
      <c r="BQ403" s="1" t="s">
        <v>74</v>
      </c>
      <c r="BR403" s="1" t="s">
        <v>74</v>
      </c>
      <c r="BS403" s="1" t="s">
        <v>4190</v>
      </c>
      <c r="BT403" s="1" t="str">
        <f>HYPERLINK("https%3A%2F%2Fwww.webofscience.com%2Fwos%2Fwoscc%2Ffull-record%2FWOS:000557952300002","View Full Record in Web of Science")</f>
        <v>View Full Record in Web of Science</v>
      </c>
    </row>
    <row r="404" ht="12.75" customHeight="1">
      <c r="A404" s="1" t="s">
        <v>72</v>
      </c>
      <c r="B404" s="1" t="s">
        <v>4191</v>
      </c>
      <c r="C404" s="1" t="s">
        <v>74</v>
      </c>
      <c r="D404" s="1" t="s">
        <v>74</v>
      </c>
      <c r="E404" s="1" t="s">
        <v>74</v>
      </c>
      <c r="F404" s="1" t="s">
        <v>4192</v>
      </c>
      <c r="G404" s="1" t="s">
        <v>74</v>
      </c>
      <c r="H404" s="1" t="s">
        <v>74</v>
      </c>
      <c r="I404" s="1" t="s">
        <v>4193</v>
      </c>
      <c r="J404" s="1" t="s">
        <v>4194</v>
      </c>
      <c r="K404" s="1" t="s">
        <v>74</v>
      </c>
      <c r="L404" s="1" t="s">
        <v>74</v>
      </c>
      <c r="M404" s="1" t="s">
        <v>74</v>
      </c>
      <c r="N404" s="1" t="s">
        <v>74</v>
      </c>
      <c r="O404" s="1" t="s">
        <v>74</v>
      </c>
      <c r="P404" s="1" t="s">
        <v>74</v>
      </c>
      <c r="Q404" s="1" t="s">
        <v>74</v>
      </c>
      <c r="R404" s="1" t="s">
        <v>74</v>
      </c>
      <c r="S404" s="1" t="s">
        <v>74</v>
      </c>
      <c r="T404" s="1" t="s">
        <v>74</v>
      </c>
      <c r="U404" s="1" t="s">
        <v>74</v>
      </c>
      <c r="V404" s="1" t="s">
        <v>4195</v>
      </c>
      <c r="W404" s="1" t="s">
        <v>74</v>
      </c>
      <c r="X404" s="1" t="s">
        <v>74</v>
      </c>
      <c r="Y404" s="1" t="s">
        <v>74</v>
      </c>
      <c r="Z404" s="1" t="s">
        <v>74</v>
      </c>
      <c r="AA404" s="1" t="s">
        <v>74</v>
      </c>
      <c r="AB404" s="1" t="s">
        <v>4196</v>
      </c>
      <c r="AC404" s="1" t="s">
        <v>74</v>
      </c>
      <c r="AD404" s="1" t="s">
        <v>74</v>
      </c>
      <c r="AE404" s="1" t="s">
        <v>74</v>
      </c>
      <c r="AF404" s="1" t="s">
        <v>74</v>
      </c>
      <c r="AG404" s="1" t="s">
        <v>74</v>
      </c>
      <c r="AH404" s="1" t="s">
        <v>74</v>
      </c>
      <c r="AI404" s="1" t="s">
        <v>74</v>
      </c>
      <c r="AJ404" s="1" t="s">
        <v>74</v>
      </c>
      <c r="AK404" s="1" t="s">
        <v>74</v>
      </c>
      <c r="AL404" s="1" t="s">
        <v>74</v>
      </c>
      <c r="AM404" s="1" t="s">
        <v>74</v>
      </c>
      <c r="AN404" s="1" t="s">
        <v>74</v>
      </c>
      <c r="AO404" s="1" t="s">
        <v>4197</v>
      </c>
      <c r="AP404" s="1" t="s">
        <v>4198</v>
      </c>
      <c r="AQ404" s="1" t="s">
        <v>74</v>
      </c>
      <c r="AR404" s="1" t="s">
        <v>74</v>
      </c>
      <c r="AS404" s="1" t="s">
        <v>74</v>
      </c>
      <c r="AT404" s="1" t="s">
        <v>74</v>
      </c>
      <c r="AU404" s="1">
        <v>2020.0</v>
      </c>
      <c r="AV404" s="1">
        <v>18.0</v>
      </c>
      <c r="AW404" s="1">
        <v>3.0</v>
      </c>
      <c r="AX404" s="1" t="s">
        <v>74</v>
      </c>
      <c r="AY404" s="1" t="s">
        <v>74</v>
      </c>
      <c r="AZ404" s="1" t="s">
        <v>74</v>
      </c>
      <c r="BA404" s="1" t="s">
        <v>74</v>
      </c>
      <c r="BB404" s="1">
        <v>423.0</v>
      </c>
      <c r="BC404" s="1">
        <v>438.0</v>
      </c>
      <c r="BD404" s="1" t="s">
        <v>74</v>
      </c>
      <c r="BE404" s="1" t="s">
        <v>4199</v>
      </c>
      <c r="BF404" s="2" t="str">
        <f>HYPERLINK("http://dx.doi.org/10.14324/LRE.18.3.07","http://dx.doi.org/10.14324/LRE.18.3.07")</f>
        <v>http://dx.doi.org/10.14324/LRE.18.3.07</v>
      </c>
      <c r="BG404" s="1" t="s">
        <v>74</v>
      </c>
      <c r="BH404" s="1" t="s">
        <v>74</v>
      </c>
      <c r="BI404" s="1" t="s">
        <v>74</v>
      </c>
      <c r="BJ404" s="1" t="s">
        <v>74</v>
      </c>
      <c r="BK404" s="1" t="s">
        <v>74</v>
      </c>
      <c r="BL404" s="1" t="s">
        <v>74</v>
      </c>
      <c r="BM404" s="1" t="s">
        <v>74</v>
      </c>
      <c r="BN404" s="1" t="s">
        <v>74</v>
      </c>
      <c r="BO404" s="1" t="s">
        <v>74</v>
      </c>
      <c r="BP404" s="1" t="s">
        <v>74</v>
      </c>
      <c r="BQ404" s="1" t="s">
        <v>74</v>
      </c>
      <c r="BR404" s="1" t="s">
        <v>74</v>
      </c>
      <c r="BS404" s="1" t="s">
        <v>4200</v>
      </c>
      <c r="BT404" s="1" t="str">
        <f>HYPERLINK("https%3A%2F%2Fwww.webofscience.com%2Fwos%2Fwoscc%2Ffull-record%2FWOS:000639452700007","View Full Record in Web of Science")</f>
        <v>View Full Record in Web of Science</v>
      </c>
    </row>
    <row r="405" ht="12.75" customHeight="1">
      <c r="A405" s="1" t="s">
        <v>72</v>
      </c>
      <c r="B405" s="1" t="s">
        <v>4201</v>
      </c>
      <c r="C405" s="1" t="s">
        <v>74</v>
      </c>
      <c r="D405" s="1" t="s">
        <v>74</v>
      </c>
      <c r="E405" s="1" t="s">
        <v>74</v>
      </c>
      <c r="F405" s="1" t="s">
        <v>4202</v>
      </c>
      <c r="G405" s="1" t="s">
        <v>74</v>
      </c>
      <c r="H405" s="1" t="s">
        <v>74</v>
      </c>
      <c r="I405" s="1" t="s">
        <v>4203</v>
      </c>
      <c r="J405" s="1" t="s">
        <v>1285</v>
      </c>
      <c r="K405" s="1" t="s">
        <v>74</v>
      </c>
      <c r="L405" s="1" t="s">
        <v>74</v>
      </c>
      <c r="M405" s="1" t="s">
        <v>74</v>
      </c>
      <c r="N405" s="1" t="s">
        <v>74</v>
      </c>
      <c r="O405" s="1" t="s">
        <v>1286</v>
      </c>
      <c r="P405" s="1" t="s">
        <v>1287</v>
      </c>
      <c r="Q405" s="1" t="s">
        <v>1288</v>
      </c>
      <c r="R405" s="1" t="s">
        <v>1289</v>
      </c>
      <c r="S405" s="1" t="s">
        <v>74</v>
      </c>
      <c r="T405" s="1" t="s">
        <v>74</v>
      </c>
      <c r="U405" s="1" t="s">
        <v>74</v>
      </c>
      <c r="V405" s="1" t="s">
        <v>74</v>
      </c>
      <c r="W405" s="1" t="s">
        <v>74</v>
      </c>
      <c r="X405" s="1" t="s">
        <v>74</v>
      </c>
      <c r="Y405" s="1" t="s">
        <v>74</v>
      </c>
      <c r="Z405" s="1" t="s">
        <v>74</v>
      </c>
      <c r="AA405" s="1" t="s">
        <v>4204</v>
      </c>
      <c r="AB405" s="1" t="s">
        <v>1291</v>
      </c>
      <c r="AC405" s="1" t="s">
        <v>74</v>
      </c>
      <c r="AD405" s="1" t="s">
        <v>74</v>
      </c>
      <c r="AE405" s="1" t="s">
        <v>74</v>
      </c>
      <c r="AF405" s="1" t="s">
        <v>74</v>
      </c>
      <c r="AG405" s="1" t="s">
        <v>74</v>
      </c>
      <c r="AH405" s="1" t="s">
        <v>74</v>
      </c>
      <c r="AI405" s="1" t="s">
        <v>74</v>
      </c>
      <c r="AJ405" s="1" t="s">
        <v>74</v>
      </c>
      <c r="AK405" s="1" t="s">
        <v>74</v>
      </c>
      <c r="AL405" s="1" t="s">
        <v>74</v>
      </c>
      <c r="AM405" s="1" t="s">
        <v>74</v>
      </c>
      <c r="AN405" s="1" t="s">
        <v>74</v>
      </c>
      <c r="AO405" s="1" t="s">
        <v>1292</v>
      </c>
      <c r="AP405" s="1" t="s">
        <v>1293</v>
      </c>
      <c r="AQ405" s="1" t="s">
        <v>74</v>
      </c>
      <c r="AR405" s="1" t="s">
        <v>74</v>
      </c>
      <c r="AS405" s="1" t="s">
        <v>74</v>
      </c>
      <c r="AT405" s="1" t="s">
        <v>377</v>
      </c>
      <c r="AU405" s="1">
        <v>2017.0</v>
      </c>
      <c r="AV405" s="1">
        <v>49.0</v>
      </c>
      <c r="AW405" s="1">
        <v>5.0</v>
      </c>
      <c r="AX405" s="1" t="s">
        <v>74</v>
      </c>
      <c r="AY405" s="1">
        <v>1.0</v>
      </c>
      <c r="AZ405" s="1" t="s">
        <v>74</v>
      </c>
      <c r="BA405" s="1">
        <v>3753.0</v>
      </c>
      <c r="BB405" s="1">
        <v>1079.0</v>
      </c>
      <c r="BC405" s="1">
        <v>1079.0</v>
      </c>
      <c r="BD405" s="1" t="s">
        <v>74</v>
      </c>
      <c r="BE405" s="1" t="s">
        <v>4205</v>
      </c>
      <c r="BF405" s="2" t="str">
        <f>HYPERLINK("http://dx.doi.org/10.1249/01.mss.0000519968.27014.59","http://dx.doi.org/10.1249/01.mss.0000519968.27014.59")</f>
        <v>http://dx.doi.org/10.1249/01.mss.0000519968.27014.59</v>
      </c>
      <c r="BG405" s="1" t="s">
        <v>74</v>
      </c>
      <c r="BH405" s="1" t="s">
        <v>74</v>
      </c>
      <c r="BI405" s="1" t="s">
        <v>74</v>
      </c>
      <c r="BJ405" s="1" t="s">
        <v>74</v>
      </c>
      <c r="BK405" s="1" t="s">
        <v>74</v>
      </c>
      <c r="BL405" s="1" t="s">
        <v>74</v>
      </c>
      <c r="BM405" s="1" t="s">
        <v>74</v>
      </c>
      <c r="BN405" s="1" t="s">
        <v>74</v>
      </c>
      <c r="BO405" s="1" t="s">
        <v>74</v>
      </c>
      <c r="BP405" s="1" t="s">
        <v>74</v>
      </c>
      <c r="BQ405" s="1" t="s">
        <v>74</v>
      </c>
      <c r="BR405" s="1" t="s">
        <v>74</v>
      </c>
      <c r="BS405" s="1" t="s">
        <v>4206</v>
      </c>
      <c r="BT405" s="1" t="str">
        <f>HYPERLINK("https%3A%2F%2Fwww.webofscience.com%2Fwos%2Fwoscc%2Ffull-record%2FWOS:000415216000741","View Full Record in Web of Science")</f>
        <v>View Full Record in Web of Science</v>
      </c>
    </row>
    <row r="406" ht="12.75" customHeight="1">
      <c r="A406" s="1" t="s">
        <v>72</v>
      </c>
      <c r="B406" s="1" t="s">
        <v>4207</v>
      </c>
      <c r="C406" s="1" t="s">
        <v>74</v>
      </c>
      <c r="D406" s="1" t="s">
        <v>74</v>
      </c>
      <c r="E406" s="1" t="s">
        <v>74</v>
      </c>
      <c r="F406" s="1" t="s">
        <v>4208</v>
      </c>
      <c r="G406" s="1" t="s">
        <v>74</v>
      </c>
      <c r="H406" s="1" t="s">
        <v>74</v>
      </c>
      <c r="I406" s="1" t="s">
        <v>4209</v>
      </c>
      <c r="J406" s="1" t="s">
        <v>2676</v>
      </c>
      <c r="K406" s="1" t="s">
        <v>74</v>
      </c>
      <c r="L406" s="1" t="s">
        <v>74</v>
      </c>
      <c r="M406" s="1" t="s">
        <v>74</v>
      </c>
      <c r="N406" s="1" t="s">
        <v>74</v>
      </c>
      <c r="O406" s="1" t="s">
        <v>74</v>
      </c>
      <c r="P406" s="1" t="s">
        <v>74</v>
      </c>
      <c r="Q406" s="1" t="s">
        <v>74</v>
      </c>
      <c r="R406" s="1" t="s">
        <v>74</v>
      </c>
      <c r="S406" s="1" t="s">
        <v>74</v>
      </c>
      <c r="T406" s="1" t="s">
        <v>74</v>
      </c>
      <c r="U406" s="1" t="s">
        <v>74</v>
      </c>
      <c r="V406" s="1" t="s">
        <v>4210</v>
      </c>
      <c r="W406" s="1" t="s">
        <v>74</v>
      </c>
      <c r="X406" s="1" t="s">
        <v>74</v>
      </c>
      <c r="Y406" s="1" t="s">
        <v>74</v>
      </c>
      <c r="Z406" s="1" t="s">
        <v>74</v>
      </c>
      <c r="AA406" s="1" t="s">
        <v>4211</v>
      </c>
      <c r="AB406" s="1" t="s">
        <v>4212</v>
      </c>
      <c r="AC406" s="1" t="s">
        <v>74</v>
      </c>
      <c r="AD406" s="1" t="s">
        <v>74</v>
      </c>
      <c r="AE406" s="1" t="s">
        <v>74</v>
      </c>
      <c r="AF406" s="1" t="s">
        <v>74</v>
      </c>
      <c r="AG406" s="1" t="s">
        <v>74</v>
      </c>
      <c r="AH406" s="1" t="s">
        <v>74</v>
      </c>
      <c r="AI406" s="1" t="s">
        <v>74</v>
      </c>
      <c r="AJ406" s="1" t="s">
        <v>74</v>
      </c>
      <c r="AK406" s="1" t="s">
        <v>74</v>
      </c>
      <c r="AL406" s="1" t="s">
        <v>74</v>
      </c>
      <c r="AM406" s="1" t="s">
        <v>74</v>
      </c>
      <c r="AN406" s="1" t="s">
        <v>74</v>
      </c>
      <c r="AO406" s="1" t="s">
        <v>2679</v>
      </c>
      <c r="AP406" s="1" t="s">
        <v>74</v>
      </c>
      <c r="AQ406" s="1" t="s">
        <v>74</v>
      </c>
      <c r="AR406" s="1" t="s">
        <v>74</v>
      </c>
      <c r="AS406" s="1" t="s">
        <v>74</v>
      </c>
      <c r="AT406" s="1" t="s">
        <v>74</v>
      </c>
      <c r="AU406" s="1">
        <v>2017.0</v>
      </c>
      <c r="AV406" s="1" t="s">
        <v>74</v>
      </c>
      <c r="AW406" s="1">
        <v>54.0</v>
      </c>
      <c r="AX406" s="1" t="s">
        <v>74</v>
      </c>
      <c r="AY406" s="1" t="s">
        <v>74</v>
      </c>
      <c r="AZ406" s="1" t="s">
        <v>74</v>
      </c>
      <c r="BA406" s="1" t="s">
        <v>74</v>
      </c>
      <c r="BB406" s="1">
        <v>37.0</v>
      </c>
      <c r="BC406" s="1">
        <v>64.0</v>
      </c>
      <c r="BD406" s="1" t="s">
        <v>74</v>
      </c>
      <c r="BE406" s="1" t="s">
        <v>74</v>
      </c>
      <c r="BF406" s="1" t="s">
        <v>74</v>
      </c>
      <c r="BG406" s="1" t="s">
        <v>74</v>
      </c>
      <c r="BH406" s="1" t="s">
        <v>74</v>
      </c>
      <c r="BI406" s="1" t="s">
        <v>74</v>
      </c>
      <c r="BJ406" s="1" t="s">
        <v>74</v>
      </c>
      <c r="BK406" s="1" t="s">
        <v>74</v>
      </c>
      <c r="BL406" s="1" t="s">
        <v>74</v>
      </c>
      <c r="BM406" s="1" t="s">
        <v>74</v>
      </c>
      <c r="BN406" s="1" t="s">
        <v>74</v>
      </c>
      <c r="BO406" s="1" t="s">
        <v>74</v>
      </c>
      <c r="BP406" s="1" t="s">
        <v>74</v>
      </c>
      <c r="BQ406" s="1" t="s">
        <v>74</v>
      </c>
      <c r="BR406" s="1" t="s">
        <v>74</v>
      </c>
      <c r="BS406" s="1" t="s">
        <v>4213</v>
      </c>
      <c r="BT406" s="1" t="str">
        <f>HYPERLINK("https%3A%2F%2Fwww.webofscience.com%2Fwos%2Fwoscc%2Ffull-record%2FWOS:000416108300003","View Full Record in Web of Science")</f>
        <v>View Full Record in Web of Science</v>
      </c>
    </row>
    <row r="407" ht="12.75" customHeight="1">
      <c r="A407" s="1" t="s">
        <v>72</v>
      </c>
      <c r="B407" s="1" t="s">
        <v>4214</v>
      </c>
      <c r="C407" s="1" t="s">
        <v>74</v>
      </c>
      <c r="D407" s="1" t="s">
        <v>74</v>
      </c>
      <c r="E407" s="1" t="s">
        <v>74</v>
      </c>
      <c r="F407" s="1" t="s">
        <v>4215</v>
      </c>
      <c r="G407" s="1" t="s">
        <v>74</v>
      </c>
      <c r="H407" s="1" t="s">
        <v>74</v>
      </c>
      <c r="I407" s="1" t="s">
        <v>4216</v>
      </c>
      <c r="J407" s="1" t="s">
        <v>4217</v>
      </c>
      <c r="K407" s="1" t="s">
        <v>74</v>
      </c>
      <c r="L407" s="1" t="s">
        <v>74</v>
      </c>
      <c r="M407" s="1" t="s">
        <v>74</v>
      </c>
      <c r="N407" s="1" t="s">
        <v>74</v>
      </c>
      <c r="O407" s="1" t="s">
        <v>74</v>
      </c>
      <c r="P407" s="1" t="s">
        <v>74</v>
      </c>
      <c r="Q407" s="1" t="s">
        <v>74</v>
      </c>
      <c r="R407" s="1" t="s">
        <v>74</v>
      </c>
      <c r="S407" s="1" t="s">
        <v>74</v>
      </c>
      <c r="T407" s="1" t="s">
        <v>74</v>
      </c>
      <c r="U407" s="1" t="s">
        <v>74</v>
      </c>
      <c r="V407" s="1" t="s">
        <v>4218</v>
      </c>
      <c r="W407" s="1" t="s">
        <v>74</v>
      </c>
      <c r="X407" s="1" t="s">
        <v>74</v>
      </c>
      <c r="Y407" s="1" t="s">
        <v>74</v>
      </c>
      <c r="Z407" s="1" t="s">
        <v>74</v>
      </c>
      <c r="AA407" s="1" t="s">
        <v>4219</v>
      </c>
      <c r="AB407" s="1" t="s">
        <v>4220</v>
      </c>
      <c r="AC407" s="1" t="s">
        <v>74</v>
      </c>
      <c r="AD407" s="1" t="s">
        <v>74</v>
      </c>
      <c r="AE407" s="1" t="s">
        <v>74</v>
      </c>
      <c r="AF407" s="1" t="s">
        <v>74</v>
      </c>
      <c r="AG407" s="1" t="s">
        <v>74</v>
      </c>
      <c r="AH407" s="1" t="s">
        <v>74</v>
      </c>
      <c r="AI407" s="1" t="s">
        <v>74</v>
      </c>
      <c r="AJ407" s="1" t="s">
        <v>74</v>
      </c>
      <c r="AK407" s="1" t="s">
        <v>74</v>
      </c>
      <c r="AL407" s="1" t="s">
        <v>74</v>
      </c>
      <c r="AM407" s="1" t="s">
        <v>74</v>
      </c>
      <c r="AN407" s="1" t="s">
        <v>74</v>
      </c>
      <c r="AO407" s="1" t="s">
        <v>4221</v>
      </c>
      <c r="AP407" s="1" t="s">
        <v>4222</v>
      </c>
      <c r="AQ407" s="1" t="s">
        <v>74</v>
      </c>
      <c r="AR407" s="1" t="s">
        <v>74</v>
      </c>
      <c r="AS407" s="1" t="s">
        <v>74</v>
      </c>
      <c r="AT407" s="1" t="s">
        <v>74</v>
      </c>
      <c r="AU407" s="1">
        <v>2016.0</v>
      </c>
      <c r="AV407" s="1">
        <v>19.0</v>
      </c>
      <c r="AW407" s="1">
        <v>10.0</v>
      </c>
      <c r="AX407" s="1" t="s">
        <v>74</v>
      </c>
      <c r="AY407" s="1" t="s">
        <v>74</v>
      </c>
      <c r="AZ407" s="1" t="s">
        <v>74</v>
      </c>
      <c r="BA407" s="1" t="s">
        <v>74</v>
      </c>
      <c r="BB407" s="1">
        <v>841.0</v>
      </c>
      <c r="BC407" s="1">
        <v>851.0</v>
      </c>
      <c r="BD407" s="1" t="s">
        <v>74</v>
      </c>
      <c r="BE407" s="1" t="s">
        <v>4223</v>
      </c>
      <c r="BF407" s="2" t="str">
        <f>HYPERLINK("http://dx.doi.org/10.1615/JPorMedia.v19.i10.10","http://dx.doi.org/10.1615/JPorMedia.v19.i10.10")</f>
        <v>http://dx.doi.org/10.1615/JPorMedia.v19.i10.10</v>
      </c>
      <c r="BG407" s="1" t="s">
        <v>74</v>
      </c>
      <c r="BH407" s="1" t="s">
        <v>74</v>
      </c>
      <c r="BI407" s="1" t="s">
        <v>74</v>
      </c>
      <c r="BJ407" s="1" t="s">
        <v>74</v>
      </c>
      <c r="BK407" s="1" t="s">
        <v>74</v>
      </c>
      <c r="BL407" s="1" t="s">
        <v>74</v>
      </c>
      <c r="BM407" s="1" t="s">
        <v>74</v>
      </c>
      <c r="BN407" s="1" t="s">
        <v>74</v>
      </c>
      <c r="BO407" s="1" t="s">
        <v>74</v>
      </c>
      <c r="BP407" s="1" t="s">
        <v>74</v>
      </c>
      <c r="BQ407" s="1" t="s">
        <v>74</v>
      </c>
      <c r="BR407" s="1" t="s">
        <v>74</v>
      </c>
      <c r="BS407" s="1" t="s">
        <v>4224</v>
      </c>
      <c r="BT407" s="1" t="str">
        <f>HYPERLINK("https%3A%2F%2Fwww.webofscience.com%2Fwos%2Fwoscc%2Ffull-record%2FWOS:000385397000001","View Full Record in Web of Science")</f>
        <v>View Full Record in Web of Science</v>
      </c>
    </row>
    <row r="408" ht="12.75" customHeight="1">
      <c r="A408" s="1" t="s">
        <v>72</v>
      </c>
      <c r="B408" s="1" t="s">
        <v>4225</v>
      </c>
      <c r="C408" s="1" t="s">
        <v>74</v>
      </c>
      <c r="D408" s="1" t="s">
        <v>74</v>
      </c>
      <c r="E408" s="1" t="s">
        <v>74</v>
      </c>
      <c r="F408" s="1" t="s">
        <v>4226</v>
      </c>
      <c r="G408" s="1" t="s">
        <v>74</v>
      </c>
      <c r="H408" s="1" t="s">
        <v>74</v>
      </c>
      <c r="I408" s="1" t="s">
        <v>4227</v>
      </c>
      <c r="J408" s="1" t="s">
        <v>2207</v>
      </c>
      <c r="K408" s="1" t="s">
        <v>74</v>
      </c>
      <c r="L408" s="1" t="s">
        <v>74</v>
      </c>
      <c r="M408" s="1" t="s">
        <v>74</v>
      </c>
      <c r="N408" s="1" t="s">
        <v>74</v>
      </c>
      <c r="O408" s="1" t="s">
        <v>74</v>
      </c>
      <c r="P408" s="1" t="s">
        <v>74</v>
      </c>
      <c r="Q408" s="1" t="s">
        <v>74</v>
      </c>
      <c r="R408" s="1" t="s">
        <v>74</v>
      </c>
      <c r="S408" s="1" t="s">
        <v>74</v>
      </c>
      <c r="T408" s="1" t="s">
        <v>74</v>
      </c>
      <c r="U408" s="1" t="s">
        <v>74</v>
      </c>
      <c r="V408" s="1" t="s">
        <v>4228</v>
      </c>
      <c r="W408" s="1" t="s">
        <v>74</v>
      </c>
      <c r="X408" s="1" t="s">
        <v>74</v>
      </c>
      <c r="Y408" s="1" t="s">
        <v>74</v>
      </c>
      <c r="Z408" s="1" t="s">
        <v>74</v>
      </c>
      <c r="AA408" s="1" t="s">
        <v>4229</v>
      </c>
      <c r="AB408" s="1" t="s">
        <v>4230</v>
      </c>
      <c r="AC408" s="1" t="s">
        <v>74</v>
      </c>
      <c r="AD408" s="1" t="s">
        <v>74</v>
      </c>
      <c r="AE408" s="1" t="s">
        <v>74</v>
      </c>
      <c r="AF408" s="1" t="s">
        <v>74</v>
      </c>
      <c r="AG408" s="1" t="s">
        <v>74</v>
      </c>
      <c r="AH408" s="1" t="s">
        <v>74</v>
      </c>
      <c r="AI408" s="1" t="s">
        <v>74</v>
      </c>
      <c r="AJ408" s="1" t="s">
        <v>74</v>
      </c>
      <c r="AK408" s="1" t="s">
        <v>74</v>
      </c>
      <c r="AL408" s="1" t="s">
        <v>74</v>
      </c>
      <c r="AM408" s="1" t="s">
        <v>74</v>
      </c>
      <c r="AN408" s="1" t="s">
        <v>74</v>
      </c>
      <c r="AO408" s="1" t="s">
        <v>2211</v>
      </c>
      <c r="AP408" s="1" t="s">
        <v>2212</v>
      </c>
      <c r="AQ408" s="1" t="s">
        <v>74</v>
      </c>
      <c r="AR408" s="1" t="s">
        <v>74</v>
      </c>
      <c r="AS408" s="1" t="s">
        <v>74</v>
      </c>
      <c r="AT408" s="1" t="s">
        <v>559</v>
      </c>
      <c r="AU408" s="1">
        <v>2013.0</v>
      </c>
      <c r="AV408" s="1">
        <v>348.0</v>
      </c>
      <c r="AW408" s="1" t="s">
        <v>74</v>
      </c>
      <c r="AX408" s="1" t="s">
        <v>74</v>
      </c>
      <c r="AY408" s="1" t="s">
        <v>74</v>
      </c>
      <c r="AZ408" s="1" t="s">
        <v>74</v>
      </c>
      <c r="BA408" s="1" t="s">
        <v>74</v>
      </c>
      <c r="BB408" s="1">
        <v>154.0</v>
      </c>
      <c r="BC408" s="1">
        <v>159.0</v>
      </c>
      <c r="BD408" s="1" t="s">
        <v>74</v>
      </c>
      <c r="BE408" s="1" t="s">
        <v>4231</v>
      </c>
      <c r="BF408" s="2" t="str">
        <f>HYPERLINK("http://dx.doi.org/10.1016/j.jmmm.2013.08.029","http://dx.doi.org/10.1016/j.jmmm.2013.08.029")</f>
        <v>http://dx.doi.org/10.1016/j.jmmm.2013.08.029</v>
      </c>
      <c r="BG408" s="1" t="s">
        <v>74</v>
      </c>
      <c r="BH408" s="1" t="s">
        <v>74</v>
      </c>
      <c r="BI408" s="1" t="s">
        <v>74</v>
      </c>
      <c r="BJ408" s="1" t="s">
        <v>74</v>
      </c>
      <c r="BK408" s="1" t="s">
        <v>74</v>
      </c>
      <c r="BL408" s="1" t="s">
        <v>74</v>
      </c>
      <c r="BM408" s="1" t="s">
        <v>74</v>
      </c>
      <c r="BN408" s="1" t="s">
        <v>74</v>
      </c>
      <c r="BO408" s="1" t="s">
        <v>74</v>
      </c>
      <c r="BP408" s="1" t="s">
        <v>74</v>
      </c>
      <c r="BQ408" s="1" t="s">
        <v>74</v>
      </c>
      <c r="BR408" s="1" t="s">
        <v>74</v>
      </c>
      <c r="BS408" s="1" t="s">
        <v>4232</v>
      </c>
      <c r="BT408" s="1" t="str">
        <f>HYPERLINK("https%3A%2F%2Fwww.webofscience.com%2Fwos%2Fwoscc%2Ffull-record%2FWOS:000324812400025","View Full Record in Web of Science")</f>
        <v>View Full Record in Web of Science</v>
      </c>
    </row>
    <row r="409" ht="12.75" customHeight="1">
      <c r="A409" s="1" t="s">
        <v>72</v>
      </c>
      <c r="B409" s="1" t="s">
        <v>4233</v>
      </c>
      <c r="C409" s="1" t="s">
        <v>74</v>
      </c>
      <c r="D409" s="1" t="s">
        <v>74</v>
      </c>
      <c r="E409" s="1" t="s">
        <v>74</v>
      </c>
      <c r="F409" s="1" t="s">
        <v>4234</v>
      </c>
      <c r="G409" s="1" t="s">
        <v>74</v>
      </c>
      <c r="H409" s="1" t="s">
        <v>74</v>
      </c>
      <c r="I409" s="1" t="s">
        <v>4235</v>
      </c>
      <c r="J409" s="1" t="s">
        <v>4236</v>
      </c>
      <c r="K409" s="1" t="s">
        <v>74</v>
      </c>
      <c r="L409" s="1" t="s">
        <v>74</v>
      </c>
      <c r="M409" s="1" t="s">
        <v>74</v>
      </c>
      <c r="N409" s="1" t="s">
        <v>74</v>
      </c>
      <c r="O409" s="1" t="s">
        <v>74</v>
      </c>
      <c r="P409" s="1" t="s">
        <v>74</v>
      </c>
      <c r="Q409" s="1" t="s">
        <v>74</v>
      </c>
      <c r="R409" s="1" t="s">
        <v>74</v>
      </c>
      <c r="S409" s="1" t="s">
        <v>74</v>
      </c>
      <c r="T409" s="1" t="s">
        <v>74</v>
      </c>
      <c r="U409" s="1" t="s">
        <v>74</v>
      </c>
      <c r="V409" s="1" t="s">
        <v>4237</v>
      </c>
      <c r="W409" s="1" t="s">
        <v>74</v>
      </c>
      <c r="X409" s="1" t="s">
        <v>74</v>
      </c>
      <c r="Y409" s="1" t="s">
        <v>74</v>
      </c>
      <c r="Z409" s="1" t="s">
        <v>74</v>
      </c>
      <c r="AA409" s="1" t="s">
        <v>4238</v>
      </c>
      <c r="AB409" s="1" t="s">
        <v>4239</v>
      </c>
      <c r="AC409" s="1" t="s">
        <v>74</v>
      </c>
      <c r="AD409" s="1" t="s">
        <v>74</v>
      </c>
      <c r="AE409" s="1" t="s">
        <v>74</v>
      </c>
      <c r="AF409" s="1" t="s">
        <v>74</v>
      </c>
      <c r="AG409" s="1" t="s">
        <v>74</v>
      </c>
      <c r="AH409" s="1" t="s">
        <v>74</v>
      </c>
      <c r="AI409" s="1" t="s">
        <v>74</v>
      </c>
      <c r="AJ409" s="1" t="s">
        <v>74</v>
      </c>
      <c r="AK409" s="1" t="s">
        <v>74</v>
      </c>
      <c r="AL409" s="1" t="s">
        <v>74</v>
      </c>
      <c r="AM409" s="1" t="s">
        <v>74</v>
      </c>
      <c r="AN409" s="1" t="s">
        <v>74</v>
      </c>
      <c r="AO409" s="1" t="s">
        <v>4240</v>
      </c>
      <c r="AP409" s="1" t="s">
        <v>4241</v>
      </c>
      <c r="AQ409" s="1" t="s">
        <v>74</v>
      </c>
      <c r="AR409" s="1" t="s">
        <v>74</v>
      </c>
      <c r="AS409" s="1" t="s">
        <v>74</v>
      </c>
      <c r="AT409" s="1" t="s">
        <v>559</v>
      </c>
      <c r="AU409" s="1">
        <v>2011.0</v>
      </c>
      <c r="AV409" s="1">
        <v>44.0</v>
      </c>
      <c r="AW409" s="1">
        <v>10.0</v>
      </c>
      <c r="AX409" s="1" t="s">
        <v>74</v>
      </c>
      <c r="AY409" s="1" t="s">
        <v>74</v>
      </c>
      <c r="AZ409" s="1" t="s">
        <v>74</v>
      </c>
      <c r="BA409" s="1" t="s">
        <v>74</v>
      </c>
      <c r="BB409" s="1">
        <v>2112.0</v>
      </c>
      <c r="BC409" s="1">
        <v>2118.0</v>
      </c>
      <c r="BD409" s="1" t="s">
        <v>74</v>
      </c>
      <c r="BE409" s="1" t="s">
        <v>4242</v>
      </c>
      <c r="BF409" s="2" t="str">
        <f>HYPERLINK("http://dx.doi.org/10.1016/j.lwt.2011.06.008","http://dx.doi.org/10.1016/j.lwt.2011.06.008")</f>
        <v>http://dx.doi.org/10.1016/j.lwt.2011.06.008</v>
      </c>
      <c r="BG409" s="1" t="s">
        <v>74</v>
      </c>
      <c r="BH409" s="1" t="s">
        <v>74</v>
      </c>
      <c r="BI409" s="1" t="s">
        <v>74</v>
      </c>
      <c r="BJ409" s="1" t="s">
        <v>74</v>
      </c>
      <c r="BK409" s="1" t="s">
        <v>74</v>
      </c>
      <c r="BL409" s="1" t="s">
        <v>74</v>
      </c>
      <c r="BM409" s="1" t="s">
        <v>74</v>
      </c>
      <c r="BN409" s="1" t="s">
        <v>74</v>
      </c>
      <c r="BO409" s="1" t="s">
        <v>74</v>
      </c>
      <c r="BP409" s="1" t="s">
        <v>74</v>
      </c>
      <c r="BQ409" s="1" t="s">
        <v>74</v>
      </c>
      <c r="BR409" s="1" t="s">
        <v>74</v>
      </c>
      <c r="BS409" s="1" t="s">
        <v>4243</v>
      </c>
      <c r="BT409" s="1" t="str">
        <f>HYPERLINK("https%3A%2F%2Fwww.webofscience.com%2Fwos%2Fwoscc%2Ffull-record%2FWOS:000295115800021","View Full Record in Web of Science")</f>
        <v>View Full Record in Web of Science</v>
      </c>
    </row>
    <row r="410" ht="12.75" customHeight="1">
      <c r="A410" s="1" t="s">
        <v>647</v>
      </c>
      <c r="B410" s="1" t="s">
        <v>4244</v>
      </c>
      <c r="C410" s="1" t="s">
        <v>74</v>
      </c>
      <c r="D410" s="1" t="s">
        <v>4245</v>
      </c>
      <c r="E410" s="1" t="s">
        <v>74</v>
      </c>
      <c r="F410" s="1" t="s">
        <v>4246</v>
      </c>
      <c r="G410" s="1" t="s">
        <v>74</v>
      </c>
      <c r="H410" s="1" t="s">
        <v>74</v>
      </c>
      <c r="I410" s="1" t="s">
        <v>4247</v>
      </c>
      <c r="J410" s="1" t="s">
        <v>4248</v>
      </c>
      <c r="K410" s="1" t="s">
        <v>74</v>
      </c>
      <c r="L410" s="1" t="s">
        <v>74</v>
      </c>
      <c r="M410" s="1" t="s">
        <v>74</v>
      </c>
      <c r="N410" s="1" t="s">
        <v>74</v>
      </c>
      <c r="O410" s="1" t="s">
        <v>4249</v>
      </c>
      <c r="P410" s="1" t="s">
        <v>4250</v>
      </c>
      <c r="Q410" s="1" t="s">
        <v>4251</v>
      </c>
      <c r="R410" s="1" t="s">
        <v>74</v>
      </c>
      <c r="S410" s="1" t="s">
        <v>74</v>
      </c>
      <c r="T410" s="1" t="s">
        <v>74</v>
      </c>
      <c r="U410" s="1" t="s">
        <v>74</v>
      </c>
      <c r="V410" s="1" t="s">
        <v>4252</v>
      </c>
      <c r="W410" s="1" t="s">
        <v>74</v>
      </c>
      <c r="X410" s="1" t="s">
        <v>74</v>
      </c>
      <c r="Y410" s="1" t="s">
        <v>74</v>
      </c>
      <c r="Z410" s="1" t="s">
        <v>74</v>
      </c>
      <c r="AA410" s="1" t="s">
        <v>4253</v>
      </c>
      <c r="AB410" s="1" t="s">
        <v>1840</v>
      </c>
      <c r="AC410" s="1" t="s">
        <v>74</v>
      </c>
      <c r="AD410" s="1" t="s">
        <v>74</v>
      </c>
      <c r="AE410" s="1" t="s">
        <v>74</v>
      </c>
      <c r="AF410" s="1" t="s">
        <v>74</v>
      </c>
      <c r="AG410" s="1" t="s">
        <v>74</v>
      </c>
      <c r="AH410" s="1" t="s">
        <v>74</v>
      </c>
      <c r="AI410" s="1" t="s">
        <v>74</v>
      </c>
      <c r="AJ410" s="1" t="s">
        <v>74</v>
      </c>
      <c r="AK410" s="1" t="s">
        <v>74</v>
      </c>
      <c r="AL410" s="1" t="s">
        <v>74</v>
      </c>
      <c r="AM410" s="1" t="s">
        <v>74</v>
      </c>
      <c r="AN410" s="1" t="s">
        <v>74</v>
      </c>
      <c r="AO410" s="1" t="s">
        <v>74</v>
      </c>
      <c r="AP410" s="1" t="s">
        <v>74</v>
      </c>
      <c r="AQ410" s="1" t="s">
        <v>4254</v>
      </c>
      <c r="AR410" s="1" t="s">
        <v>74</v>
      </c>
      <c r="AS410" s="1" t="s">
        <v>74</v>
      </c>
      <c r="AT410" s="1" t="s">
        <v>74</v>
      </c>
      <c r="AU410" s="1">
        <v>2010.0</v>
      </c>
      <c r="AV410" s="1" t="s">
        <v>74</v>
      </c>
      <c r="AW410" s="1" t="s">
        <v>74</v>
      </c>
      <c r="AX410" s="1" t="s">
        <v>74</v>
      </c>
      <c r="AY410" s="1" t="s">
        <v>74</v>
      </c>
      <c r="AZ410" s="1" t="s">
        <v>74</v>
      </c>
      <c r="BA410" s="1" t="s">
        <v>74</v>
      </c>
      <c r="BB410" s="1">
        <v>7.0</v>
      </c>
      <c r="BC410" s="1">
        <v>12.0</v>
      </c>
      <c r="BD410" s="1" t="s">
        <v>74</v>
      </c>
      <c r="BE410" s="1" t="s">
        <v>74</v>
      </c>
      <c r="BF410" s="1" t="s">
        <v>74</v>
      </c>
      <c r="BG410" s="1" t="s">
        <v>74</v>
      </c>
      <c r="BH410" s="1" t="s">
        <v>74</v>
      </c>
      <c r="BI410" s="1" t="s">
        <v>74</v>
      </c>
      <c r="BJ410" s="1" t="s">
        <v>74</v>
      </c>
      <c r="BK410" s="1" t="s">
        <v>74</v>
      </c>
      <c r="BL410" s="1" t="s">
        <v>74</v>
      </c>
      <c r="BM410" s="1" t="s">
        <v>74</v>
      </c>
      <c r="BN410" s="1" t="s">
        <v>74</v>
      </c>
      <c r="BO410" s="1" t="s">
        <v>74</v>
      </c>
      <c r="BP410" s="1" t="s">
        <v>74</v>
      </c>
      <c r="BQ410" s="1" t="s">
        <v>74</v>
      </c>
      <c r="BR410" s="1" t="s">
        <v>74</v>
      </c>
      <c r="BS410" s="1" t="s">
        <v>4255</v>
      </c>
      <c r="BT410" s="1" t="str">
        <f>HYPERLINK("https%3A%2F%2Fwww.webofscience.com%2Fwos%2Fwoscc%2Ffull-record%2FWOS:000394208800002","View Full Record in Web of Science")</f>
        <v>View Full Record in Web of Science</v>
      </c>
    </row>
    <row r="411" ht="12.75" customHeight="1">
      <c r="A411" s="1" t="s">
        <v>72</v>
      </c>
      <c r="B411" s="1" t="s">
        <v>4256</v>
      </c>
      <c r="C411" s="1" t="s">
        <v>74</v>
      </c>
      <c r="D411" s="1" t="s">
        <v>74</v>
      </c>
      <c r="E411" s="1" t="s">
        <v>74</v>
      </c>
      <c r="F411" s="1" t="s">
        <v>4257</v>
      </c>
      <c r="G411" s="1" t="s">
        <v>74</v>
      </c>
      <c r="H411" s="1" t="s">
        <v>74</v>
      </c>
      <c r="I411" s="1" t="s">
        <v>4258</v>
      </c>
      <c r="J411" s="1" t="s">
        <v>4259</v>
      </c>
      <c r="K411" s="1" t="s">
        <v>74</v>
      </c>
      <c r="L411" s="1" t="s">
        <v>74</v>
      </c>
      <c r="M411" s="1" t="s">
        <v>74</v>
      </c>
      <c r="N411" s="1" t="s">
        <v>74</v>
      </c>
      <c r="O411" s="1" t="s">
        <v>74</v>
      </c>
      <c r="P411" s="1" t="s">
        <v>74</v>
      </c>
      <c r="Q411" s="1" t="s">
        <v>74</v>
      </c>
      <c r="R411" s="1" t="s">
        <v>74</v>
      </c>
      <c r="S411" s="1" t="s">
        <v>74</v>
      </c>
      <c r="T411" s="1" t="s">
        <v>74</v>
      </c>
      <c r="U411" s="1" t="s">
        <v>74</v>
      </c>
      <c r="V411" s="1" t="s">
        <v>4260</v>
      </c>
      <c r="W411" s="1" t="s">
        <v>74</v>
      </c>
      <c r="X411" s="1" t="s">
        <v>74</v>
      </c>
      <c r="Y411" s="1" t="s">
        <v>74</v>
      </c>
      <c r="Z411" s="1" t="s">
        <v>74</v>
      </c>
      <c r="AA411" s="1" t="s">
        <v>4261</v>
      </c>
      <c r="AB411" s="1" t="s">
        <v>4262</v>
      </c>
      <c r="AC411" s="1" t="s">
        <v>74</v>
      </c>
      <c r="AD411" s="1" t="s">
        <v>74</v>
      </c>
      <c r="AE411" s="1" t="s">
        <v>74</v>
      </c>
      <c r="AF411" s="1" t="s">
        <v>74</v>
      </c>
      <c r="AG411" s="1" t="s">
        <v>74</v>
      </c>
      <c r="AH411" s="1" t="s">
        <v>74</v>
      </c>
      <c r="AI411" s="1" t="s">
        <v>74</v>
      </c>
      <c r="AJ411" s="1" t="s">
        <v>74</v>
      </c>
      <c r="AK411" s="1" t="s">
        <v>74</v>
      </c>
      <c r="AL411" s="1" t="s">
        <v>74</v>
      </c>
      <c r="AM411" s="1" t="s">
        <v>74</v>
      </c>
      <c r="AN411" s="1" t="s">
        <v>74</v>
      </c>
      <c r="AO411" s="1" t="s">
        <v>4263</v>
      </c>
      <c r="AP411" s="1" t="s">
        <v>4264</v>
      </c>
      <c r="AQ411" s="1" t="s">
        <v>74</v>
      </c>
      <c r="AR411" s="1" t="s">
        <v>74</v>
      </c>
      <c r="AS411" s="1" t="s">
        <v>74</v>
      </c>
      <c r="AT411" s="1" t="s">
        <v>327</v>
      </c>
      <c r="AU411" s="1">
        <v>2007.0</v>
      </c>
      <c r="AV411" s="1">
        <v>332.0</v>
      </c>
      <c r="AW411" s="1">
        <v>2.0</v>
      </c>
      <c r="AX411" s="1" t="s">
        <v>74</v>
      </c>
      <c r="AY411" s="1" t="s">
        <v>74</v>
      </c>
      <c r="AZ411" s="1" t="s">
        <v>74</v>
      </c>
      <c r="BA411" s="1" t="s">
        <v>74</v>
      </c>
      <c r="BB411" s="1">
        <v>1249.0</v>
      </c>
      <c r="BC411" s="1">
        <v>1266.0</v>
      </c>
      <c r="BD411" s="1" t="s">
        <v>74</v>
      </c>
      <c r="BE411" s="1" t="s">
        <v>4265</v>
      </c>
      <c r="BF411" s="2" t="str">
        <f>HYPERLINK("http://dx.doi.org/10.1016/j.jmaa.2006.10.063","http://dx.doi.org/10.1016/j.jmaa.2006.10.063")</f>
        <v>http://dx.doi.org/10.1016/j.jmaa.2006.10.063</v>
      </c>
      <c r="BG411" s="1" t="s">
        <v>74</v>
      </c>
      <c r="BH411" s="1" t="s">
        <v>74</v>
      </c>
      <c r="BI411" s="1" t="s">
        <v>74</v>
      </c>
      <c r="BJ411" s="1" t="s">
        <v>74</v>
      </c>
      <c r="BK411" s="1" t="s">
        <v>74</v>
      </c>
      <c r="BL411" s="1" t="s">
        <v>74</v>
      </c>
      <c r="BM411" s="1" t="s">
        <v>74</v>
      </c>
      <c r="BN411" s="1" t="s">
        <v>74</v>
      </c>
      <c r="BO411" s="1" t="s">
        <v>74</v>
      </c>
      <c r="BP411" s="1" t="s">
        <v>74</v>
      </c>
      <c r="BQ411" s="1" t="s">
        <v>74</v>
      </c>
      <c r="BR411" s="1" t="s">
        <v>74</v>
      </c>
      <c r="BS411" s="1" t="s">
        <v>4266</v>
      </c>
      <c r="BT411" s="1" t="str">
        <f>HYPERLINK("https%3A%2F%2Fwww.webofscience.com%2Fwos%2Fwoscc%2Ffull-record%2FWOS:000247120600036","View Full Record in Web of Science")</f>
        <v>View Full Record in Web of Science</v>
      </c>
    </row>
    <row r="412" ht="12.75" customHeight="1">
      <c r="A412" s="1" t="s">
        <v>72</v>
      </c>
      <c r="B412" s="1" t="s">
        <v>4267</v>
      </c>
      <c r="C412" s="1" t="s">
        <v>74</v>
      </c>
      <c r="D412" s="1" t="s">
        <v>74</v>
      </c>
      <c r="E412" s="1" t="s">
        <v>74</v>
      </c>
      <c r="F412" s="1" t="s">
        <v>4268</v>
      </c>
      <c r="G412" s="1" t="s">
        <v>74</v>
      </c>
      <c r="H412" s="1" t="s">
        <v>74</v>
      </c>
      <c r="I412" s="1" t="s">
        <v>4269</v>
      </c>
      <c r="J412" s="1" t="s">
        <v>4270</v>
      </c>
      <c r="K412" s="1" t="s">
        <v>74</v>
      </c>
      <c r="L412" s="1" t="s">
        <v>74</v>
      </c>
      <c r="M412" s="1" t="s">
        <v>74</v>
      </c>
      <c r="N412" s="1" t="s">
        <v>74</v>
      </c>
      <c r="O412" s="1" t="s">
        <v>74</v>
      </c>
      <c r="P412" s="1" t="s">
        <v>74</v>
      </c>
      <c r="Q412" s="1" t="s">
        <v>74</v>
      </c>
      <c r="R412" s="1" t="s">
        <v>74</v>
      </c>
      <c r="S412" s="1" t="s">
        <v>74</v>
      </c>
      <c r="T412" s="1" t="s">
        <v>74</v>
      </c>
      <c r="U412" s="1" t="s">
        <v>74</v>
      </c>
      <c r="V412" s="1" t="s">
        <v>4271</v>
      </c>
      <c r="W412" s="1" t="s">
        <v>74</v>
      </c>
      <c r="X412" s="1" t="s">
        <v>74</v>
      </c>
      <c r="Y412" s="1" t="s">
        <v>74</v>
      </c>
      <c r="Z412" s="1" t="s">
        <v>74</v>
      </c>
      <c r="AA412" s="1" t="s">
        <v>334</v>
      </c>
      <c r="AB412" s="1" t="s">
        <v>335</v>
      </c>
      <c r="AC412" s="1" t="s">
        <v>74</v>
      </c>
      <c r="AD412" s="1" t="s">
        <v>74</v>
      </c>
      <c r="AE412" s="1" t="s">
        <v>74</v>
      </c>
      <c r="AF412" s="1" t="s">
        <v>74</v>
      </c>
      <c r="AG412" s="1" t="s">
        <v>74</v>
      </c>
      <c r="AH412" s="1" t="s">
        <v>74</v>
      </c>
      <c r="AI412" s="1" t="s">
        <v>74</v>
      </c>
      <c r="AJ412" s="1" t="s">
        <v>74</v>
      </c>
      <c r="AK412" s="1" t="s">
        <v>74</v>
      </c>
      <c r="AL412" s="1" t="s">
        <v>74</v>
      </c>
      <c r="AM412" s="1" t="s">
        <v>74</v>
      </c>
      <c r="AN412" s="1" t="s">
        <v>74</v>
      </c>
      <c r="AO412" s="1" t="s">
        <v>4272</v>
      </c>
      <c r="AP412" s="1" t="s">
        <v>4273</v>
      </c>
      <c r="AQ412" s="1" t="s">
        <v>74</v>
      </c>
      <c r="AR412" s="1" t="s">
        <v>74</v>
      </c>
      <c r="AS412" s="1" t="s">
        <v>74</v>
      </c>
      <c r="AT412" s="1" t="s">
        <v>348</v>
      </c>
      <c r="AU412" s="1">
        <v>2006.0</v>
      </c>
      <c r="AV412" s="1">
        <v>177.0</v>
      </c>
      <c r="AW412" s="1" t="s">
        <v>4274</v>
      </c>
      <c r="AX412" s="1" t="s">
        <v>74</v>
      </c>
      <c r="AY412" s="1" t="s">
        <v>74</v>
      </c>
      <c r="AZ412" s="1" t="s">
        <v>74</v>
      </c>
      <c r="BA412" s="1" t="s">
        <v>74</v>
      </c>
      <c r="BB412" s="1">
        <v>1381.0</v>
      </c>
      <c r="BC412" s="1">
        <v>1388.0</v>
      </c>
      <c r="BD412" s="1" t="s">
        <v>74</v>
      </c>
      <c r="BE412" s="1" t="s">
        <v>4275</v>
      </c>
      <c r="BF412" s="2" t="str">
        <f>HYPERLINK("http://dx.doi.org/10.1016/j.ssi.2006.06.007","http://dx.doi.org/10.1016/j.ssi.2006.06.007")</f>
        <v>http://dx.doi.org/10.1016/j.ssi.2006.06.007</v>
      </c>
      <c r="BG412" s="1" t="s">
        <v>74</v>
      </c>
      <c r="BH412" s="1" t="s">
        <v>74</v>
      </c>
      <c r="BI412" s="1" t="s">
        <v>74</v>
      </c>
      <c r="BJ412" s="1" t="s">
        <v>74</v>
      </c>
      <c r="BK412" s="1" t="s">
        <v>74</v>
      </c>
      <c r="BL412" s="1" t="s">
        <v>74</v>
      </c>
      <c r="BM412" s="1" t="s">
        <v>74</v>
      </c>
      <c r="BN412" s="1" t="s">
        <v>74</v>
      </c>
      <c r="BO412" s="1" t="s">
        <v>74</v>
      </c>
      <c r="BP412" s="1" t="s">
        <v>74</v>
      </c>
      <c r="BQ412" s="1" t="s">
        <v>74</v>
      </c>
      <c r="BR412" s="1" t="s">
        <v>74</v>
      </c>
      <c r="BS412" s="1" t="s">
        <v>4276</v>
      </c>
      <c r="BT412" s="1" t="str">
        <f>HYPERLINK("https%3A%2F%2Fwww.webofscience.com%2Fwos%2Fwoscc%2Ffull-record%2FWOS:000241351900021","View Full Record in Web of Science")</f>
        <v>View Full Record in Web of Science</v>
      </c>
    </row>
    <row r="413" ht="12.75" customHeight="1">
      <c r="A413" s="1" t="s">
        <v>72</v>
      </c>
      <c r="B413" s="1" t="s">
        <v>4277</v>
      </c>
      <c r="C413" s="1" t="s">
        <v>74</v>
      </c>
      <c r="D413" s="1" t="s">
        <v>74</v>
      </c>
      <c r="E413" s="1" t="s">
        <v>74</v>
      </c>
      <c r="F413" s="1" t="s">
        <v>4278</v>
      </c>
      <c r="G413" s="1" t="s">
        <v>74</v>
      </c>
      <c r="H413" s="1" t="s">
        <v>74</v>
      </c>
      <c r="I413" s="1" t="s">
        <v>4279</v>
      </c>
      <c r="J413" s="1" t="s">
        <v>4280</v>
      </c>
      <c r="K413" s="1" t="s">
        <v>74</v>
      </c>
      <c r="L413" s="1" t="s">
        <v>74</v>
      </c>
      <c r="M413" s="1" t="s">
        <v>74</v>
      </c>
      <c r="N413" s="1" t="s">
        <v>74</v>
      </c>
      <c r="O413" s="1" t="s">
        <v>74</v>
      </c>
      <c r="P413" s="1" t="s">
        <v>74</v>
      </c>
      <c r="Q413" s="1" t="s">
        <v>74</v>
      </c>
      <c r="R413" s="1" t="s">
        <v>74</v>
      </c>
      <c r="S413" s="1" t="s">
        <v>74</v>
      </c>
      <c r="T413" s="1" t="s">
        <v>74</v>
      </c>
      <c r="U413" s="1" t="s">
        <v>74</v>
      </c>
      <c r="V413" s="1" t="s">
        <v>4281</v>
      </c>
      <c r="W413" s="1" t="s">
        <v>74</v>
      </c>
      <c r="X413" s="1" t="s">
        <v>74</v>
      </c>
      <c r="Y413" s="1" t="s">
        <v>74</v>
      </c>
      <c r="Z413" s="1" t="s">
        <v>74</v>
      </c>
      <c r="AA413" s="1" t="s">
        <v>74</v>
      </c>
      <c r="AB413" s="1" t="s">
        <v>74</v>
      </c>
      <c r="AC413" s="1" t="s">
        <v>74</v>
      </c>
      <c r="AD413" s="1" t="s">
        <v>74</v>
      </c>
      <c r="AE413" s="1" t="s">
        <v>74</v>
      </c>
      <c r="AF413" s="1" t="s">
        <v>74</v>
      </c>
      <c r="AG413" s="1" t="s">
        <v>74</v>
      </c>
      <c r="AH413" s="1" t="s">
        <v>74</v>
      </c>
      <c r="AI413" s="1" t="s">
        <v>74</v>
      </c>
      <c r="AJ413" s="1" t="s">
        <v>74</v>
      </c>
      <c r="AK413" s="1" t="s">
        <v>74</v>
      </c>
      <c r="AL413" s="1" t="s">
        <v>74</v>
      </c>
      <c r="AM413" s="1" t="s">
        <v>74</v>
      </c>
      <c r="AN413" s="1" t="s">
        <v>74</v>
      </c>
      <c r="AO413" s="1" t="s">
        <v>4282</v>
      </c>
      <c r="AP413" s="1" t="s">
        <v>4283</v>
      </c>
      <c r="AQ413" s="1" t="s">
        <v>74</v>
      </c>
      <c r="AR413" s="1" t="s">
        <v>74</v>
      </c>
      <c r="AS413" s="1" t="s">
        <v>74</v>
      </c>
      <c r="AT413" s="1" t="s">
        <v>4284</v>
      </c>
      <c r="AU413" s="1">
        <v>2025.0</v>
      </c>
      <c r="AV413" s="1" t="s">
        <v>74</v>
      </c>
      <c r="AW413" s="1" t="s">
        <v>74</v>
      </c>
      <c r="AX413" s="1" t="s">
        <v>74</v>
      </c>
      <c r="AY413" s="1" t="s">
        <v>74</v>
      </c>
      <c r="AZ413" s="1" t="s">
        <v>74</v>
      </c>
      <c r="BA413" s="1" t="s">
        <v>74</v>
      </c>
      <c r="BB413" s="1" t="s">
        <v>74</v>
      </c>
      <c r="BC413" s="1" t="s">
        <v>74</v>
      </c>
      <c r="BD413" s="1" t="s">
        <v>74</v>
      </c>
      <c r="BE413" s="1" t="s">
        <v>4285</v>
      </c>
      <c r="BF413" s="2" t="str">
        <f>HYPERLINK("http://dx.doi.org/10.1039/d5en00155b","http://dx.doi.org/10.1039/d5en00155b")</f>
        <v>http://dx.doi.org/10.1039/d5en00155b</v>
      </c>
      <c r="BG413" s="1" t="s">
        <v>74</v>
      </c>
      <c r="BH413" s="1" t="s">
        <v>4286</v>
      </c>
      <c r="BI413" s="1" t="s">
        <v>74</v>
      </c>
      <c r="BJ413" s="1" t="s">
        <v>74</v>
      </c>
      <c r="BK413" s="1" t="s">
        <v>74</v>
      </c>
      <c r="BL413" s="1" t="s">
        <v>74</v>
      </c>
      <c r="BM413" s="1" t="s">
        <v>74</v>
      </c>
      <c r="BN413" s="1" t="s">
        <v>74</v>
      </c>
      <c r="BO413" s="1" t="s">
        <v>74</v>
      </c>
      <c r="BP413" s="1" t="s">
        <v>74</v>
      </c>
      <c r="BQ413" s="1" t="s">
        <v>74</v>
      </c>
      <c r="BR413" s="1" t="s">
        <v>74</v>
      </c>
      <c r="BS413" s="1" t="s">
        <v>4287</v>
      </c>
      <c r="BT413" s="1" t="str">
        <f>HYPERLINK("https%3A%2F%2Fwww.webofscience.com%2Fwos%2Fwoscc%2Ffull-record%2FWOS:001461027600001","View Full Record in Web of Science")</f>
        <v>View Full Record in Web of Science</v>
      </c>
    </row>
    <row r="414" ht="12.75" customHeight="1">
      <c r="A414" s="1" t="s">
        <v>72</v>
      </c>
      <c r="B414" s="1" t="s">
        <v>4288</v>
      </c>
      <c r="C414" s="1" t="s">
        <v>74</v>
      </c>
      <c r="D414" s="1" t="s">
        <v>74</v>
      </c>
      <c r="E414" s="1" t="s">
        <v>74</v>
      </c>
      <c r="F414" s="1" t="s">
        <v>4289</v>
      </c>
      <c r="G414" s="1" t="s">
        <v>74</v>
      </c>
      <c r="H414" s="1" t="s">
        <v>74</v>
      </c>
      <c r="I414" s="1" t="s">
        <v>4290</v>
      </c>
      <c r="J414" s="1" t="s">
        <v>4291</v>
      </c>
      <c r="K414" s="1" t="s">
        <v>74</v>
      </c>
      <c r="L414" s="1" t="s">
        <v>74</v>
      </c>
      <c r="M414" s="1" t="s">
        <v>74</v>
      </c>
      <c r="N414" s="1" t="s">
        <v>74</v>
      </c>
      <c r="O414" s="1" t="s">
        <v>74</v>
      </c>
      <c r="P414" s="1" t="s">
        <v>74</v>
      </c>
      <c r="Q414" s="1" t="s">
        <v>74</v>
      </c>
      <c r="R414" s="1" t="s">
        <v>74</v>
      </c>
      <c r="S414" s="1" t="s">
        <v>74</v>
      </c>
      <c r="T414" s="1" t="s">
        <v>74</v>
      </c>
      <c r="U414" s="1" t="s">
        <v>74</v>
      </c>
      <c r="V414" s="1" t="s">
        <v>4292</v>
      </c>
      <c r="W414" s="1" t="s">
        <v>74</v>
      </c>
      <c r="X414" s="1" t="s">
        <v>74</v>
      </c>
      <c r="Y414" s="1" t="s">
        <v>74</v>
      </c>
      <c r="Z414" s="1" t="s">
        <v>74</v>
      </c>
      <c r="AA414" s="1" t="s">
        <v>4293</v>
      </c>
      <c r="AB414" s="1" t="s">
        <v>74</v>
      </c>
      <c r="AC414" s="1" t="s">
        <v>74</v>
      </c>
      <c r="AD414" s="1" t="s">
        <v>74</v>
      </c>
      <c r="AE414" s="1" t="s">
        <v>74</v>
      </c>
      <c r="AF414" s="1" t="s">
        <v>74</v>
      </c>
      <c r="AG414" s="1" t="s">
        <v>74</v>
      </c>
      <c r="AH414" s="1" t="s">
        <v>74</v>
      </c>
      <c r="AI414" s="1" t="s">
        <v>74</v>
      </c>
      <c r="AJ414" s="1" t="s">
        <v>74</v>
      </c>
      <c r="AK414" s="1" t="s">
        <v>74</v>
      </c>
      <c r="AL414" s="1" t="s">
        <v>74</v>
      </c>
      <c r="AM414" s="1" t="s">
        <v>74</v>
      </c>
      <c r="AN414" s="1" t="s">
        <v>74</v>
      </c>
      <c r="AO414" s="1" t="s">
        <v>4294</v>
      </c>
      <c r="AP414" s="1" t="s">
        <v>4295</v>
      </c>
      <c r="AQ414" s="1" t="s">
        <v>74</v>
      </c>
      <c r="AR414" s="1" t="s">
        <v>74</v>
      </c>
      <c r="AS414" s="1" t="s">
        <v>74</v>
      </c>
      <c r="AT414" s="1" t="s">
        <v>2997</v>
      </c>
      <c r="AU414" s="1">
        <v>2025.0</v>
      </c>
      <c r="AV414" s="1">
        <v>25.0</v>
      </c>
      <c r="AW414" s="1" t="s">
        <v>74</v>
      </c>
      <c r="AX414" s="1" t="s">
        <v>74</v>
      </c>
      <c r="AY414" s="1" t="s">
        <v>74</v>
      </c>
      <c r="AZ414" s="1" t="s">
        <v>74</v>
      </c>
      <c r="BA414" s="1" t="s">
        <v>74</v>
      </c>
      <c r="BB414" s="1" t="s">
        <v>74</v>
      </c>
      <c r="BC414" s="1" t="s">
        <v>74</v>
      </c>
      <c r="BD414" s="1" t="s">
        <v>4296</v>
      </c>
      <c r="BE414" s="1" t="s">
        <v>4297</v>
      </c>
      <c r="BF414" s="2" t="str">
        <f>HYPERLINK("http://dx.doi.org/10.1093/femsyr/foaf004","http://dx.doi.org/10.1093/femsyr/foaf004")</f>
        <v>http://dx.doi.org/10.1093/femsyr/foaf004</v>
      </c>
      <c r="BG414" s="1" t="s">
        <v>74</v>
      </c>
      <c r="BH414" s="1" t="s">
        <v>74</v>
      </c>
      <c r="BI414" s="1" t="s">
        <v>74</v>
      </c>
      <c r="BJ414" s="1" t="s">
        <v>74</v>
      </c>
      <c r="BK414" s="1" t="s">
        <v>74</v>
      </c>
      <c r="BL414" s="1" t="s">
        <v>74</v>
      </c>
      <c r="BM414" s="1" t="s">
        <v>74</v>
      </c>
      <c r="BN414" s="1">
        <v>3.988079E7</v>
      </c>
      <c r="BO414" s="1" t="s">
        <v>74</v>
      </c>
      <c r="BP414" s="1" t="s">
        <v>74</v>
      </c>
      <c r="BQ414" s="1" t="s">
        <v>74</v>
      </c>
      <c r="BR414" s="1" t="s">
        <v>74</v>
      </c>
      <c r="BS414" s="1" t="s">
        <v>4298</v>
      </c>
      <c r="BT414" s="1" t="str">
        <f>HYPERLINK("https%3A%2F%2Fwww.webofscience.com%2Fwos%2Fwoscc%2Ffull-record%2FWOS:001436204500001","View Full Record in Web of Science")</f>
        <v>View Full Record in Web of Science</v>
      </c>
    </row>
    <row r="415" ht="12.75" customHeight="1">
      <c r="A415" s="1" t="s">
        <v>72</v>
      </c>
      <c r="B415" s="1" t="s">
        <v>4299</v>
      </c>
      <c r="C415" s="1" t="s">
        <v>74</v>
      </c>
      <c r="D415" s="1" t="s">
        <v>74</v>
      </c>
      <c r="E415" s="1" t="s">
        <v>74</v>
      </c>
      <c r="F415" s="1" t="s">
        <v>4300</v>
      </c>
      <c r="G415" s="1" t="s">
        <v>74</v>
      </c>
      <c r="H415" s="1" t="s">
        <v>74</v>
      </c>
      <c r="I415" s="1" t="s">
        <v>4301</v>
      </c>
      <c r="J415" s="1" t="s">
        <v>4302</v>
      </c>
      <c r="K415" s="1" t="s">
        <v>74</v>
      </c>
      <c r="L415" s="1" t="s">
        <v>74</v>
      </c>
      <c r="M415" s="1" t="s">
        <v>74</v>
      </c>
      <c r="N415" s="1" t="s">
        <v>74</v>
      </c>
      <c r="O415" s="1" t="s">
        <v>74</v>
      </c>
      <c r="P415" s="1" t="s">
        <v>74</v>
      </c>
      <c r="Q415" s="1" t="s">
        <v>74</v>
      </c>
      <c r="R415" s="1" t="s">
        <v>74</v>
      </c>
      <c r="S415" s="1" t="s">
        <v>74</v>
      </c>
      <c r="T415" s="1" t="s">
        <v>74</v>
      </c>
      <c r="U415" s="1" t="s">
        <v>74</v>
      </c>
      <c r="V415" s="1" t="s">
        <v>4303</v>
      </c>
      <c r="W415" s="1" t="s">
        <v>74</v>
      </c>
      <c r="X415" s="1" t="s">
        <v>74</v>
      </c>
      <c r="Y415" s="1" t="s">
        <v>74</v>
      </c>
      <c r="Z415" s="1" t="s">
        <v>74</v>
      </c>
      <c r="AA415" s="1" t="s">
        <v>4304</v>
      </c>
      <c r="AB415" s="1" t="s">
        <v>4305</v>
      </c>
      <c r="AC415" s="1" t="s">
        <v>74</v>
      </c>
      <c r="AD415" s="1" t="s">
        <v>74</v>
      </c>
      <c r="AE415" s="1" t="s">
        <v>74</v>
      </c>
      <c r="AF415" s="1" t="s">
        <v>74</v>
      </c>
      <c r="AG415" s="1" t="s">
        <v>74</v>
      </c>
      <c r="AH415" s="1" t="s">
        <v>74</v>
      </c>
      <c r="AI415" s="1" t="s">
        <v>74</v>
      </c>
      <c r="AJ415" s="1" t="s">
        <v>74</v>
      </c>
      <c r="AK415" s="1" t="s">
        <v>74</v>
      </c>
      <c r="AL415" s="1" t="s">
        <v>74</v>
      </c>
      <c r="AM415" s="1" t="s">
        <v>74</v>
      </c>
      <c r="AN415" s="1" t="s">
        <v>74</v>
      </c>
      <c r="AO415" s="1" t="s">
        <v>74</v>
      </c>
      <c r="AP415" s="1" t="s">
        <v>4306</v>
      </c>
      <c r="AQ415" s="1" t="s">
        <v>74</v>
      </c>
      <c r="AR415" s="1" t="s">
        <v>74</v>
      </c>
      <c r="AS415" s="1" t="s">
        <v>74</v>
      </c>
      <c r="AT415" s="1" t="s">
        <v>398</v>
      </c>
      <c r="AU415" s="1">
        <v>2025.0</v>
      </c>
      <c r="AV415" s="1">
        <v>15.0</v>
      </c>
      <c r="AW415" s="1">
        <v>2.0</v>
      </c>
      <c r="AX415" s="1" t="s">
        <v>74</v>
      </c>
      <c r="AY415" s="1" t="s">
        <v>74</v>
      </c>
      <c r="AZ415" s="1" t="s">
        <v>74</v>
      </c>
      <c r="BA415" s="1" t="s">
        <v>74</v>
      </c>
      <c r="BB415" s="1" t="s">
        <v>74</v>
      </c>
      <c r="BC415" s="1" t="s">
        <v>74</v>
      </c>
      <c r="BD415" s="1">
        <v>132.0</v>
      </c>
      <c r="BE415" s="1" t="s">
        <v>4307</v>
      </c>
      <c r="BF415" s="2" t="str">
        <f>HYPERLINK("http://dx.doi.org/10.3390/bs15020132","http://dx.doi.org/10.3390/bs15020132")</f>
        <v>http://dx.doi.org/10.3390/bs15020132</v>
      </c>
      <c r="BG415" s="1" t="s">
        <v>74</v>
      </c>
      <c r="BH415" s="1" t="s">
        <v>74</v>
      </c>
      <c r="BI415" s="1" t="s">
        <v>74</v>
      </c>
      <c r="BJ415" s="1" t="s">
        <v>74</v>
      </c>
      <c r="BK415" s="1" t="s">
        <v>74</v>
      </c>
      <c r="BL415" s="1" t="s">
        <v>74</v>
      </c>
      <c r="BM415" s="1" t="s">
        <v>74</v>
      </c>
      <c r="BN415" s="1">
        <v>4.0001763E7</v>
      </c>
      <c r="BO415" s="1" t="s">
        <v>74</v>
      </c>
      <c r="BP415" s="1" t="s">
        <v>74</v>
      </c>
      <c r="BQ415" s="1" t="s">
        <v>74</v>
      </c>
      <c r="BR415" s="1" t="s">
        <v>74</v>
      </c>
      <c r="BS415" s="1" t="s">
        <v>4308</v>
      </c>
      <c r="BT415" s="1" t="str">
        <f>HYPERLINK("https%3A%2F%2Fwww.webofscience.com%2Fwos%2Fwoscc%2Ffull-record%2FWOS:001430576400001","View Full Record in Web of Science")</f>
        <v>View Full Record in Web of Science</v>
      </c>
    </row>
    <row r="416" ht="12.75" customHeight="1">
      <c r="A416" s="1" t="s">
        <v>72</v>
      </c>
      <c r="B416" s="1" t="s">
        <v>4309</v>
      </c>
      <c r="C416" s="1" t="s">
        <v>74</v>
      </c>
      <c r="D416" s="1" t="s">
        <v>74</v>
      </c>
      <c r="E416" s="1" t="s">
        <v>74</v>
      </c>
      <c r="F416" s="1" t="s">
        <v>4310</v>
      </c>
      <c r="G416" s="1" t="s">
        <v>74</v>
      </c>
      <c r="H416" s="1" t="s">
        <v>74</v>
      </c>
      <c r="I416" s="1" t="s">
        <v>4311</v>
      </c>
      <c r="J416" s="1" t="s">
        <v>4312</v>
      </c>
      <c r="K416" s="1" t="s">
        <v>74</v>
      </c>
      <c r="L416" s="1" t="s">
        <v>74</v>
      </c>
      <c r="M416" s="1" t="s">
        <v>74</v>
      </c>
      <c r="N416" s="1" t="s">
        <v>74</v>
      </c>
      <c r="O416" s="1" t="s">
        <v>74</v>
      </c>
      <c r="P416" s="1" t="s">
        <v>74</v>
      </c>
      <c r="Q416" s="1" t="s">
        <v>74</v>
      </c>
      <c r="R416" s="1" t="s">
        <v>74</v>
      </c>
      <c r="S416" s="1" t="s">
        <v>74</v>
      </c>
      <c r="T416" s="1" t="s">
        <v>74</v>
      </c>
      <c r="U416" s="1" t="s">
        <v>74</v>
      </c>
      <c r="V416" s="1" t="s">
        <v>4313</v>
      </c>
      <c r="W416" s="1" t="s">
        <v>74</v>
      </c>
      <c r="X416" s="1" t="s">
        <v>74</v>
      </c>
      <c r="Y416" s="1" t="s">
        <v>74</v>
      </c>
      <c r="Z416" s="1" t="s">
        <v>74</v>
      </c>
      <c r="AA416" s="1" t="s">
        <v>4314</v>
      </c>
      <c r="AB416" s="1" t="s">
        <v>4315</v>
      </c>
      <c r="AC416" s="1" t="s">
        <v>74</v>
      </c>
      <c r="AD416" s="1" t="s">
        <v>74</v>
      </c>
      <c r="AE416" s="1" t="s">
        <v>74</v>
      </c>
      <c r="AF416" s="1" t="s">
        <v>74</v>
      </c>
      <c r="AG416" s="1" t="s">
        <v>74</v>
      </c>
      <c r="AH416" s="1" t="s">
        <v>74</v>
      </c>
      <c r="AI416" s="1" t="s">
        <v>74</v>
      </c>
      <c r="AJ416" s="1" t="s">
        <v>74</v>
      </c>
      <c r="AK416" s="1" t="s">
        <v>74</v>
      </c>
      <c r="AL416" s="1" t="s">
        <v>74</v>
      </c>
      <c r="AM416" s="1" t="s">
        <v>74</v>
      </c>
      <c r="AN416" s="1" t="s">
        <v>74</v>
      </c>
      <c r="AO416" s="1" t="s">
        <v>4316</v>
      </c>
      <c r="AP416" s="1" t="s">
        <v>4317</v>
      </c>
      <c r="AQ416" s="1" t="s">
        <v>74</v>
      </c>
      <c r="AR416" s="1" t="s">
        <v>74</v>
      </c>
      <c r="AS416" s="1" t="s">
        <v>74</v>
      </c>
      <c r="AT416" s="1" t="s">
        <v>1198</v>
      </c>
      <c r="AU416" s="1">
        <v>2024.0</v>
      </c>
      <c r="AV416" s="1">
        <v>270.0</v>
      </c>
      <c r="AW416" s="1" t="s">
        <v>74</v>
      </c>
      <c r="AX416" s="1" t="s">
        <v>74</v>
      </c>
      <c r="AY416" s="1" t="s">
        <v>74</v>
      </c>
      <c r="AZ416" s="1" t="s">
        <v>74</v>
      </c>
      <c r="BA416" s="1" t="s">
        <v>74</v>
      </c>
      <c r="BB416" s="1" t="s">
        <v>74</v>
      </c>
      <c r="BC416" s="1" t="s">
        <v>74</v>
      </c>
      <c r="BD416" s="1">
        <v>125520.0</v>
      </c>
      <c r="BE416" s="1" t="s">
        <v>4318</v>
      </c>
      <c r="BF416" s="2" t="str">
        <f>HYPERLINK("http://dx.doi.org/10.1016/j.talanta.2023.125520","http://dx.doi.org/10.1016/j.talanta.2023.125520")</f>
        <v>http://dx.doi.org/10.1016/j.talanta.2023.125520</v>
      </c>
      <c r="BG416" s="1" t="s">
        <v>74</v>
      </c>
      <c r="BH416" s="1" t="s">
        <v>4319</v>
      </c>
      <c r="BI416" s="1" t="s">
        <v>74</v>
      </c>
      <c r="BJ416" s="1" t="s">
        <v>74</v>
      </c>
      <c r="BK416" s="1" t="s">
        <v>74</v>
      </c>
      <c r="BL416" s="1" t="s">
        <v>74</v>
      </c>
      <c r="BM416" s="1" t="s">
        <v>74</v>
      </c>
      <c r="BN416" s="1">
        <v>3.8147722E7</v>
      </c>
      <c r="BO416" s="1" t="s">
        <v>74</v>
      </c>
      <c r="BP416" s="1" t="s">
        <v>74</v>
      </c>
      <c r="BQ416" s="1" t="s">
        <v>74</v>
      </c>
      <c r="BR416" s="1" t="s">
        <v>74</v>
      </c>
      <c r="BS416" s="1" t="s">
        <v>4320</v>
      </c>
      <c r="BT416" s="1" t="str">
        <f>HYPERLINK("https%3A%2F%2Fwww.webofscience.com%2Fwos%2Fwoscc%2Ffull-record%2FWOS:001147515800001","View Full Record in Web of Science")</f>
        <v>View Full Record in Web of Science</v>
      </c>
    </row>
    <row r="417" ht="12.75" customHeight="1">
      <c r="A417" s="1" t="s">
        <v>72</v>
      </c>
      <c r="B417" s="1" t="s">
        <v>4321</v>
      </c>
      <c r="C417" s="1" t="s">
        <v>74</v>
      </c>
      <c r="D417" s="1" t="s">
        <v>74</v>
      </c>
      <c r="E417" s="1" t="s">
        <v>74</v>
      </c>
      <c r="F417" s="1" t="s">
        <v>4322</v>
      </c>
      <c r="G417" s="1" t="s">
        <v>74</v>
      </c>
      <c r="H417" s="1" t="s">
        <v>74</v>
      </c>
      <c r="I417" s="1" t="s">
        <v>4323</v>
      </c>
      <c r="J417" s="1" t="s">
        <v>4324</v>
      </c>
      <c r="K417" s="1" t="s">
        <v>74</v>
      </c>
      <c r="L417" s="1" t="s">
        <v>74</v>
      </c>
      <c r="M417" s="1" t="s">
        <v>74</v>
      </c>
      <c r="N417" s="1" t="s">
        <v>74</v>
      </c>
      <c r="O417" s="1" t="s">
        <v>74</v>
      </c>
      <c r="P417" s="1" t="s">
        <v>74</v>
      </c>
      <c r="Q417" s="1" t="s">
        <v>74</v>
      </c>
      <c r="R417" s="1" t="s">
        <v>74</v>
      </c>
      <c r="S417" s="1" t="s">
        <v>74</v>
      </c>
      <c r="T417" s="1" t="s">
        <v>74</v>
      </c>
      <c r="U417" s="1" t="s">
        <v>74</v>
      </c>
      <c r="V417" s="1" t="s">
        <v>4325</v>
      </c>
      <c r="W417" s="1" t="s">
        <v>74</v>
      </c>
      <c r="X417" s="1" t="s">
        <v>74</v>
      </c>
      <c r="Y417" s="1" t="s">
        <v>74</v>
      </c>
      <c r="Z417" s="1" t="s">
        <v>74</v>
      </c>
      <c r="AA417" s="1" t="s">
        <v>4326</v>
      </c>
      <c r="AB417" s="1" t="s">
        <v>4327</v>
      </c>
      <c r="AC417" s="1" t="s">
        <v>74</v>
      </c>
      <c r="AD417" s="1" t="s">
        <v>74</v>
      </c>
      <c r="AE417" s="1" t="s">
        <v>74</v>
      </c>
      <c r="AF417" s="1" t="s">
        <v>74</v>
      </c>
      <c r="AG417" s="1" t="s">
        <v>74</v>
      </c>
      <c r="AH417" s="1" t="s">
        <v>74</v>
      </c>
      <c r="AI417" s="1" t="s">
        <v>74</v>
      </c>
      <c r="AJ417" s="1" t="s">
        <v>74</v>
      </c>
      <c r="AK417" s="1" t="s">
        <v>74</v>
      </c>
      <c r="AL417" s="1" t="s">
        <v>74</v>
      </c>
      <c r="AM417" s="1" t="s">
        <v>74</v>
      </c>
      <c r="AN417" s="1" t="s">
        <v>74</v>
      </c>
      <c r="AO417" s="1" t="s">
        <v>74</v>
      </c>
      <c r="AP417" s="1" t="s">
        <v>4328</v>
      </c>
      <c r="AQ417" s="1" t="s">
        <v>74</v>
      </c>
      <c r="AR417" s="1" t="s">
        <v>74</v>
      </c>
      <c r="AS417" s="1" t="s">
        <v>74</v>
      </c>
      <c r="AT417" s="1" t="s">
        <v>4329</v>
      </c>
      <c r="AU417" s="1">
        <v>2023.0</v>
      </c>
      <c r="AV417" s="1">
        <v>11.0</v>
      </c>
      <c r="AW417" s="1" t="s">
        <v>74</v>
      </c>
      <c r="AX417" s="1" t="s">
        <v>74</v>
      </c>
      <c r="AY417" s="1" t="s">
        <v>74</v>
      </c>
      <c r="AZ417" s="1" t="s">
        <v>74</v>
      </c>
      <c r="BA417" s="1" t="s">
        <v>74</v>
      </c>
      <c r="BB417" s="1" t="s">
        <v>74</v>
      </c>
      <c r="BC417" s="1" t="s">
        <v>74</v>
      </c>
      <c r="BD417" s="1">
        <v>1111641.0</v>
      </c>
      <c r="BE417" s="1" t="s">
        <v>4330</v>
      </c>
      <c r="BF417" s="2" t="str">
        <f>HYPERLINK("http://dx.doi.org/10.3389/fpubh.2023.1111641","http://dx.doi.org/10.3389/fpubh.2023.1111641")</f>
        <v>http://dx.doi.org/10.3389/fpubh.2023.1111641</v>
      </c>
      <c r="BG417" s="1" t="s">
        <v>74</v>
      </c>
      <c r="BH417" s="1" t="s">
        <v>74</v>
      </c>
      <c r="BI417" s="1" t="s">
        <v>74</v>
      </c>
      <c r="BJ417" s="1" t="s">
        <v>74</v>
      </c>
      <c r="BK417" s="1" t="s">
        <v>74</v>
      </c>
      <c r="BL417" s="1" t="s">
        <v>74</v>
      </c>
      <c r="BM417" s="1" t="s">
        <v>74</v>
      </c>
      <c r="BN417" s="1">
        <v>3.7064668E7</v>
      </c>
      <c r="BO417" s="1" t="s">
        <v>74</v>
      </c>
      <c r="BP417" s="1" t="s">
        <v>74</v>
      </c>
      <c r="BQ417" s="1" t="s">
        <v>74</v>
      </c>
      <c r="BR417" s="1" t="s">
        <v>74</v>
      </c>
      <c r="BS417" s="1" t="s">
        <v>4331</v>
      </c>
      <c r="BT417" s="1" t="str">
        <f>HYPERLINK("https%3A%2F%2Fwww.webofscience.com%2Fwos%2Fwoscc%2Ffull-record%2FWOS:000968533700001","View Full Record in Web of Science")</f>
        <v>View Full Record in Web of Science</v>
      </c>
    </row>
    <row r="418" ht="12.75" customHeight="1">
      <c r="A418" s="1" t="s">
        <v>72</v>
      </c>
      <c r="B418" s="1" t="s">
        <v>4332</v>
      </c>
      <c r="C418" s="1" t="s">
        <v>74</v>
      </c>
      <c r="D418" s="1" t="s">
        <v>74</v>
      </c>
      <c r="E418" s="1" t="s">
        <v>74</v>
      </c>
      <c r="F418" s="1" t="s">
        <v>4333</v>
      </c>
      <c r="G418" s="1" t="s">
        <v>74</v>
      </c>
      <c r="H418" s="1" t="s">
        <v>74</v>
      </c>
      <c r="I418" s="1" t="s">
        <v>4334</v>
      </c>
      <c r="J418" s="1" t="s">
        <v>4335</v>
      </c>
      <c r="K418" s="1" t="s">
        <v>74</v>
      </c>
      <c r="L418" s="1" t="s">
        <v>74</v>
      </c>
      <c r="M418" s="1" t="s">
        <v>74</v>
      </c>
      <c r="N418" s="1" t="s">
        <v>74</v>
      </c>
      <c r="O418" s="1" t="s">
        <v>74</v>
      </c>
      <c r="P418" s="1" t="s">
        <v>74</v>
      </c>
      <c r="Q418" s="1" t="s">
        <v>74</v>
      </c>
      <c r="R418" s="1" t="s">
        <v>74</v>
      </c>
      <c r="S418" s="1" t="s">
        <v>74</v>
      </c>
      <c r="T418" s="1" t="s">
        <v>74</v>
      </c>
      <c r="U418" s="1" t="s">
        <v>74</v>
      </c>
      <c r="V418" s="1" t="s">
        <v>4336</v>
      </c>
      <c r="W418" s="1" t="s">
        <v>74</v>
      </c>
      <c r="X418" s="1" t="s">
        <v>74</v>
      </c>
      <c r="Y418" s="1" t="s">
        <v>74</v>
      </c>
      <c r="Z418" s="1" t="s">
        <v>74</v>
      </c>
      <c r="AA418" s="1" t="s">
        <v>4337</v>
      </c>
      <c r="AB418" s="1" t="s">
        <v>4338</v>
      </c>
      <c r="AC418" s="1" t="s">
        <v>74</v>
      </c>
      <c r="AD418" s="1" t="s">
        <v>74</v>
      </c>
      <c r="AE418" s="1" t="s">
        <v>74</v>
      </c>
      <c r="AF418" s="1" t="s">
        <v>74</v>
      </c>
      <c r="AG418" s="1" t="s">
        <v>74</v>
      </c>
      <c r="AH418" s="1" t="s">
        <v>74</v>
      </c>
      <c r="AI418" s="1" t="s">
        <v>74</v>
      </c>
      <c r="AJ418" s="1" t="s">
        <v>74</v>
      </c>
      <c r="AK418" s="1" t="s">
        <v>74</v>
      </c>
      <c r="AL418" s="1" t="s">
        <v>74</v>
      </c>
      <c r="AM418" s="1" t="s">
        <v>74</v>
      </c>
      <c r="AN418" s="1" t="s">
        <v>74</v>
      </c>
      <c r="AO418" s="1" t="s">
        <v>4339</v>
      </c>
      <c r="AP418" s="1" t="s">
        <v>74</v>
      </c>
      <c r="AQ418" s="1" t="s">
        <v>74</v>
      </c>
      <c r="AR418" s="1" t="s">
        <v>74</v>
      </c>
      <c r="AS418" s="1" t="s">
        <v>74</v>
      </c>
      <c r="AT418" s="1" t="s">
        <v>3662</v>
      </c>
      <c r="AU418" s="1">
        <v>2021.0</v>
      </c>
      <c r="AV418" s="1">
        <v>12.0</v>
      </c>
      <c r="AW418" s="1" t="s">
        <v>74</v>
      </c>
      <c r="AX418" s="1" t="s">
        <v>74</v>
      </c>
      <c r="AY418" s="1" t="s">
        <v>74</v>
      </c>
      <c r="AZ418" s="1" t="s">
        <v>74</v>
      </c>
      <c r="BA418" s="1" t="s">
        <v>74</v>
      </c>
      <c r="BB418" s="1" t="s">
        <v>74</v>
      </c>
      <c r="BC418" s="1" t="s">
        <v>74</v>
      </c>
      <c r="BD418" s="1">
        <v>710398.0</v>
      </c>
      <c r="BE418" s="1" t="s">
        <v>4340</v>
      </c>
      <c r="BF418" s="2" t="str">
        <f>HYPERLINK("http://dx.doi.org/10.3389/fpsyt.2021.710398","http://dx.doi.org/10.3389/fpsyt.2021.710398")</f>
        <v>http://dx.doi.org/10.3389/fpsyt.2021.710398</v>
      </c>
      <c r="BG418" s="1" t="s">
        <v>74</v>
      </c>
      <c r="BH418" s="1" t="s">
        <v>74</v>
      </c>
      <c r="BI418" s="1" t="s">
        <v>74</v>
      </c>
      <c r="BJ418" s="1" t="s">
        <v>74</v>
      </c>
      <c r="BK418" s="1" t="s">
        <v>74</v>
      </c>
      <c r="BL418" s="1" t="s">
        <v>74</v>
      </c>
      <c r="BM418" s="1" t="s">
        <v>74</v>
      </c>
      <c r="BN418" s="1">
        <v>3.4712154E7</v>
      </c>
      <c r="BO418" s="1" t="s">
        <v>74</v>
      </c>
      <c r="BP418" s="1" t="s">
        <v>74</v>
      </c>
      <c r="BQ418" s="1" t="s">
        <v>74</v>
      </c>
      <c r="BR418" s="1" t="s">
        <v>74</v>
      </c>
      <c r="BS418" s="1" t="s">
        <v>4341</v>
      </c>
      <c r="BT418" s="1" t="str">
        <f>HYPERLINK("https%3A%2F%2Fwww.webofscience.com%2Fwos%2Fwoscc%2Ffull-record%2FWOS:000713436100001","View Full Record in Web of Science")</f>
        <v>View Full Record in Web of Science</v>
      </c>
    </row>
    <row r="419" ht="12.75" customHeight="1">
      <c r="A419" s="1" t="s">
        <v>72</v>
      </c>
      <c r="B419" s="1" t="s">
        <v>4342</v>
      </c>
      <c r="C419" s="1" t="s">
        <v>74</v>
      </c>
      <c r="D419" s="1" t="s">
        <v>74</v>
      </c>
      <c r="E419" s="1" t="s">
        <v>74</v>
      </c>
      <c r="F419" s="1" t="s">
        <v>4343</v>
      </c>
      <c r="G419" s="1" t="s">
        <v>74</v>
      </c>
      <c r="H419" s="1" t="s">
        <v>74</v>
      </c>
      <c r="I419" s="1" t="s">
        <v>4344</v>
      </c>
      <c r="J419" s="1" t="s">
        <v>553</v>
      </c>
      <c r="K419" s="1" t="s">
        <v>74</v>
      </c>
      <c r="L419" s="1" t="s">
        <v>74</v>
      </c>
      <c r="M419" s="1" t="s">
        <v>74</v>
      </c>
      <c r="N419" s="1" t="s">
        <v>74</v>
      </c>
      <c r="O419" s="1" t="s">
        <v>74</v>
      </c>
      <c r="P419" s="1" t="s">
        <v>74</v>
      </c>
      <c r="Q419" s="1" t="s">
        <v>74</v>
      </c>
      <c r="R419" s="1" t="s">
        <v>74</v>
      </c>
      <c r="S419" s="1" t="s">
        <v>74</v>
      </c>
      <c r="T419" s="1" t="s">
        <v>74</v>
      </c>
      <c r="U419" s="1" t="s">
        <v>74</v>
      </c>
      <c r="V419" s="1" t="s">
        <v>4345</v>
      </c>
      <c r="W419" s="1" t="s">
        <v>74</v>
      </c>
      <c r="X419" s="1" t="s">
        <v>74</v>
      </c>
      <c r="Y419" s="1" t="s">
        <v>74</v>
      </c>
      <c r="Z419" s="1" t="s">
        <v>74</v>
      </c>
      <c r="AA419" s="1" t="s">
        <v>3311</v>
      </c>
      <c r="AB419" s="1" t="s">
        <v>4346</v>
      </c>
      <c r="AC419" s="1" t="s">
        <v>74</v>
      </c>
      <c r="AD419" s="1" t="s">
        <v>74</v>
      </c>
      <c r="AE419" s="1" t="s">
        <v>74</v>
      </c>
      <c r="AF419" s="1" t="s">
        <v>74</v>
      </c>
      <c r="AG419" s="1" t="s">
        <v>74</v>
      </c>
      <c r="AH419" s="1" t="s">
        <v>74</v>
      </c>
      <c r="AI419" s="1" t="s">
        <v>74</v>
      </c>
      <c r="AJ419" s="1" t="s">
        <v>74</v>
      </c>
      <c r="AK419" s="1" t="s">
        <v>74</v>
      </c>
      <c r="AL419" s="1" t="s">
        <v>74</v>
      </c>
      <c r="AM419" s="1" t="s">
        <v>74</v>
      </c>
      <c r="AN419" s="1" t="s">
        <v>74</v>
      </c>
      <c r="AO419" s="1" t="s">
        <v>557</v>
      </c>
      <c r="AP419" s="1" t="s">
        <v>558</v>
      </c>
      <c r="AQ419" s="1" t="s">
        <v>74</v>
      </c>
      <c r="AR419" s="1" t="s">
        <v>74</v>
      </c>
      <c r="AS419" s="1" t="s">
        <v>74</v>
      </c>
      <c r="AT419" s="1" t="s">
        <v>4347</v>
      </c>
      <c r="AU419" s="1">
        <v>2021.0</v>
      </c>
      <c r="AV419" s="1">
        <v>46.0</v>
      </c>
      <c r="AW419" s="1">
        <v>26.0</v>
      </c>
      <c r="AX419" s="1" t="s">
        <v>74</v>
      </c>
      <c r="AY419" s="1" t="s">
        <v>74</v>
      </c>
      <c r="AZ419" s="1" t="s">
        <v>399</v>
      </c>
      <c r="BA419" s="1" t="s">
        <v>74</v>
      </c>
      <c r="BB419" s="1">
        <v>13748.0</v>
      </c>
      <c r="BC419" s="1">
        <v>13759.0</v>
      </c>
      <c r="BD419" s="1" t="s">
        <v>74</v>
      </c>
      <c r="BE419" s="1" t="s">
        <v>4348</v>
      </c>
      <c r="BF419" s="2" t="str">
        <f>HYPERLINK("http://dx.doi.org/10.1016/j.ijhydene.2020.10.044","http://dx.doi.org/10.1016/j.ijhydene.2020.10.044")</f>
        <v>http://dx.doi.org/10.1016/j.ijhydene.2020.10.044</v>
      </c>
      <c r="BG419" s="1" t="s">
        <v>74</v>
      </c>
      <c r="BH419" s="1" t="s">
        <v>109</v>
      </c>
      <c r="BI419" s="1" t="s">
        <v>74</v>
      </c>
      <c r="BJ419" s="1" t="s">
        <v>74</v>
      </c>
      <c r="BK419" s="1" t="s">
        <v>74</v>
      </c>
      <c r="BL419" s="1" t="s">
        <v>74</v>
      </c>
      <c r="BM419" s="1" t="s">
        <v>74</v>
      </c>
      <c r="BN419" s="1" t="s">
        <v>74</v>
      </c>
      <c r="BO419" s="1" t="s">
        <v>74</v>
      </c>
      <c r="BP419" s="1" t="s">
        <v>74</v>
      </c>
      <c r="BQ419" s="1" t="s">
        <v>74</v>
      </c>
      <c r="BR419" s="1" t="s">
        <v>74</v>
      </c>
      <c r="BS419" s="1" t="s">
        <v>4349</v>
      </c>
      <c r="BT419" s="1" t="str">
        <f>HYPERLINK("https%3A%2F%2Fwww.webofscience.com%2Fwos%2Fwoscc%2Ffull-record%2FWOS:000636315800009","View Full Record in Web of Science")</f>
        <v>View Full Record in Web of Science</v>
      </c>
    </row>
    <row r="420" ht="12.75" customHeight="1">
      <c r="A420" s="1" t="s">
        <v>72</v>
      </c>
      <c r="B420" s="1" t="s">
        <v>4350</v>
      </c>
      <c r="C420" s="1" t="s">
        <v>74</v>
      </c>
      <c r="D420" s="1" t="s">
        <v>74</v>
      </c>
      <c r="E420" s="1" t="s">
        <v>74</v>
      </c>
      <c r="F420" s="1" t="s">
        <v>4351</v>
      </c>
      <c r="G420" s="1" t="s">
        <v>74</v>
      </c>
      <c r="H420" s="1" t="s">
        <v>74</v>
      </c>
      <c r="I420" s="1" t="s">
        <v>4352</v>
      </c>
      <c r="J420" s="1" t="s">
        <v>4353</v>
      </c>
      <c r="K420" s="1" t="s">
        <v>74</v>
      </c>
      <c r="L420" s="1" t="s">
        <v>74</v>
      </c>
      <c r="M420" s="1" t="s">
        <v>74</v>
      </c>
      <c r="N420" s="1" t="s">
        <v>74</v>
      </c>
      <c r="O420" s="1" t="s">
        <v>74</v>
      </c>
      <c r="P420" s="1" t="s">
        <v>74</v>
      </c>
      <c r="Q420" s="1" t="s">
        <v>74</v>
      </c>
      <c r="R420" s="1" t="s">
        <v>74</v>
      </c>
      <c r="S420" s="1" t="s">
        <v>74</v>
      </c>
      <c r="T420" s="1" t="s">
        <v>74</v>
      </c>
      <c r="U420" s="1" t="s">
        <v>74</v>
      </c>
      <c r="V420" s="1" t="s">
        <v>4354</v>
      </c>
      <c r="W420" s="1" t="s">
        <v>74</v>
      </c>
      <c r="X420" s="1" t="s">
        <v>74</v>
      </c>
      <c r="Y420" s="1" t="s">
        <v>74</v>
      </c>
      <c r="Z420" s="1" t="s">
        <v>74</v>
      </c>
      <c r="AA420" s="1" t="s">
        <v>4355</v>
      </c>
      <c r="AB420" s="1" t="s">
        <v>4356</v>
      </c>
      <c r="AC420" s="1" t="s">
        <v>74</v>
      </c>
      <c r="AD420" s="1" t="s">
        <v>74</v>
      </c>
      <c r="AE420" s="1" t="s">
        <v>74</v>
      </c>
      <c r="AF420" s="1" t="s">
        <v>74</v>
      </c>
      <c r="AG420" s="1" t="s">
        <v>74</v>
      </c>
      <c r="AH420" s="1" t="s">
        <v>74</v>
      </c>
      <c r="AI420" s="1" t="s">
        <v>74</v>
      </c>
      <c r="AJ420" s="1" t="s">
        <v>74</v>
      </c>
      <c r="AK420" s="1" t="s">
        <v>74</v>
      </c>
      <c r="AL420" s="1" t="s">
        <v>74</v>
      </c>
      <c r="AM420" s="1" t="s">
        <v>74</v>
      </c>
      <c r="AN420" s="1" t="s">
        <v>74</v>
      </c>
      <c r="AO420" s="1" t="s">
        <v>4357</v>
      </c>
      <c r="AP420" s="1" t="s">
        <v>74</v>
      </c>
      <c r="AQ420" s="1" t="s">
        <v>74</v>
      </c>
      <c r="AR420" s="1" t="s">
        <v>74</v>
      </c>
      <c r="AS420" s="1" t="s">
        <v>74</v>
      </c>
      <c r="AT420" s="1" t="s">
        <v>4358</v>
      </c>
      <c r="AU420" s="1">
        <v>2021.0</v>
      </c>
      <c r="AV420" s="1">
        <v>12.0</v>
      </c>
      <c r="AW420" s="1" t="s">
        <v>74</v>
      </c>
      <c r="AX420" s="1" t="s">
        <v>74</v>
      </c>
      <c r="AY420" s="1" t="s">
        <v>74</v>
      </c>
      <c r="AZ420" s="1" t="s">
        <v>74</v>
      </c>
      <c r="BA420" s="1" t="s">
        <v>74</v>
      </c>
      <c r="BB420" s="1" t="s">
        <v>74</v>
      </c>
      <c r="BC420" s="1" t="s">
        <v>74</v>
      </c>
      <c r="BD420" s="1">
        <v>641178.0</v>
      </c>
      <c r="BE420" s="1" t="s">
        <v>4359</v>
      </c>
      <c r="BF420" s="2" t="str">
        <f>HYPERLINK("http://dx.doi.org/10.3389/fpsyg.2021.641178","http://dx.doi.org/10.3389/fpsyg.2021.641178")</f>
        <v>http://dx.doi.org/10.3389/fpsyg.2021.641178</v>
      </c>
      <c r="BG420" s="1" t="s">
        <v>74</v>
      </c>
      <c r="BH420" s="1" t="s">
        <v>74</v>
      </c>
      <c r="BI420" s="1" t="s">
        <v>74</v>
      </c>
      <c r="BJ420" s="1" t="s">
        <v>74</v>
      </c>
      <c r="BK420" s="1" t="s">
        <v>74</v>
      </c>
      <c r="BL420" s="1" t="s">
        <v>74</v>
      </c>
      <c r="BM420" s="1" t="s">
        <v>74</v>
      </c>
      <c r="BN420" s="1">
        <v>3.379605E7</v>
      </c>
      <c r="BO420" s="1" t="s">
        <v>74</v>
      </c>
      <c r="BP420" s="1" t="s">
        <v>74</v>
      </c>
      <c r="BQ420" s="1" t="s">
        <v>74</v>
      </c>
      <c r="BR420" s="1" t="s">
        <v>74</v>
      </c>
      <c r="BS420" s="1" t="s">
        <v>4360</v>
      </c>
      <c r="BT420" s="1" t="str">
        <f>HYPERLINK("https%3A%2F%2Fwww.webofscience.com%2Fwos%2Fwoscc%2Ffull-record%2FWOS:000634705900001","View Full Record in Web of Science")</f>
        <v>View Full Record in Web of Science</v>
      </c>
    </row>
    <row r="421" ht="12.75" customHeight="1">
      <c r="A421" s="1" t="s">
        <v>72</v>
      </c>
      <c r="B421" s="1" t="s">
        <v>4361</v>
      </c>
      <c r="C421" s="1" t="s">
        <v>74</v>
      </c>
      <c r="D421" s="1" t="s">
        <v>74</v>
      </c>
      <c r="E421" s="1" t="s">
        <v>74</v>
      </c>
      <c r="F421" s="1" t="s">
        <v>4362</v>
      </c>
      <c r="G421" s="1" t="s">
        <v>74</v>
      </c>
      <c r="H421" s="1" t="s">
        <v>74</v>
      </c>
      <c r="I421" s="1" t="s">
        <v>4363</v>
      </c>
      <c r="J421" s="1" t="s">
        <v>209</v>
      </c>
      <c r="K421" s="1" t="s">
        <v>74</v>
      </c>
      <c r="L421" s="1" t="s">
        <v>74</v>
      </c>
      <c r="M421" s="1" t="s">
        <v>74</v>
      </c>
      <c r="N421" s="1" t="s">
        <v>74</v>
      </c>
      <c r="O421" s="1" t="s">
        <v>74</v>
      </c>
      <c r="P421" s="1" t="s">
        <v>74</v>
      </c>
      <c r="Q421" s="1" t="s">
        <v>74</v>
      </c>
      <c r="R421" s="1" t="s">
        <v>74</v>
      </c>
      <c r="S421" s="1" t="s">
        <v>74</v>
      </c>
      <c r="T421" s="1" t="s">
        <v>74</v>
      </c>
      <c r="U421" s="1" t="s">
        <v>74</v>
      </c>
      <c r="V421" s="1" t="s">
        <v>4364</v>
      </c>
      <c r="W421" s="1" t="s">
        <v>74</v>
      </c>
      <c r="X421" s="1" t="s">
        <v>74</v>
      </c>
      <c r="Y421" s="1" t="s">
        <v>74</v>
      </c>
      <c r="Z421" s="1" t="s">
        <v>74</v>
      </c>
      <c r="AA421" s="1" t="s">
        <v>4365</v>
      </c>
      <c r="AB421" s="1" t="s">
        <v>4366</v>
      </c>
      <c r="AC421" s="1" t="s">
        <v>74</v>
      </c>
      <c r="AD421" s="1" t="s">
        <v>74</v>
      </c>
      <c r="AE421" s="1" t="s">
        <v>74</v>
      </c>
      <c r="AF421" s="1" t="s">
        <v>74</v>
      </c>
      <c r="AG421" s="1" t="s">
        <v>74</v>
      </c>
      <c r="AH421" s="1" t="s">
        <v>74</v>
      </c>
      <c r="AI421" s="1" t="s">
        <v>74</v>
      </c>
      <c r="AJ421" s="1" t="s">
        <v>74</v>
      </c>
      <c r="AK421" s="1" t="s">
        <v>74</v>
      </c>
      <c r="AL421" s="1" t="s">
        <v>74</v>
      </c>
      <c r="AM421" s="1" t="s">
        <v>74</v>
      </c>
      <c r="AN421" s="1" t="s">
        <v>74</v>
      </c>
      <c r="AO421" s="1" t="s">
        <v>213</v>
      </c>
      <c r="AP421" s="1" t="s">
        <v>214</v>
      </c>
      <c r="AQ421" s="1" t="s">
        <v>74</v>
      </c>
      <c r="AR421" s="1" t="s">
        <v>74</v>
      </c>
      <c r="AS421" s="1" t="s">
        <v>74</v>
      </c>
      <c r="AT421" s="1" t="s">
        <v>4367</v>
      </c>
      <c r="AU421" s="1">
        <v>2020.0</v>
      </c>
      <c r="AV421" s="1">
        <v>385.0</v>
      </c>
      <c r="AW421" s="1" t="s">
        <v>74</v>
      </c>
      <c r="AX421" s="1" t="s">
        <v>74</v>
      </c>
      <c r="AY421" s="1" t="s">
        <v>74</v>
      </c>
      <c r="AZ421" s="1" t="s">
        <v>74</v>
      </c>
      <c r="BA421" s="1" t="s">
        <v>74</v>
      </c>
      <c r="BB421" s="1" t="s">
        <v>74</v>
      </c>
      <c r="BC421" s="1" t="s">
        <v>74</v>
      </c>
      <c r="BD421" s="1">
        <v>121520.0</v>
      </c>
      <c r="BE421" s="1" t="s">
        <v>4368</v>
      </c>
      <c r="BF421" s="2" t="str">
        <f>HYPERLINK("http://dx.doi.org/10.1016/j.jhazmat.2019.121520","http://dx.doi.org/10.1016/j.jhazmat.2019.121520")</f>
        <v>http://dx.doi.org/10.1016/j.jhazmat.2019.121520</v>
      </c>
      <c r="BG421" s="1" t="s">
        <v>74</v>
      </c>
      <c r="BH421" s="1" t="s">
        <v>74</v>
      </c>
      <c r="BI421" s="1" t="s">
        <v>74</v>
      </c>
      <c r="BJ421" s="1" t="s">
        <v>74</v>
      </c>
      <c r="BK421" s="1" t="s">
        <v>74</v>
      </c>
      <c r="BL421" s="1" t="s">
        <v>74</v>
      </c>
      <c r="BM421" s="1" t="s">
        <v>74</v>
      </c>
      <c r="BN421" s="1">
        <v>3.1784135E7</v>
      </c>
      <c r="BO421" s="1" t="s">
        <v>74</v>
      </c>
      <c r="BP421" s="1" t="s">
        <v>74</v>
      </c>
      <c r="BQ421" s="1" t="s">
        <v>74</v>
      </c>
      <c r="BR421" s="1" t="s">
        <v>74</v>
      </c>
      <c r="BS421" s="1" t="s">
        <v>4369</v>
      </c>
      <c r="BT421" s="1" t="str">
        <f>HYPERLINK("https%3A%2F%2Fwww.webofscience.com%2Fwos%2Fwoscc%2Ffull-record%2FWOS:000509618300015","View Full Record in Web of Science")</f>
        <v>View Full Record in Web of Science</v>
      </c>
    </row>
    <row r="422" ht="12.75" customHeight="1">
      <c r="A422" s="1" t="s">
        <v>72</v>
      </c>
      <c r="B422" s="1" t="s">
        <v>4370</v>
      </c>
      <c r="C422" s="1" t="s">
        <v>74</v>
      </c>
      <c r="D422" s="1" t="s">
        <v>74</v>
      </c>
      <c r="E422" s="1" t="s">
        <v>74</v>
      </c>
      <c r="F422" s="1" t="s">
        <v>4371</v>
      </c>
      <c r="G422" s="1" t="s">
        <v>74</v>
      </c>
      <c r="H422" s="1" t="s">
        <v>74</v>
      </c>
      <c r="I422" s="1" t="s">
        <v>4372</v>
      </c>
      <c r="J422" s="1" t="s">
        <v>4353</v>
      </c>
      <c r="K422" s="1" t="s">
        <v>74</v>
      </c>
      <c r="L422" s="1" t="s">
        <v>74</v>
      </c>
      <c r="M422" s="1" t="s">
        <v>74</v>
      </c>
      <c r="N422" s="1" t="s">
        <v>74</v>
      </c>
      <c r="O422" s="1" t="s">
        <v>74</v>
      </c>
      <c r="P422" s="1" t="s">
        <v>74</v>
      </c>
      <c r="Q422" s="1" t="s">
        <v>74</v>
      </c>
      <c r="R422" s="1" t="s">
        <v>74</v>
      </c>
      <c r="S422" s="1" t="s">
        <v>74</v>
      </c>
      <c r="T422" s="1" t="s">
        <v>74</v>
      </c>
      <c r="U422" s="1" t="s">
        <v>74</v>
      </c>
      <c r="V422" s="1" t="s">
        <v>4373</v>
      </c>
      <c r="W422" s="1" t="s">
        <v>74</v>
      </c>
      <c r="X422" s="1" t="s">
        <v>74</v>
      </c>
      <c r="Y422" s="1" t="s">
        <v>74</v>
      </c>
      <c r="Z422" s="1" t="s">
        <v>74</v>
      </c>
      <c r="AA422" s="1" t="s">
        <v>4374</v>
      </c>
      <c r="AB422" s="1" t="s">
        <v>4375</v>
      </c>
      <c r="AC422" s="1" t="s">
        <v>74</v>
      </c>
      <c r="AD422" s="1" t="s">
        <v>74</v>
      </c>
      <c r="AE422" s="1" t="s">
        <v>74</v>
      </c>
      <c r="AF422" s="1" t="s">
        <v>74</v>
      </c>
      <c r="AG422" s="1" t="s">
        <v>74</v>
      </c>
      <c r="AH422" s="1" t="s">
        <v>74</v>
      </c>
      <c r="AI422" s="1" t="s">
        <v>74</v>
      </c>
      <c r="AJ422" s="1" t="s">
        <v>74</v>
      </c>
      <c r="AK422" s="1" t="s">
        <v>74</v>
      </c>
      <c r="AL422" s="1" t="s">
        <v>74</v>
      </c>
      <c r="AM422" s="1" t="s">
        <v>74</v>
      </c>
      <c r="AN422" s="1" t="s">
        <v>74</v>
      </c>
      <c r="AO422" s="1" t="s">
        <v>4357</v>
      </c>
      <c r="AP422" s="1" t="s">
        <v>74</v>
      </c>
      <c r="AQ422" s="1" t="s">
        <v>74</v>
      </c>
      <c r="AR422" s="1" t="s">
        <v>74</v>
      </c>
      <c r="AS422" s="1" t="s">
        <v>74</v>
      </c>
      <c r="AT422" s="1" t="s">
        <v>4376</v>
      </c>
      <c r="AU422" s="1">
        <v>2018.0</v>
      </c>
      <c r="AV422" s="1">
        <v>9.0</v>
      </c>
      <c r="AW422" s="1" t="s">
        <v>74</v>
      </c>
      <c r="AX422" s="1" t="s">
        <v>74</v>
      </c>
      <c r="AY422" s="1" t="s">
        <v>74</v>
      </c>
      <c r="AZ422" s="1" t="s">
        <v>74</v>
      </c>
      <c r="BA422" s="1" t="s">
        <v>74</v>
      </c>
      <c r="BB422" s="1" t="s">
        <v>74</v>
      </c>
      <c r="BC422" s="1" t="s">
        <v>74</v>
      </c>
      <c r="BD422" s="1">
        <v>423.0</v>
      </c>
      <c r="BE422" s="1" t="s">
        <v>4377</v>
      </c>
      <c r="BF422" s="2" t="str">
        <f>HYPERLINK("http://dx.doi.org/10.3389/fpsyg.2018.00423","http://dx.doi.org/10.3389/fpsyg.2018.00423")</f>
        <v>http://dx.doi.org/10.3389/fpsyg.2018.00423</v>
      </c>
      <c r="BG422" s="1" t="s">
        <v>74</v>
      </c>
      <c r="BH422" s="1" t="s">
        <v>74</v>
      </c>
      <c r="BI422" s="1" t="s">
        <v>74</v>
      </c>
      <c r="BJ422" s="1" t="s">
        <v>74</v>
      </c>
      <c r="BK422" s="1" t="s">
        <v>74</v>
      </c>
      <c r="BL422" s="1" t="s">
        <v>74</v>
      </c>
      <c r="BM422" s="1" t="s">
        <v>74</v>
      </c>
      <c r="BN422" s="1">
        <v>2.9670554E7</v>
      </c>
      <c r="BO422" s="1" t="s">
        <v>74</v>
      </c>
      <c r="BP422" s="1" t="s">
        <v>74</v>
      </c>
      <c r="BQ422" s="1" t="s">
        <v>74</v>
      </c>
      <c r="BR422" s="1" t="s">
        <v>74</v>
      </c>
      <c r="BS422" s="1" t="s">
        <v>4378</v>
      </c>
      <c r="BT422" s="1" t="str">
        <f>HYPERLINK("https%3A%2F%2Fwww.webofscience.com%2Fwos%2Fwoscc%2Ffull-record%2FWOS:000429242600001","View Full Record in Web of Science")</f>
        <v>View Full Record in Web of Science</v>
      </c>
    </row>
    <row r="423" ht="12.75" customHeight="1">
      <c r="A423" s="1" t="s">
        <v>72</v>
      </c>
      <c r="B423" s="1" t="s">
        <v>4379</v>
      </c>
      <c r="C423" s="1" t="s">
        <v>74</v>
      </c>
      <c r="D423" s="1" t="s">
        <v>74</v>
      </c>
      <c r="E423" s="1" t="s">
        <v>74</v>
      </c>
      <c r="F423" s="1" t="s">
        <v>4380</v>
      </c>
      <c r="G423" s="1" t="s">
        <v>74</v>
      </c>
      <c r="H423" s="1" t="s">
        <v>74</v>
      </c>
      <c r="I423" s="1" t="s">
        <v>4381</v>
      </c>
      <c r="J423" s="1" t="s">
        <v>4382</v>
      </c>
      <c r="K423" s="1" t="s">
        <v>74</v>
      </c>
      <c r="L423" s="1" t="s">
        <v>74</v>
      </c>
      <c r="M423" s="1" t="s">
        <v>74</v>
      </c>
      <c r="N423" s="1" t="s">
        <v>74</v>
      </c>
      <c r="O423" s="1" t="s">
        <v>74</v>
      </c>
      <c r="P423" s="1" t="s">
        <v>74</v>
      </c>
      <c r="Q423" s="1" t="s">
        <v>74</v>
      </c>
      <c r="R423" s="1" t="s">
        <v>74</v>
      </c>
      <c r="S423" s="1" t="s">
        <v>74</v>
      </c>
      <c r="T423" s="1" t="s">
        <v>74</v>
      </c>
      <c r="U423" s="1" t="s">
        <v>74</v>
      </c>
      <c r="V423" s="1" t="s">
        <v>4383</v>
      </c>
      <c r="W423" s="1" t="s">
        <v>74</v>
      </c>
      <c r="X423" s="1" t="s">
        <v>74</v>
      </c>
      <c r="Y423" s="1" t="s">
        <v>74</v>
      </c>
      <c r="Z423" s="1" t="s">
        <v>74</v>
      </c>
      <c r="AA423" s="1" t="s">
        <v>4384</v>
      </c>
      <c r="AB423" s="1" t="s">
        <v>4385</v>
      </c>
      <c r="AC423" s="1" t="s">
        <v>74</v>
      </c>
      <c r="AD423" s="1" t="s">
        <v>74</v>
      </c>
      <c r="AE423" s="1" t="s">
        <v>74</v>
      </c>
      <c r="AF423" s="1" t="s">
        <v>74</v>
      </c>
      <c r="AG423" s="1" t="s">
        <v>74</v>
      </c>
      <c r="AH423" s="1" t="s">
        <v>74</v>
      </c>
      <c r="AI423" s="1" t="s">
        <v>74</v>
      </c>
      <c r="AJ423" s="1" t="s">
        <v>74</v>
      </c>
      <c r="AK423" s="1" t="s">
        <v>74</v>
      </c>
      <c r="AL423" s="1" t="s">
        <v>74</v>
      </c>
      <c r="AM423" s="1" t="s">
        <v>74</v>
      </c>
      <c r="AN423" s="1" t="s">
        <v>74</v>
      </c>
      <c r="AO423" s="1" t="s">
        <v>4386</v>
      </c>
      <c r="AP423" s="1" t="s">
        <v>4387</v>
      </c>
      <c r="AQ423" s="1" t="s">
        <v>74</v>
      </c>
      <c r="AR423" s="1" t="s">
        <v>74</v>
      </c>
      <c r="AS423" s="1" t="s">
        <v>74</v>
      </c>
      <c r="AT423" s="1" t="s">
        <v>3119</v>
      </c>
      <c r="AU423" s="1">
        <v>2017.0</v>
      </c>
      <c r="AV423" s="1">
        <v>209.0</v>
      </c>
      <c r="AW423" s="1" t="s">
        <v>74</v>
      </c>
      <c r="AX423" s="1" t="s">
        <v>74</v>
      </c>
      <c r="AY423" s="1" t="s">
        <v>74</v>
      </c>
      <c r="AZ423" s="1" t="s">
        <v>74</v>
      </c>
      <c r="BA423" s="1" t="s">
        <v>74</v>
      </c>
      <c r="BB423" s="1">
        <v>509.0</v>
      </c>
      <c r="BC423" s="1">
        <v>512.0</v>
      </c>
      <c r="BD423" s="1" t="s">
        <v>74</v>
      </c>
      <c r="BE423" s="1" t="s">
        <v>4388</v>
      </c>
      <c r="BF423" s="2" t="str">
        <f>HYPERLINK("http://dx.doi.org/10.1016/j.matlet.2017.08.082","http://dx.doi.org/10.1016/j.matlet.2017.08.082")</f>
        <v>http://dx.doi.org/10.1016/j.matlet.2017.08.082</v>
      </c>
      <c r="BG423" s="1" t="s">
        <v>74</v>
      </c>
      <c r="BH423" s="1" t="s">
        <v>74</v>
      </c>
      <c r="BI423" s="1" t="s">
        <v>74</v>
      </c>
      <c r="BJ423" s="1" t="s">
        <v>74</v>
      </c>
      <c r="BK423" s="1" t="s">
        <v>74</v>
      </c>
      <c r="BL423" s="1" t="s">
        <v>74</v>
      </c>
      <c r="BM423" s="1" t="s">
        <v>74</v>
      </c>
      <c r="BN423" s="1" t="s">
        <v>74</v>
      </c>
      <c r="BO423" s="1" t="s">
        <v>74</v>
      </c>
      <c r="BP423" s="1" t="s">
        <v>74</v>
      </c>
      <c r="BQ423" s="1" t="s">
        <v>74</v>
      </c>
      <c r="BR423" s="1" t="s">
        <v>74</v>
      </c>
      <c r="BS423" s="1" t="s">
        <v>4389</v>
      </c>
      <c r="BT423" s="1" t="str">
        <f>HYPERLINK("https%3A%2F%2Fwww.webofscience.com%2Fwos%2Fwoscc%2Ffull-record%2FWOS:000413124300129","View Full Record in Web of Science")</f>
        <v>View Full Record in Web of Science</v>
      </c>
    </row>
    <row r="424" ht="12.75" customHeight="1">
      <c r="A424" s="1" t="s">
        <v>72</v>
      </c>
      <c r="B424" s="1" t="s">
        <v>4390</v>
      </c>
      <c r="C424" s="1" t="s">
        <v>74</v>
      </c>
      <c r="D424" s="1" t="s">
        <v>74</v>
      </c>
      <c r="E424" s="1" t="s">
        <v>74</v>
      </c>
      <c r="F424" s="1" t="s">
        <v>4391</v>
      </c>
      <c r="G424" s="1" t="s">
        <v>74</v>
      </c>
      <c r="H424" s="1" t="s">
        <v>74</v>
      </c>
      <c r="I424" s="1" t="s">
        <v>4392</v>
      </c>
      <c r="J424" s="1" t="s">
        <v>4393</v>
      </c>
      <c r="K424" s="1" t="s">
        <v>74</v>
      </c>
      <c r="L424" s="1" t="s">
        <v>74</v>
      </c>
      <c r="M424" s="1" t="s">
        <v>74</v>
      </c>
      <c r="N424" s="1" t="s">
        <v>74</v>
      </c>
      <c r="O424" s="1" t="s">
        <v>74</v>
      </c>
      <c r="P424" s="1" t="s">
        <v>74</v>
      </c>
      <c r="Q424" s="1" t="s">
        <v>74</v>
      </c>
      <c r="R424" s="1" t="s">
        <v>74</v>
      </c>
      <c r="S424" s="1" t="s">
        <v>74</v>
      </c>
      <c r="T424" s="1" t="s">
        <v>74</v>
      </c>
      <c r="U424" s="1" t="s">
        <v>74</v>
      </c>
      <c r="V424" s="1" t="s">
        <v>4394</v>
      </c>
      <c r="W424" s="1" t="s">
        <v>74</v>
      </c>
      <c r="X424" s="1" t="s">
        <v>74</v>
      </c>
      <c r="Y424" s="1" t="s">
        <v>74</v>
      </c>
      <c r="Z424" s="1" t="s">
        <v>74</v>
      </c>
      <c r="AA424" s="1" t="s">
        <v>4395</v>
      </c>
      <c r="AB424" s="1" t="s">
        <v>4396</v>
      </c>
      <c r="AC424" s="1" t="s">
        <v>74</v>
      </c>
      <c r="AD424" s="1" t="s">
        <v>74</v>
      </c>
      <c r="AE424" s="1" t="s">
        <v>74</v>
      </c>
      <c r="AF424" s="1" t="s">
        <v>74</v>
      </c>
      <c r="AG424" s="1" t="s">
        <v>74</v>
      </c>
      <c r="AH424" s="1" t="s">
        <v>74</v>
      </c>
      <c r="AI424" s="1" t="s">
        <v>74</v>
      </c>
      <c r="AJ424" s="1" t="s">
        <v>74</v>
      </c>
      <c r="AK424" s="1" t="s">
        <v>74</v>
      </c>
      <c r="AL424" s="1" t="s">
        <v>74</v>
      </c>
      <c r="AM424" s="1" t="s">
        <v>74</v>
      </c>
      <c r="AN424" s="1" t="s">
        <v>74</v>
      </c>
      <c r="AO424" s="1" t="s">
        <v>4397</v>
      </c>
      <c r="AP424" s="1" t="s">
        <v>4398</v>
      </c>
      <c r="AQ424" s="1" t="s">
        <v>74</v>
      </c>
      <c r="AR424" s="1" t="s">
        <v>74</v>
      </c>
      <c r="AS424" s="1" t="s">
        <v>74</v>
      </c>
      <c r="AT424" s="1" t="s">
        <v>74</v>
      </c>
      <c r="AU424" s="1">
        <v>2017.0</v>
      </c>
      <c r="AV424" s="1">
        <v>22.0</v>
      </c>
      <c r="AW424" s="1">
        <v>1.0</v>
      </c>
      <c r="AX424" s="1" t="s">
        <v>74</v>
      </c>
      <c r="AY424" s="1" t="s">
        <v>74</v>
      </c>
      <c r="AZ424" s="1" t="s">
        <v>74</v>
      </c>
      <c r="BA424" s="1" t="s">
        <v>74</v>
      </c>
      <c r="BB424" s="1" t="s">
        <v>74</v>
      </c>
      <c r="BC424" s="1" t="s">
        <v>74</v>
      </c>
      <c r="BD424" s="1">
        <v>31.0</v>
      </c>
      <c r="BE424" s="1" t="s">
        <v>4399</v>
      </c>
      <c r="BF424" s="2" t="str">
        <f>HYPERLINK("http://dx.doi.org/10.1186/s12199-017-0628-5","http://dx.doi.org/10.1186/s12199-017-0628-5")</f>
        <v>http://dx.doi.org/10.1186/s12199-017-0628-5</v>
      </c>
      <c r="BG424" s="1" t="s">
        <v>74</v>
      </c>
      <c r="BH424" s="1" t="s">
        <v>74</v>
      </c>
      <c r="BI424" s="1" t="s">
        <v>74</v>
      </c>
      <c r="BJ424" s="1" t="s">
        <v>74</v>
      </c>
      <c r="BK424" s="1" t="s">
        <v>74</v>
      </c>
      <c r="BL424" s="1" t="s">
        <v>74</v>
      </c>
      <c r="BM424" s="1" t="s">
        <v>74</v>
      </c>
      <c r="BN424" s="1">
        <v>2.9165126E7</v>
      </c>
      <c r="BO424" s="1" t="s">
        <v>74</v>
      </c>
      <c r="BP424" s="1" t="s">
        <v>74</v>
      </c>
      <c r="BQ424" s="1" t="s">
        <v>74</v>
      </c>
      <c r="BR424" s="1" t="s">
        <v>74</v>
      </c>
      <c r="BS424" s="1" t="s">
        <v>4400</v>
      </c>
      <c r="BT424" s="1" t="str">
        <f>HYPERLINK("https%3A%2F%2Fwww.webofscience.com%2Fwos%2Fwoscc%2Ffull-record%2FWOS:000401410700018","View Full Record in Web of Science")</f>
        <v>View Full Record in Web of Science</v>
      </c>
    </row>
    <row r="425" ht="12.75" customHeight="1">
      <c r="A425" s="1" t="s">
        <v>72</v>
      </c>
      <c r="B425" s="1" t="s">
        <v>4401</v>
      </c>
      <c r="C425" s="1" t="s">
        <v>74</v>
      </c>
      <c r="D425" s="1" t="s">
        <v>74</v>
      </c>
      <c r="E425" s="1" t="s">
        <v>74</v>
      </c>
      <c r="F425" s="1" t="s">
        <v>4402</v>
      </c>
      <c r="G425" s="1" t="s">
        <v>74</v>
      </c>
      <c r="H425" s="1" t="s">
        <v>74</v>
      </c>
      <c r="I425" s="1" t="s">
        <v>4403</v>
      </c>
      <c r="J425" s="1" t="s">
        <v>786</v>
      </c>
      <c r="K425" s="1" t="s">
        <v>74</v>
      </c>
      <c r="L425" s="1" t="s">
        <v>74</v>
      </c>
      <c r="M425" s="1" t="s">
        <v>74</v>
      </c>
      <c r="N425" s="1" t="s">
        <v>74</v>
      </c>
      <c r="O425" s="1" t="s">
        <v>74</v>
      </c>
      <c r="P425" s="1" t="s">
        <v>74</v>
      </c>
      <c r="Q425" s="1" t="s">
        <v>74</v>
      </c>
      <c r="R425" s="1" t="s">
        <v>74</v>
      </c>
      <c r="S425" s="1" t="s">
        <v>74</v>
      </c>
      <c r="T425" s="1" t="s">
        <v>74</v>
      </c>
      <c r="U425" s="1" t="s">
        <v>74</v>
      </c>
      <c r="V425" s="1" t="s">
        <v>4404</v>
      </c>
      <c r="W425" s="1" t="s">
        <v>74</v>
      </c>
      <c r="X425" s="1" t="s">
        <v>74</v>
      </c>
      <c r="Y425" s="1" t="s">
        <v>74</v>
      </c>
      <c r="Z425" s="1" t="s">
        <v>74</v>
      </c>
      <c r="AA425" s="1" t="s">
        <v>74</v>
      </c>
      <c r="AB425" s="1" t="s">
        <v>74</v>
      </c>
      <c r="AC425" s="1" t="s">
        <v>74</v>
      </c>
      <c r="AD425" s="1" t="s">
        <v>74</v>
      </c>
      <c r="AE425" s="1" t="s">
        <v>74</v>
      </c>
      <c r="AF425" s="1" t="s">
        <v>74</v>
      </c>
      <c r="AG425" s="1" t="s">
        <v>74</v>
      </c>
      <c r="AH425" s="1" t="s">
        <v>74</v>
      </c>
      <c r="AI425" s="1" t="s">
        <v>74</v>
      </c>
      <c r="AJ425" s="1" t="s">
        <v>74</v>
      </c>
      <c r="AK425" s="1" t="s">
        <v>74</v>
      </c>
      <c r="AL425" s="1" t="s">
        <v>74</v>
      </c>
      <c r="AM425" s="1" t="s">
        <v>74</v>
      </c>
      <c r="AN425" s="1" t="s">
        <v>74</v>
      </c>
      <c r="AO425" s="1" t="s">
        <v>790</v>
      </c>
      <c r="AP425" s="1" t="s">
        <v>74</v>
      </c>
      <c r="AQ425" s="1" t="s">
        <v>74</v>
      </c>
      <c r="AR425" s="1" t="s">
        <v>74</v>
      </c>
      <c r="AS425" s="1" t="s">
        <v>74</v>
      </c>
      <c r="AT425" s="1" t="s">
        <v>1850</v>
      </c>
      <c r="AU425" s="1">
        <v>2016.0</v>
      </c>
      <c r="AV425" s="1">
        <v>117.0</v>
      </c>
      <c r="AW425" s="1" t="s">
        <v>74</v>
      </c>
      <c r="AX425" s="1" t="s">
        <v>74</v>
      </c>
      <c r="AY425" s="1" t="s">
        <v>74</v>
      </c>
      <c r="AZ425" s="1" t="s">
        <v>74</v>
      </c>
      <c r="BA425" s="1" t="s">
        <v>74</v>
      </c>
      <c r="BB425" s="1">
        <v>381.0</v>
      </c>
      <c r="BC425" s="1">
        <v>387.0</v>
      </c>
      <c r="BD425" s="1" t="s">
        <v>74</v>
      </c>
      <c r="BE425" s="1" t="s">
        <v>4405</v>
      </c>
      <c r="BF425" s="2" t="str">
        <f>HYPERLINK("http://dx.doi.org/10.1016/j.poly.2016.06.014","http://dx.doi.org/10.1016/j.poly.2016.06.014")</f>
        <v>http://dx.doi.org/10.1016/j.poly.2016.06.014</v>
      </c>
      <c r="BG425" s="1" t="s">
        <v>74</v>
      </c>
      <c r="BH425" s="1" t="s">
        <v>74</v>
      </c>
      <c r="BI425" s="1" t="s">
        <v>74</v>
      </c>
      <c r="BJ425" s="1" t="s">
        <v>74</v>
      </c>
      <c r="BK425" s="1" t="s">
        <v>74</v>
      </c>
      <c r="BL425" s="1" t="s">
        <v>74</v>
      </c>
      <c r="BM425" s="1" t="s">
        <v>74</v>
      </c>
      <c r="BN425" s="1" t="s">
        <v>74</v>
      </c>
      <c r="BO425" s="1" t="s">
        <v>74</v>
      </c>
      <c r="BP425" s="1" t="s">
        <v>74</v>
      </c>
      <c r="BQ425" s="1" t="s">
        <v>74</v>
      </c>
      <c r="BR425" s="1" t="s">
        <v>74</v>
      </c>
      <c r="BS425" s="1" t="s">
        <v>4406</v>
      </c>
      <c r="BT425" s="1" t="str">
        <f>HYPERLINK("https%3A%2F%2Fwww.webofscience.com%2Fwos%2Fwoscc%2Ffull-record%2FWOS:000384384500045","View Full Record in Web of Science")</f>
        <v>View Full Record in Web of Science</v>
      </c>
    </row>
    <row r="426" ht="12.75" customHeight="1">
      <c r="A426" s="1" t="s">
        <v>72</v>
      </c>
      <c r="B426" s="1" t="s">
        <v>4407</v>
      </c>
      <c r="C426" s="1" t="s">
        <v>74</v>
      </c>
      <c r="D426" s="1" t="s">
        <v>74</v>
      </c>
      <c r="E426" s="1" t="s">
        <v>74</v>
      </c>
      <c r="F426" s="1" t="s">
        <v>4408</v>
      </c>
      <c r="G426" s="1" t="s">
        <v>74</v>
      </c>
      <c r="H426" s="1" t="s">
        <v>74</v>
      </c>
      <c r="I426" s="1" t="s">
        <v>4409</v>
      </c>
      <c r="J426" s="1" t="s">
        <v>4410</v>
      </c>
      <c r="K426" s="1" t="s">
        <v>74</v>
      </c>
      <c r="L426" s="1" t="s">
        <v>74</v>
      </c>
      <c r="M426" s="1" t="s">
        <v>74</v>
      </c>
      <c r="N426" s="1" t="s">
        <v>74</v>
      </c>
      <c r="O426" s="1" t="s">
        <v>74</v>
      </c>
      <c r="P426" s="1" t="s">
        <v>74</v>
      </c>
      <c r="Q426" s="1" t="s">
        <v>74</v>
      </c>
      <c r="R426" s="1" t="s">
        <v>74</v>
      </c>
      <c r="S426" s="1" t="s">
        <v>74</v>
      </c>
      <c r="T426" s="1" t="s">
        <v>74</v>
      </c>
      <c r="U426" s="1" t="s">
        <v>74</v>
      </c>
      <c r="V426" s="1" t="s">
        <v>4411</v>
      </c>
      <c r="W426" s="1" t="s">
        <v>74</v>
      </c>
      <c r="X426" s="1" t="s">
        <v>74</v>
      </c>
      <c r="Y426" s="1" t="s">
        <v>74</v>
      </c>
      <c r="Z426" s="1" t="s">
        <v>74</v>
      </c>
      <c r="AA426" s="1" t="s">
        <v>4412</v>
      </c>
      <c r="AB426" s="1" t="s">
        <v>4413</v>
      </c>
      <c r="AC426" s="1" t="s">
        <v>74</v>
      </c>
      <c r="AD426" s="1" t="s">
        <v>74</v>
      </c>
      <c r="AE426" s="1" t="s">
        <v>74</v>
      </c>
      <c r="AF426" s="1" t="s">
        <v>74</v>
      </c>
      <c r="AG426" s="1" t="s">
        <v>74</v>
      </c>
      <c r="AH426" s="1" t="s">
        <v>74</v>
      </c>
      <c r="AI426" s="1" t="s">
        <v>74</v>
      </c>
      <c r="AJ426" s="1" t="s">
        <v>74</v>
      </c>
      <c r="AK426" s="1" t="s">
        <v>74</v>
      </c>
      <c r="AL426" s="1" t="s">
        <v>74</v>
      </c>
      <c r="AM426" s="1" t="s">
        <v>74</v>
      </c>
      <c r="AN426" s="1" t="s">
        <v>74</v>
      </c>
      <c r="AO426" s="1" t="s">
        <v>4414</v>
      </c>
      <c r="AP426" s="1" t="s">
        <v>74</v>
      </c>
      <c r="AQ426" s="1" t="s">
        <v>74</v>
      </c>
      <c r="AR426" s="1" t="s">
        <v>74</v>
      </c>
      <c r="AS426" s="1" t="s">
        <v>74</v>
      </c>
      <c r="AT426" s="1" t="s">
        <v>377</v>
      </c>
      <c r="AU426" s="1">
        <v>2016.0</v>
      </c>
      <c r="AV426" s="1">
        <v>58.0</v>
      </c>
      <c r="AW426" s="1" t="s">
        <v>74</v>
      </c>
      <c r="AX426" s="1" t="s">
        <v>74</v>
      </c>
      <c r="AY426" s="1" t="s">
        <v>74</v>
      </c>
      <c r="AZ426" s="1" t="s">
        <v>74</v>
      </c>
      <c r="BA426" s="1" t="s">
        <v>74</v>
      </c>
      <c r="BB426" s="1">
        <v>976.0</v>
      </c>
      <c r="BC426" s="1">
        <v>1006.0</v>
      </c>
      <c r="BD426" s="1" t="s">
        <v>74</v>
      </c>
      <c r="BE426" s="1" t="s">
        <v>4415</v>
      </c>
      <c r="BF426" s="2" t="str">
        <f>HYPERLINK("http://dx.doi.org/10.1016/j.rser.2015.12.120","http://dx.doi.org/10.1016/j.rser.2015.12.120")</f>
        <v>http://dx.doi.org/10.1016/j.rser.2015.12.120</v>
      </c>
      <c r="BG426" s="1" t="s">
        <v>74</v>
      </c>
      <c r="BH426" s="1" t="s">
        <v>74</v>
      </c>
      <c r="BI426" s="1" t="s">
        <v>74</v>
      </c>
      <c r="BJ426" s="1" t="s">
        <v>74</v>
      </c>
      <c r="BK426" s="1" t="s">
        <v>74</v>
      </c>
      <c r="BL426" s="1" t="s">
        <v>74</v>
      </c>
      <c r="BM426" s="1" t="s">
        <v>74</v>
      </c>
      <c r="BN426" s="1" t="s">
        <v>74</v>
      </c>
      <c r="BO426" s="1" t="s">
        <v>74</v>
      </c>
      <c r="BP426" s="1" t="s">
        <v>74</v>
      </c>
      <c r="BQ426" s="1" t="s">
        <v>74</v>
      </c>
      <c r="BR426" s="1" t="s">
        <v>74</v>
      </c>
      <c r="BS426" s="1" t="s">
        <v>4416</v>
      </c>
      <c r="BT426" s="1" t="str">
        <f>HYPERLINK("https%3A%2F%2Fwww.webofscience.com%2Fwos%2Fwoscc%2Ffull-record%2FWOS:000371948100083","View Full Record in Web of Science")</f>
        <v>View Full Record in Web of Science</v>
      </c>
    </row>
    <row r="427" ht="12.75" customHeight="1">
      <c r="A427" s="1" t="s">
        <v>72</v>
      </c>
      <c r="B427" s="1" t="s">
        <v>4417</v>
      </c>
      <c r="C427" s="1" t="s">
        <v>74</v>
      </c>
      <c r="D427" s="1" t="s">
        <v>74</v>
      </c>
      <c r="E427" s="1" t="s">
        <v>74</v>
      </c>
      <c r="F427" s="1" t="s">
        <v>4418</v>
      </c>
      <c r="G427" s="1" t="s">
        <v>74</v>
      </c>
      <c r="H427" s="1" t="s">
        <v>74</v>
      </c>
      <c r="I427" s="1" t="s">
        <v>4419</v>
      </c>
      <c r="J427" s="1" t="s">
        <v>383</v>
      </c>
      <c r="K427" s="1" t="s">
        <v>74</v>
      </c>
      <c r="L427" s="1" t="s">
        <v>74</v>
      </c>
      <c r="M427" s="1" t="s">
        <v>74</v>
      </c>
      <c r="N427" s="1" t="s">
        <v>74</v>
      </c>
      <c r="O427" s="1" t="s">
        <v>74</v>
      </c>
      <c r="P427" s="1" t="s">
        <v>74</v>
      </c>
      <c r="Q427" s="1" t="s">
        <v>74</v>
      </c>
      <c r="R427" s="1" t="s">
        <v>74</v>
      </c>
      <c r="S427" s="1" t="s">
        <v>74</v>
      </c>
      <c r="T427" s="1" t="s">
        <v>74</v>
      </c>
      <c r="U427" s="1" t="s">
        <v>74</v>
      </c>
      <c r="V427" s="1" t="s">
        <v>4420</v>
      </c>
      <c r="W427" s="1" t="s">
        <v>74</v>
      </c>
      <c r="X427" s="1" t="s">
        <v>74</v>
      </c>
      <c r="Y427" s="1" t="s">
        <v>74</v>
      </c>
      <c r="Z427" s="1" t="s">
        <v>74</v>
      </c>
      <c r="AA427" s="1" t="s">
        <v>4421</v>
      </c>
      <c r="AB427" s="1" t="s">
        <v>4422</v>
      </c>
      <c r="AC427" s="1" t="s">
        <v>74</v>
      </c>
      <c r="AD427" s="1" t="s">
        <v>74</v>
      </c>
      <c r="AE427" s="1" t="s">
        <v>74</v>
      </c>
      <c r="AF427" s="1" t="s">
        <v>74</v>
      </c>
      <c r="AG427" s="1" t="s">
        <v>74</v>
      </c>
      <c r="AH427" s="1" t="s">
        <v>74</v>
      </c>
      <c r="AI427" s="1" t="s">
        <v>74</v>
      </c>
      <c r="AJ427" s="1" t="s">
        <v>74</v>
      </c>
      <c r="AK427" s="1" t="s">
        <v>74</v>
      </c>
      <c r="AL427" s="1" t="s">
        <v>74</v>
      </c>
      <c r="AM427" s="1" t="s">
        <v>74</v>
      </c>
      <c r="AN427" s="1" t="s">
        <v>74</v>
      </c>
      <c r="AO427" s="1" t="s">
        <v>387</v>
      </c>
      <c r="AP427" s="1" t="s">
        <v>74</v>
      </c>
      <c r="AQ427" s="1" t="s">
        <v>74</v>
      </c>
      <c r="AR427" s="1" t="s">
        <v>74</v>
      </c>
      <c r="AS427" s="1" t="s">
        <v>74</v>
      </c>
      <c r="AT427" s="1" t="s">
        <v>4423</v>
      </c>
      <c r="AU427" s="1">
        <v>2016.0</v>
      </c>
      <c r="AV427" s="1">
        <v>6.0</v>
      </c>
      <c r="AW427" s="1" t="s">
        <v>74</v>
      </c>
      <c r="AX427" s="1" t="s">
        <v>74</v>
      </c>
      <c r="AY427" s="1" t="s">
        <v>74</v>
      </c>
      <c r="AZ427" s="1" t="s">
        <v>74</v>
      </c>
      <c r="BA427" s="1" t="s">
        <v>74</v>
      </c>
      <c r="BB427" s="1" t="s">
        <v>74</v>
      </c>
      <c r="BC427" s="1" t="s">
        <v>74</v>
      </c>
      <c r="BD427" s="1">
        <v>21849.0</v>
      </c>
      <c r="BE427" s="1" t="s">
        <v>4424</v>
      </c>
      <c r="BF427" s="2" t="str">
        <f>HYPERLINK("http://dx.doi.org/10.1038/srep21849","http://dx.doi.org/10.1038/srep21849")</f>
        <v>http://dx.doi.org/10.1038/srep21849</v>
      </c>
      <c r="BG427" s="1" t="s">
        <v>74</v>
      </c>
      <c r="BH427" s="1" t="s">
        <v>74</v>
      </c>
      <c r="BI427" s="1" t="s">
        <v>74</v>
      </c>
      <c r="BJ427" s="1" t="s">
        <v>74</v>
      </c>
      <c r="BK427" s="1" t="s">
        <v>74</v>
      </c>
      <c r="BL427" s="1" t="s">
        <v>74</v>
      </c>
      <c r="BM427" s="1" t="s">
        <v>74</v>
      </c>
      <c r="BN427" s="1">
        <v>2.6898953E7</v>
      </c>
      <c r="BO427" s="1" t="s">
        <v>74</v>
      </c>
      <c r="BP427" s="1" t="s">
        <v>74</v>
      </c>
      <c r="BQ427" s="1" t="s">
        <v>74</v>
      </c>
      <c r="BR427" s="1" t="s">
        <v>74</v>
      </c>
      <c r="BS427" s="1" t="s">
        <v>4425</v>
      </c>
      <c r="BT427" s="1" t="str">
        <f>HYPERLINK("https%3A%2F%2Fwww.webofscience.com%2Fwos%2Fwoscc%2Ffull-record%2FWOS:000370516000002","View Full Record in Web of Science")</f>
        <v>View Full Record in Web of Science</v>
      </c>
    </row>
    <row r="428" ht="12.75" customHeight="1">
      <c r="A428" s="1" t="s">
        <v>647</v>
      </c>
      <c r="B428" s="1" t="s">
        <v>4426</v>
      </c>
      <c r="C428" s="1" t="s">
        <v>74</v>
      </c>
      <c r="D428" s="1" t="s">
        <v>74</v>
      </c>
      <c r="E428" s="1" t="s">
        <v>74</v>
      </c>
      <c r="F428" s="1" t="s">
        <v>4427</v>
      </c>
      <c r="G428" s="1" t="s">
        <v>74</v>
      </c>
      <c r="H428" s="1" t="s">
        <v>74</v>
      </c>
      <c r="I428" s="1" t="s">
        <v>4428</v>
      </c>
      <c r="J428" s="1" t="s">
        <v>4429</v>
      </c>
      <c r="K428" s="1" t="s">
        <v>74</v>
      </c>
      <c r="L428" s="1" t="s">
        <v>74</v>
      </c>
      <c r="M428" s="1" t="s">
        <v>74</v>
      </c>
      <c r="N428" s="1" t="s">
        <v>74</v>
      </c>
      <c r="O428" s="1" t="s">
        <v>4430</v>
      </c>
      <c r="P428" s="1" t="s">
        <v>4431</v>
      </c>
      <c r="Q428" s="1" t="s">
        <v>4432</v>
      </c>
      <c r="R428" s="1" t="s">
        <v>4433</v>
      </c>
      <c r="S428" s="1" t="s">
        <v>74</v>
      </c>
      <c r="T428" s="1" t="s">
        <v>74</v>
      </c>
      <c r="U428" s="1" t="s">
        <v>74</v>
      </c>
      <c r="V428" s="1" t="s">
        <v>4434</v>
      </c>
      <c r="W428" s="1" t="s">
        <v>74</v>
      </c>
      <c r="X428" s="1" t="s">
        <v>74</v>
      </c>
      <c r="Y428" s="1" t="s">
        <v>74</v>
      </c>
      <c r="Z428" s="1" t="s">
        <v>74</v>
      </c>
      <c r="AA428" s="1" t="s">
        <v>4435</v>
      </c>
      <c r="AB428" s="1" t="s">
        <v>4436</v>
      </c>
      <c r="AC428" s="1" t="s">
        <v>74</v>
      </c>
      <c r="AD428" s="1" t="s">
        <v>74</v>
      </c>
      <c r="AE428" s="1" t="s">
        <v>74</v>
      </c>
      <c r="AF428" s="1" t="s">
        <v>74</v>
      </c>
      <c r="AG428" s="1" t="s">
        <v>74</v>
      </c>
      <c r="AH428" s="1" t="s">
        <v>74</v>
      </c>
      <c r="AI428" s="1" t="s">
        <v>74</v>
      </c>
      <c r="AJ428" s="1" t="s">
        <v>74</v>
      </c>
      <c r="AK428" s="1" t="s">
        <v>74</v>
      </c>
      <c r="AL428" s="1" t="s">
        <v>74</v>
      </c>
      <c r="AM428" s="1" t="s">
        <v>74</v>
      </c>
      <c r="AN428" s="1" t="s">
        <v>74</v>
      </c>
      <c r="AO428" s="1" t="s">
        <v>4437</v>
      </c>
      <c r="AP428" s="1" t="s">
        <v>74</v>
      </c>
      <c r="AQ428" s="1" t="s">
        <v>74</v>
      </c>
      <c r="AR428" s="1" t="s">
        <v>74</v>
      </c>
      <c r="AS428" s="1" t="s">
        <v>74</v>
      </c>
      <c r="AT428" s="1" t="s">
        <v>74</v>
      </c>
      <c r="AU428" s="1">
        <v>2016.0</v>
      </c>
      <c r="AV428" s="1">
        <v>49.0</v>
      </c>
      <c r="AW428" s="1">
        <v>28.0</v>
      </c>
      <c r="AX428" s="1" t="s">
        <v>74</v>
      </c>
      <c r="AY428" s="1" t="s">
        <v>74</v>
      </c>
      <c r="AZ428" s="1" t="s">
        <v>74</v>
      </c>
      <c r="BA428" s="1" t="s">
        <v>74</v>
      </c>
      <c r="BB428" s="1">
        <v>250.0</v>
      </c>
      <c r="BC428" s="1">
        <v>255.0</v>
      </c>
      <c r="BD428" s="1" t="s">
        <v>74</v>
      </c>
      <c r="BE428" s="1" t="s">
        <v>4438</v>
      </c>
      <c r="BF428" s="2" t="str">
        <f>HYPERLINK("http://dx.doi.org/10.1016/j.ifacol.2016.11.043","http://dx.doi.org/10.1016/j.ifacol.2016.11.043")</f>
        <v>http://dx.doi.org/10.1016/j.ifacol.2016.11.043</v>
      </c>
      <c r="BG428" s="1" t="s">
        <v>74</v>
      </c>
      <c r="BH428" s="1" t="s">
        <v>74</v>
      </c>
      <c r="BI428" s="1" t="s">
        <v>74</v>
      </c>
      <c r="BJ428" s="1" t="s">
        <v>74</v>
      </c>
      <c r="BK428" s="1" t="s">
        <v>74</v>
      </c>
      <c r="BL428" s="1" t="s">
        <v>74</v>
      </c>
      <c r="BM428" s="1" t="s">
        <v>74</v>
      </c>
      <c r="BN428" s="1" t="s">
        <v>74</v>
      </c>
      <c r="BO428" s="1" t="s">
        <v>74</v>
      </c>
      <c r="BP428" s="1" t="s">
        <v>74</v>
      </c>
      <c r="BQ428" s="1" t="s">
        <v>74</v>
      </c>
      <c r="BR428" s="1" t="s">
        <v>74</v>
      </c>
      <c r="BS428" s="1" t="s">
        <v>4439</v>
      </c>
      <c r="BT428" s="1" t="str">
        <f>HYPERLINK("https%3A%2F%2Fwww.webofscience.com%2Fwos%2Fwoscc%2Ffull-record%2FWOS:000401258400043","View Full Record in Web of Science")</f>
        <v>View Full Record in Web of Science</v>
      </c>
    </row>
    <row r="429" ht="12.75" customHeight="1">
      <c r="A429" s="1" t="s">
        <v>72</v>
      </c>
      <c r="B429" s="1" t="s">
        <v>4440</v>
      </c>
      <c r="C429" s="1" t="s">
        <v>74</v>
      </c>
      <c r="D429" s="1" t="s">
        <v>74</v>
      </c>
      <c r="E429" s="1" t="s">
        <v>74</v>
      </c>
      <c r="F429" s="1" t="s">
        <v>4441</v>
      </c>
      <c r="G429" s="1" t="s">
        <v>74</v>
      </c>
      <c r="H429" s="1" t="s">
        <v>74</v>
      </c>
      <c r="I429" s="1" t="s">
        <v>4442</v>
      </c>
      <c r="J429" s="1" t="s">
        <v>4443</v>
      </c>
      <c r="K429" s="1" t="s">
        <v>74</v>
      </c>
      <c r="L429" s="1" t="s">
        <v>74</v>
      </c>
      <c r="M429" s="1" t="s">
        <v>74</v>
      </c>
      <c r="N429" s="1" t="s">
        <v>74</v>
      </c>
      <c r="O429" s="1" t="s">
        <v>74</v>
      </c>
      <c r="P429" s="1" t="s">
        <v>74</v>
      </c>
      <c r="Q429" s="1" t="s">
        <v>74</v>
      </c>
      <c r="R429" s="1" t="s">
        <v>74</v>
      </c>
      <c r="S429" s="1" t="s">
        <v>74</v>
      </c>
      <c r="T429" s="1" t="s">
        <v>74</v>
      </c>
      <c r="U429" s="1" t="s">
        <v>74</v>
      </c>
      <c r="V429" s="1" t="s">
        <v>4444</v>
      </c>
      <c r="W429" s="1" t="s">
        <v>74</v>
      </c>
      <c r="X429" s="1" t="s">
        <v>74</v>
      </c>
      <c r="Y429" s="1" t="s">
        <v>74</v>
      </c>
      <c r="Z429" s="1" t="s">
        <v>74</v>
      </c>
      <c r="AA429" s="1" t="s">
        <v>4445</v>
      </c>
      <c r="AB429" s="1" t="s">
        <v>4446</v>
      </c>
      <c r="AC429" s="1" t="s">
        <v>74</v>
      </c>
      <c r="AD429" s="1" t="s">
        <v>74</v>
      </c>
      <c r="AE429" s="1" t="s">
        <v>74</v>
      </c>
      <c r="AF429" s="1" t="s">
        <v>74</v>
      </c>
      <c r="AG429" s="1" t="s">
        <v>74</v>
      </c>
      <c r="AH429" s="1" t="s">
        <v>74</v>
      </c>
      <c r="AI429" s="1" t="s">
        <v>74</v>
      </c>
      <c r="AJ429" s="1" t="s">
        <v>74</v>
      </c>
      <c r="AK429" s="1" t="s">
        <v>74</v>
      </c>
      <c r="AL429" s="1" t="s">
        <v>74</v>
      </c>
      <c r="AM429" s="1" t="s">
        <v>74</v>
      </c>
      <c r="AN429" s="1" t="s">
        <v>74</v>
      </c>
      <c r="AO429" s="1" t="s">
        <v>4447</v>
      </c>
      <c r="AP429" s="1" t="s">
        <v>74</v>
      </c>
      <c r="AQ429" s="1" t="s">
        <v>74</v>
      </c>
      <c r="AR429" s="1" t="s">
        <v>74</v>
      </c>
      <c r="AS429" s="1" t="s">
        <v>74</v>
      </c>
      <c r="AT429" s="1" t="s">
        <v>719</v>
      </c>
      <c r="AU429" s="1">
        <v>2015.0</v>
      </c>
      <c r="AV429" s="1">
        <v>80.0</v>
      </c>
      <c r="AW429" s="1" t="s">
        <v>74</v>
      </c>
      <c r="AX429" s="1" t="s">
        <v>74</v>
      </c>
      <c r="AY429" s="1" t="s">
        <v>74</v>
      </c>
      <c r="AZ429" s="1" t="s">
        <v>74</v>
      </c>
      <c r="BA429" s="1" t="s">
        <v>74</v>
      </c>
      <c r="BB429" s="1">
        <v>46.0</v>
      </c>
      <c r="BC429" s="1">
        <v>50.0</v>
      </c>
      <c r="BD429" s="1" t="s">
        <v>74</v>
      </c>
      <c r="BE429" s="1" t="s">
        <v>4448</v>
      </c>
      <c r="BF429" s="2" t="str">
        <f>HYPERLINK("http://dx.doi.org/10.1016/j.paid.2015.02.026","http://dx.doi.org/10.1016/j.paid.2015.02.026")</f>
        <v>http://dx.doi.org/10.1016/j.paid.2015.02.026</v>
      </c>
      <c r="BG429" s="1" t="s">
        <v>74</v>
      </c>
      <c r="BH429" s="1" t="s">
        <v>74</v>
      </c>
      <c r="BI429" s="1" t="s">
        <v>74</v>
      </c>
      <c r="BJ429" s="1" t="s">
        <v>74</v>
      </c>
      <c r="BK429" s="1" t="s">
        <v>74</v>
      </c>
      <c r="BL429" s="1" t="s">
        <v>74</v>
      </c>
      <c r="BM429" s="1" t="s">
        <v>74</v>
      </c>
      <c r="BN429" s="1" t="s">
        <v>74</v>
      </c>
      <c r="BO429" s="1" t="s">
        <v>74</v>
      </c>
      <c r="BP429" s="1" t="s">
        <v>74</v>
      </c>
      <c r="BQ429" s="1" t="s">
        <v>74</v>
      </c>
      <c r="BR429" s="1" t="s">
        <v>74</v>
      </c>
      <c r="BS429" s="1" t="s">
        <v>4449</v>
      </c>
      <c r="BT429" s="1" t="str">
        <f>HYPERLINK("https%3A%2F%2Fwww.webofscience.com%2Fwos%2Fwoscc%2Ffull-record%2FWOS:000352038500009","View Full Record in Web of Science")</f>
        <v>View Full Record in Web of Science</v>
      </c>
    </row>
    <row r="430" ht="12.75" customHeight="1">
      <c r="A430" s="1" t="s">
        <v>72</v>
      </c>
      <c r="B430" s="1" t="s">
        <v>4450</v>
      </c>
      <c r="C430" s="1" t="s">
        <v>74</v>
      </c>
      <c r="D430" s="1" t="s">
        <v>74</v>
      </c>
      <c r="E430" s="1" t="s">
        <v>74</v>
      </c>
      <c r="F430" s="1" t="s">
        <v>4451</v>
      </c>
      <c r="G430" s="1" t="s">
        <v>74</v>
      </c>
      <c r="H430" s="1" t="s">
        <v>74</v>
      </c>
      <c r="I430" s="1" t="s">
        <v>4452</v>
      </c>
      <c r="J430" s="1" t="s">
        <v>4095</v>
      </c>
      <c r="K430" s="1" t="s">
        <v>74</v>
      </c>
      <c r="L430" s="1" t="s">
        <v>74</v>
      </c>
      <c r="M430" s="1" t="s">
        <v>74</v>
      </c>
      <c r="N430" s="1" t="s">
        <v>74</v>
      </c>
      <c r="O430" s="1" t="s">
        <v>74</v>
      </c>
      <c r="P430" s="1" t="s">
        <v>74</v>
      </c>
      <c r="Q430" s="1" t="s">
        <v>74</v>
      </c>
      <c r="R430" s="1" t="s">
        <v>74</v>
      </c>
      <c r="S430" s="1" t="s">
        <v>74</v>
      </c>
      <c r="T430" s="1" t="s">
        <v>74</v>
      </c>
      <c r="U430" s="1" t="s">
        <v>74</v>
      </c>
      <c r="V430" s="1" t="s">
        <v>4453</v>
      </c>
      <c r="W430" s="1" t="s">
        <v>74</v>
      </c>
      <c r="X430" s="1" t="s">
        <v>74</v>
      </c>
      <c r="Y430" s="1" t="s">
        <v>74</v>
      </c>
      <c r="Z430" s="1" t="s">
        <v>74</v>
      </c>
      <c r="AA430" s="1" t="s">
        <v>4454</v>
      </c>
      <c r="AB430" s="1" t="s">
        <v>4455</v>
      </c>
      <c r="AC430" s="1" t="s">
        <v>74</v>
      </c>
      <c r="AD430" s="1" t="s">
        <v>74</v>
      </c>
      <c r="AE430" s="1" t="s">
        <v>74</v>
      </c>
      <c r="AF430" s="1" t="s">
        <v>74</v>
      </c>
      <c r="AG430" s="1" t="s">
        <v>74</v>
      </c>
      <c r="AH430" s="1" t="s">
        <v>74</v>
      </c>
      <c r="AI430" s="1" t="s">
        <v>74</v>
      </c>
      <c r="AJ430" s="1" t="s">
        <v>74</v>
      </c>
      <c r="AK430" s="1" t="s">
        <v>74</v>
      </c>
      <c r="AL430" s="1" t="s">
        <v>74</v>
      </c>
      <c r="AM430" s="1" t="s">
        <v>74</v>
      </c>
      <c r="AN430" s="1" t="s">
        <v>74</v>
      </c>
      <c r="AO430" s="1" t="s">
        <v>4099</v>
      </c>
      <c r="AP430" s="1" t="s">
        <v>4100</v>
      </c>
      <c r="AQ430" s="1" t="s">
        <v>74</v>
      </c>
      <c r="AR430" s="1" t="s">
        <v>74</v>
      </c>
      <c r="AS430" s="1" t="s">
        <v>74</v>
      </c>
      <c r="AT430" s="1" t="s">
        <v>719</v>
      </c>
      <c r="AU430" s="1">
        <v>2014.0</v>
      </c>
      <c r="AV430" s="1">
        <v>17.0</v>
      </c>
      <c r="AW430" s="1">
        <v>1.0</v>
      </c>
      <c r="AX430" s="1" t="s">
        <v>74</v>
      </c>
      <c r="AY430" s="1" t="s">
        <v>74</v>
      </c>
      <c r="AZ430" s="1" t="s">
        <v>74</v>
      </c>
      <c r="BA430" s="1" t="s">
        <v>74</v>
      </c>
      <c r="BB430" s="1">
        <v>233.0</v>
      </c>
      <c r="BC430" s="1">
        <v>244.0</v>
      </c>
      <c r="BD430" s="1" t="s">
        <v>74</v>
      </c>
      <c r="BE430" s="1" t="s">
        <v>4456</v>
      </c>
      <c r="BF430" s="2" t="str">
        <f>HYPERLINK("http://dx.doi.org/10.1007/s10404-013-1290-x","http://dx.doi.org/10.1007/s10404-013-1290-x")</f>
        <v>http://dx.doi.org/10.1007/s10404-013-1290-x</v>
      </c>
      <c r="BG430" s="1" t="s">
        <v>74</v>
      </c>
      <c r="BH430" s="1" t="s">
        <v>74</v>
      </c>
      <c r="BI430" s="1" t="s">
        <v>74</v>
      </c>
      <c r="BJ430" s="1" t="s">
        <v>74</v>
      </c>
      <c r="BK430" s="1" t="s">
        <v>74</v>
      </c>
      <c r="BL430" s="1" t="s">
        <v>74</v>
      </c>
      <c r="BM430" s="1" t="s">
        <v>74</v>
      </c>
      <c r="BN430" s="1" t="s">
        <v>74</v>
      </c>
      <c r="BO430" s="1" t="s">
        <v>74</v>
      </c>
      <c r="BP430" s="1" t="s">
        <v>74</v>
      </c>
      <c r="BQ430" s="1" t="s">
        <v>74</v>
      </c>
      <c r="BR430" s="1" t="s">
        <v>74</v>
      </c>
      <c r="BS430" s="1" t="s">
        <v>4457</v>
      </c>
      <c r="BT430" s="1" t="str">
        <f>HYPERLINK("https%3A%2F%2Fwww.webofscience.com%2Fwos%2Fwoscc%2Ffull-record%2FWOS:000338835300015","View Full Record in Web of Science")</f>
        <v>View Full Record in Web of Science</v>
      </c>
    </row>
    <row r="431" ht="12.75" customHeight="1">
      <c r="A431" s="1" t="s">
        <v>72</v>
      </c>
      <c r="B431" s="1" t="s">
        <v>4458</v>
      </c>
      <c r="C431" s="1" t="s">
        <v>74</v>
      </c>
      <c r="D431" s="1" t="s">
        <v>74</v>
      </c>
      <c r="E431" s="1" t="s">
        <v>74</v>
      </c>
      <c r="F431" s="1" t="s">
        <v>4459</v>
      </c>
      <c r="G431" s="1" t="s">
        <v>74</v>
      </c>
      <c r="H431" s="1" t="s">
        <v>74</v>
      </c>
      <c r="I431" s="1" t="s">
        <v>4460</v>
      </c>
      <c r="J431" s="1" t="s">
        <v>2516</v>
      </c>
      <c r="K431" s="1" t="s">
        <v>74</v>
      </c>
      <c r="L431" s="1" t="s">
        <v>74</v>
      </c>
      <c r="M431" s="1" t="s">
        <v>74</v>
      </c>
      <c r="N431" s="1" t="s">
        <v>74</v>
      </c>
      <c r="O431" s="1" t="s">
        <v>74</v>
      </c>
      <c r="P431" s="1" t="s">
        <v>74</v>
      </c>
      <c r="Q431" s="1" t="s">
        <v>74</v>
      </c>
      <c r="R431" s="1" t="s">
        <v>74</v>
      </c>
      <c r="S431" s="1" t="s">
        <v>74</v>
      </c>
      <c r="T431" s="1" t="s">
        <v>74</v>
      </c>
      <c r="U431" s="1" t="s">
        <v>74</v>
      </c>
      <c r="V431" s="1" t="s">
        <v>4461</v>
      </c>
      <c r="W431" s="1" t="s">
        <v>74</v>
      </c>
      <c r="X431" s="1" t="s">
        <v>74</v>
      </c>
      <c r="Y431" s="1" t="s">
        <v>74</v>
      </c>
      <c r="Z431" s="1" t="s">
        <v>74</v>
      </c>
      <c r="AA431" s="1" t="s">
        <v>4462</v>
      </c>
      <c r="AB431" s="1" t="s">
        <v>4463</v>
      </c>
      <c r="AC431" s="1" t="s">
        <v>74</v>
      </c>
      <c r="AD431" s="1" t="s">
        <v>74</v>
      </c>
      <c r="AE431" s="1" t="s">
        <v>74</v>
      </c>
      <c r="AF431" s="1" t="s">
        <v>74</v>
      </c>
      <c r="AG431" s="1" t="s">
        <v>74</v>
      </c>
      <c r="AH431" s="1" t="s">
        <v>74</v>
      </c>
      <c r="AI431" s="1" t="s">
        <v>74</v>
      </c>
      <c r="AJ431" s="1" t="s">
        <v>74</v>
      </c>
      <c r="AK431" s="1" t="s">
        <v>74</v>
      </c>
      <c r="AL431" s="1" t="s">
        <v>74</v>
      </c>
      <c r="AM431" s="1" t="s">
        <v>74</v>
      </c>
      <c r="AN431" s="1" t="s">
        <v>74</v>
      </c>
      <c r="AO431" s="1" t="s">
        <v>2520</v>
      </c>
      <c r="AP431" s="1" t="s">
        <v>2521</v>
      </c>
      <c r="AQ431" s="1" t="s">
        <v>74</v>
      </c>
      <c r="AR431" s="1" t="s">
        <v>74</v>
      </c>
      <c r="AS431" s="1" t="s">
        <v>74</v>
      </c>
      <c r="AT431" s="1" t="s">
        <v>377</v>
      </c>
      <c r="AU431" s="1">
        <v>2014.0</v>
      </c>
      <c r="AV431" s="1">
        <v>18.0</v>
      </c>
      <c r="AW431" s="1">
        <v>5.0</v>
      </c>
      <c r="AX431" s="1" t="s">
        <v>74</v>
      </c>
      <c r="AY431" s="1" t="s">
        <v>74</v>
      </c>
      <c r="AZ431" s="1" t="s">
        <v>74</v>
      </c>
      <c r="BA431" s="1" t="s">
        <v>74</v>
      </c>
      <c r="BB431" s="1">
        <v>347.0</v>
      </c>
      <c r="BC431" s="1">
        <v>353.0</v>
      </c>
      <c r="BD431" s="1" t="s">
        <v>74</v>
      </c>
      <c r="BE431" s="1" t="s">
        <v>4464</v>
      </c>
      <c r="BF431" s="2" t="str">
        <f>HYPERLINK("http://dx.doi.org/10.1142/S1088424613501253","http://dx.doi.org/10.1142/S1088424613501253")</f>
        <v>http://dx.doi.org/10.1142/S1088424613501253</v>
      </c>
      <c r="BG431" s="1" t="s">
        <v>74</v>
      </c>
      <c r="BH431" s="1" t="s">
        <v>74</v>
      </c>
      <c r="BI431" s="1" t="s">
        <v>74</v>
      </c>
      <c r="BJ431" s="1" t="s">
        <v>74</v>
      </c>
      <c r="BK431" s="1" t="s">
        <v>74</v>
      </c>
      <c r="BL431" s="1" t="s">
        <v>74</v>
      </c>
      <c r="BM431" s="1" t="s">
        <v>74</v>
      </c>
      <c r="BN431" s="1" t="s">
        <v>74</v>
      </c>
      <c r="BO431" s="1" t="s">
        <v>74</v>
      </c>
      <c r="BP431" s="1" t="s">
        <v>74</v>
      </c>
      <c r="BQ431" s="1" t="s">
        <v>74</v>
      </c>
      <c r="BR431" s="1" t="s">
        <v>74</v>
      </c>
      <c r="BS431" s="1" t="s">
        <v>4465</v>
      </c>
      <c r="BT431" s="1" t="str">
        <f>HYPERLINK("https%3A%2F%2Fwww.webofscience.com%2Fwos%2Fwoscc%2Ffull-record%2FWOS:000339010300001","View Full Record in Web of Science")</f>
        <v>View Full Record in Web of Science</v>
      </c>
    </row>
    <row r="432" ht="12.75" customHeight="1">
      <c r="A432" s="1" t="s">
        <v>72</v>
      </c>
      <c r="B432" s="1" t="s">
        <v>4466</v>
      </c>
      <c r="C432" s="1" t="s">
        <v>74</v>
      </c>
      <c r="D432" s="1" t="s">
        <v>74</v>
      </c>
      <c r="E432" s="1" t="s">
        <v>74</v>
      </c>
      <c r="F432" s="1" t="s">
        <v>4467</v>
      </c>
      <c r="G432" s="1" t="s">
        <v>74</v>
      </c>
      <c r="H432" s="1" t="s">
        <v>74</v>
      </c>
      <c r="I432" s="1" t="s">
        <v>4468</v>
      </c>
      <c r="J432" s="1" t="s">
        <v>4469</v>
      </c>
      <c r="K432" s="1" t="s">
        <v>74</v>
      </c>
      <c r="L432" s="1" t="s">
        <v>74</v>
      </c>
      <c r="M432" s="1" t="s">
        <v>74</v>
      </c>
      <c r="N432" s="1" t="s">
        <v>74</v>
      </c>
      <c r="O432" s="1" t="s">
        <v>74</v>
      </c>
      <c r="P432" s="1" t="s">
        <v>74</v>
      </c>
      <c r="Q432" s="1" t="s">
        <v>74</v>
      </c>
      <c r="R432" s="1" t="s">
        <v>74</v>
      </c>
      <c r="S432" s="1" t="s">
        <v>74</v>
      </c>
      <c r="T432" s="1" t="s">
        <v>74</v>
      </c>
      <c r="U432" s="1" t="s">
        <v>74</v>
      </c>
      <c r="V432" s="1" t="s">
        <v>4470</v>
      </c>
      <c r="W432" s="1" t="s">
        <v>74</v>
      </c>
      <c r="X432" s="1" t="s">
        <v>74</v>
      </c>
      <c r="Y432" s="1" t="s">
        <v>74</v>
      </c>
      <c r="Z432" s="1" t="s">
        <v>74</v>
      </c>
      <c r="AA432" s="1" t="s">
        <v>74</v>
      </c>
      <c r="AB432" s="1" t="s">
        <v>74</v>
      </c>
      <c r="AC432" s="1" t="s">
        <v>74</v>
      </c>
      <c r="AD432" s="1" t="s">
        <v>74</v>
      </c>
      <c r="AE432" s="1" t="s">
        <v>74</v>
      </c>
      <c r="AF432" s="1" t="s">
        <v>74</v>
      </c>
      <c r="AG432" s="1" t="s">
        <v>74</v>
      </c>
      <c r="AH432" s="1" t="s">
        <v>74</v>
      </c>
      <c r="AI432" s="1" t="s">
        <v>74</v>
      </c>
      <c r="AJ432" s="1" t="s">
        <v>74</v>
      </c>
      <c r="AK432" s="1" t="s">
        <v>74</v>
      </c>
      <c r="AL432" s="1" t="s">
        <v>74</v>
      </c>
      <c r="AM432" s="1" t="s">
        <v>74</v>
      </c>
      <c r="AN432" s="1" t="s">
        <v>74</v>
      </c>
      <c r="AO432" s="1" t="s">
        <v>4471</v>
      </c>
      <c r="AP432" s="1" t="s">
        <v>74</v>
      </c>
      <c r="AQ432" s="1" t="s">
        <v>74</v>
      </c>
      <c r="AR432" s="1" t="s">
        <v>74</v>
      </c>
      <c r="AS432" s="1" t="s">
        <v>74</v>
      </c>
      <c r="AT432" s="1" t="s">
        <v>155</v>
      </c>
      <c r="AU432" s="1">
        <v>2013.0</v>
      </c>
      <c r="AV432" s="1">
        <v>52.0</v>
      </c>
      <c r="AW432" s="1">
        <v>6.0</v>
      </c>
      <c r="AX432" s="1" t="s">
        <v>74</v>
      </c>
      <c r="AY432" s="1" t="s">
        <v>74</v>
      </c>
      <c r="AZ432" s="1" t="s">
        <v>74</v>
      </c>
      <c r="BA432" s="1" t="s">
        <v>74</v>
      </c>
      <c r="BB432" s="1">
        <v>475.0</v>
      </c>
      <c r="BC432" s="1">
        <v>487.0</v>
      </c>
      <c r="BD432" s="1" t="s">
        <v>74</v>
      </c>
      <c r="BE432" s="1" t="s">
        <v>4472</v>
      </c>
      <c r="BF432" s="2" t="str">
        <f>HYPERLINK("http://dx.doi.org/10.1002/mc.21881","http://dx.doi.org/10.1002/mc.21881")</f>
        <v>http://dx.doi.org/10.1002/mc.21881</v>
      </c>
      <c r="BG432" s="1" t="s">
        <v>74</v>
      </c>
      <c r="BH432" s="1" t="s">
        <v>74</v>
      </c>
      <c r="BI432" s="1" t="s">
        <v>74</v>
      </c>
      <c r="BJ432" s="1" t="s">
        <v>74</v>
      </c>
      <c r="BK432" s="1" t="s">
        <v>74</v>
      </c>
      <c r="BL432" s="1" t="s">
        <v>74</v>
      </c>
      <c r="BM432" s="1" t="s">
        <v>74</v>
      </c>
      <c r="BN432" s="1">
        <v>2.231509E7</v>
      </c>
      <c r="BO432" s="1" t="s">
        <v>74</v>
      </c>
      <c r="BP432" s="1" t="s">
        <v>74</v>
      </c>
      <c r="BQ432" s="1" t="s">
        <v>74</v>
      </c>
      <c r="BR432" s="1" t="s">
        <v>74</v>
      </c>
      <c r="BS432" s="1" t="s">
        <v>4473</v>
      </c>
      <c r="BT432" s="1" t="str">
        <f>HYPERLINK("https%3A%2F%2Fwww.webofscience.com%2Fwos%2Fwoscc%2Ffull-record%2FWOS:000317984500006","View Full Record in Web of Science")</f>
        <v>View Full Record in Web of Science</v>
      </c>
    </row>
    <row r="433" ht="12.75" customHeight="1">
      <c r="A433" s="1" t="s">
        <v>72</v>
      </c>
      <c r="B433" s="1" t="s">
        <v>4474</v>
      </c>
      <c r="C433" s="1" t="s">
        <v>74</v>
      </c>
      <c r="D433" s="1" t="s">
        <v>74</v>
      </c>
      <c r="E433" s="1" t="s">
        <v>74</v>
      </c>
      <c r="F433" s="1" t="s">
        <v>4475</v>
      </c>
      <c r="G433" s="1" t="s">
        <v>74</v>
      </c>
      <c r="H433" s="1" t="s">
        <v>74</v>
      </c>
      <c r="I433" s="1" t="s">
        <v>4476</v>
      </c>
      <c r="J433" s="1" t="s">
        <v>4477</v>
      </c>
      <c r="K433" s="1" t="s">
        <v>74</v>
      </c>
      <c r="L433" s="1" t="s">
        <v>74</v>
      </c>
      <c r="M433" s="1" t="s">
        <v>74</v>
      </c>
      <c r="N433" s="1" t="s">
        <v>74</v>
      </c>
      <c r="O433" s="1" t="s">
        <v>74</v>
      </c>
      <c r="P433" s="1" t="s">
        <v>74</v>
      </c>
      <c r="Q433" s="1" t="s">
        <v>74</v>
      </c>
      <c r="R433" s="1" t="s">
        <v>74</v>
      </c>
      <c r="S433" s="1" t="s">
        <v>74</v>
      </c>
      <c r="T433" s="1" t="s">
        <v>74</v>
      </c>
      <c r="U433" s="1" t="s">
        <v>74</v>
      </c>
      <c r="V433" s="1" t="s">
        <v>74</v>
      </c>
      <c r="W433" s="1" t="s">
        <v>74</v>
      </c>
      <c r="X433" s="1" t="s">
        <v>74</v>
      </c>
      <c r="Y433" s="1" t="s">
        <v>74</v>
      </c>
      <c r="Z433" s="1" t="s">
        <v>74</v>
      </c>
      <c r="AA433" s="1" t="s">
        <v>4478</v>
      </c>
      <c r="AB433" s="1" t="s">
        <v>2369</v>
      </c>
      <c r="AC433" s="1" t="s">
        <v>74</v>
      </c>
      <c r="AD433" s="1" t="s">
        <v>74</v>
      </c>
      <c r="AE433" s="1" t="s">
        <v>74</v>
      </c>
      <c r="AF433" s="1" t="s">
        <v>74</v>
      </c>
      <c r="AG433" s="1" t="s">
        <v>74</v>
      </c>
      <c r="AH433" s="1" t="s">
        <v>74</v>
      </c>
      <c r="AI433" s="1" t="s">
        <v>74</v>
      </c>
      <c r="AJ433" s="1" t="s">
        <v>74</v>
      </c>
      <c r="AK433" s="1" t="s">
        <v>74</v>
      </c>
      <c r="AL433" s="1" t="s">
        <v>74</v>
      </c>
      <c r="AM433" s="1" t="s">
        <v>74</v>
      </c>
      <c r="AN433" s="1" t="s">
        <v>74</v>
      </c>
      <c r="AO433" s="1" t="s">
        <v>4479</v>
      </c>
      <c r="AP433" s="1" t="s">
        <v>74</v>
      </c>
      <c r="AQ433" s="1" t="s">
        <v>74</v>
      </c>
      <c r="AR433" s="1" t="s">
        <v>74</v>
      </c>
      <c r="AS433" s="1" t="s">
        <v>74</v>
      </c>
      <c r="AT433" s="1" t="s">
        <v>74</v>
      </c>
      <c r="AU433" s="1">
        <v>2013.0</v>
      </c>
      <c r="AV433" s="1">
        <v>35.0</v>
      </c>
      <c r="AW433" s="1" t="s">
        <v>74</v>
      </c>
      <c r="AX433" s="1" t="s">
        <v>74</v>
      </c>
      <c r="AY433" s="1">
        <v>2.0</v>
      </c>
      <c r="AZ433" s="1" t="s">
        <v>74</v>
      </c>
      <c r="BA433" s="1" t="s">
        <v>74</v>
      </c>
      <c r="BB433" s="1">
        <v>20.0</v>
      </c>
      <c r="BC433" s="1">
        <v>20.0</v>
      </c>
      <c r="BD433" s="1" t="s">
        <v>74</v>
      </c>
      <c r="BE433" s="1" t="s">
        <v>74</v>
      </c>
      <c r="BF433" s="1" t="s">
        <v>74</v>
      </c>
      <c r="BG433" s="1" t="s">
        <v>74</v>
      </c>
      <c r="BH433" s="1" t="s">
        <v>74</v>
      </c>
      <c r="BI433" s="1" t="s">
        <v>74</v>
      </c>
      <c r="BJ433" s="1" t="s">
        <v>74</v>
      </c>
      <c r="BK433" s="1" t="s">
        <v>74</v>
      </c>
      <c r="BL433" s="1" t="s">
        <v>74</v>
      </c>
      <c r="BM433" s="1" t="s">
        <v>74</v>
      </c>
      <c r="BN433" s="1" t="s">
        <v>74</v>
      </c>
      <c r="BO433" s="1" t="s">
        <v>74</v>
      </c>
      <c r="BP433" s="1" t="s">
        <v>74</v>
      </c>
      <c r="BQ433" s="1" t="s">
        <v>74</v>
      </c>
      <c r="BR433" s="1" t="s">
        <v>74</v>
      </c>
      <c r="BS433" s="1" t="s">
        <v>4480</v>
      </c>
      <c r="BT433" s="1" t="str">
        <f>HYPERLINK("https%3A%2F%2Fwww.webofscience.com%2Fwos%2Fwoscc%2Ffull-record%2FWOS:000323941700055","View Full Record in Web of Science")</f>
        <v>View Full Record in Web of Science</v>
      </c>
    </row>
    <row r="434" ht="12.75" customHeight="1">
      <c r="A434" s="1" t="s">
        <v>72</v>
      </c>
      <c r="B434" s="1" t="s">
        <v>4481</v>
      </c>
      <c r="C434" s="1" t="s">
        <v>74</v>
      </c>
      <c r="D434" s="1" t="s">
        <v>74</v>
      </c>
      <c r="E434" s="1" t="s">
        <v>74</v>
      </c>
      <c r="F434" s="1" t="s">
        <v>4482</v>
      </c>
      <c r="G434" s="1" t="s">
        <v>74</v>
      </c>
      <c r="H434" s="1" t="s">
        <v>74</v>
      </c>
      <c r="I434" s="1" t="s">
        <v>4483</v>
      </c>
      <c r="J434" s="1" t="s">
        <v>4484</v>
      </c>
      <c r="K434" s="1" t="s">
        <v>74</v>
      </c>
      <c r="L434" s="1" t="s">
        <v>74</v>
      </c>
      <c r="M434" s="1" t="s">
        <v>74</v>
      </c>
      <c r="N434" s="1" t="s">
        <v>74</v>
      </c>
      <c r="O434" s="1" t="s">
        <v>74</v>
      </c>
      <c r="P434" s="1" t="s">
        <v>74</v>
      </c>
      <c r="Q434" s="1" t="s">
        <v>74</v>
      </c>
      <c r="R434" s="1" t="s">
        <v>74</v>
      </c>
      <c r="S434" s="1" t="s">
        <v>74</v>
      </c>
      <c r="T434" s="1" t="s">
        <v>74</v>
      </c>
      <c r="U434" s="1" t="s">
        <v>74</v>
      </c>
      <c r="V434" s="1" t="s">
        <v>4485</v>
      </c>
      <c r="W434" s="1" t="s">
        <v>74</v>
      </c>
      <c r="X434" s="1" t="s">
        <v>74</v>
      </c>
      <c r="Y434" s="1" t="s">
        <v>74</v>
      </c>
      <c r="Z434" s="1" t="s">
        <v>74</v>
      </c>
      <c r="AA434" s="1" t="s">
        <v>4486</v>
      </c>
      <c r="AB434" s="1" t="s">
        <v>4487</v>
      </c>
      <c r="AC434" s="1" t="s">
        <v>74</v>
      </c>
      <c r="AD434" s="1" t="s">
        <v>74</v>
      </c>
      <c r="AE434" s="1" t="s">
        <v>74</v>
      </c>
      <c r="AF434" s="1" t="s">
        <v>74</v>
      </c>
      <c r="AG434" s="1" t="s">
        <v>74</v>
      </c>
      <c r="AH434" s="1" t="s">
        <v>74</v>
      </c>
      <c r="AI434" s="1" t="s">
        <v>74</v>
      </c>
      <c r="AJ434" s="1" t="s">
        <v>74</v>
      </c>
      <c r="AK434" s="1" t="s">
        <v>74</v>
      </c>
      <c r="AL434" s="1" t="s">
        <v>74</v>
      </c>
      <c r="AM434" s="1" t="s">
        <v>74</v>
      </c>
      <c r="AN434" s="1" t="s">
        <v>74</v>
      </c>
      <c r="AO434" s="1" t="s">
        <v>4488</v>
      </c>
      <c r="AP434" s="1" t="s">
        <v>4489</v>
      </c>
      <c r="AQ434" s="1" t="s">
        <v>74</v>
      </c>
      <c r="AR434" s="1" t="s">
        <v>74</v>
      </c>
      <c r="AS434" s="1" t="s">
        <v>74</v>
      </c>
      <c r="AT434" s="1" t="s">
        <v>411</v>
      </c>
      <c r="AU434" s="1">
        <v>2010.0</v>
      </c>
      <c r="AV434" s="1">
        <v>16.0</v>
      </c>
      <c r="AW434" s="1">
        <v>6.0</v>
      </c>
      <c r="AX434" s="1" t="s">
        <v>74</v>
      </c>
      <c r="AY434" s="1" t="s">
        <v>74</v>
      </c>
      <c r="AZ434" s="1" t="s">
        <v>74</v>
      </c>
      <c r="BA434" s="1" t="s">
        <v>74</v>
      </c>
      <c r="BB434" s="1">
        <v>902.0</v>
      </c>
      <c r="BC434" s="1">
        <v>910.0</v>
      </c>
      <c r="BD434" s="1" t="s">
        <v>74</v>
      </c>
      <c r="BE434" s="1" t="s">
        <v>4490</v>
      </c>
      <c r="BF434" s="2" t="str">
        <f>HYPERLINK("http://dx.doi.org/10.1111/j.1472-4642.2010.00695.x","http://dx.doi.org/10.1111/j.1472-4642.2010.00695.x")</f>
        <v>http://dx.doi.org/10.1111/j.1472-4642.2010.00695.x</v>
      </c>
      <c r="BG434" s="1" t="s">
        <v>74</v>
      </c>
      <c r="BH434" s="1" t="s">
        <v>74</v>
      </c>
      <c r="BI434" s="1" t="s">
        <v>74</v>
      </c>
      <c r="BJ434" s="1" t="s">
        <v>74</v>
      </c>
      <c r="BK434" s="1" t="s">
        <v>74</v>
      </c>
      <c r="BL434" s="1" t="s">
        <v>74</v>
      </c>
      <c r="BM434" s="1" t="s">
        <v>74</v>
      </c>
      <c r="BN434" s="1" t="s">
        <v>74</v>
      </c>
      <c r="BO434" s="1" t="s">
        <v>74</v>
      </c>
      <c r="BP434" s="1" t="s">
        <v>74</v>
      </c>
      <c r="BQ434" s="1" t="s">
        <v>74</v>
      </c>
      <c r="BR434" s="1" t="s">
        <v>74</v>
      </c>
      <c r="BS434" s="1" t="s">
        <v>4491</v>
      </c>
      <c r="BT434" s="1" t="str">
        <f>HYPERLINK("https%3A%2F%2Fwww.webofscience.com%2Fwos%2Fwoscc%2Ffull-record%2FWOS:000283375900003","View Full Record in Web of Science")</f>
        <v>View Full Record in Web of Science</v>
      </c>
    </row>
    <row r="435" ht="12.75" customHeight="1">
      <c r="A435" s="1" t="s">
        <v>72</v>
      </c>
      <c r="B435" s="1" t="s">
        <v>4492</v>
      </c>
      <c r="C435" s="1" t="s">
        <v>74</v>
      </c>
      <c r="D435" s="1" t="s">
        <v>74</v>
      </c>
      <c r="E435" s="1" t="s">
        <v>74</v>
      </c>
      <c r="F435" s="1" t="s">
        <v>4493</v>
      </c>
      <c r="G435" s="1" t="s">
        <v>74</v>
      </c>
      <c r="H435" s="1" t="s">
        <v>74</v>
      </c>
      <c r="I435" s="1" t="s">
        <v>4494</v>
      </c>
      <c r="J435" s="1" t="s">
        <v>4495</v>
      </c>
      <c r="K435" s="1" t="s">
        <v>74</v>
      </c>
      <c r="L435" s="1" t="s">
        <v>74</v>
      </c>
      <c r="M435" s="1" t="s">
        <v>74</v>
      </c>
      <c r="N435" s="1" t="s">
        <v>74</v>
      </c>
      <c r="O435" s="1" t="s">
        <v>74</v>
      </c>
      <c r="P435" s="1" t="s">
        <v>74</v>
      </c>
      <c r="Q435" s="1" t="s">
        <v>74</v>
      </c>
      <c r="R435" s="1" t="s">
        <v>74</v>
      </c>
      <c r="S435" s="1" t="s">
        <v>74</v>
      </c>
      <c r="T435" s="1" t="s">
        <v>74</v>
      </c>
      <c r="U435" s="1" t="s">
        <v>74</v>
      </c>
      <c r="V435" s="1" t="s">
        <v>4496</v>
      </c>
      <c r="W435" s="1" t="s">
        <v>74</v>
      </c>
      <c r="X435" s="1" t="s">
        <v>74</v>
      </c>
      <c r="Y435" s="1" t="s">
        <v>74</v>
      </c>
      <c r="Z435" s="1" t="s">
        <v>74</v>
      </c>
      <c r="AA435" s="1" t="s">
        <v>4497</v>
      </c>
      <c r="AB435" s="1" t="s">
        <v>4498</v>
      </c>
      <c r="AC435" s="1" t="s">
        <v>74</v>
      </c>
      <c r="AD435" s="1" t="s">
        <v>74</v>
      </c>
      <c r="AE435" s="1" t="s">
        <v>74</v>
      </c>
      <c r="AF435" s="1" t="s">
        <v>74</v>
      </c>
      <c r="AG435" s="1" t="s">
        <v>74</v>
      </c>
      <c r="AH435" s="1" t="s">
        <v>74</v>
      </c>
      <c r="AI435" s="1" t="s">
        <v>74</v>
      </c>
      <c r="AJ435" s="1" t="s">
        <v>74</v>
      </c>
      <c r="AK435" s="1" t="s">
        <v>74</v>
      </c>
      <c r="AL435" s="1" t="s">
        <v>74</v>
      </c>
      <c r="AM435" s="1" t="s">
        <v>74</v>
      </c>
      <c r="AN435" s="1" t="s">
        <v>74</v>
      </c>
      <c r="AO435" s="1" t="s">
        <v>4499</v>
      </c>
      <c r="AP435" s="1" t="s">
        <v>4500</v>
      </c>
      <c r="AQ435" s="1" t="s">
        <v>74</v>
      </c>
      <c r="AR435" s="1" t="s">
        <v>74</v>
      </c>
      <c r="AS435" s="1" t="s">
        <v>74</v>
      </c>
      <c r="AT435" s="1" t="s">
        <v>438</v>
      </c>
      <c r="AU435" s="1">
        <v>2007.0</v>
      </c>
      <c r="AV435" s="1">
        <v>79.0</v>
      </c>
      <c r="AW435" s="1">
        <v>3.0</v>
      </c>
      <c r="AX435" s="1" t="s">
        <v>74</v>
      </c>
      <c r="AY435" s="1" t="s">
        <v>74</v>
      </c>
      <c r="AZ435" s="1" t="s">
        <v>74</v>
      </c>
      <c r="BA435" s="1" t="s">
        <v>74</v>
      </c>
      <c r="BB435" s="1">
        <v>786.0</v>
      </c>
      <c r="BC435" s="1">
        <v>793.0</v>
      </c>
      <c r="BD435" s="1" t="s">
        <v>74</v>
      </c>
      <c r="BE435" s="1" t="s">
        <v>4501</v>
      </c>
      <c r="BF435" s="2" t="str">
        <f>HYPERLINK("http://dx.doi.org/10.1016/j.jfoodeng.2006.03.001","http://dx.doi.org/10.1016/j.jfoodeng.2006.03.001")</f>
        <v>http://dx.doi.org/10.1016/j.jfoodeng.2006.03.001</v>
      </c>
      <c r="BG435" s="1" t="s">
        <v>74</v>
      </c>
      <c r="BH435" s="1" t="s">
        <v>74</v>
      </c>
      <c r="BI435" s="1" t="s">
        <v>74</v>
      </c>
      <c r="BJ435" s="1" t="s">
        <v>74</v>
      </c>
      <c r="BK435" s="1" t="s">
        <v>74</v>
      </c>
      <c r="BL435" s="1" t="s">
        <v>74</v>
      </c>
      <c r="BM435" s="1" t="s">
        <v>74</v>
      </c>
      <c r="BN435" s="1" t="s">
        <v>74</v>
      </c>
      <c r="BO435" s="1" t="s">
        <v>74</v>
      </c>
      <c r="BP435" s="1" t="s">
        <v>74</v>
      </c>
      <c r="BQ435" s="1" t="s">
        <v>74</v>
      </c>
      <c r="BR435" s="1" t="s">
        <v>74</v>
      </c>
      <c r="BS435" s="1" t="s">
        <v>4502</v>
      </c>
      <c r="BT435" s="1" t="str">
        <f>HYPERLINK("https%3A%2F%2Fwww.webofscience.com%2Fwos%2Fwoscc%2Ffull-record%2FWOS:000242281200007","View Full Record in Web of Science")</f>
        <v>View Full Record in Web of Science</v>
      </c>
    </row>
    <row r="436" ht="12.75" customHeight="1">
      <c r="A436" s="1" t="s">
        <v>72</v>
      </c>
      <c r="B436" s="1" t="s">
        <v>4503</v>
      </c>
      <c r="C436" s="1" t="s">
        <v>74</v>
      </c>
      <c r="D436" s="1" t="s">
        <v>74</v>
      </c>
      <c r="E436" s="1" t="s">
        <v>74</v>
      </c>
      <c r="F436" s="1" t="s">
        <v>4503</v>
      </c>
      <c r="G436" s="1" t="s">
        <v>74</v>
      </c>
      <c r="H436" s="1" t="s">
        <v>74</v>
      </c>
      <c r="I436" s="1" t="s">
        <v>4504</v>
      </c>
      <c r="J436" s="1" t="s">
        <v>582</v>
      </c>
      <c r="K436" s="1" t="s">
        <v>74</v>
      </c>
      <c r="L436" s="1" t="s">
        <v>74</v>
      </c>
      <c r="M436" s="1" t="s">
        <v>74</v>
      </c>
      <c r="N436" s="1" t="s">
        <v>74</v>
      </c>
      <c r="O436" s="1" t="s">
        <v>74</v>
      </c>
      <c r="P436" s="1" t="s">
        <v>74</v>
      </c>
      <c r="Q436" s="1" t="s">
        <v>74</v>
      </c>
      <c r="R436" s="1" t="s">
        <v>74</v>
      </c>
      <c r="S436" s="1" t="s">
        <v>74</v>
      </c>
      <c r="T436" s="1" t="s">
        <v>74</v>
      </c>
      <c r="U436" s="1" t="s">
        <v>74</v>
      </c>
      <c r="V436" s="1" t="s">
        <v>4505</v>
      </c>
      <c r="W436" s="1" t="s">
        <v>74</v>
      </c>
      <c r="X436" s="1" t="s">
        <v>74</v>
      </c>
      <c r="Y436" s="1" t="s">
        <v>74</v>
      </c>
      <c r="Z436" s="1" t="s">
        <v>74</v>
      </c>
      <c r="AA436" s="1" t="s">
        <v>3302</v>
      </c>
      <c r="AB436" s="1" t="s">
        <v>3303</v>
      </c>
      <c r="AC436" s="1" t="s">
        <v>74</v>
      </c>
      <c r="AD436" s="1" t="s">
        <v>74</v>
      </c>
      <c r="AE436" s="1" t="s">
        <v>74</v>
      </c>
      <c r="AF436" s="1" t="s">
        <v>74</v>
      </c>
      <c r="AG436" s="1" t="s">
        <v>74</v>
      </c>
      <c r="AH436" s="1" t="s">
        <v>74</v>
      </c>
      <c r="AI436" s="1" t="s">
        <v>74</v>
      </c>
      <c r="AJ436" s="1" t="s">
        <v>74</v>
      </c>
      <c r="AK436" s="1" t="s">
        <v>74</v>
      </c>
      <c r="AL436" s="1" t="s">
        <v>74</v>
      </c>
      <c r="AM436" s="1" t="s">
        <v>74</v>
      </c>
      <c r="AN436" s="1" t="s">
        <v>74</v>
      </c>
      <c r="AO436" s="1" t="s">
        <v>586</v>
      </c>
      <c r="AP436" s="1" t="s">
        <v>587</v>
      </c>
      <c r="AQ436" s="1" t="s">
        <v>74</v>
      </c>
      <c r="AR436" s="1" t="s">
        <v>74</v>
      </c>
      <c r="AS436" s="1" t="s">
        <v>74</v>
      </c>
      <c r="AT436" s="1" t="s">
        <v>1720</v>
      </c>
      <c r="AU436" s="1">
        <v>2002.0</v>
      </c>
      <c r="AV436" s="1">
        <v>65.0</v>
      </c>
      <c r="AW436" s="1">
        <v>1.0</v>
      </c>
      <c r="AX436" s="1" t="s">
        <v>74</v>
      </c>
      <c r="AY436" s="1" t="s">
        <v>74</v>
      </c>
      <c r="AZ436" s="1" t="s">
        <v>74</v>
      </c>
      <c r="BA436" s="1" t="s">
        <v>74</v>
      </c>
      <c r="BB436" s="1" t="s">
        <v>74</v>
      </c>
      <c r="BC436" s="1" t="s">
        <v>74</v>
      </c>
      <c r="BD436" s="1">
        <v>12101.0</v>
      </c>
      <c r="BE436" s="1" t="s">
        <v>4506</v>
      </c>
      <c r="BF436" s="2" t="str">
        <f>HYPERLINK("http://dx.doi.org/10.1103/PhysRevB.65.012101","http://dx.doi.org/10.1103/PhysRevB.65.012101")</f>
        <v>http://dx.doi.org/10.1103/PhysRevB.65.012101</v>
      </c>
      <c r="BG436" s="1" t="s">
        <v>74</v>
      </c>
      <c r="BH436" s="1" t="s">
        <v>74</v>
      </c>
      <c r="BI436" s="1" t="s">
        <v>74</v>
      </c>
      <c r="BJ436" s="1" t="s">
        <v>74</v>
      </c>
      <c r="BK436" s="1" t="s">
        <v>74</v>
      </c>
      <c r="BL436" s="1" t="s">
        <v>74</v>
      </c>
      <c r="BM436" s="1" t="s">
        <v>74</v>
      </c>
      <c r="BN436" s="1" t="s">
        <v>74</v>
      </c>
      <c r="BO436" s="1" t="s">
        <v>74</v>
      </c>
      <c r="BP436" s="1" t="s">
        <v>74</v>
      </c>
      <c r="BQ436" s="1" t="s">
        <v>74</v>
      </c>
      <c r="BR436" s="1" t="s">
        <v>74</v>
      </c>
      <c r="BS436" s="1" t="s">
        <v>4507</v>
      </c>
      <c r="BT436" s="1" t="str">
        <f>HYPERLINK("https%3A%2F%2Fwww.webofscience.com%2Fwos%2Fwoscc%2Ffull-record%2FWOS:000173186000001","View Full Record in Web of Science")</f>
        <v>View Full Record in Web of Science</v>
      </c>
    </row>
    <row r="437" ht="12.75" customHeight="1">
      <c r="A437" s="1" t="s">
        <v>72</v>
      </c>
      <c r="B437" s="1" t="s">
        <v>4508</v>
      </c>
      <c r="C437" s="1" t="s">
        <v>74</v>
      </c>
      <c r="D437" s="1" t="s">
        <v>74</v>
      </c>
      <c r="E437" s="1" t="s">
        <v>74</v>
      </c>
      <c r="F437" s="1" t="s">
        <v>4509</v>
      </c>
      <c r="G437" s="1" t="s">
        <v>74</v>
      </c>
      <c r="H437" s="1" t="s">
        <v>74</v>
      </c>
      <c r="I437" s="1" t="s">
        <v>4510</v>
      </c>
      <c r="J437" s="1" t="s">
        <v>4511</v>
      </c>
      <c r="K437" s="1" t="s">
        <v>74</v>
      </c>
      <c r="L437" s="1" t="s">
        <v>74</v>
      </c>
      <c r="M437" s="1" t="s">
        <v>74</v>
      </c>
      <c r="N437" s="1" t="s">
        <v>74</v>
      </c>
      <c r="O437" s="1" t="s">
        <v>74</v>
      </c>
      <c r="P437" s="1" t="s">
        <v>74</v>
      </c>
      <c r="Q437" s="1" t="s">
        <v>74</v>
      </c>
      <c r="R437" s="1" t="s">
        <v>74</v>
      </c>
      <c r="S437" s="1" t="s">
        <v>74</v>
      </c>
      <c r="T437" s="1" t="s">
        <v>74</v>
      </c>
      <c r="U437" s="1" t="s">
        <v>74</v>
      </c>
      <c r="V437" s="1" t="s">
        <v>4512</v>
      </c>
      <c r="W437" s="1" t="s">
        <v>74</v>
      </c>
      <c r="X437" s="1" t="s">
        <v>74</v>
      </c>
      <c r="Y437" s="1" t="s">
        <v>74</v>
      </c>
      <c r="Z437" s="1" t="s">
        <v>74</v>
      </c>
      <c r="AA437" s="1" t="s">
        <v>4513</v>
      </c>
      <c r="AB437" s="1" t="s">
        <v>4514</v>
      </c>
      <c r="AC437" s="1" t="s">
        <v>74</v>
      </c>
      <c r="AD437" s="1" t="s">
        <v>74</v>
      </c>
      <c r="AE437" s="1" t="s">
        <v>74</v>
      </c>
      <c r="AF437" s="1" t="s">
        <v>74</v>
      </c>
      <c r="AG437" s="1" t="s">
        <v>74</v>
      </c>
      <c r="AH437" s="1" t="s">
        <v>74</v>
      </c>
      <c r="AI437" s="1" t="s">
        <v>74</v>
      </c>
      <c r="AJ437" s="1" t="s">
        <v>74</v>
      </c>
      <c r="AK437" s="1" t="s">
        <v>74</v>
      </c>
      <c r="AL437" s="1" t="s">
        <v>74</v>
      </c>
      <c r="AM437" s="1" t="s">
        <v>74</v>
      </c>
      <c r="AN437" s="1" t="s">
        <v>74</v>
      </c>
      <c r="AO437" s="1" t="s">
        <v>4515</v>
      </c>
      <c r="AP437" s="1" t="s">
        <v>4516</v>
      </c>
      <c r="AQ437" s="1" t="s">
        <v>74</v>
      </c>
      <c r="AR437" s="1" t="s">
        <v>74</v>
      </c>
      <c r="AS437" s="1" t="s">
        <v>74</v>
      </c>
      <c r="AT437" s="1" t="s">
        <v>179</v>
      </c>
      <c r="AU437" s="1">
        <v>2025.0</v>
      </c>
      <c r="AV437" s="1">
        <v>126.0</v>
      </c>
      <c r="AW437" s="1">
        <v>2.0</v>
      </c>
      <c r="AX437" s="1" t="s">
        <v>74</v>
      </c>
      <c r="AY437" s="1" t="s">
        <v>74</v>
      </c>
      <c r="AZ437" s="1" t="s">
        <v>74</v>
      </c>
      <c r="BA437" s="1" t="s">
        <v>74</v>
      </c>
      <c r="BB437" s="1" t="s">
        <v>74</v>
      </c>
      <c r="BC437" s="1" t="s">
        <v>74</v>
      </c>
      <c r="BD437" s="1" t="s">
        <v>4517</v>
      </c>
      <c r="BE437" s="1" t="s">
        <v>4518</v>
      </c>
      <c r="BF437" s="2" t="str">
        <f>HYPERLINK("http://dx.doi.org/10.1002/nme.7664","http://dx.doi.org/10.1002/nme.7664")</f>
        <v>http://dx.doi.org/10.1002/nme.7664</v>
      </c>
      <c r="BG437" s="1" t="s">
        <v>74</v>
      </c>
      <c r="BH437" s="1" t="s">
        <v>74</v>
      </c>
      <c r="BI437" s="1" t="s">
        <v>74</v>
      </c>
      <c r="BJ437" s="1" t="s">
        <v>74</v>
      </c>
      <c r="BK437" s="1" t="s">
        <v>74</v>
      </c>
      <c r="BL437" s="1" t="s">
        <v>74</v>
      </c>
      <c r="BM437" s="1" t="s">
        <v>74</v>
      </c>
      <c r="BN437" s="1" t="s">
        <v>74</v>
      </c>
      <c r="BO437" s="1" t="s">
        <v>74</v>
      </c>
      <c r="BP437" s="1" t="s">
        <v>74</v>
      </c>
      <c r="BQ437" s="1" t="s">
        <v>74</v>
      </c>
      <c r="BR437" s="1" t="s">
        <v>74</v>
      </c>
      <c r="BS437" s="1" t="s">
        <v>4519</v>
      </c>
      <c r="BT437" s="1" t="str">
        <f>HYPERLINK("https%3A%2F%2Fwww.webofscience.com%2Fwos%2Fwoscc%2Ffull-record%2FWOS:001399304700001","View Full Record in Web of Science")</f>
        <v>View Full Record in Web of Science</v>
      </c>
    </row>
    <row r="438" ht="12.75" customHeight="1">
      <c r="A438" s="1" t="s">
        <v>72</v>
      </c>
      <c r="B438" s="1" t="s">
        <v>4520</v>
      </c>
      <c r="C438" s="1" t="s">
        <v>74</v>
      </c>
      <c r="D438" s="1" t="s">
        <v>74</v>
      </c>
      <c r="E438" s="1" t="s">
        <v>74</v>
      </c>
      <c r="F438" s="1" t="s">
        <v>4521</v>
      </c>
      <c r="G438" s="1" t="s">
        <v>74</v>
      </c>
      <c r="H438" s="1" t="s">
        <v>74</v>
      </c>
      <c r="I438" s="1" t="s">
        <v>4522</v>
      </c>
      <c r="J438" s="1" t="s">
        <v>4523</v>
      </c>
      <c r="K438" s="1" t="s">
        <v>74</v>
      </c>
      <c r="L438" s="1" t="s">
        <v>74</v>
      </c>
      <c r="M438" s="1" t="s">
        <v>74</v>
      </c>
      <c r="N438" s="1" t="s">
        <v>74</v>
      </c>
      <c r="O438" s="1" t="s">
        <v>74</v>
      </c>
      <c r="P438" s="1" t="s">
        <v>74</v>
      </c>
      <c r="Q438" s="1" t="s">
        <v>74</v>
      </c>
      <c r="R438" s="1" t="s">
        <v>74</v>
      </c>
      <c r="S438" s="1" t="s">
        <v>74</v>
      </c>
      <c r="T438" s="1" t="s">
        <v>74</v>
      </c>
      <c r="U438" s="1" t="s">
        <v>74</v>
      </c>
      <c r="V438" s="1" t="s">
        <v>4524</v>
      </c>
      <c r="W438" s="1" t="s">
        <v>74</v>
      </c>
      <c r="X438" s="1" t="s">
        <v>74</v>
      </c>
      <c r="Y438" s="1" t="s">
        <v>74</v>
      </c>
      <c r="Z438" s="1" t="s">
        <v>74</v>
      </c>
      <c r="AA438" s="1" t="s">
        <v>4525</v>
      </c>
      <c r="AB438" s="1" t="s">
        <v>4526</v>
      </c>
      <c r="AC438" s="1" t="s">
        <v>74</v>
      </c>
      <c r="AD438" s="1" t="s">
        <v>74</v>
      </c>
      <c r="AE438" s="1" t="s">
        <v>74</v>
      </c>
      <c r="AF438" s="1" t="s">
        <v>74</v>
      </c>
      <c r="AG438" s="1" t="s">
        <v>74</v>
      </c>
      <c r="AH438" s="1" t="s">
        <v>74</v>
      </c>
      <c r="AI438" s="1" t="s">
        <v>74</v>
      </c>
      <c r="AJ438" s="1" t="s">
        <v>74</v>
      </c>
      <c r="AK438" s="1" t="s">
        <v>74</v>
      </c>
      <c r="AL438" s="1" t="s">
        <v>74</v>
      </c>
      <c r="AM438" s="1" t="s">
        <v>74</v>
      </c>
      <c r="AN438" s="1" t="s">
        <v>74</v>
      </c>
      <c r="AO438" s="1" t="s">
        <v>4527</v>
      </c>
      <c r="AP438" s="1" t="s">
        <v>4528</v>
      </c>
      <c r="AQ438" s="1" t="s">
        <v>74</v>
      </c>
      <c r="AR438" s="1" t="s">
        <v>74</v>
      </c>
      <c r="AS438" s="1" t="s">
        <v>74</v>
      </c>
      <c r="AT438" s="1" t="s">
        <v>880</v>
      </c>
      <c r="AU438" s="1">
        <v>2024.0</v>
      </c>
      <c r="AV438" s="1">
        <v>268.0</v>
      </c>
      <c r="AW438" s="1" t="s">
        <v>74</v>
      </c>
      <c r="AX438" s="1" t="s">
        <v>74</v>
      </c>
      <c r="AY438" s="1" t="s">
        <v>74</v>
      </c>
      <c r="AZ438" s="1" t="s">
        <v>74</v>
      </c>
      <c r="BA438" s="1" t="s">
        <v>74</v>
      </c>
      <c r="BB438" s="1" t="s">
        <v>74</v>
      </c>
      <c r="BC438" s="1" t="s">
        <v>74</v>
      </c>
      <c r="BD438" s="1">
        <v>108979.0</v>
      </c>
      <c r="BE438" s="1" t="s">
        <v>4529</v>
      </c>
      <c r="BF438" s="2" t="str">
        <f>HYPERLINK("http://dx.doi.org/10.1016/j.ijmecsci.2024.108979","http://dx.doi.org/10.1016/j.ijmecsci.2024.108979")</f>
        <v>http://dx.doi.org/10.1016/j.ijmecsci.2024.108979</v>
      </c>
      <c r="BG438" s="1" t="s">
        <v>74</v>
      </c>
      <c r="BH438" s="1" t="s">
        <v>4530</v>
      </c>
      <c r="BI438" s="1" t="s">
        <v>74</v>
      </c>
      <c r="BJ438" s="1" t="s">
        <v>74</v>
      </c>
      <c r="BK438" s="1" t="s">
        <v>74</v>
      </c>
      <c r="BL438" s="1" t="s">
        <v>74</v>
      </c>
      <c r="BM438" s="1" t="s">
        <v>74</v>
      </c>
      <c r="BN438" s="1" t="s">
        <v>74</v>
      </c>
      <c r="BO438" s="1" t="s">
        <v>74</v>
      </c>
      <c r="BP438" s="1" t="s">
        <v>74</v>
      </c>
      <c r="BQ438" s="1" t="s">
        <v>74</v>
      </c>
      <c r="BR438" s="1" t="s">
        <v>74</v>
      </c>
      <c r="BS438" s="1" t="s">
        <v>4531</v>
      </c>
      <c r="BT438" s="1" t="str">
        <f>HYPERLINK("https%3A%2F%2Fwww.webofscience.com%2Fwos%2Fwoscc%2Ffull-record%2FWOS:001164195800001","View Full Record in Web of Science")</f>
        <v>View Full Record in Web of Science</v>
      </c>
    </row>
    <row r="439" ht="12.75" customHeight="1">
      <c r="A439" s="1" t="s">
        <v>72</v>
      </c>
      <c r="B439" s="1" t="s">
        <v>4532</v>
      </c>
      <c r="C439" s="1" t="s">
        <v>74</v>
      </c>
      <c r="D439" s="1" t="s">
        <v>74</v>
      </c>
      <c r="E439" s="1" t="s">
        <v>74</v>
      </c>
      <c r="F439" s="1" t="s">
        <v>4533</v>
      </c>
      <c r="G439" s="1" t="s">
        <v>74</v>
      </c>
      <c r="H439" s="1" t="s">
        <v>74</v>
      </c>
      <c r="I439" s="1" t="s">
        <v>4534</v>
      </c>
      <c r="J439" s="1" t="s">
        <v>4166</v>
      </c>
      <c r="K439" s="1" t="s">
        <v>74</v>
      </c>
      <c r="L439" s="1" t="s">
        <v>74</v>
      </c>
      <c r="M439" s="1" t="s">
        <v>74</v>
      </c>
      <c r="N439" s="1" t="s">
        <v>74</v>
      </c>
      <c r="O439" s="1" t="s">
        <v>74</v>
      </c>
      <c r="P439" s="1" t="s">
        <v>74</v>
      </c>
      <c r="Q439" s="1" t="s">
        <v>74</v>
      </c>
      <c r="R439" s="1" t="s">
        <v>74</v>
      </c>
      <c r="S439" s="1" t="s">
        <v>74</v>
      </c>
      <c r="T439" s="1" t="s">
        <v>74</v>
      </c>
      <c r="U439" s="1" t="s">
        <v>74</v>
      </c>
      <c r="V439" s="1" t="s">
        <v>4535</v>
      </c>
      <c r="W439" s="1" t="s">
        <v>74</v>
      </c>
      <c r="X439" s="1" t="s">
        <v>74</v>
      </c>
      <c r="Y439" s="1" t="s">
        <v>74</v>
      </c>
      <c r="Z439" s="1" t="s">
        <v>74</v>
      </c>
      <c r="AA439" s="1" t="s">
        <v>4536</v>
      </c>
      <c r="AB439" s="1" t="s">
        <v>74</v>
      </c>
      <c r="AC439" s="1" t="s">
        <v>74</v>
      </c>
      <c r="AD439" s="1" t="s">
        <v>74</v>
      </c>
      <c r="AE439" s="1" t="s">
        <v>74</v>
      </c>
      <c r="AF439" s="1" t="s">
        <v>74</v>
      </c>
      <c r="AG439" s="1" t="s">
        <v>74</v>
      </c>
      <c r="AH439" s="1" t="s">
        <v>74</v>
      </c>
      <c r="AI439" s="1" t="s">
        <v>74</v>
      </c>
      <c r="AJ439" s="1" t="s">
        <v>74</v>
      </c>
      <c r="AK439" s="1" t="s">
        <v>74</v>
      </c>
      <c r="AL439" s="1" t="s">
        <v>74</v>
      </c>
      <c r="AM439" s="1" t="s">
        <v>74</v>
      </c>
      <c r="AN439" s="1" t="s">
        <v>74</v>
      </c>
      <c r="AO439" s="1" t="s">
        <v>4170</v>
      </c>
      <c r="AP439" s="1" t="s">
        <v>4171</v>
      </c>
      <c r="AQ439" s="1" t="s">
        <v>74</v>
      </c>
      <c r="AR439" s="1" t="s">
        <v>74</v>
      </c>
      <c r="AS439" s="1" t="s">
        <v>74</v>
      </c>
      <c r="AT439" s="1" t="s">
        <v>74</v>
      </c>
      <c r="AU439" s="1">
        <v>2024.0</v>
      </c>
      <c r="AV439" s="1">
        <v>24.0</v>
      </c>
      <c r="AW439" s="1">
        <v>4.0</v>
      </c>
      <c r="AX439" s="1" t="s">
        <v>74</v>
      </c>
      <c r="AY439" s="1" t="s">
        <v>74</v>
      </c>
      <c r="AZ439" s="1" t="s">
        <v>74</v>
      </c>
      <c r="BA439" s="1" t="s">
        <v>74</v>
      </c>
      <c r="BB439" s="1">
        <v>16.0</v>
      </c>
      <c r="BC439" s="1">
        <v>25.0</v>
      </c>
      <c r="BD439" s="1" t="s">
        <v>74</v>
      </c>
      <c r="BE439" s="1" t="s">
        <v>4537</v>
      </c>
      <c r="BF439" s="2" t="str">
        <f>HYPERLINK("http://dx.doi.org/10.14589/ido.24.4.3","http://dx.doi.org/10.14589/ido.24.4.3")</f>
        <v>http://dx.doi.org/10.14589/ido.24.4.3</v>
      </c>
      <c r="BG439" s="1" t="s">
        <v>74</v>
      </c>
      <c r="BH439" s="1" t="s">
        <v>74</v>
      </c>
      <c r="BI439" s="1" t="s">
        <v>74</v>
      </c>
      <c r="BJ439" s="1" t="s">
        <v>74</v>
      </c>
      <c r="BK439" s="1" t="s">
        <v>74</v>
      </c>
      <c r="BL439" s="1" t="s">
        <v>74</v>
      </c>
      <c r="BM439" s="1" t="s">
        <v>74</v>
      </c>
      <c r="BN439" s="1" t="s">
        <v>74</v>
      </c>
      <c r="BO439" s="1" t="s">
        <v>74</v>
      </c>
      <c r="BP439" s="1" t="s">
        <v>74</v>
      </c>
      <c r="BQ439" s="1" t="s">
        <v>74</v>
      </c>
      <c r="BR439" s="1" t="s">
        <v>74</v>
      </c>
      <c r="BS439" s="1" t="s">
        <v>4538</v>
      </c>
      <c r="BT439" s="1" t="str">
        <f>HYPERLINK("https%3A%2F%2Fwww.webofscience.com%2Fwos%2Fwoscc%2Ffull-record%2FWOS:001332744200003","View Full Record in Web of Science")</f>
        <v>View Full Record in Web of Science</v>
      </c>
    </row>
    <row r="440" ht="12.75" customHeight="1">
      <c r="A440" s="1" t="s">
        <v>72</v>
      </c>
      <c r="B440" s="1" t="s">
        <v>4539</v>
      </c>
      <c r="C440" s="1" t="s">
        <v>74</v>
      </c>
      <c r="D440" s="1" t="s">
        <v>74</v>
      </c>
      <c r="E440" s="1" t="s">
        <v>74</v>
      </c>
      <c r="F440" s="1" t="s">
        <v>4540</v>
      </c>
      <c r="G440" s="1" t="s">
        <v>74</v>
      </c>
      <c r="H440" s="1" t="s">
        <v>74</v>
      </c>
      <c r="I440" s="1" t="s">
        <v>4541</v>
      </c>
      <c r="J440" s="1" t="s">
        <v>4353</v>
      </c>
      <c r="K440" s="1" t="s">
        <v>74</v>
      </c>
      <c r="L440" s="1" t="s">
        <v>74</v>
      </c>
      <c r="M440" s="1" t="s">
        <v>74</v>
      </c>
      <c r="N440" s="1" t="s">
        <v>74</v>
      </c>
      <c r="O440" s="1" t="s">
        <v>74</v>
      </c>
      <c r="P440" s="1" t="s">
        <v>74</v>
      </c>
      <c r="Q440" s="1" t="s">
        <v>74</v>
      </c>
      <c r="R440" s="1" t="s">
        <v>74</v>
      </c>
      <c r="S440" s="1" t="s">
        <v>74</v>
      </c>
      <c r="T440" s="1" t="s">
        <v>74</v>
      </c>
      <c r="U440" s="1" t="s">
        <v>74</v>
      </c>
      <c r="V440" s="1" t="s">
        <v>4542</v>
      </c>
      <c r="W440" s="1" t="s">
        <v>74</v>
      </c>
      <c r="X440" s="1" t="s">
        <v>74</v>
      </c>
      <c r="Y440" s="1" t="s">
        <v>74</v>
      </c>
      <c r="Z440" s="1" t="s">
        <v>74</v>
      </c>
      <c r="AA440" s="1" t="s">
        <v>4543</v>
      </c>
      <c r="AB440" s="1" t="s">
        <v>4544</v>
      </c>
      <c r="AC440" s="1" t="s">
        <v>74</v>
      </c>
      <c r="AD440" s="1" t="s">
        <v>74</v>
      </c>
      <c r="AE440" s="1" t="s">
        <v>74</v>
      </c>
      <c r="AF440" s="1" t="s">
        <v>74</v>
      </c>
      <c r="AG440" s="1" t="s">
        <v>74</v>
      </c>
      <c r="AH440" s="1" t="s">
        <v>74</v>
      </c>
      <c r="AI440" s="1" t="s">
        <v>74</v>
      </c>
      <c r="AJ440" s="1" t="s">
        <v>74</v>
      </c>
      <c r="AK440" s="1" t="s">
        <v>74</v>
      </c>
      <c r="AL440" s="1" t="s">
        <v>74</v>
      </c>
      <c r="AM440" s="1" t="s">
        <v>74</v>
      </c>
      <c r="AN440" s="1" t="s">
        <v>74</v>
      </c>
      <c r="AO440" s="1" t="s">
        <v>4357</v>
      </c>
      <c r="AP440" s="1" t="s">
        <v>74</v>
      </c>
      <c r="AQ440" s="1" t="s">
        <v>74</v>
      </c>
      <c r="AR440" s="1" t="s">
        <v>74</v>
      </c>
      <c r="AS440" s="1" t="s">
        <v>74</v>
      </c>
      <c r="AT440" s="1" t="s">
        <v>4545</v>
      </c>
      <c r="AU440" s="1">
        <v>2022.0</v>
      </c>
      <c r="AV440" s="1">
        <v>13.0</v>
      </c>
      <c r="AW440" s="1" t="s">
        <v>74</v>
      </c>
      <c r="AX440" s="1" t="s">
        <v>74</v>
      </c>
      <c r="AY440" s="1" t="s">
        <v>74</v>
      </c>
      <c r="AZ440" s="1" t="s">
        <v>74</v>
      </c>
      <c r="BA440" s="1" t="s">
        <v>74</v>
      </c>
      <c r="BB440" s="1" t="s">
        <v>74</v>
      </c>
      <c r="BC440" s="1" t="s">
        <v>74</v>
      </c>
      <c r="BD440" s="1">
        <v>810227.0</v>
      </c>
      <c r="BE440" s="1" t="s">
        <v>4546</v>
      </c>
      <c r="BF440" s="2" t="str">
        <f>HYPERLINK("http://dx.doi.org/10.3389/fpsyg.2022.810227","http://dx.doi.org/10.3389/fpsyg.2022.810227")</f>
        <v>http://dx.doi.org/10.3389/fpsyg.2022.810227</v>
      </c>
      <c r="BG440" s="1" t="s">
        <v>74</v>
      </c>
      <c r="BH440" s="1" t="s">
        <v>74</v>
      </c>
      <c r="BI440" s="1" t="s">
        <v>74</v>
      </c>
      <c r="BJ440" s="1" t="s">
        <v>74</v>
      </c>
      <c r="BK440" s="1" t="s">
        <v>74</v>
      </c>
      <c r="BL440" s="1" t="s">
        <v>74</v>
      </c>
      <c r="BM440" s="1" t="s">
        <v>74</v>
      </c>
      <c r="BN440" s="1">
        <v>3.5401384E7</v>
      </c>
      <c r="BO440" s="1" t="s">
        <v>74</v>
      </c>
      <c r="BP440" s="1" t="s">
        <v>74</v>
      </c>
      <c r="BQ440" s="1" t="s">
        <v>74</v>
      </c>
      <c r="BR440" s="1" t="s">
        <v>74</v>
      </c>
      <c r="BS440" s="1" t="s">
        <v>4547</v>
      </c>
      <c r="BT440" s="1" t="str">
        <f>HYPERLINK("https%3A%2F%2Fwww.webofscience.com%2Fwos%2Fwoscc%2Ffull-record%2FWOS:000781770500001","View Full Record in Web of Science")</f>
        <v>View Full Record in Web of Science</v>
      </c>
    </row>
    <row r="441" ht="12.75" customHeight="1">
      <c r="A441" s="1" t="s">
        <v>72</v>
      </c>
      <c r="B441" s="1" t="s">
        <v>4548</v>
      </c>
      <c r="C441" s="1" t="s">
        <v>74</v>
      </c>
      <c r="D441" s="1" t="s">
        <v>74</v>
      </c>
      <c r="E441" s="1" t="s">
        <v>74</v>
      </c>
      <c r="F441" s="1" t="s">
        <v>4549</v>
      </c>
      <c r="G441" s="1" t="s">
        <v>74</v>
      </c>
      <c r="H441" s="1" t="s">
        <v>74</v>
      </c>
      <c r="I441" s="1" t="s">
        <v>4550</v>
      </c>
      <c r="J441" s="1" t="s">
        <v>4551</v>
      </c>
      <c r="K441" s="1" t="s">
        <v>74</v>
      </c>
      <c r="L441" s="1" t="s">
        <v>74</v>
      </c>
      <c r="M441" s="1" t="s">
        <v>74</v>
      </c>
      <c r="N441" s="1" t="s">
        <v>74</v>
      </c>
      <c r="O441" s="1" t="s">
        <v>74</v>
      </c>
      <c r="P441" s="1" t="s">
        <v>74</v>
      </c>
      <c r="Q441" s="1" t="s">
        <v>74</v>
      </c>
      <c r="R441" s="1" t="s">
        <v>74</v>
      </c>
      <c r="S441" s="1" t="s">
        <v>74</v>
      </c>
      <c r="T441" s="1" t="s">
        <v>74</v>
      </c>
      <c r="U441" s="1" t="s">
        <v>74</v>
      </c>
      <c r="V441" s="1" t="s">
        <v>4552</v>
      </c>
      <c r="W441" s="1" t="s">
        <v>74</v>
      </c>
      <c r="X441" s="1" t="s">
        <v>74</v>
      </c>
      <c r="Y441" s="1" t="s">
        <v>74</v>
      </c>
      <c r="Z441" s="1" t="s">
        <v>74</v>
      </c>
      <c r="AA441" s="1" t="s">
        <v>4553</v>
      </c>
      <c r="AB441" s="1" t="s">
        <v>4554</v>
      </c>
      <c r="AC441" s="1" t="s">
        <v>74</v>
      </c>
      <c r="AD441" s="1" t="s">
        <v>74</v>
      </c>
      <c r="AE441" s="1" t="s">
        <v>74</v>
      </c>
      <c r="AF441" s="1" t="s">
        <v>74</v>
      </c>
      <c r="AG441" s="1" t="s">
        <v>74</v>
      </c>
      <c r="AH441" s="1" t="s">
        <v>74</v>
      </c>
      <c r="AI441" s="1" t="s">
        <v>74</v>
      </c>
      <c r="AJ441" s="1" t="s">
        <v>74</v>
      </c>
      <c r="AK441" s="1" t="s">
        <v>74</v>
      </c>
      <c r="AL441" s="1" t="s">
        <v>74</v>
      </c>
      <c r="AM441" s="1" t="s">
        <v>74</v>
      </c>
      <c r="AN441" s="1" t="s">
        <v>74</v>
      </c>
      <c r="AO441" s="1" t="s">
        <v>74</v>
      </c>
      <c r="AP441" s="1" t="s">
        <v>4555</v>
      </c>
      <c r="AQ441" s="1" t="s">
        <v>74</v>
      </c>
      <c r="AR441" s="1" t="s">
        <v>74</v>
      </c>
      <c r="AS441" s="1" t="s">
        <v>74</v>
      </c>
      <c r="AT441" s="1" t="s">
        <v>398</v>
      </c>
      <c r="AU441" s="1">
        <v>2022.0</v>
      </c>
      <c r="AV441" s="1">
        <v>11.0</v>
      </c>
      <c r="AW441" s="1">
        <v>3.0</v>
      </c>
      <c r="AX441" s="1" t="s">
        <v>74</v>
      </c>
      <c r="AY441" s="1" t="s">
        <v>74</v>
      </c>
      <c r="AZ441" s="1" t="s">
        <v>74</v>
      </c>
      <c r="BA441" s="1" t="s">
        <v>74</v>
      </c>
      <c r="BB441" s="1" t="s">
        <v>74</v>
      </c>
      <c r="BC441" s="1" t="s">
        <v>74</v>
      </c>
      <c r="BD441" s="1">
        <v>310.0</v>
      </c>
      <c r="BE441" s="1" t="s">
        <v>4556</v>
      </c>
      <c r="BF441" s="2" t="str">
        <f>HYPERLINK("http://dx.doi.org/10.3390/foods11030310","http://dx.doi.org/10.3390/foods11030310")</f>
        <v>http://dx.doi.org/10.3390/foods11030310</v>
      </c>
      <c r="BG441" s="1" t="s">
        <v>74</v>
      </c>
      <c r="BH441" s="1" t="s">
        <v>74</v>
      </c>
      <c r="BI441" s="1" t="s">
        <v>74</v>
      </c>
      <c r="BJ441" s="1" t="s">
        <v>74</v>
      </c>
      <c r="BK441" s="1" t="s">
        <v>74</v>
      </c>
      <c r="BL441" s="1" t="s">
        <v>74</v>
      </c>
      <c r="BM441" s="1" t="s">
        <v>74</v>
      </c>
      <c r="BN441" s="1">
        <v>3.5159459E7</v>
      </c>
      <c r="BO441" s="1" t="s">
        <v>74</v>
      </c>
      <c r="BP441" s="1" t="s">
        <v>74</v>
      </c>
      <c r="BQ441" s="1" t="s">
        <v>74</v>
      </c>
      <c r="BR441" s="1" t="s">
        <v>74</v>
      </c>
      <c r="BS441" s="1" t="s">
        <v>4557</v>
      </c>
      <c r="BT441" s="1" t="str">
        <f>HYPERLINK("https%3A%2F%2Fwww.webofscience.com%2Fwos%2Fwoscc%2Ffull-record%2FWOS:000756118200001","View Full Record in Web of Science")</f>
        <v>View Full Record in Web of Science</v>
      </c>
    </row>
    <row r="442" ht="12.75" customHeight="1">
      <c r="A442" s="1" t="s">
        <v>72</v>
      </c>
      <c r="B442" s="1" t="s">
        <v>4558</v>
      </c>
      <c r="C442" s="1" t="s">
        <v>74</v>
      </c>
      <c r="D442" s="1" t="s">
        <v>74</v>
      </c>
      <c r="E442" s="1" t="s">
        <v>74</v>
      </c>
      <c r="F442" s="1" t="s">
        <v>4559</v>
      </c>
      <c r="G442" s="1" t="s">
        <v>74</v>
      </c>
      <c r="H442" s="1" t="s">
        <v>74</v>
      </c>
      <c r="I442" s="1" t="s">
        <v>4560</v>
      </c>
      <c r="J442" s="1" t="s">
        <v>2863</v>
      </c>
      <c r="K442" s="1" t="s">
        <v>74</v>
      </c>
      <c r="L442" s="1" t="s">
        <v>74</v>
      </c>
      <c r="M442" s="1" t="s">
        <v>74</v>
      </c>
      <c r="N442" s="1" t="s">
        <v>74</v>
      </c>
      <c r="O442" s="1" t="s">
        <v>74</v>
      </c>
      <c r="P442" s="1" t="s">
        <v>74</v>
      </c>
      <c r="Q442" s="1" t="s">
        <v>74</v>
      </c>
      <c r="R442" s="1" t="s">
        <v>74</v>
      </c>
      <c r="S442" s="1" t="s">
        <v>74</v>
      </c>
      <c r="T442" s="1" t="s">
        <v>74</v>
      </c>
      <c r="U442" s="1" t="s">
        <v>74</v>
      </c>
      <c r="V442" s="1" t="s">
        <v>4561</v>
      </c>
      <c r="W442" s="1" t="s">
        <v>74</v>
      </c>
      <c r="X442" s="1" t="s">
        <v>74</v>
      </c>
      <c r="Y442" s="1" t="s">
        <v>74</v>
      </c>
      <c r="Z442" s="1" t="s">
        <v>74</v>
      </c>
      <c r="AA442" s="1" t="s">
        <v>2865</v>
      </c>
      <c r="AB442" s="1" t="s">
        <v>4562</v>
      </c>
      <c r="AC442" s="1" t="s">
        <v>74</v>
      </c>
      <c r="AD442" s="1" t="s">
        <v>74</v>
      </c>
      <c r="AE442" s="1" t="s">
        <v>74</v>
      </c>
      <c r="AF442" s="1" t="s">
        <v>74</v>
      </c>
      <c r="AG442" s="1" t="s">
        <v>74</v>
      </c>
      <c r="AH442" s="1" t="s">
        <v>74</v>
      </c>
      <c r="AI442" s="1" t="s">
        <v>74</v>
      </c>
      <c r="AJ442" s="1" t="s">
        <v>74</v>
      </c>
      <c r="AK442" s="1" t="s">
        <v>74</v>
      </c>
      <c r="AL442" s="1" t="s">
        <v>74</v>
      </c>
      <c r="AM442" s="1" t="s">
        <v>74</v>
      </c>
      <c r="AN442" s="1" t="s">
        <v>74</v>
      </c>
      <c r="AO442" s="1" t="s">
        <v>74</v>
      </c>
      <c r="AP442" s="1" t="s">
        <v>2867</v>
      </c>
      <c r="AQ442" s="1" t="s">
        <v>74</v>
      </c>
      <c r="AR442" s="1" t="s">
        <v>74</v>
      </c>
      <c r="AS442" s="1" t="s">
        <v>74</v>
      </c>
      <c r="AT442" s="1" t="s">
        <v>316</v>
      </c>
      <c r="AU442" s="1">
        <v>2021.0</v>
      </c>
      <c r="AV442" s="1">
        <v>11.0</v>
      </c>
      <c r="AW442" s="1">
        <v>10.0</v>
      </c>
      <c r="AX442" s="1" t="s">
        <v>74</v>
      </c>
      <c r="AY442" s="1" t="s">
        <v>74</v>
      </c>
      <c r="AZ442" s="1" t="s">
        <v>74</v>
      </c>
      <c r="BA442" s="1" t="s">
        <v>74</v>
      </c>
      <c r="BB442" s="1" t="s">
        <v>74</v>
      </c>
      <c r="BC442" s="1" t="s">
        <v>74</v>
      </c>
      <c r="BD442" s="1">
        <v>1585.0</v>
      </c>
      <c r="BE442" s="1" t="s">
        <v>4563</v>
      </c>
      <c r="BF442" s="2" t="str">
        <f>HYPERLINK("http://dx.doi.org/10.3390/met11101585","http://dx.doi.org/10.3390/met11101585")</f>
        <v>http://dx.doi.org/10.3390/met11101585</v>
      </c>
      <c r="BG442" s="1" t="s">
        <v>74</v>
      </c>
      <c r="BH442" s="1" t="s">
        <v>74</v>
      </c>
      <c r="BI442" s="1" t="s">
        <v>74</v>
      </c>
      <c r="BJ442" s="1" t="s">
        <v>74</v>
      </c>
      <c r="BK442" s="1" t="s">
        <v>74</v>
      </c>
      <c r="BL442" s="1" t="s">
        <v>74</v>
      </c>
      <c r="BM442" s="1" t="s">
        <v>74</v>
      </c>
      <c r="BN442" s="1" t="s">
        <v>74</v>
      </c>
      <c r="BO442" s="1" t="s">
        <v>74</v>
      </c>
      <c r="BP442" s="1" t="s">
        <v>74</v>
      </c>
      <c r="BQ442" s="1" t="s">
        <v>74</v>
      </c>
      <c r="BR442" s="1" t="s">
        <v>74</v>
      </c>
      <c r="BS442" s="1" t="s">
        <v>4564</v>
      </c>
      <c r="BT442" s="1" t="str">
        <f>HYPERLINK("https%3A%2F%2Fwww.webofscience.com%2Fwos%2Fwoscc%2Ffull-record%2FWOS:000717150800001","View Full Record in Web of Science")</f>
        <v>View Full Record in Web of Science</v>
      </c>
    </row>
    <row r="443" ht="12.75" customHeight="1">
      <c r="A443" s="1" t="s">
        <v>72</v>
      </c>
      <c r="B443" s="1" t="s">
        <v>4565</v>
      </c>
      <c r="C443" s="1" t="s">
        <v>74</v>
      </c>
      <c r="D443" s="1" t="s">
        <v>74</v>
      </c>
      <c r="E443" s="1" t="s">
        <v>74</v>
      </c>
      <c r="F443" s="1" t="s">
        <v>4566</v>
      </c>
      <c r="G443" s="1" t="s">
        <v>74</v>
      </c>
      <c r="H443" s="1" t="s">
        <v>74</v>
      </c>
      <c r="I443" s="1" t="s">
        <v>4567</v>
      </c>
      <c r="J443" s="1" t="s">
        <v>4568</v>
      </c>
      <c r="K443" s="1" t="s">
        <v>74</v>
      </c>
      <c r="L443" s="1" t="s">
        <v>74</v>
      </c>
      <c r="M443" s="1" t="s">
        <v>74</v>
      </c>
      <c r="N443" s="1" t="s">
        <v>74</v>
      </c>
      <c r="O443" s="1" t="s">
        <v>74</v>
      </c>
      <c r="P443" s="1" t="s">
        <v>74</v>
      </c>
      <c r="Q443" s="1" t="s">
        <v>74</v>
      </c>
      <c r="R443" s="1" t="s">
        <v>74</v>
      </c>
      <c r="S443" s="1" t="s">
        <v>74</v>
      </c>
      <c r="T443" s="1" t="s">
        <v>74</v>
      </c>
      <c r="U443" s="1" t="s">
        <v>74</v>
      </c>
      <c r="V443" s="1" t="s">
        <v>4569</v>
      </c>
      <c r="W443" s="1" t="s">
        <v>74</v>
      </c>
      <c r="X443" s="1" t="s">
        <v>74</v>
      </c>
      <c r="Y443" s="1" t="s">
        <v>74</v>
      </c>
      <c r="Z443" s="1" t="s">
        <v>74</v>
      </c>
      <c r="AA443" s="1" t="s">
        <v>4570</v>
      </c>
      <c r="AB443" s="1" t="s">
        <v>4571</v>
      </c>
      <c r="AC443" s="1" t="s">
        <v>74</v>
      </c>
      <c r="AD443" s="1" t="s">
        <v>74</v>
      </c>
      <c r="AE443" s="1" t="s">
        <v>74</v>
      </c>
      <c r="AF443" s="1" t="s">
        <v>74</v>
      </c>
      <c r="AG443" s="1" t="s">
        <v>74</v>
      </c>
      <c r="AH443" s="1" t="s">
        <v>74</v>
      </c>
      <c r="AI443" s="1" t="s">
        <v>74</v>
      </c>
      <c r="AJ443" s="1" t="s">
        <v>74</v>
      </c>
      <c r="AK443" s="1" t="s">
        <v>74</v>
      </c>
      <c r="AL443" s="1" t="s">
        <v>74</v>
      </c>
      <c r="AM443" s="1" t="s">
        <v>74</v>
      </c>
      <c r="AN443" s="1" t="s">
        <v>74</v>
      </c>
      <c r="AO443" s="1" t="s">
        <v>4572</v>
      </c>
      <c r="AP443" s="1" t="s">
        <v>4573</v>
      </c>
      <c r="AQ443" s="1" t="s">
        <v>74</v>
      </c>
      <c r="AR443" s="1" t="s">
        <v>74</v>
      </c>
      <c r="AS443" s="1" t="s">
        <v>74</v>
      </c>
      <c r="AT443" s="1" t="s">
        <v>316</v>
      </c>
      <c r="AU443" s="1">
        <v>2021.0</v>
      </c>
      <c r="AV443" s="1">
        <v>56.0</v>
      </c>
      <c r="AW443" s="1">
        <v>10.0</v>
      </c>
      <c r="AX443" s="1" t="s">
        <v>74</v>
      </c>
      <c r="AY443" s="1" t="s">
        <v>74</v>
      </c>
      <c r="AZ443" s="1" t="s">
        <v>399</v>
      </c>
      <c r="BA443" s="1" t="s">
        <v>74</v>
      </c>
      <c r="BB443" s="1">
        <v>5382.0</v>
      </c>
      <c r="BC443" s="1">
        <v>5394.0</v>
      </c>
      <c r="BD443" s="1" t="s">
        <v>74</v>
      </c>
      <c r="BE443" s="1" t="s">
        <v>4574</v>
      </c>
      <c r="BF443" s="2" t="str">
        <f>HYPERLINK("http://dx.doi.org/10.1111/ijfs.15065","http://dx.doi.org/10.1111/ijfs.15065")</f>
        <v>http://dx.doi.org/10.1111/ijfs.15065</v>
      </c>
      <c r="BG443" s="1" t="s">
        <v>74</v>
      </c>
      <c r="BH443" s="1" t="s">
        <v>4575</v>
      </c>
      <c r="BI443" s="1" t="s">
        <v>74</v>
      </c>
      <c r="BJ443" s="1" t="s">
        <v>74</v>
      </c>
      <c r="BK443" s="1" t="s">
        <v>74</v>
      </c>
      <c r="BL443" s="1" t="s">
        <v>74</v>
      </c>
      <c r="BM443" s="1" t="s">
        <v>74</v>
      </c>
      <c r="BN443" s="1" t="s">
        <v>74</v>
      </c>
      <c r="BO443" s="1" t="s">
        <v>74</v>
      </c>
      <c r="BP443" s="1" t="s">
        <v>74</v>
      </c>
      <c r="BQ443" s="1" t="s">
        <v>74</v>
      </c>
      <c r="BR443" s="1" t="s">
        <v>74</v>
      </c>
      <c r="BS443" s="1" t="s">
        <v>4576</v>
      </c>
      <c r="BT443" s="1" t="str">
        <f>HYPERLINK("https%3A%2F%2Fwww.webofscience.com%2Fwos%2Fwoscc%2Ffull-record%2FWOS:000650843900001","View Full Record in Web of Science")</f>
        <v>View Full Record in Web of Science</v>
      </c>
    </row>
    <row r="444" ht="12.75" customHeight="1">
      <c r="A444" s="1" t="s">
        <v>72</v>
      </c>
      <c r="B444" s="1" t="s">
        <v>4577</v>
      </c>
      <c r="C444" s="1" t="s">
        <v>74</v>
      </c>
      <c r="D444" s="1" t="s">
        <v>74</v>
      </c>
      <c r="E444" s="1" t="s">
        <v>74</v>
      </c>
      <c r="F444" s="1" t="s">
        <v>4578</v>
      </c>
      <c r="G444" s="1" t="s">
        <v>74</v>
      </c>
      <c r="H444" s="1" t="s">
        <v>74</v>
      </c>
      <c r="I444" s="1" t="s">
        <v>4579</v>
      </c>
      <c r="J444" s="1" t="s">
        <v>4580</v>
      </c>
      <c r="K444" s="1" t="s">
        <v>74</v>
      </c>
      <c r="L444" s="1" t="s">
        <v>74</v>
      </c>
      <c r="M444" s="1" t="s">
        <v>74</v>
      </c>
      <c r="N444" s="1" t="s">
        <v>74</v>
      </c>
      <c r="O444" s="1" t="s">
        <v>74</v>
      </c>
      <c r="P444" s="1" t="s">
        <v>74</v>
      </c>
      <c r="Q444" s="1" t="s">
        <v>74</v>
      </c>
      <c r="R444" s="1" t="s">
        <v>74</v>
      </c>
      <c r="S444" s="1" t="s">
        <v>74</v>
      </c>
      <c r="T444" s="1" t="s">
        <v>74</v>
      </c>
      <c r="U444" s="1" t="s">
        <v>74</v>
      </c>
      <c r="V444" s="1" t="s">
        <v>4581</v>
      </c>
      <c r="W444" s="1" t="s">
        <v>74</v>
      </c>
      <c r="X444" s="1" t="s">
        <v>74</v>
      </c>
      <c r="Y444" s="1" t="s">
        <v>74</v>
      </c>
      <c r="Z444" s="1" t="s">
        <v>74</v>
      </c>
      <c r="AA444" s="1" t="s">
        <v>4582</v>
      </c>
      <c r="AB444" s="1" t="s">
        <v>4583</v>
      </c>
      <c r="AC444" s="1" t="s">
        <v>74</v>
      </c>
      <c r="AD444" s="1" t="s">
        <v>74</v>
      </c>
      <c r="AE444" s="1" t="s">
        <v>74</v>
      </c>
      <c r="AF444" s="1" t="s">
        <v>74</v>
      </c>
      <c r="AG444" s="1" t="s">
        <v>74</v>
      </c>
      <c r="AH444" s="1" t="s">
        <v>74</v>
      </c>
      <c r="AI444" s="1" t="s">
        <v>74</v>
      </c>
      <c r="AJ444" s="1" t="s">
        <v>74</v>
      </c>
      <c r="AK444" s="1" t="s">
        <v>74</v>
      </c>
      <c r="AL444" s="1" t="s">
        <v>74</v>
      </c>
      <c r="AM444" s="1" t="s">
        <v>74</v>
      </c>
      <c r="AN444" s="1" t="s">
        <v>74</v>
      </c>
      <c r="AO444" s="1" t="s">
        <v>4584</v>
      </c>
      <c r="AP444" s="1" t="s">
        <v>4585</v>
      </c>
      <c r="AQ444" s="1" t="s">
        <v>74</v>
      </c>
      <c r="AR444" s="1" t="s">
        <v>74</v>
      </c>
      <c r="AS444" s="1" t="s">
        <v>74</v>
      </c>
      <c r="AT444" s="1" t="s">
        <v>2360</v>
      </c>
      <c r="AU444" s="1">
        <v>2020.0</v>
      </c>
      <c r="AV444" s="1">
        <v>12.0</v>
      </c>
      <c r="AW444" s="1">
        <v>47.0</v>
      </c>
      <c r="AX444" s="1" t="s">
        <v>74</v>
      </c>
      <c r="AY444" s="1" t="s">
        <v>74</v>
      </c>
      <c r="AZ444" s="1" t="s">
        <v>74</v>
      </c>
      <c r="BA444" s="1" t="s">
        <v>74</v>
      </c>
      <c r="BB444" s="1">
        <v>53454.0</v>
      </c>
      <c r="BC444" s="1">
        <v>53461.0</v>
      </c>
      <c r="BD444" s="1" t="s">
        <v>74</v>
      </c>
      <c r="BE444" s="1" t="s">
        <v>4586</v>
      </c>
      <c r="BF444" s="2" t="str">
        <f>HYPERLINK("http://dx.doi.org/10.1021/acsami.0c14350","http://dx.doi.org/10.1021/acsami.0c14350")</f>
        <v>http://dx.doi.org/10.1021/acsami.0c14350</v>
      </c>
      <c r="BG444" s="1" t="s">
        <v>74</v>
      </c>
      <c r="BH444" s="1" t="s">
        <v>74</v>
      </c>
      <c r="BI444" s="1" t="s">
        <v>74</v>
      </c>
      <c r="BJ444" s="1" t="s">
        <v>74</v>
      </c>
      <c r="BK444" s="1" t="s">
        <v>74</v>
      </c>
      <c r="BL444" s="1" t="s">
        <v>74</v>
      </c>
      <c r="BM444" s="1" t="s">
        <v>74</v>
      </c>
      <c r="BN444" s="1">
        <v>3.3169962E7</v>
      </c>
      <c r="BO444" s="1" t="s">
        <v>74</v>
      </c>
      <c r="BP444" s="1" t="s">
        <v>74</v>
      </c>
      <c r="BQ444" s="1" t="s">
        <v>74</v>
      </c>
      <c r="BR444" s="1" t="s">
        <v>74</v>
      </c>
      <c r="BS444" s="1" t="s">
        <v>4587</v>
      </c>
      <c r="BT444" s="1" t="str">
        <f>HYPERLINK("https%3A%2F%2Fwww.webofscience.com%2Fwos%2Fwoscc%2Ffull-record%2FWOS:000595547400120","View Full Record in Web of Science")</f>
        <v>View Full Record in Web of Science</v>
      </c>
    </row>
    <row r="445" ht="12.75" customHeight="1">
      <c r="A445" s="1" t="s">
        <v>72</v>
      </c>
      <c r="B445" s="1" t="s">
        <v>4588</v>
      </c>
      <c r="C445" s="1" t="s">
        <v>74</v>
      </c>
      <c r="D445" s="1" t="s">
        <v>74</v>
      </c>
      <c r="E445" s="1" t="s">
        <v>74</v>
      </c>
      <c r="F445" s="1" t="s">
        <v>4589</v>
      </c>
      <c r="G445" s="1" t="s">
        <v>74</v>
      </c>
      <c r="H445" s="1" t="s">
        <v>74</v>
      </c>
      <c r="I445" s="1" t="s">
        <v>4590</v>
      </c>
      <c r="J445" s="1" t="s">
        <v>4591</v>
      </c>
      <c r="K445" s="1" t="s">
        <v>74</v>
      </c>
      <c r="L445" s="1" t="s">
        <v>74</v>
      </c>
      <c r="M445" s="1" t="s">
        <v>74</v>
      </c>
      <c r="N445" s="1" t="s">
        <v>74</v>
      </c>
      <c r="O445" s="1" t="s">
        <v>74</v>
      </c>
      <c r="P445" s="1" t="s">
        <v>74</v>
      </c>
      <c r="Q445" s="1" t="s">
        <v>74</v>
      </c>
      <c r="R445" s="1" t="s">
        <v>74</v>
      </c>
      <c r="S445" s="1" t="s">
        <v>74</v>
      </c>
      <c r="T445" s="1" t="s">
        <v>74</v>
      </c>
      <c r="U445" s="1" t="s">
        <v>74</v>
      </c>
      <c r="V445" s="1" t="s">
        <v>4592</v>
      </c>
      <c r="W445" s="1" t="s">
        <v>74</v>
      </c>
      <c r="X445" s="1" t="s">
        <v>74</v>
      </c>
      <c r="Y445" s="1" t="s">
        <v>74</v>
      </c>
      <c r="Z445" s="1" t="s">
        <v>74</v>
      </c>
      <c r="AA445" s="1" t="s">
        <v>4593</v>
      </c>
      <c r="AB445" s="1" t="s">
        <v>4594</v>
      </c>
      <c r="AC445" s="1" t="s">
        <v>74</v>
      </c>
      <c r="AD445" s="1" t="s">
        <v>74</v>
      </c>
      <c r="AE445" s="1" t="s">
        <v>74</v>
      </c>
      <c r="AF445" s="1" t="s">
        <v>74</v>
      </c>
      <c r="AG445" s="1" t="s">
        <v>74</v>
      </c>
      <c r="AH445" s="1" t="s">
        <v>74</v>
      </c>
      <c r="AI445" s="1" t="s">
        <v>74</v>
      </c>
      <c r="AJ445" s="1" t="s">
        <v>74</v>
      </c>
      <c r="AK445" s="1" t="s">
        <v>74</v>
      </c>
      <c r="AL445" s="1" t="s">
        <v>74</v>
      </c>
      <c r="AM445" s="1" t="s">
        <v>74</v>
      </c>
      <c r="AN445" s="1" t="s">
        <v>74</v>
      </c>
      <c r="AO445" s="1" t="s">
        <v>74</v>
      </c>
      <c r="AP445" s="1" t="s">
        <v>4595</v>
      </c>
      <c r="AQ445" s="1" t="s">
        <v>74</v>
      </c>
      <c r="AR445" s="1" t="s">
        <v>74</v>
      </c>
      <c r="AS445" s="1" t="s">
        <v>74</v>
      </c>
      <c r="AT445" s="1" t="s">
        <v>316</v>
      </c>
      <c r="AU445" s="1">
        <v>2020.0</v>
      </c>
      <c r="AV445" s="1">
        <v>11.0</v>
      </c>
      <c r="AW445" s="1">
        <v>10.0</v>
      </c>
      <c r="AX445" s="1" t="s">
        <v>74</v>
      </c>
      <c r="AY445" s="1" t="s">
        <v>74</v>
      </c>
      <c r="AZ445" s="1" t="s">
        <v>74</v>
      </c>
      <c r="BA445" s="1" t="s">
        <v>74</v>
      </c>
      <c r="BB445" s="1" t="s">
        <v>74</v>
      </c>
      <c r="BC445" s="1" t="s">
        <v>74</v>
      </c>
      <c r="BD445" s="1">
        <v>1184.0</v>
      </c>
      <c r="BE445" s="1" t="s">
        <v>4596</v>
      </c>
      <c r="BF445" s="2" t="str">
        <f>HYPERLINK("http://dx.doi.org/10.3390/genes11101184","http://dx.doi.org/10.3390/genes11101184")</f>
        <v>http://dx.doi.org/10.3390/genes11101184</v>
      </c>
      <c r="BG445" s="1" t="s">
        <v>74</v>
      </c>
      <c r="BH445" s="1" t="s">
        <v>74</v>
      </c>
      <c r="BI445" s="1" t="s">
        <v>74</v>
      </c>
      <c r="BJ445" s="1" t="s">
        <v>74</v>
      </c>
      <c r="BK445" s="1" t="s">
        <v>74</v>
      </c>
      <c r="BL445" s="1" t="s">
        <v>74</v>
      </c>
      <c r="BM445" s="1" t="s">
        <v>74</v>
      </c>
      <c r="BN445" s="1">
        <v>3.3053678E7</v>
      </c>
      <c r="BO445" s="1" t="s">
        <v>74</v>
      </c>
      <c r="BP445" s="1" t="s">
        <v>74</v>
      </c>
      <c r="BQ445" s="1" t="s">
        <v>74</v>
      </c>
      <c r="BR445" s="1" t="s">
        <v>74</v>
      </c>
      <c r="BS445" s="1" t="s">
        <v>4597</v>
      </c>
      <c r="BT445" s="1" t="str">
        <f>HYPERLINK("https%3A%2F%2Fwww.webofscience.com%2Fwos%2Fwoscc%2Ffull-record%2FWOS:000586216800001","View Full Record in Web of Science")</f>
        <v>View Full Record in Web of Science</v>
      </c>
    </row>
    <row r="446" ht="12.75" customHeight="1">
      <c r="A446" s="1" t="s">
        <v>72</v>
      </c>
      <c r="B446" s="1" t="s">
        <v>4598</v>
      </c>
      <c r="C446" s="1" t="s">
        <v>74</v>
      </c>
      <c r="D446" s="1" t="s">
        <v>74</v>
      </c>
      <c r="E446" s="1" t="s">
        <v>74</v>
      </c>
      <c r="F446" s="1" t="s">
        <v>4599</v>
      </c>
      <c r="G446" s="1" t="s">
        <v>74</v>
      </c>
      <c r="H446" s="1" t="s">
        <v>74</v>
      </c>
      <c r="I446" s="1" t="s">
        <v>4600</v>
      </c>
      <c r="J446" s="1" t="s">
        <v>4601</v>
      </c>
      <c r="K446" s="1" t="s">
        <v>74</v>
      </c>
      <c r="L446" s="1" t="s">
        <v>74</v>
      </c>
      <c r="M446" s="1" t="s">
        <v>74</v>
      </c>
      <c r="N446" s="1" t="s">
        <v>74</v>
      </c>
      <c r="O446" s="1" t="s">
        <v>74</v>
      </c>
      <c r="P446" s="1" t="s">
        <v>74</v>
      </c>
      <c r="Q446" s="1" t="s">
        <v>74</v>
      </c>
      <c r="R446" s="1" t="s">
        <v>74</v>
      </c>
      <c r="S446" s="1" t="s">
        <v>74</v>
      </c>
      <c r="T446" s="1" t="s">
        <v>74</v>
      </c>
      <c r="U446" s="1" t="s">
        <v>74</v>
      </c>
      <c r="V446" s="1" t="s">
        <v>4602</v>
      </c>
      <c r="W446" s="1" t="s">
        <v>74</v>
      </c>
      <c r="X446" s="1" t="s">
        <v>74</v>
      </c>
      <c r="Y446" s="1" t="s">
        <v>74</v>
      </c>
      <c r="Z446" s="1" t="s">
        <v>74</v>
      </c>
      <c r="AA446" s="1" t="s">
        <v>4603</v>
      </c>
      <c r="AB446" s="1" t="s">
        <v>4604</v>
      </c>
      <c r="AC446" s="1" t="s">
        <v>74</v>
      </c>
      <c r="AD446" s="1" t="s">
        <v>74</v>
      </c>
      <c r="AE446" s="1" t="s">
        <v>74</v>
      </c>
      <c r="AF446" s="1" t="s">
        <v>74</v>
      </c>
      <c r="AG446" s="1" t="s">
        <v>74</v>
      </c>
      <c r="AH446" s="1" t="s">
        <v>74</v>
      </c>
      <c r="AI446" s="1" t="s">
        <v>74</v>
      </c>
      <c r="AJ446" s="1" t="s">
        <v>74</v>
      </c>
      <c r="AK446" s="1" t="s">
        <v>74</v>
      </c>
      <c r="AL446" s="1" t="s">
        <v>74</v>
      </c>
      <c r="AM446" s="1" t="s">
        <v>74</v>
      </c>
      <c r="AN446" s="1" t="s">
        <v>74</v>
      </c>
      <c r="AO446" s="1" t="s">
        <v>4605</v>
      </c>
      <c r="AP446" s="1" t="s">
        <v>4606</v>
      </c>
      <c r="AQ446" s="1" t="s">
        <v>74</v>
      </c>
      <c r="AR446" s="1" t="s">
        <v>74</v>
      </c>
      <c r="AS446" s="1" t="s">
        <v>74</v>
      </c>
      <c r="AT446" s="1" t="s">
        <v>4607</v>
      </c>
      <c r="AU446" s="1">
        <v>2020.0</v>
      </c>
      <c r="AV446" s="1">
        <v>20.0</v>
      </c>
      <c r="AW446" s="1">
        <v>4.0</v>
      </c>
      <c r="AX446" s="1" t="s">
        <v>74</v>
      </c>
      <c r="AY446" s="1" t="s">
        <v>74</v>
      </c>
      <c r="AZ446" s="1" t="s">
        <v>74</v>
      </c>
      <c r="BA446" s="1" t="s">
        <v>74</v>
      </c>
      <c r="BB446" s="1">
        <v>701.0</v>
      </c>
      <c r="BC446" s="1">
        <v>708.0</v>
      </c>
      <c r="BD446" s="1" t="s">
        <v>74</v>
      </c>
      <c r="BE446" s="1" t="s">
        <v>4608</v>
      </c>
      <c r="BF446" s="2" t="str">
        <f>HYPERLINK("http://dx.doi.org/10.1080/24748668.2020.1780870","http://dx.doi.org/10.1080/24748668.2020.1780870")</f>
        <v>http://dx.doi.org/10.1080/24748668.2020.1780870</v>
      </c>
      <c r="BG446" s="1" t="s">
        <v>74</v>
      </c>
      <c r="BH446" s="1" t="s">
        <v>74</v>
      </c>
      <c r="BI446" s="1" t="s">
        <v>74</v>
      </c>
      <c r="BJ446" s="1" t="s">
        <v>74</v>
      </c>
      <c r="BK446" s="1" t="s">
        <v>74</v>
      </c>
      <c r="BL446" s="1" t="s">
        <v>74</v>
      </c>
      <c r="BM446" s="1" t="s">
        <v>74</v>
      </c>
      <c r="BN446" s="1" t="s">
        <v>74</v>
      </c>
      <c r="BO446" s="1" t="s">
        <v>74</v>
      </c>
      <c r="BP446" s="1" t="s">
        <v>74</v>
      </c>
      <c r="BQ446" s="1" t="s">
        <v>74</v>
      </c>
      <c r="BR446" s="1" t="s">
        <v>74</v>
      </c>
      <c r="BS446" s="1" t="s">
        <v>4609</v>
      </c>
      <c r="BT446" s="1" t="str">
        <f>HYPERLINK("https%3A%2F%2Fwww.webofscience.com%2Fwos%2Fwoscc%2Ffull-record%2FWOS:000547157700012","View Full Record in Web of Science")</f>
        <v>View Full Record in Web of Science</v>
      </c>
    </row>
    <row r="447" ht="12.75" customHeight="1">
      <c r="A447" s="1" t="s">
        <v>72</v>
      </c>
      <c r="B447" s="1" t="s">
        <v>4610</v>
      </c>
      <c r="C447" s="1" t="s">
        <v>74</v>
      </c>
      <c r="D447" s="1" t="s">
        <v>74</v>
      </c>
      <c r="E447" s="1" t="s">
        <v>74</v>
      </c>
      <c r="F447" s="1" t="s">
        <v>4611</v>
      </c>
      <c r="G447" s="1" t="s">
        <v>74</v>
      </c>
      <c r="H447" s="1" t="s">
        <v>74</v>
      </c>
      <c r="I447" s="1" t="s">
        <v>4612</v>
      </c>
      <c r="J447" s="1" t="s">
        <v>4353</v>
      </c>
      <c r="K447" s="1" t="s">
        <v>74</v>
      </c>
      <c r="L447" s="1" t="s">
        <v>74</v>
      </c>
      <c r="M447" s="1" t="s">
        <v>74</v>
      </c>
      <c r="N447" s="1" t="s">
        <v>74</v>
      </c>
      <c r="O447" s="1" t="s">
        <v>74</v>
      </c>
      <c r="P447" s="1" t="s">
        <v>74</v>
      </c>
      <c r="Q447" s="1" t="s">
        <v>74</v>
      </c>
      <c r="R447" s="1" t="s">
        <v>74</v>
      </c>
      <c r="S447" s="1" t="s">
        <v>74</v>
      </c>
      <c r="T447" s="1" t="s">
        <v>74</v>
      </c>
      <c r="U447" s="1" t="s">
        <v>74</v>
      </c>
      <c r="V447" s="1" t="s">
        <v>4613</v>
      </c>
      <c r="W447" s="1" t="s">
        <v>74</v>
      </c>
      <c r="X447" s="1" t="s">
        <v>74</v>
      </c>
      <c r="Y447" s="1" t="s">
        <v>74</v>
      </c>
      <c r="Z447" s="1" t="s">
        <v>74</v>
      </c>
      <c r="AA447" s="1" t="s">
        <v>4614</v>
      </c>
      <c r="AB447" s="1" t="s">
        <v>4615</v>
      </c>
      <c r="AC447" s="1" t="s">
        <v>74</v>
      </c>
      <c r="AD447" s="1" t="s">
        <v>74</v>
      </c>
      <c r="AE447" s="1" t="s">
        <v>74</v>
      </c>
      <c r="AF447" s="1" t="s">
        <v>74</v>
      </c>
      <c r="AG447" s="1" t="s">
        <v>74</v>
      </c>
      <c r="AH447" s="1" t="s">
        <v>74</v>
      </c>
      <c r="AI447" s="1" t="s">
        <v>74</v>
      </c>
      <c r="AJ447" s="1" t="s">
        <v>74</v>
      </c>
      <c r="AK447" s="1" t="s">
        <v>74</v>
      </c>
      <c r="AL447" s="1" t="s">
        <v>74</v>
      </c>
      <c r="AM447" s="1" t="s">
        <v>74</v>
      </c>
      <c r="AN447" s="1" t="s">
        <v>74</v>
      </c>
      <c r="AO447" s="1" t="s">
        <v>4357</v>
      </c>
      <c r="AP447" s="1" t="s">
        <v>74</v>
      </c>
      <c r="AQ447" s="1" t="s">
        <v>74</v>
      </c>
      <c r="AR447" s="1" t="s">
        <v>74</v>
      </c>
      <c r="AS447" s="1" t="s">
        <v>74</v>
      </c>
      <c r="AT447" s="1" t="s">
        <v>4616</v>
      </c>
      <c r="AU447" s="1">
        <v>2020.0</v>
      </c>
      <c r="AV447" s="1">
        <v>11.0</v>
      </c>
      <c r="AW447" s="1" t="s">
        <v>74</v>
      </c>
      <c r="AX447" s="1" t="s">
        <v>74</v>
      </c>
      <c r="AY447" s="1" t="s">
        <v>74</v>
      </c>
      <c r="AZ447" s="1" t="s">
        <v>74</v>
      </c>
      <c r="BA447" s="1" t="s">
        <v>74</v>
      </c>
      <c r="BB447" s="1" t="s">
        <v>74</v>
      </c>
      <c r="BC447" s="1" t="s">
        <v>74</v>
      </c>
      <c r="BD447" s="1">
        <v>1389.0</v>
      </c>
      <c r="BE447" s="1" t="s">
        <v>4617</v>
      </c>
      <c r="BF447" s="2" t="str">
        <f>HYPERLINK("http://dx.doi.org/10.3389/fpsyg.2020.01389","http://dx.doi.org/10.3389/fpsyg.2020.01389")</f>
        <v>http://dx.doi.org/10.3389/fpsyg.2020.01389</v>
      </c>
      <c r="BG447" s="1" t="s">
        <v>74</v>
      </c>
      <c r="BH447" s="1" t="s">
        <v>74</v>
      </c>
      <c r="BI447" s="1" t="s">
        <v>74</v>
      </c>
      <c r="BJ447" s="1" t="s">
        <v>74</v>
      </c>
      <c r="BK447" s="1" t="s">
        <v>74</v>
      </c>
      <c r="BL447" s="1" t="s">
        <v>74</v>
      </c>
      <c r="BM447" s="1" t="s">
        <v>74</v>
      </c>
      <c r="BN447" s="1">
        <v>3.2636789E7</v>
      </c>
      <c r="BO447" s="1" t="s">
        <v>74</v>
      </c>
      <c r="BP447" s="1" t="s">
        <v>74</v>
      </c>
      <c r="BQ447" s="1" t="s">
        <v>74</v>
      </c>
      <c r="BR447" s="1" t="s">
        <v>74</v>
      </c>
      <c r="BS447" s="1" t="s">
        <v>4618</v>
      </c>
      <c r="BT447" s="1" t="str">
        <f>HYPERLINK("https%3A%2F%2Fwww.webofscience.com%2Fwos%2Fwoscc%2Ffull-record%2FWOS:000548631800001","View Full Record in Web of Science")</f>
        <v>View Full Record in Web of Science</v>
      </c>
    </row>
    <row r="448" ht="12.75" customHeight="1">
      <c r="A448" s="1" t="s">
        <v>72</v>
      </c>
      <c r="B448" s="1" t="s">
        <v>4619</v>
      </c>
      <c r="C448" s="1" t="s">
        <v>74</v>
      </c>
      <c r="D448" s="1" t="s">
        <v>74</v>
      </c>
      <c r="E448" s="1" t="s">
        <v>74</v>
      </c>
      <c r="F448" s="1" t="s">
        <v>4620</v>
      </c>
      <c r="G448" s="1" t="s">
        <v>74</v>
      </c>
      <c r="H448" s="1" t="s">
        <v>74</v>
      </c>
      <c r="I448" s="1" t="s">
        <v>4621</v>
      </c>
      <c r="J448" s="1" t="s">
        <v>4622</v>
      </c>
      <c r="K448" s="1" t="s">
        <v>74</v>
      </c>
      <c r="L448" s="1" t="s">
        <v>74</v>
      </c>
      <c r="M448" s="1" t="s">
        <v>74</v>
      </c>
      <c r="N448" s="1" t="s">
        <v>74</v>
      </c>
      <c r="O448" s="1" t="s">
        <v>74</v>
      </c>
      <c r="P448" s="1" t="s">
        <v>74</v>
      </c>
      <c r="Q448" s="1" t="s">
        <v>74</v>
      </c>
      <c r="R448" s="1" t="s">
        <v>74</v>
      </c>
      <c r="S448" s="1" t="s">
        <v>74</v>
      </c>
      <c r="T448" s="1" t="s">
        <v>74</v>
      </c>
      <c r="U448" s="1" t="s">
        <v>74</v>
      </c>
      <c r="V448" s="1" t="s">
        <v>4623</v>
      </c>
      <c r="W448" s="1" t="s">
        <v>74</v>
      </c>
      <c r="X448" s="1" t="s">
        <v>74</v>
      </c>
      <c r="Y448" s="1" t="s">
        <v>74</v>
      </c>
      <c r="Z448" s="1" t="s">
        <v>74</v>
      </c>
      <c r="AA448" s="1" t="s">
        <v>4624</v>
      </c>
      <c r="AB448" s="1" t="s">
        <v>4625</v>
      </c>
      <c r="AC448" s="1" t="s">
        <v>74</v>
      </c>
      <c r="AD448" s="1" t="s">
        <v>74</v>
      </c>
      <c r="AE448" s="1" t="s">
        <v>74</v>
      </c>
      <c r="AF448" s="1" t="s">
        <v>74</v>
      </c>
      <c r="AG448" s="1" t="s">
        <v>74</v>
      </c>
      <c r="AH448" s="1" t="s">
        <v>74</v>
      </c>
      <c r="AI448" s="1" t="s">
        <v>74</v>
      </c>
      <c r="AJ448" s="1" t="s">
        <v>74</v>
      </c>
      <c r="AK448" s="1" t="s">
        <v>74</v>
      </c>
      <c r="AL448" s="1" t="s">
        <v>74</v>
      </c>
      <c r="AM448" s="1" t="s">
        <v>74</v>
      </c>
      <c r="AN448" s="1" t="s">
        <v>74</v>
      </c>
      <c r="AO448" s="1" t="s">
        <v>74</v>
      </c>
      <c r="AP448" s="1" t="s">
        <v>4626</v>
      </c>
      <c r="AQ448" s="1" t="s">
        <v>74</v>
      </c>
      <c r="AR448" s="1" t="s">
        <v>74</v>
      </c>
      <c r="AS448" s="1" t="s">
        <v>74</v>
      </c>
      <c r="AT448" s="1" t="s">
        <v>96</v>
      </c>
      <c r="AU448" s="1">
        <v>2020.0</v>
      </c>
      <c r="AV448" s="1">
        <v>66.0</v>
      </c>
      <c r="AW448" s="1">
        <v>3.0</v>
      </c>
      <c r="AX448" s="1" t="s">
        <v>74</v>
      </c>
      <c r="AY448" s="1" t="s">
        <v>74</v>
      </c>
      <c r="AZ448" s="1" t="s">
        <v>74</v>
      </c>
      <c r="BA448" s="1" t="s">
        <v>74</v>
      </c>
      <c r="BB448" s="1">
        <v>314.0</v>
      </c>
      <c r="BC448" s="1">
        <v>320.0</v>
      </c>
      <c r="BD448" s="1" t="s">
        <v>74</v>
      </c>
      <c r="BE448" s="1" t="s">
        <v>4627</v>
      </c>
      <c r="BF448" s="2" t="str">
        <f>HYPERLINK("http://dx.doi.org/10.1590/1806-9282.66.3.314","http://dx.doi.org/10.1590/1806-9282.66.3.314")</f>
        <v>http://dx.doi.org/10.1590/1806-9282.66.3.314</v>
      </c>
      <c r="BG448" s="1" t="s">
        <v>74</v>
      </c>
      <c r="BH448" s="1" t="s">
        <v>74</v>
      </c>
      <c r="BI448" s="1" t="s">
        <v>74</v>
      </c>
      <c r="BJ448" s="1" t="s">
        <v>74</v>
      </c>
      <c r="BK448" s="1" t="s">
        <v>74</v>
      </c>
      <c r="BL448" s="1" t="s">
        <v>74</v>
      </c>
      <c r="BM448" s="1" t="s">
        <v>74</v>
      </c>
      <c r="BN448" s="1">
        <v>3.2520151E7</v>
      </c>
      <c r="BO448" s="1" t="s">
        <v>74</v>
      </c>
      <c r="BP448" s="1" t="s">
        <v>74</v>
      </c>
      <c r="BQ448" s="1" t="s">
        <v>74</v>
      </c>
      <c r="BR448" s="1" t="s">
        <v>74</v>
      </c>
      <c r="BS448" s="1" t="s">
        <v>4628</v>
      </c>
      <c r="BT448" s="1" t="str">
        <f>HYPERLINK("https%3A%2F%2Fwww.webofscience.com%2Fwos%2Fwoscc%2Ffull-record%2FWOS:000541563600016","View Full Record in Web of Science")</f>
        <v>View Full Record in Web of Science</v>
      </c>
    </row>
    <row r="449" ht="12.75" customHeight="1">
      <c r="A449" s="1" t="s">
        <v>72</v>
      </c>
      <c r="B449" s="1" t="s">
        <v>4629</v>
      </c>
      <c r="C449" s="1" t="s">
        <v>74</v>
      </c>
      <c r="D449" s="1" t="s">
        <v>74</v>
      </c>
      <c r="E449" s="1" t="s">
        <v>74</v>
      </c>
      <c r="F449" s="1" t="s">
        <v>4630</v>
      </c>
      <c r="G449" s="1" t="s">
        <v>74</v>
      </c>
      <c r="H449" s="1" t="s">
        <v>74</v>
      </c>
      <c r="I449" s="1" t="s">
        <v>4631</v>
      </c>
      <c r="J449" s="1" t="s">
        <v>4632</v>
      </c>
      <c r="K449" s="1" t="s">
        <v>74</v>
      </c>
      <c r="L449" s="1" t="s">
        <v>74</v>
      </c>
      <c r="M449" s="1" t="s">
        <v>74</v>
      </c>
      <c r="N449" s="1" t="s">
        <v>74</v>
      </c>
      <c r="O449" s="1" t="s">
        <v>74</v>
      </c>
      <c r="P449" s="1" t="s">
        <v>74</v>
      </c>
      <c r="Q449" s="1" t="s">
        <v>74</v>
      </c>
      <c r="R449" s="1" t="s">
        <v>74</v>
      </c>
      <c r="S449" s="1" t="s">
        <v>74</v>
      </c>
      <c r="T449" s="1" t="s">
        <v>74</v>
      </c>
      <c r="U449" s="1" t="s">
        <v>74</v>
      </c>
      <c r="V449" s="1" t="s">
        <v>4633</v>
      </c>
      <c r="W449" s="1" t="s">
        <v>74</v>
      </c>
      <c r="X449" s="1" t="s">
        <v>74</v>
      </c>
      <c r="Y449" s="1" t="s">
        <v>74</v>
      </c>
      <c r="Z449" s="1" t="s">
        <v>74</v>
      </c>
      <c r="AA449" s="1" t="s">
        <v>4634</v>
      </c>
      <c r="AB449" s="1" t="s">
        <v>4635</v>
      </c>
      <c r="AC449" s="1" t="s">
        <v>74</v>
      </c>
      <c r="AD449" s="1" t="s">
        <v>74</v>
      </c>
      <c r="AE449" s="1" t="s">
        <v>74</v>
      </c>
      <c r="AF449" s="1" t="s">
        <v>74</v>
      </c>
      <c r="AG449" s="1" t="s">
        <v>74</v>
      </c>
      <c r="AH449" s="1" t="s">
        <v>74</v>
      </c>
      <c r="AI449" s="1" t="s">
        <v>74</v>
      </c>
      <c r="AJ449" s="1" t="s">
        <v>74</v>
      </c>
      <c r="AK449" s="1" t="s">
        <v>74</v>
      </c>
      <c r="AL449" s="1" t="s">
        <v>74</v>
      </c>
      <c r="AM449" s="1" t="s">
        <v>74</v>
      </c>
      <c r="AN449" s="1" t="s">
        <v>74</v>
      </c>
      <c r="AO449" s="1" t="s">
        <v>4636</v>
      </c>
      <c r="AP449" s="1" t="s">
        <v>4637</v>
      </c>
      <c r="AQ449" s="1" t="s">
        <v>74</v>
      </c>
      <c r="AR449" s="1" t="s">
        <v>74</v>
      </c>
      <c r="AS449" s="1" t="s">
        <v>74</v>
      </c>
      <c r="AT449" s="1" t="s">
        <v>464</v>
      </c>
      <c r="AU449" s="1">
        <v>2020.0</v>
      </c>
      <c r="AV449" s="1">
        <v>70.0</v>
      </c>
      <c r="AW449" s="1">
        <v>1.0</v>
      </c>
      <c r="AX449" s="1" t="s">
        <v>74</v>
      </c>
      <c r="AY449" s="1" t="s">
        <v>74</v>
      </c>
      <c r="AZ449" s="1" t="s">
        <v>74</v>
      </c>
      <c r="BA449" s="1" t="s">
        <v>74</v>
      </c>
      <c r="BB449" s="1">
        <v>211.0</v>
      </c>
      <c r="BC449" s="1">
        <v>219.0</v>
      </c>
      <c r="BD449" s="1" t="s">
        <v>74</v>
      </c>
      <c r="BE449" s="1" t="s">
        <v>4638</v>
      </c>
      <c r="BF449" s="2" t="str">
        <f>HYPERLINK("http://dx.doi.org/10.1099/ijsem.0.003739","http://dx.doi.org/10.1099/ijsem.0.003739")</f>
        <v>http://dx.doi.org/10.1099/ijsem.0.003739</v>
      </c>
      <c r="BG449" s="1" t="s">
        <v>74</v>
      </c>
      <c r="BH449" s="1" t="s">
        <v>74</v>
      </c>
      <c r="BI449" s="1" t="s">
        <v>74</v>
      </c>
      <c r="BJ449" s="1" t="s">
        <v>74</v>
      </c>
      <c r="BK449" s="1" t="s">
        <v>74</v>
      </c>
      <c r="BL449" s="1" t="s">
        <v>74</v>
      </c>
      <c r="BM449" s="1" t="s">
        <v>74</v>
      </c>
      <c r="BN449" s="1">
        <v>3.161784E7</v>
      </c>
      <c r="BO449" s="1" t="s">
        <v>74</v>
      </c>
      <c r="BP449" s="1" t="s">
        <v>74</v>
      </c>
      <c r="BQ449" s="1" t="s">
        <v>74</v>
      </c>
      <c r="BR449" s="1" t="s">
        <v>74</v>
      </c>
      <c r="BS449" s="1" t="s">
        <v>4639</v>
      </c>
      <c r="BT449" s="1" t="str">
        <f>HYPERLINK("https%3A%2F%2Fwww.webofscience.com%2Fwos%2Fwoscc%2Ffull-record%2FWOS:000514419600031","View Full Record in Web of Science")</f>
        <v>View Full Record in Web of Science</v>
      </c>
    </row>
    <row r="450" ht="12.75" customHeight="1">
      <c r="A450" s="1" t="s">
        <v>72</v>
      </c>
      <c r="B450" s="1" t="s">
        <v>4640</v>
      </c>
      <c r="C450" s="1" t="s">
        <v>74</v>
      </c>
      <c r="D450" s="1" t="s">
        <v>74</v>
      </c>
      <c r="E450" s="1" t="s">
        <v>74</v>
      </c>
      <c r="F450" s="1" t="s">
        <v>4641</v>
      </c>
      <c r="G450" s="1" t="s">
        <v>74</v>
      </c>
      <c r="H450" s="1" t="s">
        <v>74</v>
      </c>
      <c r="I450" s="1" t="s">
        <v>4642</v>
      </c>
      <c r="J450" s="1" t="s">
        <v>1015</v>
      </c>
      <c r="K450" s="1" t="s">
        <v>74</v>
      </c>
      <c r="L450" s="1" t="s">
        <v>74</v>
      </c>
      <c r="M450" s="1" t="s">
        <v>74</v>
      </c>
      <c r="N450" s="1" t="s">
        <v>74</v>
      </c>
      <c r="O450" s="1" t="s">
        <v>74</v>
      </c>
      <c r="P450" s="1" t="s">
        <v>74</v>
      </c>
      <c r="Q450" s="1" t="s">
        <v>74</v>
      </c>
      <c r="R450" s="1" t="s">
        <v>74</v>
      </c>
      <c r="S450" s="1" t="s">
        <v>74</v>
      </c>
      <c r="T450" s="1" t="s">
        <v>74</v>
      </c>
      <c r="U450" s="1" t="s">
        <v>74</v>
      </c>
      <c r="V450" s="1" t="s">
        <v>4643</v>
      </c>
      <c r="W450" s="1" t="s">
        <v>74</v>
      </c>
      <c r="X450" s="1" t="s">
        <v>74</v>
      </c>
      <c r="Y450" s="1" t="s">
        <v>74</v>
      </c>
      <c r="Z450" s="1" t="s">
        <v>74</v>
      </c>
      <c r="AA450" s="1" t="s">
        <v>4644</v>
      </c>
      <c r="AB450" s="1" t="s">
        <v>4645</v>
      </c>
      <c r="AC450" s="1" t="s">
        <v>74</v>
      </c>
      <c r="AD450" s="1" t="s">
        <v>74</v>
      </c>
      <c r="AE450" s="1" t="s">
        <v>74</v>
      </c>
      <c r="AF450" s="1" t="s">
        <v>74</v>
      </c>
      <c r="AG450" s="1" t="s">
        <v>74</v>
      </c>
      <c r="AH450" s="1" t="s">
        <v>74</v>
      </c>
      <c r="AI450" s="1" t="s">
        <v>74</v>
      </c>
      <c r="AJ450" s="1" t="s">
        <v>74</v>
      </c>
      <c r="AK450" s="1" t="s">
        <v>74</v>
      </c>
      <c r="AL450" s="1" t="s">
        <v>74</v>
      </c>
      <c r="AM450" s="1" t="s">
        <v>74</v>
      </c>
      <c r="AN450" s="1" t="s">
        <v>74</v>
      </c>
      <c r="AO450" s="1" t="s">
        <v>1019</v>
      </c>
      <c r="AP450" s="1" t="s">
        <v>1020</v>
      </c>
      <c r="AQ450" s="1" t="s">
        <v>74</v>
      </c>
      <c r="AR450" s="1" t="s">
        <v>74</v>
      </c>
      <c r="AS450" s="1" t="s">
        <v>74</v>
      </c>
      <c r="AT450" s="1" t="s">
        <v>1850</v>
      </c>
      <c r="AU450" s="1">
        <v>2018.0</v>
      </c>
      <c r="AV450" s="1">
        <v>263.0</v>
      </c>
      <c r="AW450" s="1" t="s">
        <v>74</v>
      </c>
      <c r="AX450" s="1" t="s">
        <v>74</v>
      </c>
      <c r="AY450" s="1" t="s">
        <v>74</v>
      </c>
      <c r="AZ450" s="1" t="s">
        <v>74</v>
      </c>
      <c r="BA450" s="1" t="s">
        <v>74</v>
      </c>
      <c r="BB450" s="1">
        <v>283.0</v>
      </c>
      <c r="BC450" s="1">
        <v>291.0</v>
      </c>
      <c r="BD450" s="1" t="s">
        <v>74</v>
      </c>
      <c r="BE450" s="1" t="s">
        <v>4646</v>
      </c>
      <c r="BF450" s="2" t="str">
        <f>HYPERLINK("http://dx.doi.org/10.1016/j.foodchem.2018.05.026","http://dx.doi.org/10.1016/j.foodchem.2018.05.026")</f>
        <v>http://dx.doi.org/10.1016/j.foodchem.2018.05.026</v>
      </c>
      <c r="BG450" s="1" t="s">
        <v>74</v>
      </c>
      <c r="BH450" s="1" t="s">
        <v>74</v>
      </c>
      <c r="BI450" s="1" t="s">
        <v>74</v>
      </c>
      <c r="BJ450" s="1" t="s">
        <v>74</v>
      </c>
      <c r="BK450" s="1" t="s">
        <v>74</v>
      </c>
      <c r="BL450" s="1" t="s">
        <v>74</v>
      </c>
      <c r="BM450" s="1" t="s">
        <v>74</v>
      </c>
      <c r="BN450" s="1">
        <v>2.9784318E7</v>
      </c>
      <c r="BO450" s="1" t="s">
        <v>74</v>
      </c>
      <c r="BP450" s="1" t="s">
        <v>74</v>
      </c>
      <c r="BQ450" s="1" t="s">
        <v>74</v>
      </c>
      <c r="BR450" s="1" t="s">
        <v>74</v>
      </c>
      <c r="BS450" s="1" t="s">
        <v>4647</v>
      </c>
      <c r="BT450" s="1" t="str">
        <f>HYPERLINK("https%3A%2F%2Fwww.webofscience.com%2Fwos%2Fwoscc%2Ffull-record%2FWOS:000432653400037","View Full Record in Web of Science")</f>
        <v>View Full Record in Web of Science</v>
      </c>
    </row>
    <row r="451" ht="12.75" customHeight="1">
      <c r="A451" s="1" t="s">
        <v>72</v>
      </c>
      <c r="B451" s="1" t="s">
        <v>4648</v>
      </c>
      <c r="C451" s="1" t="s">
        <v>74</v>
      </c>
      <c r="D451" s="1" t="s">
        <v>74</v>
      </c>
      <c r="E451" s="1" t="s">
        <v>74</v>
      </c>
      <c r="F451" s="1" t="s">
        <v>4649</v>
      </c>
      <c r="G451" s="1" t="s">
        <v>74</v>
      </c>
      <c r="H451" s="1" t="s">
        <v>74</v>
      </c>
      <c r="I451" s="1" t="s">
        <v>4650</v>
      </c>
      <c r="J451" s="1" t="s">
        <v>4651</v>
      </c>
      <c r="K451" s="1" t="s">
        <v>74</v>
      </c>
      <c r="L451" s="1" t="s">
        <v>74</v>
      </c>
      <c r="M451" s="1" t="s">
        <v>74</v>
      </c>
      <c r="N451" s="1" t="s">
        <v>74</v>
      </c>
      <c r="O451" s="1" t="s">
        <v>74</v>
      </c>
      <c r="P451" s="1" t="s">
        <v>74</v>
      </c>
      <c r="Q451" s="1" t="s">
        <v>74</v>
      </c>
      <c r="R451" s="1" t="s">
        <v>74</v>
      </c>
      <c r="S451" s="1" t="s">
        <v>74</v>
      </c>
      <c r="T451" s="1" t="s">
        <v>74</v>
      </c>
      <c r="U451" s="1" t="s">
        <v>74</v>
      </c>
      <c r="V451" s="1" t="s">
        <v>4652</v>
      </c>
      <c r="W451" s="1" t="s">
        <v>74</v>
      </c>
      <c r="X451" s="1" t="s">
        <v>74</v>
      </c>
      <c r="Y451" s="1" t="s">
        <v>74</v>
      </c>
      <c r="Z451" s="1" t="s">
        <v>74</v>
      </c>
      <c r="AA451" s="1" t="s">
        <v>4653</v>
      </c>
      <c r="AB451" s="1" t="s">
        <v>4654</v>
      </c>
      <c r="AC451" s="1" t="s">
        <v>74</v>
      </c>
      <c r="AD451" s="1" t="s">
        <v>74</v>
      </c>
      <c r="AE451" s="1" t="s">
        <v>74</v>
      </c>
      <c r="AF451" s="1" t="s">
        <v>74</v>
      </c>
      <c r="AG451" s="1" t="s">
        <v>74</v>
      </c>
      <c r="AH451" s="1" t="s">
        <v>74</v>
      </c>
      <c r="AI451" s="1" t="s">
        <v>74</v>
      </c>
      <c r="AJ451" s="1" t="s">
        <v>74</v>
      </c>
      <c r="AK451" s="1" t="s">
        <v>74</v>
      </c>
      <c r="AL451" s="1" t="s">
        <v>74</v>
      </c>
      <c r="AM451" s="1" t="s">
        <v>74</v>
      </c>
      <c r="AN451" s="1" t="s">
        <v>74</v>
      </c>
      <c r="AO451" s="1" t="s">
        <v>4655</v>
      </c>
      <c r="AP451" s="1" t="s">
        <v>4656</v>
      </c>
      <c r="AQ451" s="1" t="s">
        <v>74</v>
      </c>
      <c r="AR451" s="1" t="s">
        <v>74</v>
      </c>
      <c r="AS451" s="1" t="s">
        <v>74</v>
      </c>
      <c r="AT451" s="1" t="s">
        <v>4657</v>
      </c>
      <c r="AU451" s="1">
        <v>2018.0</v>
      </c>
      <c r="AV451" s="1">
        <v>86.0</v>
      </c>
      <c r="AW451" s="1" t="s">
        <v>74</v>
      </c>
      <c r="AX451" s="1" t="s">
        <v>74</v>
      </c>
      <c r="AY451" s="1" t="s">
        <v>74</v>
      </c>
      <c r="AZ451" s="1" t="s">
        <v>74</v>
      </c>
      <c r="BA451" s="1" t="s">
        <v>74</v>
      </c>
      <c r="BB451" s="1">
        <v>173.0</v>
      </c>
      <c r="BC451" s="1">
        <v>197.0</v>
      </c>
      <c r="BD451" s="1" t="s">
        <v>74</v>
      </c>
      <c r="BE451" s="1" t="s">
        <v>4658</v>
      </c>
      <c r="BF451" s="2" t="str">
        <f>HYPERLINK("http://dx.doi.org/10.1016/j.msec.2018.01.004","http://dx.doi.org/10.1016/j.msec.2018.01.004")</f>
        <v>http://dx.doi.org/10.1016/j.msec.2018.01.004</v>
      </c>
      <c r="BG451" s="1" t="s">
        <v>74</v>
      </c>
      <c r="BH451" s="1" t="s">
        <v>74</v>
      </c>
      <c r="BI451" s="1" t="s">
        <v>74</v>
      </c>
      <c r="BJ451" s="1" t="s">
        <v>74</v>
      </c>
      <c r="BK451" s="1" t="s">
        <v>74</v>
      </c>
      <c r="BL451" s="1" t="s">
        <v>74</v>
      </c>
      <c r="BM451" s="1" t="s">
        <v>74</v>
      </c>
      <c r="BN451" s="1">
        <v>2.9525091E7</v>
      </c>
      <c r="BO451" s="1" t="s">
        <v>74</v>
      </c>
      <c r="BP451" s="1" t="s">
        <v>74</v>
      </c>
      <c r="BQ451" s="1" t="s">
        <v>74</v>
      </c>
      <c r="BR451" s="1" t="s">
        <v>74</v>
      </c>
      <c r="BS451" s="1" t="s">
        <v>4659</v>
      </c>
      <c r="BT451" s="1" t="str">
        <f>HYPERLINK("https%3A%2F%2Fwww.webofscience.com%2Fwos%2Fwoscc%2Ffull-record%2FWOS:000428824400018","View Full Record in Web of Science")</f>
        <v>View Full Record in Web of Science</v>
      </c>
    </row>
    <row r="452" ht="12.75" customHeight="1">
      <c r="A452" s="1" t="s">
        <v>72</v>
      </c>
      <c r="B452" s="1" t="s">
        <v>4660</v>
      </c>
      <c r="C452" s="1" t="s">
        <v>74</v>
      </c>
      <c r="D452" s="1" t="s">
        <v>74</v>
      </c>
      <c r="E452" s="1" t="s">
        <v>74</v>
      </c>
      <c r="F452" s="1" t="s">
        <v>4661</v>
      </c>
      <c r="G452" s="1" t="s">
        <v>74</v>
      </c>
      <c r="H452" s="1" t="s">
        <v>74</v>
      </c>
      <c r="I452" s="1" t="s">
        <v>4662</v>
      </c>
      <c r="J452" s="1" t="s">
        <v>4663</v>
      </c>
      <c r="K452" s="1" t="s">
        <v>74</v>
      </c>
      <c r="L452" s="1" t="s">
        <v>74</v>
      </c>
      <c r="M452" s="1" t="s">
        <v>74</v>
      </c>
      <c r="N452" s="1" t="s">
        <v>74</v>
      </c>
      <c r="O452" s="1" t="s">
        <v>74</v>
      </c>
      <c r="P452" s="1" t="s">
        <v>74</v>
      </c>
      <c r="Q452" s="1" t="s">
        <v>74</v>
      </c>
      <c r="R452" s="1" t="s">
        <v>74</v>
      </c>
      <c r="S452" s="1" t="s">
        <v>74</v>
      </c>
      <c r="T452" s="1" t="s">
        <v>74</v>
      </c>
      <c r="U452" s="1" t="s">
        <v>74</v>
      </c>
      <c r="V452" s="1" t="s">
        <v>4664</v>
      </c>
      <c r="W452" s="1" t="s">
        <v>74</v>
      </c>
      <c r="X452" s="1" t="s">
        <v>74</v>
      </c>
      <c r="Y452" s="1" t="s">
        <v>74</v>
      </c>
      <c r="Z452" s="1" t="s">
        <v>74</v>
      </c>
      <c r="AA452" s="1" t="s">
        <v>4665</v>
      </c>
      <c r="AB452" s="1" t="s">
        <v>4666</v>
      </c>
      <c r="AC452" s="1" t="s">
        <v>74</v>
      </c>
      <c r="AD452" s="1" t="s">
        <v>74</v>
      </c>
      <c r="AE452" s="1" t="s">
        <v>74</v>
      </c>
      <c r="AF452" s="1" t="s">
        <v>74</v>
      </c>
      <c r="AG452" s="1" t="s">
        <v>74</v>
      </c>
      <c r="AH452" s="1" t="s">
        <v>74</v>
      </c>
      <c r="AI452" s="1" t="s">
        <v>74</v>
      </c>
      <c r="AJ452" s="1" t="s">
        <v>74</v>
      </c>
      <c r="AK452" s="1" t="s">
        <v>74</v>
      </c>
      <c r="AL452" s="1" t="s">
        <v>74</v>
      </c>
      <c r="AM452" s="1" t="s">
        <v>74</v>
      </c>
      <c r="AN452" s="1" t="s">
        <v>74</v>
      </c>
      <c r="AO452" s="1" t="s">
        <v>4667</v>
      </c>
      <c r="AP452" s="1" t="s">
        <v>4668</v>
      </c>
      <c r="AQ452" s="1" t="s">
        <v>74</v>
      </c>
      <c r="AR452" s="1" t="s">
        <v>74</v>
      </c>
      <c r="AS452" s="1" t="s">
        <v>74</v>
      </c>
      <c r="AT452" s="1" t="s">
        <v>155</v>
      </c>
      <c r="AU452" s="1">
        <v>2017.0</v>
      </c>
      <c r="AV452" s="1">
        <v>13.0</v>
      </c>
      <c r="AW452" s="1">
        <v>2.0</v>
      </c>
      <c r="AX452" s="1" t="s">
        <v>74</v>
      </c>
      <c r="AY452" s="1" t="s">
        <v>74</v>
      </c>
      <c r="AZ452" s="1" t="s">
        <v>74</v>
      </c>
      <c r="BA452" s="1" t="s">
        <v>74</v>
      </c>
      <c r="BB452" s="1">
        <v>273.0</v>
      </c>
      <c r="BC452" s="1">
        <v>289.0</v>
      </c>
      <c r="BD452" s="1" t="s">
        <v>74</v>
      </c>
      <c r="BE452" s="1" t="s">
        <v>4669</v>
      </c>
      <c r="BF452" s="2" t="str">
        <f>HYPERLINK("http://dx.doi.org/10.1007/s11554-014-0402-5","http://dx.doi.org/10.1007/s11554-014-0402-5")</f>
        <v>http://dx.doi.org/10.1007/s11554-014-0402-5</v>
      </c>
      <c r="BG452" s="1" t="s">
        <v>74</v>
      </c>
      <c r="BH452" s="1" t="s">
        <v>74</v>
      </c>
      <c r="BI452" s="1" t="s">
        <v>74</v>
      </c>
      <c r="BJ452" s="1" t="s">
        <v>74</v>
      </c>
      <c r="BK452" s="1" t="s">
        <v>74</v>
      </c>
      <c r="BL452" s="1" t="s">
        <v>74</v>
      </c>
      <c r="BM452" s="1" t="s">
        <v>74</v>
      </c>
      <c r="BN452" s="1" t="s">
        <v>74</v>
      </c>
      <c r="BO452" s="1" t="s">
        <v>74</v>
      </c>
      <c r="BP452" s="1" t="s">
        <v>74</v>
      </c>
      <c r="BQ452" s="1" t="s">
        <v>74</v>
      </c>
      <c r="BR452" s="1" t="s">
        <v>74</v>
      </c>
      <c r="BS452" s="1" t="s">
        <v>4670</v>
      </c>
      <c r="BT452" s="1" t="str">
        <f>HYPERLINK("https%3A%2F%2Fwww.webofscience.com%2Fwos%2Fwoscc%2Ffull-record%2FWOS:000406199400004","View Full Record in Web of Science")</f>
        <v>View Full Record in Web of Science</v>
      </c>
    </row>
    <row r="453" ht="12.75" customHeight="1">
      <c r="A453" s="1" t="s">
        <v>72</v>
      </c>
      <c r="B453" s="1" t="s">
        <v>4671</v>
      </c>
      <c r="C453" s="1" t="s">
        <v>74</v>
      </c>
      <c r="D453" s="1" t="s">
        <v>74</v>
      </c>
      <c r="E453" s="1" t="s">
        <v>74</v>
      </c>
      <c r="F453" s="1" t="s">
        <v>4672</v>
      </c>
      <c r="G453" s="1" t="s">
        <v>74</v>
      </c>
      <c r="H453" s="1" t="s">
        <v>74</v>
      </c>
      <c r="I453" s="1" t="s">
        <v>4673</v>
      </c>
      <c r="J453" s="1" t="s">
        <v>4674</v>
      </c>
      <c r="K453" s="1" t="s">
        <v>74</v>
      </c>
      <c r="L453" s="1" t="s">
        <v>74</v>
      </c>
      <c r="M453" s="1" t="s">
        <v>74</v>
      </c>
      <c r="N453" s="1" t="s">
        <v>74</v>
      </c>
      <c r="O453" s="1" t="s">
        <v>74</v>
      </c>
      <c r="P453" s="1" t="s">
        <v>74</v>
      </c>
      <c r="Q453" s="1" t="s">
        <v>74</v>
      </c>
      <c r="R453" s="1" t="s">
        <v>74</v>
      </c>
      <c r="S453" s="1" t="s">
        <v>74</v>
      </c>
      <c r="T453" s="1" t="s">
        <v>74</v>
      </c>
      <c r="U453" s="1" t="s">
        <v>74</v>
      </c>
      <c r="V453" s="1" t="s">
        <v>4675</v>
      </c>
      <c r="W453" s="1" t="s">
        <v>74</v>
      </c>
      <c r="X453" s="1" t="s">
        <v>74</v>
      </c>
      <c r="Y453" s="1" t="s">
        <v>74</v>
      </c>
      <c r="Z453" s="1" t="s">
        <v>74</v>
      </c>
      <c r="AA453" s="1" t="s">
        <v>4676</v>
      </c>
      <c r="AB453" s="1" t="s">
        <v>4677</v>
      </c>
      <c r="AC453" s="1" t="s">
        <v>74</v>
      </c>
      <c r="AD453" s="1" t="s">
        <v>74</v>
      </c>
      <c r="AE453" s="1" t="s">
        <v>74</v>
      </c>
      <c r="AF453" s="1" t="s">
        <v>74</v>
      </c>
      <c r="AG453" s="1" t="s">
        <v>74</v>
      </c>
      <c r="AH453" s="1" t="s">
        <v>74</v>
      </c>
      <c r="AI453" s="1" t="s">
        <v>74</v>
      </c>
      <c r="AJ453" s="1" t="s">
        <v>74</v>
      </c>
      <c r="AK453" s="1" t="s">
        <v>74</v>
      </c>
      <c r="AL453" s="1" t="s">
        <v>74</v>
      </c>
      <c r="AM453" s="1" t="s">
        <v>74</v>
      </c>
      <c r="AN453" s="1" t="s">
        <v>74</v>
      </c>
      <c r="AO453" s="1" t="s">
        <v>4678</v>
      </c>
      <c r="AP453" s="1" t="s">
        <v>4679</v>
      </c>
      <c r="AQ453" s="1" t="s">
        <v>74</v>
      </c>
      <c r="AR453" s="1" t="s">
        <v>74</v>
      </c>
      <c r="AS453" s="1" t="s">
        <v>74</v>
      </c>
      <c r="AT453" s="1" t="s">
        <v>4680</v>
      </c>
      <c r="AU453" s="1">
        <v>2014.0</v>
      </c>
      <c r="AV453" s="1">
        <v>89.0</v>
      </c>
      <c r="AW453" s="1">
        <v>6.0</v>
      </c>
      <c r="AX453" s="1" t="s">
        <v>74</v>
      </c>
      <c r="AY453" s="1" t="s">
        <v>74</v>
      </c>
      <c r="AZ453" s="1" t="s">
        <v>74</v>
      </c>
      <c r="BA453" s="1" t="s">
        <v>74</v>
      </c>
      <c r="BB453" s="1" t="s">
        <v>74</v>
      </c>
      <c r="BC453" s="1" t="s">
        <v>74</v>
      </c>
      <c r="BD453" s="1">
        <v>62202.0</v>
      </c>
      <c r="BE453" s="1" t="s">
        <v>4681</v>
      </c>
      <c r="BF453" s="2" t="str">
        <f>HYPERLINK("http://dx.doi.org/10.1103/PhysRevE.89.062202","http://dx.doi.org/10.1103/PhysRevE.89.062202")</f>
        <v>http://dx.doi.org/10.1103/PhysRevE.89.062202</v>
      </c>
      <c r="BG453" s="1" t="s">
        <v>74</v>
      </c>
      <c r="BH453" s="1" t="s">
        <v>74</v>
      </c>
      <c r="BI453" s="1" t="s">
        <v>74</v>
      </c>
      <c r="BJ453" s="1" t="s">
        <v>74</v>
      </c>
      <c r="BK453" s="1" t="s">
        <v>74</v>
      </c>
      <c r="BL453" s="1" t="s">
        <v>74</v>
      </c>
      <c r="BM453" s="1" t="s">
        <v>74</v>
      </c>
      <c r="BN453" s="1">
        <v>2.5019765E7</v>
      </c>
      <c r="BO453" s="1" t="s">
        <v>74</v>
      </c>
      <c r="BP453" s="1" t="s">
        <v>74</v>
      </c>
      <c r="BQ453" s="1" t="s">
        <v>74</v>
      </c>
      <c r="BR453" s="1" t="s">
        <v>74</v>
      </c>
      <c r="BS453" s="1" t="s">
        <v>4682</v>
      </c>
      <c r="BT453" s="1" t="str">
        <f>HYPERLINK("https%3A%2F%2Fwww.webofscience.com%2Fwos%2Fwoscc%2Ffull-record%2FWOS:000336979500007","View Full Record in Web of Science")</f>
        <v>View Full Record in Web of Science</v>
      </c>
    </row>
    <row r="454" ht="12.75" customHeight="1">
      <c r="A454" s="1" t="s">
        <v>72</v>
      </c>
      <c r="B454" s="1" t="s">
        <v>4683</v>
      </c>
      <c r="C454" s="1" t="s">
        <v>74</v>
      </c>
      <c r="D454" s="1" t="s">
        <v>74</v>
      </c>
      <c r="E454" s="1" t="s">
        <v>74</v>
      </c>
      <c r="F454" s="1" t="s">
        <v>4684</v>
      </c>
      <c r="G454" s="1" t="s">
        <v>74</v>
      </c>
      <c r="H454" s="1" t="s">
        <v>74</v>
      </c>
      <c r="I454" s="1" t="s">
        <v>4685</v>
      </c>
      <c r="J454" s="1" t="s">
        <v>1015</v>
      </c>
      <c r="K454" s="1" t="s">
        <v>74</v>
      </c>
      <c r="L454" s="1" t="s">
        <v>74</v>
      </c>
      <c r="M454" s="1" t="s">
        <v>74</v>
      </c>
      <c r="N454" s="1" t="s">
        <v>74</v>
      </c>
      <c r="O454" s="1" t="s">
        <v>74</v>
      </c>
      <c r="P454" s="1" t="s">
        <v>74</v>
      </c>
      <c r="Q454" s="1" t="s">
        <v>74</v>
      </c>
      <c r="R454" s="1" t="s">
        <v>74</v>
      </c>
      <c r="S454" s="1" t="s">
        <v>74</v>
      </c>
      <c r="T454" s="1" t="s">
        <v>74</v>
      </c>
      <c r="U454" s="1" t="s">
        <v>74</v>
      </c>
      <c r="V454" s="1" t="s">
        <v>4686</v>
      </c>
      <c r="W454" s="1" t="s">
        <v>74</v>
      </c>
      <c r="X454" s="1" t="s">
        <v>74</v>
      </c>
      <c r="Y454" s="1" t="s">
        <v>74</v>
      </c>
      <c r="Z454" s="1" t="s">
        <v>74</v>
      </c>
      <c r="AA454" s="1" t="s">
        <v>4687</v>
      </c>
      <c r="AB454" s="1" t="s">
        <v>4688</v>
      </c>
      <c r="AC454" s="1" t="s">
        <v>74</v>
      </c>
      <c r="AD454" s="1" t="s">
        <v>74</v>
      </c>
      <c r="AE454" s="1" t="s">
        <v>74</v>
      </c>
      <c r="AF454" s="1" t="s">
        <v>74</v>
      </c>
      <c r="AG454" s="1" t="s">
        <v>74</v>
      </c>
      <c r="AH454" s="1" t="s">
        <v>74</v>
      </c>
      <c r="AI454" s="1" t="s">
        <v>74</v>
      </c>
      <c r="AJ454" s="1" t="s">
        <v>74</v>
      </c>
      <c r="AK454" s="1" t="s">
        <v>74</v>
      </c>
      <c r="AL454" s="1" t="s">
        <v>74</v>
      </c>
      <c r="AM454" s="1" t="s">
        <v>74</v>
      </c>
      <c r="AN454" s="1" t="s">
        <v>74</v>
      </c>
      <c r="AO454" s="1" t="s">
        <v>1019</v>
      </c>
      <c r="AP454" s="1" t="s">
        <v>1020</v>
      </c>
      <c r="AQ454" s="1" t="s">
        <v>74</v>
      </c>
      <c r="AR454" s="1" t="s">
        <v>74</v>
      </c>
      <c r="AS454" s="1" t="s">
        <v>74</v>
      </c>
      <c r="AT454" s="1" t="s">
        <v>3508</v>
      </c>
      <c r="AU454" s="1">
        <v>2014.0</v>
      </c>
      <c r="AV454" s="1">
        <v>147.0</v>
      </c>
      <c r="AW454" s="1" t="s">
        <v>74</v>
      </c>
      <c r="AX454" s="1" t="s">
        <v>74</v>
      </c>
      <c r="AY454" s="1" t="s">
        <v>74</v>
      </c>
      <c r="AZ454" s="1" t="s">
        <v>74</v>
      </c>
      <c r="BA454" s="1" t="s">
        <v>74</v>
      </c>
      <c r="BB454" s="1">
        <v>170.0</v>
      </c>
      <c r="BC454" s="1">
        <v>176.0</v>
      </c>
      <c r="BD454" s="1" t="s">
        <v>74</v>
      </c>
      <c r="BE454" s="1" t="s">
        <v>4689</v>
      </c>
      <c r="BF454" s="2" t="str">
        <f>HYPERLINK("http://dx.doi.org/10.1016/j.foodchem.2013.09.121","http://dx.doi.org/10.1016/j.foodchem.2013.09.121")</f>
        <v>http://dx.doi.org/10.1016/j.foodchem.2013.09.121</v>
      </c>
      <c r="BG454" s="1" t="s">
        <v>74</v>
      </c>
      <c r="BH454" s="1" t="s">
        <v>74</v>
      </c>
      <c r="BI454" s="1" t="s">
        <v>74</v>
      </c>
      <c r="BJ454" s="1" t="s">
        <v>74</v>
      </c>
      <c r="BK454" s="1" t="s">
        <v>74</v>
      </c>
      <c r="BL454" s="1" t="s">
        <v>74</v>
      </c>
      <c r="BM454" s="1" t="s">
        <v>74</v>
      </c>
      <c r="BN454" s="1">
        <v>2.4206701E7</v>
      </c>
      <c r="BO454" s="1" t="s">
        <v>74</v>
      </c>
      <c r="BP454" s="1" t="s">
        <v>74</v>
      </c>
      <c r="BQ454" s="1" t="s">
        <v>74</v>
      </c>
      <c r="BR454" s="1" t="s">
        <v>74</v>
      </c>
      <c r="BS454" s="1" t="s">
        <v>4690</v>
      </c>
      <c r="BT454" s="1" t="str">
        <f>HYPERLINK("https%3A%2F%2Fwww.webofscience.com%2Fwos%2Fwoscc%2Ffull-record%2FWOS:000328521900024","View Full Record in Web of Science")</f>
        <v>View Full Record in Web of Science</v>
      </c>
    </row>
    <row r="455" ht="12.75" customHeight="1">
      <c r="A455" s="1" t="s">
        <v>72</v>
      </c>
      <c r="B455" s="1" t="s">
        <v>4691</v>
      </c>
      <c r="C455" s="1" t="s">
        <v>74</v>
      </c>
      <c r="D455" s="1" t="s">
        <v>74</v>
      </c>
      <c r="E455" s="1" t="s">
        <v>74</v>
      </c>
      <c r="F455" s="1" t="s">
        <v>4692</v>
      </c>
      <c r="G455" s="1" t="s">
        <v>74</v>
      </c>
      <c r="H455" s="1" t="s">
        <v>74</v>
      </c>
      <c r="I455" s="1" t="s">
        <v>4693</v>
      </c>
      <c r="J455" s="1" t="s">
        <v>4694</v>
      </c>
      <c r="K455" s="1" t="s">
        <v>74</v>
      </c>
      <c r="L455" s="1" t="s">
        <v>74</v>
      </c>
      <c r="M455" s="1" t="s">
        <v>74</v>
      </c>
      <c r="N455" s="1" t="s">
        <v>74</v>
      </c>
      <c r="O455" s="1" t="s">
        <v>74</v>
      </c>
      <c r="P455" s="1" t="s">
        <v>74</v>
      </c>
      <c r="Q455" s="1" t="s">
        <v>74</v>
      </c>
      <c r="R455" s="1" t="s">
        <v>74</v>
      </c>
      <c r="S455" s="1" t="s">
        <v>74</v>
      </c>
      <c r="T455" s="1" t="s">
        <v>74</v>
      </c>
      <c r="U455" s="1" t="s">
        <v>74</v>
      </c>
      <c r="V455" s="1" t="s">
        <v>4695</v>
      </c>
      <c r="W455" s="1" t="s">
        <v>74</v>
      </c>
      <c r="X455" s="1" t="s">
        <v>74</v>
      </c>
      <c r="Y455" s="1" t="s">
        <v>74</v>
      </c>
      <c r="Z455" s="1" t="s">
        <v>74</v>
      </c>
      <c r="AA455" s="1" t="s">
        <v>4696</v>
      </c>
      <c r="AB455" s="1" t="s">
        <v>4697</v>
      </c>
      <c r="AC455" s="1" t="s">
        <v>74</v>
      </c>
      <c r="AD455" s="1" t="s">
        <v>74</v>
      </c>
      <c r="AE455" s="1" t="s">
        <v>74</v>
      </c>
      <c r="AF455" s="1" t="s">
        <v>74</v>
      </c>
      <c r="AG455" s="1" t="s">
        <v>74</v>
      </c>
      <c r="AH455" s="1" t="s">
        <v>74</v>
      </c>
      <c r="AI455" s="1" t="s">
        <v>74</v>
      </c>
      <c r="AJ455" s="1" t="s">
        <v>74</v>
      </c>
      <c r="AK455" s="1" t="s">
        <v>74</v>
      </c>
      <c r="AL455" s="1" t="s">
        <v>74</v>
      </c>
      <c r="AM455" s="1" t="s">
        <v>74</v>
      </c>
      <c r="AN455" s="1" t="s">
        <v>74</v>
      </c>
      <c r="AO455" s="1" t="s">
        <v>4698</v>
      </c>
      <c r="AP455" s="1" t="s">
        <v>4699</v>
      </c>
      <c r="AQ455" s="1" t="s">
        <v>74</v>
      </c>
      <c r="AR455" s="1" t="s">
        <v>74</v>
      </c>
      <c r="AS455" s="1" t="s">
        <v>74</v>
      </c>
      <c r="AT455" s="1" t="s">
        <v>327</v>
      </c>
      <c r="AU455" s="1">
        <v>2011.0</v>
      </c>
      <c r="AV455" s="1">
        <v>296.0</v>
      </c>
      <c r="AW455" s="1">
        <v>8.0</v>
      </c>
      <c r="AX455" s="1" t="s">
        <v>74</v>
      </c>
      <c r="AY455" s="1" t="s">
        <v>74</v>
      </c>
      <c r="AZ455" s="1" t="s">
        <v>74</v>
      </c>
      <c r="BA455" s="1" t="s">
        <v>74</v>
      </c>
      <c r="BB455" s="1">
        <v>744.0</v>
      </c>
      <c r="BC455" s="1">
        <v>751.0</v>
      </c>
      <c r="BD455" s="1" t="s">
        <v>74</v>
      </c>
      <c r="BE455" s="1" t="s">
        <v>4700</v>
      </c>
      <c r="BF455" s="2" t="str">
        <f>HYPERLINK("http://dx.doi.org/10.1002/mame.201000405","http://dx.doi.org/10.1002/mame.201000405")</f>
        <v>http://dx.doi.org/10.1002/mame.201000405</v>
      </c>
      <c r="BG455" s="1" t="s">
        <v>74</v>
      </c>
      <c r="BH455" s="1" t="s">
        <v>74</v>
      </c>
      <c r="BI455" s="1" t="s">
        <v>74</v>
      </c>
      <c r="BJ455" s="1" t="s">
        <v>74</v>
      </c>
      <c r="BK455" s="1" t="s">
        <v>74</v>
      </c>
      <c r="BL455" s="1" t="s">
        <v>74</v>
      </c>
      <c r="BM455" s="1" t="s">
        <v>74</v>
      </c>
      <c r="BN455" s="1" t="s">
        <v>74</v>
      </c>
      <c r="BO455" s="1" t="s">
        <v>74</v>
      </c>
      <c r="BP455" s="1" t="s">
        <v>74</v>
      </c>
      <c r="BQ455" s="1" t="s">
        <v>74</v>
      </c>
      <c r="BR455" s="1" t="s">
        <v>74</v>
      </c>
      <c r="BS455" s="1" t="s">
        <v>4701</v>
      </c>
      <c r="BT455" s="1" t="str">
        <f>HYPERLINK("https%3A%2F%2Fwww.webofscience.com%2Fwos%2Fwoscc%2Ffull-record%2FWOS:000294230600007","View Full Record in Web of Science")</f>
        <v>View Full Record in Web of Science</v>
      </c>
    </row>
    <row r="456" ht="12.75" customHeight="1">
      <c r="A456" s="1" t="s">
        <v>72</v>
      </c>
      <c r="B456" s="1" t="s">
        <v>4702</v>
      </c>
      <c r="C456" s="1" t="s">
        <v>74</v>
      </c>
      <c r="D456" s="1" t="s">
        <v>74</v>
      </c>
      <c r="E456" s="1" t="s">
        <v>74</v>
      </c>
      <c r="F456" s="1" t="s">
        <v>4702</v>
      </c>
      <c r="G456" s="1" t="s">
        <v>74</v>
      </c>
      <c r="H456" s="1" t="s">
        <v>74</v>
      </c>
      <c r="I456" s="1" t="s">
        <v>4703</v>
      </c>
      <c r="J456" s="1" t="s">
        <v>4704</v>
      </c>
      <c r="K456" s="1" t="s">
        <v>74</v>
      </c>
      <c r="L456" s="1" t="s">
        <v>74</v>
      </c>
      <c r="M456" s="1" t="s">
        <v>74</v>
      </c>
      <c r="N456" s="1" t="s">
        <v>74</v>
      </c>
      <c r="O456" s="1" t="s">
        <v>74</v>
      </c>
      <c r="P456" s="1" t="s">
        <v>74</v>
      </c>
      <c r="Q456" s="1" t="s">
        <v>74</v>
      </c>
      <c r="R456" s="1" t="s">
        <v>74</v>
      </c>
      <c r="S456" s="1" t="s">
        <v>74</v>
      </c>
      <c r="T456" s="1" t="s">
        <v>74</v>
      </c>
      <c r="U456" s="1" t="s">
        <v>74</v>
      </c>
      <c r="V456" s="1" t="s">
        <v>4705</v>
      </c>
      <c r="W456" s="1" t="s">
        <v>74</v>
      </c>
      <c r="X456" s="1" t="s">
        <v>74</v>
      </c>
      <c r="Y456" s="1" t="s">
        <v>74</v>
      </c>
      <c r="Z456" s="1" t="s">
        <v>74</v>
      </c>
      <c r="AA456" s="1" t="s">
        <v>74</v>
      </c>
      <c r="AB456" s="1" t="s">
        <v>74</v>
      </c>
      <c r="AC456" s="1" t="s">
        <v>74</v>
      </c>
      <c r="AD456" s="1" t="s">
        <v>74</v>
      </c>
      <c r="AE456" s="1" t="s">
        <v>74</v>
      </c>
      <c r="AF456" s="1" t="s">
        <v>74</v>
      </c>
      <c r="AG456" s="1" t="s">
        <v>74</v>
      </c>
      <c r="AH456" s="1" t="s">
        <v>74</v>
      </c>
      <c r="AI456" s="1" t="s">
        <v>74</v>
      </c>
      <c r="AJ456" s="1" t="s">
        <v>74</v>
      </c>
      <c r="AK456" s="1" t="s">
        <v>74</v>
      </c>
      <c r="AL456" s="1" t="s">
        <v>74</v>
      </c>
      <c r="AM456" s="1" t="s">
        <v>74</v>
      </c>
      <c r="AN456" s="1" t="s">
        <v>74</v>
      </c>
      <c r="AO456" s="1" t="s">
        <v>4706</v>
      </c>
      <c r="AP456" s="1" t="s">
        <v>74</v>
      </c>
      <c r="AQ456" s="1" t="s">
        <v>74</v>
      </c>
      <c r="AR456" s="1" t="s">
        <v>74</v>
      </c>
      <c r="AS456" s="1" t="s">
        <v>74</v>
      </c>
      <c r="AT456" s="1" t="s">
        <v>464</v>
      </c>
      <c r="AU456" s="1">
        <v>2006.0</v>
      </c>
      <c r="AV456" s="1">
        <v>46.0</v>
      </c>
      <c r="AW456" s="1">
        <v>1.0</v>
      </c>
      <c r="AX456" s="1" t="s">
        <v>74</v>
      </c>
      <c r="AY456" s="1" t="s">
        <v>74</v>
      </c>
      <c r="AZ456" s="1" t="s">
        <v>74</v>
      </c>
      <c r="BA456" s="1" t="s">
        <v>74</v>
      </c>
      <c r="BB456" s="1">
        <v>36.0</v>
      </c>
      <c r="BC456" s="1">
        <v>47.0</v>
      </c>
      <c r="BD456" s="1" t="s">
        <v>74</v>
      </c>
      <c r="BE456" s="1" t="s">
        <v>4707</v>
      </c>
      <c r="BF456" s="2" t="str">
        <f>HYPERLINK("http://dx.doi.org/10.1177/0022167805281150","http://dx.doi.org/10.1177/0022167805281150")</f>
        <v>http://dx.doi.org/10.1177/0022167805281150</v>
      </c>
      <c r="BG456" s="1" t="s">
        <v>74</v>
      </c>
      <c r="BH456" s="1" t="s">
        <v>74</v>
      </c>
      <c r="BI456" s="1" t="s">
        <v>74</v>
      </c>
      <c r="BJ456" s="1" t="s">
        <v>74</v>
      </c>
      <c r="BK456" s="1" t="s">
        <v>74</v>
      </c>
      <c r="BL456" s="1" t="s">
        <v>74</v>
      </c>
      <c r="BM456" s="1" t="s">
        <v>74</v>
      </c>
      <c r="BN456" s="1" t="s">
        <v>74</v>
      </c>
      <c r="BO456" s="1" t="s">
        <v>74</v>
      </c>
      <c r="BP456" s="1" t="s">
        <v>74</v>
      </c>
      <c r="BQ456" s="1" t="s">
        <v>74</v>
      </c>
      <c r="BR456" s="1" t="s">
        <v>74</v>
      </c>
      <c r="BS456" s="1" t="s">
        <v>4708</v>
      </c>
      <c r="BT456" s="1" t="str">
        <f>HYPERLINK("https%3A%2F%2Fwww.webofscience.com%2Fwos%2Fwoscc%2Ffull-record%2FWOS:000237290200003","View Full Record in Web of Science")</f>
        <v>View Full Record in Web of Science</v>
      </c>
    </row>
    <row r="457" ht="12.75" customHeight="1">
      <c r="A457" s="1" t="s">
        <v>72</v>
      </c>
      <c r="B457" s="1" t="s">
        <v>4709</v>
      </c>
      <c r="C457" s="1" t="s">
        <v>74</v>
      </c>
      <c r="D457" s="1" t="s">
        <v>74</v>
      </c>
      <c r="E457" s="1" t="s">
        <v>74</v>
      </c>
      <c r="F457" s="1" t="s">
        <v>4709</v>
      </c>
      <c r="G457" s="1" t="s">
        <v>74</v>
      </c>
      <c r="H457" s="1" t="s">
        <v>74</v>
      </c>
      <c r="I457" s="1" t="s">
        <v>4710</v>
      </c>
      <c r="J457" s="1" t="s">
        <v>4711</v>
      </c>
      <c r="K457" s="1" t="s">
        <v>74</v>
      </c>
      <c r="L457" s="1" t="s">
        <v>74</v>
      </c>
      <c r="M457" s="1" t="s">
        <v>74</v>
      </c>
      <c r="N457" s="1" t="s">
        <v>74</v>
      </c>
      <c r="O457" s="1" t="s">
        <v>4712</v>
      </c>
      <c r="P457" s="1" t="s">
        <v>4713</v>
      </c>
      <c r="Q457" s="1" t="s">
        <v>655</v>
      </c>
      <c r="R457" s="1" t="s">
        <v>4714</v>
      </c>
      <c r="S457" s="1" t="s">
        <v>74</v>
      </c>
      <c r="T457" s="1" t="s">
        <v>74</v>
      </c>
      <c r="U457" s="1" t="s">
        <v>74</v>
      </c>
      <c r="V457" s="1" t="s">
        <v>74</v>
      </c>
      <c r="W457" s="1" t="s">
        <v>74</v>
      </c>
      <c r="X457" s="1" t="s">
        <v>74</v>
      </c>
      <c r="Y457" s="1" t="s">
        <v>74</v>
      </c>
      <c r="Z457" s="1" t="s">
        <v>74</v>
      </c>
      <c r="AA457" s="1" t="s">
        <v>4715</v>
      </c>
      <c r="AB457" s="1" t="s">
        <v>74</v>
      </c>
      <c r="AC457" s="1" t="s">
        <v>74</v>
      </c>
      <c r="AD457" s="1" t="s">
        <v>74</v>
      </c>
      <c r="AE457" s="1" t="s">
        <v>74</v>
      </c>
      <c r="AF457" s="1" t="s">
        <v>74</v>
      </c>
      <c r="AG457" s="1" t="s">
        <v>74</v>
      </c>
      <c r="AH457" s="1" t="s">
        <v>74</v>
      </c>
      <c r="AI457" s="1" t="s">
        <v>74</v>
      </c>
      <c r="AJ457" s="1" t="s">
        <v>74</v>
      </c>
      <c r="AK457" s="1" t="s">
        <v>74</v>
      </c>
      <c r="AL457" s="1" t="s">
        <v>74</v>
      </c>
      <c r="AM457" s="1" t="s">
        <v>74</v>
      </c>
      <c r="AN457" s="1" t="s">
        <v>74</v>
      </c>
      <c r="AO457" s="1" t="s">
        <v>4716</v>
      </c>
      <c r="AP457" s="1" t="s">
        <v>74</v>
      </c>
      <c r="AQ457" s="1" t="s">
        <v>74</v>
      </c>
      <c r="AR457" s="1" t="s">
        <v>74</v>
      </c>
      <c r="AS457" s="1" t="s">
        <v>74</v>
      </c>
      <c r="AT457" s="1" t="s">
        <v>464</v>
      </c>
      <c r="AU457" s="1">
        <v>2006.0</v>
      </c>
      <c r="AV457" s="1">
        <v>27.0</v>
      </c>
      <c r="AW457" s="1">
        <v>1.0</v>
      </c>
      <c r="AX457" s="1" t="s">
        <v>74</v>
      </c>
      <c r="AY457" s="1" t="s">
        <v>74</v>
      </c>
      <c r="AZ457" s="1" t="s">
        <v>74</v>
      </c>
      <c r="BA457" s="1" t="s">
        <v>74</v>
      </c>
      <c r="BB457" s="1" t="s">
        <v>4717</v>
      </c>
      <c r="BC457" s="1" t="s">
        <v>4717</v>
      </c>
      <c r="BD457" s="1" t="s">
        <v>74</v>
      </c>
      <c r="BE457" s="1" t="s">
        <v>74</v>
      </c>
      <c r="BF457" s="1" t="s">
        <v>74</v>
      </c>
      <c r="BG457" s="1" t="s">
        <v>74</v>
      </c>
      <c r="BH457" s="1" t="s">
        <v>74</v>
      </c>
      <c r="BI457" s="1" t="s">
        <v>74</v>
      </c>
      <c r="BJ457" s="1" t="s">
        <v>74</v>
      </c>
      <c r="BK457" s="1" t="s">
        <v>74</v>
      </c>
      <c r="BL457" s="1" t="s">
        <v>74</v>
      </c>
      <c r="BM457" s="1" t="s">
        <v>74</v>
      </c>
      <c r="BN457" s="1" t="s">
        <v>74</v>
      </c>
      <c r="BO457" s="1" t="s">
        <v>74</v>
      </c>
      <c r="BP457" s="1" t="s">
        <v>74</v>
      </c>
      <c r="BQ457" s="1" t="s">
        <v>74</v>
      </c>
      <c r="BR457" s="1" t="s">
        <v>74</v>
      </c>
      <c r="BS457" s="1" t="s">
        <v>4718</v>
      </c>
      <c r="BT457" s="1" t="str">
        <f>HYPERLINK("https%3A%2F%2Fwww.webofscience.com%2Fwos%2Fwoscc%2Ffull-record%2FWOS:000233996200040","View Full Record in Web of Science")</f>
        <v>View Full Record in Web of Science</v>
      </c>
    </row>
    <row r="458" ht="12.75" customHeight="1">
      <c r="A458" s="1" t="s">
        <v>72</v>
      </c>
      <c r="B458" s="1" t="s">
        <v>3163</v>
      </c>
      <c r="C458" s="1" t="s">
        <v>74</v>
      </c>
      <c r="D458" s="1" t="s">
        <v>74</v>
      </c>
      <c r="E458" s="1" t="s">
        <v>74</v>
      </c>
      <c r="F458" s="1" t="s">
        <v>3163</v>
      </c>
      <c r="G458" s="1" t="s">
        <v>74</v>
      </c>
      <c r="H458" s="1" t="s">
        <v>74</v>
      </c>
      <c r="I458" s="1" t="s">
        <v>4719</v>
      </c>
      <c r="J458" s="1" t="s">
        <v>4105</v>
      </c>
      <c r="K458" s="1" t="s">
        <v>74</v>
      </c>
      <c r="L458" s="1" t="s">
        <v>74</v>
      </c>
      <c r="M458" s="1" t="s">
        <v>74</v>
      </c>
      <c r="N458" s="1" t="s">
        <v>74</v>
      </c>
      <c r="O458" s="1" t="s">
        <v>74</v>
      </c>
      <c r="P458" s="1" t="s">
        <v>74</v>
      </c>
      <c r="Q458" s="1" t="s">
        <v>74</v>
      </c>
      <c r="R458" s="1" t="s">
        <v>74</v>
      </c>
      <c r="S458" s="1" t="s">
        <v>74</v>
      </c>
      <c r="T458" s="1" t="s">
        <v>74</v>
      </c>
      <c r="U458" s="1" t="s">
        <v>74</v>
      </c>
      <c r="V458" s="1" t="s">
        <v>4720</v>
      </c>
      <c r="W458" s="1" t="s">
        <v>74</v>
      </c>
      <c r="X458" s="1" t="s">
        <v>74</v>
      </c>
      <c r="Y458" s="1" t="s">
        <v>74</v>
      </c>
      <c r="Z458" s="1" t="s">
        <v>74</v>
      </c>
      <c r="AA458" s="1" t="s">
        <v>74</v>
      </c>
      <c r="AB458" s="1" t="s">
        <v>74</v>
      </c>
      <c r="AC458" s="1" t="s">
        <v>74</v>
      </c>
      <c r="AD458" s="1" t="s">
        <v>74</v>
      </c>
      <c r="AE458" s="1" t="s">
        <v>74</v>
      </c>
      <c r="AF458" s="1" t="s">
        <v>74</v>
      </c>
      <c r="AG458" s="1" t="s">
        <v>74</v>
      </c>
      <c r="AH458" s="1" t="s">
        <v>74</v>
      </c>
      <c r="AI458" s="1" t="s">
        <v>74</v>
      </c>
      <c r="AJ458" s="1" t="s">
        <v>74</v>
      </c>
      <c r="AK458" s="1" t="s">
        <v>74</v>
      </c>
      <c r="AL458" s="1" t="s">
        <v>74</v>
      </c>
      <c r="AM458" s="1" t="s">
        <v>74</v>
      </c>
      <c r="AN458" s="1" t="s">
        <v>74</v>
      </c>
      <c r="AO458" s="1" t="s">
        <v>4109</v>
      </c>
      <c r="AP458" s="1" t="s">
        <v>74</v>
      </c>
      <c r="AQ458" s="1" t="s">
        <v>74</v>
      </c>
      <c r="AR458" s="1" t="s">
        <v>74</v>
      </c>
      <c r="AS458" s="1" t="s">
        <v>74</v>
      </c>
      <c r="AT458" s="1" t="s">
        <v>4721</v>
      </c>
      <c r="AU458" s="1">
        <v>2000.0</v>
      </c>
      <c r="AV458" s="1">
        <v>484.0</v>
      </c>
      <c r="AW458" s="1" t="s">
        <v>238</v>
      </c>
      <c r="AX458" s="1" t="s">
        <v>74</v>
      </c>
      <c r="AY458" s="1" t="s">
        <v>74</v>
      </c>
      <c r="AZ458" s="1" t="s">
        <v>74</v>
      </c>
      <c r="BA458" s="1" t="s">
        <v>74</v>
      </c>
      <c r="BB458" s="1">
        <v>154.0</v>
      </c>
      <c r="BC458" s="1">
        <v>159.0</v>
      </c>
      <c r="BD458" s="1" t="s">
        <v>74</v>
      </c>
      <c r="BE458" s="1" t="s">
        <v>4722</v>
      </c>
      <c r="BF458" s="2" t="str">
        <f>HYPERLINK("http://dx.doi.org/10.1016/S0370-2693(00)00609-2","http://dx.doi.org/10.1016/S0370-2693(00)00609-2")</f>
        <v>http://dx.doi.org/10.1016/S0370-2693(00)00609-2</v>
      </c>
      <c r="BG458" s="1" t="s">
        <v>74</v>
      </c>
      <c r="BH458" s="1" t="s">
        <v>74</v>
      </c>
      <c r="BI458" s="1" t="s">
        <v>74</v>
      </c>
      <c r="BJ458" s="1" t="s">
        <v>74</v>
      </c>
      <c r="BK458" s="1" t="s">
        <v>74</v>
      </c>
      <c r="BL458" s="1" t="s">
        <v>74</v>
      </c>
      <c r="BM458" s="1" t="s">
        <v>74</v>
      </c>
      <c r="BN458" s="1" t="s">
        <v>74</v>
      </c>
      <c r="BO458" s="1" t="s">
        <v>74</v>
      </c>
      <c r="BP458" s="1" t="s">
        <v>74</v>
      </c>
      <c r="BQ458" s="1" t="s">
        <v>74</v>
      </c>
      <c r="BR458" s="1" t="s">
        <v>74</v>
      </c>
      <c r="BS458" s="1" t="s">
        <v>4723</v>
      </c>
      <c r="BT458" s="1" t="str">
        <f>HYPERLINK("https%3A%2F%2Fwww.webofscience.com%2Fwos%2Fwoscc%2Ffull-record%2FWOS:000087960300022","View Full Record in Web of Science")</f>
        <v>View Full Record in Web of Science</v>
      </c>
    </row>
    <row r="459" ht="12.75" customHeight="1">
      <c r="A459" s="1" t="s">
        <v>72</v>
      </c>
      <c r="B459" s="1" t="s">
        <v>4724</v>
      </c>
      <c r="C459" s="1" t="s">
        <v>74</v>
      </c>
      <c r="D459" s="1" t="s">
        <v>74</v>
      </c>
      <c r="E459" s="1" t="s">
        <v>74</v>
      </c>
      <c r="F459" s="1" t="s">
        <v>4724</v>
      </c>
      <c r="G459" s="1" t="s">
        <v>74</v>
      </c>
      <c r="H459" s="1" t="s">
        <v>74</v>
      </c>
      <c r="I459" s="1" t="s">
        <v>4725</v>
      </c>
      <c r="J459" s="1" t="s">
        <v>4726</v>
      </c>
      <c r="K459" s="1" t="s">
        <v>74</v>
      </c>
      <c r="L459" s="1" t="s">
        <v>74</v>
      </c>
      <c r="M459" s="1" t="s">
        <v>74</v>
      </c>
      <c r="N459" s="1" t="s">
        <v>74</v>
      </c>
      <c r="O459" s="1" t="s">
        <v>74</v>
      </c>
      <c r="P459" s="1" t="s">
        <v>74</v>
      </c>
      <c r="Q459" s="1" t="s">
        <v>74</v>
      </c>
      <c r="R459" s="1" t="s">
        <v>74</v>
      </c>
      <c r="S459" s="1" t="s">
        <v>74</v>
      </c>
      <c r="T459" s="1" t="s">
        <v>74</v>
      </c>
      <c r="U459" s="1" t="s">
        <v>74</v>
      </c>
      <c r="V459" s="1" t="s">
        <v>4727</v>
      </c>
      <c r="W459" s="1" t="s">
        <v>74</v>
      </c>
      <c r="X459" s="1" t="s">
        <v>74</v>
      </c>
      <c r="Y459" s="1" t="s">
        <v>74</v>
      </c>
      <c r="Z459" s="1" t="s">
        <v>74</v>
      </c>
      <c r="AA459" s="1" t="s">
        <v>4728</v>
      </c>
      <c r="AB459" s="1" t="s">
        <v>4729</v>
      </c>
      <c r="AC459" s="1" t="s">
        <v>74</v>
      </c>
      <c r="AD459" s="1" t="s">
        <v>74</v>
      </c>
      <c r="AE459" s="1" t="s">
        <v>74</v>
      </c>
      <c r="AF459" s="1" t="s">
        <v>74</v>
      </c>
      <c r="AG459" s="1" t="s">
        <v>74</v>
      </c>
      <c r="AH459" s="1" t="s">
        <v>74</v>
      </c>
      <c r="AI459" s="1" t="s">
        <v>74</v>
      </c>
      <c r="AJ459" s="1" t="s">
        <v>74</v>
      </c>
      <c r="AK459" s="1" t="s">
        <v>74</v>
      </c>
      <c r="AL459" s="1" t="s">
        <v>74</v>
      </c>
      <c r="AM459" s="1" t="s">
        <v>74</v>
      </c>
      <c r="AN459" s="1" t="s">
        <v>74</v>
      </c>
      <c r="AO459" s="1" t="s">
        <v>4730</v>
      </c>
      <c r="AP459" s="1" t="s">
        <v>74</v>
      </c>
      <c r="AQ459" s="1" t="s">
        <v>74</v>
      </c>
      <c r="AR459" s="1" t="s">
        <v>74</v>
      </c>
      <c r="AS459" s="1" t="s">
        <v>74</v>
      </c>
      <c r="AT459" s="1" t="s">
        <v>398</v>
      </c>
      <c r="AU459" s="1">
        <v>1996.0</v>
      </c>
      <c r="AV459" s="1">
        <v>16.0</v>
      </c>
      <c r="AW459" s="1">
        <v>1.0</v>
      </c>
      <c r="AX459" s="1" t="s">
        <v>74</v>
      </c>
      <c r="AY459" s="1" t="s">
        <v>74</v>
      </c>
      <c r="AZ459" s="1" t="s">
        <v>74</v>
      </c>
      <c r="BA459" s="1" t="s">
        <v>74</v>
      </c>
      <c r="BB459" s="1">
        <v>39.0</v>
      </c>
      <c r="BC459" s="1">
        <v>49.0</v>
      </c>
      <c r="BD459" s="1" t="s">
        <v>74</v>
      </c>
      <c r="BE459" s="1" t="s">
        <v>4731</v>
      </c>
      <c r="BF459" s="2" t="str">
        <f>HYPERLINK("http://dx.doi.org/10.1007/BF02578385","http://dx.doi.org/10.1007/BF02578385")</f>
        <v>http://dx.doi.org/10.1007/BF02578385</v>
      </c>
      <c r="BG459" s="1" t="s">
        <v>74</v>
      </c>
      <c r="BH459" s="1" t="s">
        <v>74</v>
      </c>
      <c r="BI459" s="1" t="s">
        <v>74</v>
      </c>
      <c r="BJ459" s="1" t="s">
        <v>74</v>
      </c>
      <c r="BK459" s="1" t="s">
        <v>74</v>
      </c>
      <c r="BL459" s="1" t="s">
        <v>74</v>
      </c>
      <c r="BM459" s="1" t="s">
        <v>74</v>
      </c>
      <c r="BN459" s="1">
        <v>8714558.0</v>
      </c>
      <c r="BO459" s="1" t="s">
        <v>74</v>
      </c>
      <c r="BP459" s="1" t="s">
        <v>74</v>
      </c>
      <c r="BQ459" s="1" t="s">
        <v>74</v>
      </c>
      <c r="BR459" s="1" t="s">
        <v>74</v>
      </c>
      <c r="BS459" s="1" t="s">
        <v>4732</v>
      </c>
      <c r="BT459" s="1" t="str">
        <f>HYPERLINK("https%3A%2F%2Fwww.webofscience.com%2Fwos%2Fwoscc%2Ffull-record%2FWOS:A1996TV60800004","View Full Record in Web of Science")</f>
        <v>View Full Record in Web of Science</v>
      </c>
    </row>
    <row r="460" ht="12.75" customHeight="1">
      <c r="A460" s="1" t="s">
        <v>72</v>
      </c>
      <c r="B460" s="1" t="s">
        <v>4733</v>
      </c>
      <c r="C460" s="1" t="s">
        <v>74</v>
      </c>
      <c r="D460" s="1" t="s">
        <v>74</v>
      </c>
      <c r="E460" s="1" t="s">
        <v>74</v>
      </c>
      <c r="F460" s="1" t="s">
        <v>4734</v>
      </c>
      <c r="G460" s="1" t="s">
        <v>74</v>
      </c>
      <c r="H460" s="1" t="s">
        <v>74</v>
      </c>
      <c r="I460" s="1" t="s">
        <v>4735</v>
      </c>
      <c r="J460" s="1" t="s">
        <v>1113</v>
      </c>
      <c r="K460" s="1" t="s">
        <v>74</v>
      </c>
      <c r="L460" s="1" t="s">
        <v>74</v>
      </c>
      <c r="M460" s="1" t="s">
        <v>74</v>
      </c>
      <c r="N460" s="1" t="s">
        <v>74</v>
      </c>
      <c r="O460" s="1" t="s">
        <v>74</v>
      </c>
      <c r="P460" s="1" t="s">
        <v>74</v>
      </c>
      <c r="Q460" s="1" t="s">
        <v>74</v>
      </c>
      <c r="R460" s="1" t="s">
        <v>74</v>
      </c>
      <c r="S460" s="1" t="s">
        <v>74</v>
      </c>
      <c r="T460" s="1" t="s">
        <v>74</v>
      </c>
      <c r="U460" s="1" t="s">
        <v>74</v>
      </c>
      <c r="V460" s="1" t="s">
        <v>4736</v>
      </c>
      <c r="W460" s="1" t="s">
        <v>74</v>
      </c>
      <c r="X460" s="1" t="s">
        <v>74</v>
      </c>
      <c r="Y460" s="1" t="s">
        <v>74</v>
      </c>
      <c r="Z460" s="1" t="s">
        <v>74</v>
      </c>
      <c r="AA460" s="1" t="s">
        <v>4737</v>
      </c>
      <c r="AB460" s="1" t="s">
        <v>4738</v>
      </c>
      <c r="AC460" s="1" t="s">
        <v>74</v>
      </c>
      <c r="AD460" s="1" t="s">
        <v>74</v>
      </c>
      <c r="AE460" s="1" t="s">
        <v>74</v>
      </c>
      <c r="AF460" s="1" t="s">
        <v>74</v>
      </c>
      <c r="AG460" s="1" t="s">
        <v>74</v>
      </c>
      <c r="AH460" s="1" t="s">
        <v>74</v>
      </c>
      <c r="AI460" s="1" t="s">
        <v>74</v>
      </c>
      <c r="AJ460" s="1" t="s">
        <v>74</v>
      </c>
      <c r="AK460" s="1" t="s">
        <v>74</v>
      </c>
      <c r="AL460" s="1" t="s">
        <v>74</v>
      </c>
      <c r="AM460" s="1" t="s">
        <v>74</v>
      </c>
      <c r="AN460" s="1" t="s">
        <v>74</v>
      </c>
      <c r="AO460" s="1" t="s">
        <v>1117</v>
      </c>
      <c r="AP460" s="1" t="s">
        <v>1118</v>
      </c>
      <c r="AQ460" s="1" t="s">
        <v>74</v>
      </c>
      <c r="AR460" s="1" t="s">
        <v>74</v>
      </c>
      <c r="AS460" s="1" t="s">
        <v>74</v>
      </c>
      <c r="AT460" s="1" t="s">
        <v>4739</v>
      </c>
      <c r="AU460" s="1">
        <v>2025.0</v>
      </c>
      <c r="AV460" s="1" t="s">
        <v>74</v>
      </c>
      <c r="AW460" s="1" t="s">
        <v>74</v>
      </c>
      <c r="AX460" s="1" t="s">
        <v>74</v>
      </c>
      <c r="AY460" s="1" t="s">
        <v>74</v>
      </c>
      <c r="AZ460" s="1" t="s">
        <v>74</v>
      </c>
      <c r="BA460" s="1" t="s">
        <v>74</v>
      </c>
      <c r="BB460" s="1" t="s">
        <v>74</v>
      </c>
      <c r="BC460" s="1" t="s">
        <v>74</v>
      </c>
      <c r="BD460" s="1" t="s">
        <v>74</v>
      </c>
      <c r="BE460" s="1" t="s">
        <v>4740</v>
      </c>
      <c r="BF460" s="2" t="str">
        <f>HYPERLINK("http://dx.doi.org/10.1007/s10898-025-01482-9","http://dx.doi.org/10.1007/s10898-025-01482-9")</f>
        <v>http://dx.doi.org/10.1007/s10898-025-01482-9</v>
      </c>
      <c r="BG460" s="1" t="s">
        <v>74</v>
      </c>
      <c r="BH460" s="1" t="s">
        <v>4286</v>
      </c>
      <c r="BI460" s="1" t="s">
        <v>74</v>
      </c>
      <c r="BJ460" s="1" t="s">
        <v>74</v>
      </c>
      <c r="BK460" s="1" t="s">
        <v>74</v>
      </c>
      <c r="BL460" s="1" t="s">
        <v>74</v>
      </c>
      <c r="BM460" s="1" t="s">
        <v>74</v>
      </c>
      <c r="BN460" s="1" t="s">
        <v>74</v>
      </c>
      <c r="BO460" s="1" t="s">
        <v>74</v>
      </c>
      <c r="BP460" s="1" t="s">
        <v>74</v>
      </c>
      <c r="BQ460" s="1" t="s">
        <v>74</v>
      </c>
      <c r="BR460" s="1" t="s">
        <v>74</v>
      </c>
      <c r="BS460" s="1" t="s">
        <v>4741</v>
      </c>
      <c r="BT460" s="1" t="str">
        <f>HYPERLINK("https%3A%2F%2Fwww.webofscience.com%2Fwos%2Fwoscc%2Ffull-record%2FWOS:001454234900001","View Full Record in Web of Science")</f>
        <v>View Full Record in Web of Science</v>
      </c>
    </row>
    <row r="461" ht="12.75" customHeight="1">
      <c r="A461" s="1" t="s">
        <v>72</v>
      </c>
      <c r="B461" s="1" t="s">
        <v>4742</v>
      </c>
      <c r="C461" s="1" t="s">
        <v>74</v>
      </c>
      <c r="D461" s="1" t="s">
        <v>74</v>
      </c>
      <c r="E461" s="1" t="s">
        <v>74</v>
      </c>
      <c r="F461" s="1" t="s">
        <v>4743</v>
      </c>
      <c r="G461" s="1" t="s">
        <v>74</v>
      </c>
      <c r="H461" s="1" t="s">
        <v>74</v>
      </c>
      <c r="I461" s="1" t="s">
        <v>4744</v>
      </c>
      <c r="J461" s="1" t="s">
        <v>553</v>
      </c>
      <c r="K461" s="1" t="s">
        <v>74</v>
      </c>
      <c r="L461" s="1" t="s">
        <v>74</v>
      </c>
      <c r="M461" s="1" t="s">
        <v>74</v>
      </c>
      <c r="N461" s="1" t="s">
        <v>74</v>
      </c>
      <c r="O461" s="1" t="s">
        <v>74</v>
      </c>
      <c r="P461" s="1" t="s">
        <v>74</v>
      </c>
      <c r="Q461" s="1" t="s">
        <v>74</v>
      </c>
      <c r="R461" s="1" t="s">
        <v>74</v>
      </c>
      <c r="S461" s="1" t="s">
        <v>74</v>
      </c>
      <c r="T461" s="1" t="s">
        <v>74</v>
      </c>
      <c r="U461" s="1" t="s">
        <v>74</v>
      </c>
      <c r="V461" s="1" t="s">
        <v>4745</v>
      </c>
      <c r="W461" s="1" t="s">
        <v>74</v>
      </c>
      <c r="X461" s="1" t="s">
        <v>74</v>
      </c>
      <c r="Y461" s="1" t="s">
        <v>74</v>
      </c>
      <c r="Z461" s="1" t="s">
        <v>74</v>
      </c>
      <c r="AA461" s="1" t="s">
        <v>4746</v>
      </c>
      <c r="AB461" s="1" t="s">
        <v>4747</v>
      </c>
      <c r="AC461" s="1" t="s">
        <v>74</v>
      </c>
      <c r="AD461" s="1" t="s">
        <v>74</v>
      </c>
      <c r="AE461" s="1" t="s">
        <v>74</v>
      </c>
      <c r="AF461" s="1" t="s">
        <v>74</v>
      </c>
      <c r="AG461" s="1" t="s">
        <v>74</v>
      </c>
      <c r="AH461" s="1" t="s">
        <v>74</v>
      </c>
      <c r="AI461" s="1" t="s">
        <v>74</v>
      </c>
      <c r="AJ461" s="1" t="s">
        <v>74</v>
      </c>
      <c r="AK461" s="1" t="s">
        <v>74</v>
      </c>
      <c r="AL461" s="1" t="s">
        <v>74</v>
      </c>
      <c r="AM461" s="1" t="s">
        <v>74</v>
      </c>
      <c r="AN461" s="1" t="s">
        <v>74</v>
      </c>
      <c r="AO461" s="1" t="s">
        <v>557</v>
      </c>
      <c r="AP461" s="1" t="s">
        <v>558</v>
      </c>
      <c r="AQ461" s="1" t="s">
        <v>74</v>
      </c>
      <c r="AR461" s="1" t="s">
        <v>74</v>
      </c>
      <c r="AS461" s="1" t="s">
        <v>74</v>
      </c>
      <c r="AT461" s="1" t="s">
        <v>4748</v>
      </c>
      <c r="AU461" s="1">
        <v>2025.0</v>
      </c>
      <c r="AV461" s="1">
        <v>107.0</v>
      </c>
      <c r="AW461" s="1" t="s">
        <v>74</v>
      </c>
      <c r="AX461" s="1" t="s">
        <v>74</v>
      </c>
      <c r="AY461" s="1" t="s">
        <v>74</v>
      </c>
      <c r="AZ461" s="1" t="s">
        <v>74</v>
      </c>
      <c r="BA461" s="1" t="s">
        <v>74</v>
      </c>
      <c r="BB461" s="1">
        <v>378.0</v>
      </c>
      <c r="BC461" s="1">
        <v>395.0</v>
      </c>
      <c r="BD461" s="1" t="s">
        <v>74</v>
      </c>
      <c r="BE461" s="1" t="s">
        <v>4749</v>
      </c>
      <c r="BF461" s="2" t="str">
        <f>HYPERLINK("http://dx.doi.org/10.1016/j.ijhydene.2024.04.333","http://dx.doi.org/10.1016/j.ijhydene.2024.04.333")</f>
        <v>http://dx.doi.org/10.1016/j.ijhydene.2024.04.333</v>
      </c>
      <c r="BG461" s="1" t="s">
        <v>74</v>
      </c>
      <c r="BH461" s="1" t="s">
        <v>4286</v>
      </c>
      <c r="BI461" s="1" t="s">
        <v>74</v>
      </c>
      <c r="BJ461" s="1" t="s">
        <v>74</v>
      </c>
      <c r="BK461" s="1" t="s">
        <v>74</v>
      </c>
      <c r="BL461" s="1" t="s">
        <v>74</v>
      </c>
      <c r="BM461" s="1" t="s">
        <v>74</v>
      </c>
      <c r="BN461" s="1" t="s">
        <v>74</v>
      </c>
      <c r="BO461" s="1" t="s">
        <v>74</v>
      </c>
      <c r="BP461" s="1" t="s">
        <v>74</v>
      </c>
      <c r="BQ461" s="1" t="s">
        <v>74</v>
      </c>
      <c r="BR461" s="1" t="s">
        <v>74</v>
      </c>
      <c r="BS461" s="1" t="s">
        <v>4750</v>
      </c>
      <c r="BT461" s="1" t="str">
        <f>HYPERLINK("https%3A%2F%2Fwww.webofscience.com%2Fwos%2Fwoscc%2Ffull-record%2FWOS:001449991600001","View Full Record in Web of Science")</f>
        <v>View Full Record in Web of Science</v>
      </c>
    </row>
    <row r="462" ht="12.75" customHeight="1">
      <c r="A462" s="1" t="s">
        <v>72</v>
      </c>
      <c r="B462" s="1" t="s">
        <v>4751</v>
      </c>
      <c r="C462" s="1" t="s">
        <v>74</v>
      </c>
      <c r="D462" s="1" t="s">
        <v>74</v>
      </c>
      <c r="E462" s="1" t="s">
        <v>74</v>
      </c>
      <c r="F462" s="1" t="s">
        <v>4752</v>
      </c>
      <c r="G462" s="1" t="s">
        <v>74</v>
      </c>
      <c r="H462" s="1" t="s">
        <v>74</v>
      </c>
      <c r="I462" s="1" t="s">
        <v>4753</v>
      </c>
      <c r="J462" s="1" t="s">
        <v>4382</v>
      </c>
      <c r="K462" s="1" t="s">
        <v>74</v>
      </c>
      <c r="L462" s="1" t="s">
        <v>74</v>
      </c>
      <c r="M462" s="1" t="s">
        <v>74</v>
      </c>
      <c r="N462" s="1" t="s">
        <v>74</v>
      </c>
      <c r="O462" s="1" t="s">
        <v>74</v>
      </c>
      <c r="P462" s="1" t="s">
        <v>74</v>
      </c>
      <c r="Q462" s="1" t="s">
        <v>74</v>
      </c>
      <c r="R462" s="1" t="s">
        <v>74</v>
      </c>
      <c r="S462" s="1" t="s">
        <v>74</v>
      </c>
      <c r="T462" s="1" t="s">
        <v>74</v>
      </c>
      <c r="U462" s="1" t="s">
        <v>74</v>
      </c>
      <c r="V462" s="1" t="s">
        <v>4754</v>
      </c>
      <c r="W462" s="1" t="s">
        <v>74</v>
      </c>
      <c r="X462" s="1" t="s">
        <v>74</v>
      </c>
      <c r="Y462" s="1" t="s">
        <v>74</v>
      </c>
      <c r="Z462" s="1" t="s">
        <v>74</v>
      </c>
      <c r="AA462" s="1" t="s">
        <v>4755</v>
      </c>
      <c r="AB462" s="1" t="s">
        <v>4756</v>
      </c>
      <c r="AC462" s="1" t="s">
        <v>74</v>
      </c>
      <c r="AD462" s="1" t="s">
        <v>74</v>
      </c>
      <c r="AE462" s="1" t="s">
        <v>74</v>
      </c>
      <c r="AF462" s="1" t="s">
        <v>74</v>
      </c>
      <c r="AG462" s="1" t="s">
        <v>74</v>
      </c>
      <c r="AH462" s="1" t="s">
        <v>74</v>
      </c>
      <c r="AI462" s="1" t="s">
        <v>74</v>
      </c>
      <c r="AJ462" s="1" t="s">
        <v>74</v>
      </c>
      <c r="AK462" s="1" t="s">
        <v>74</v>
      </c>
      <c r="AL462" s="1" t="s">
        <v>74</v>
      </c>
      <c r="AM462" s="1" t="s">
        <v>74</v>
      </c>
      <c r="AN462" s="1" t="s">
        <v>74</v>
      </c>
      <c r="AO462" s="1" t="s">
        <v>4386</v>
      </c>
      <c r="AP462" s="1" t="s">
        <v>4387</v>
      </c>
      <c r="AQ462" s="1" t="s">
        <v>74</v>
      </c>
      <c r="AR462" s="1" t="s">
        <v>74</v>
      </c>
      <c r="AS462" s="1" t="s">
        <v>74</v>
      </c>
      <c r="AT462" s="1" t="s">
        <v>1720</v>
      </c>
      <c r="AU462" s="1">
        <v>2023.0</v>
      </c>
      <c r="AV462" s="1">
        <v>330.0</v>
      </c>
      <c r="AW462" s="1" t="s">
        <v>74</v>
      </c>
      <c r="AX462" s="1" t="s">
        <v>74</v>
      </c>
      <c r="AY462" s="1" t="s">
        <v>74</v>
      </c>
      <c r="AZ462" s="1" t="s">
        <v>74</v>
      </c>
      <c r="BA462" s="1" t="s">
        <v>74</v>
      </c>
      <c r="BB462" s="1" t="s">
        <v>74</v>
      </c>
      <c r="BC462" s="1" t="s">
        <v>74</v>
      </c>
      <c r="BD462" s="1">
        <v>133208.0</v>
      </c>
      <c r="BE462" s="1" t="s">
        <v>4757</v>
      </c>
      <c r="BF462" s="2" t="str">
        <f>HYPERLINK("http://dx.doi.org/10.1016/j.matlet.2022.133208","http://dx.doi.org/10.1016/j.matlet.2022.133208")</f>
        <v>http://dx.doi.org/10.1016/j.matlet.2022.133208</v>
      </c>
      <c r="BG462" s="1" t="s">
        <v>74</v>
      </c>
      <c r="BH462" s="1" t="s">
        <v>645</v>
      </c>
      <c r="BI462" s="1" t="s">
        <v>74</v>
      </c>
      <c r="BJ462" s="1" t="s">
        <v>74</v>
      </c>
      <c r="BK462" s="1" t="s">
        <v>74</v>
      </c>
      <c r="BL462" s="1" t="s">
        <v>74</v>
      </c>
      <c r="BM462" s="1" t="s">
        <v>74</v>
      </c>
      <c r="BN462" s="1" t="s">
        <v>74</v>
      </c>
      <c r="BO462" s="1" t="s">
        <v>74</v>
      </c>
      <c r="BP462" s="1" t="s">
        <v>74</v>
      </c>
      <c r="BQ462" s="1" t="s">
        <v>74</v>
      </c>
      <c r="BR462" s="1" t="s">
        <v>74</v>
      </c>
      <c r="BS462" s="1" t="s">
        <v>4758</v>
      </c>
      <c r="BT462" s="1" t="str">
        <f>HYPERLINK("https%3A%2F%2Fwww.webofscience.com%2Fwos%2Fwoscc%2Ffull-record%2FWOS:000867682800006","View Full Record in Web of Science")</f>
        <v>View Full Record in Web of Science</v>
      </c>
    </row>
    <row r="463" ht="12.75" customHeight="1">
      <c r="A463" s="1" t="s">
        <v>72</v>
      </c>
      <c r="B463" s="1" t="s">
        <v>4759</v>
      </c>
      <c r="C463" s="1" t="s">
        <v>74</v>
      </c>
      <c r="D463" s="1" t="s">
        <v>74</v>
      </c>
      <c r="E463" s="1" t="s">
        <v>74</v>
      </c>
      <c r="F463" s="1" t="s">
        <v>4760</v>
      </c>
      <c r="G463" s="1" t="s">
        <v>74</v>
      </c>
      <c r="H463" s="1" t="s">
        <v>74</v>
      </c>
      <c r="I463" s="1" t="s">
        <v>4761</v>
      </c>
      <c r="J463" s="1" t="s">
        <v>4762</v>
      </c>
      <c r="K463" s="1" t="s">
        <v>74</v>
      </c>
      <c r="L463" s="1" t="s">
        <v>74</v>
      </c>
      <c r="M463" s="1" t="s">
        <v>74</v>
      </c>
      <c r="N463" s="1" t="s">
        <v>74</v>
      </c>
      <c r="O463" s="1" t="s">
        <v>74</v>
      </c>
      <c r="P463" s="1" t="s">
        <v>74</v>
      </c>
      <c r="Q463" s="1" t="s">
        <v>74</v>
      </c>
      <c r="R463" s="1" t="s">
        <v>74</v>
      </c>
      <c r="S463" s="1" t="s">
        <v>74</v>
      </c>
      <c r="T463" s="1" t="s">
        <v>74</v>
      </c>
      <c r="U463" s="1" t="s">
        <v>74</v>
      </c>
      <c r="V463" s="1" t="s">
        <v>4763</v>
      </c>
      <c r="W463" s="1" t="s">
        <v>74</v>
      </c>
      <c r="X463" s="1" t="s">
        <v>74</v>
      </c>
      <c r="Y463" s="1" t="s">
        <v>74</v>
      </c>
      <c r="Z463" s="1" t="s">
        <v>74</v>
      </c>
      <c r="AA463" s="1" t="s">
        <v>4764</v>
      </c>
      <c r="AB463" s="1" t="s">
        <v>4765</v>
      </c>
      <c r="AC463" s="1" t="s">
        <v>74</v>
      </c>
      <c r="AD463" s="1" t="s">
        <v>74</v>
      </c>
      <c r="AE463" s="1" t="s">
        <v>74</v>
      </c>
      <c r="AF463" s="1" t="s">
        <v>74</v>
      </c>
      <c r="AG463" s="1" t="s">
        <v>74</v>
      </c>
      <c r="AH463" s="1" t="s">
        <v>74</v>
      </c>
      <c r="AI463" s="1" t="s">
        <v>74</v>
      </c>
      <c r="AJ463" s="1" t="s">
        <v>74</v>
      </c>
      <c r="AK463" s="1" t="s">
        <v>74</v>
      </c>
      <c r="AL463" s="1" t="s">
        <v>74</v>
      </c>
      <c r="AM463" s="1" t="s">
        <v>74</v>
      </c>
      <c r="AN463" s="1" t="s">
        <v>74</v>
      </c>
      <c r="AO463" s="1" t="s">
        <v>74</v>
      </c>
      <c r="AP463" s="1" t="s">
        <v>4766</v>
      </c>
      <c r="AQ463" s="1" t="s">
        <v>74</v>
      </c>
      <c r="AR463" s="1" t="s">
        <v>74</v>
      </c>
      <c r="AS463" s="1" t="s">
        <v>74</v>
      </c>
      <c r="AT463" s="1" t="s">
        <v>377</v>
      </c>
      <c r="AU463" s="1">
        <v>2022.0</v>
      </c>
      <c r="AV463" s="1">
        <v>14.0</v>
      </c>
      <c r="AW463" s="1">
        <v>5.0</v>
      </c>
      <c r="AX463" s="1" t="s">
        <v>74</v>
      </c>
      <c r="AY463" s="1" t="s">
        <v>74</v>
      </c>
      <c r="AZ463" s="1" t="s">
        <v>74</v>
      </c>
      <c r="BA463" s="1" t="s">
        <v>74</v>
      </c>
      <c r="BB463" s="1" t="s">
        <v>74</v>
      </c>
      <c r="BC463" s="1" t="s">
        <v>74</v>
      </c>
      <c r="BD463" s="1">
        <v>388.0</v>
      </c>
      <c r="BE463" s="1" t="s">
        <v>4767</v>
      </c>
      <c r="BF463" s="2" t="str">
        <f>HYPERLINK("http://dx.doi.org/10.3390/d14050388","http://dx.doi.org/10.3390/d14050388")</f>
        <v>http://dx.doi.org/10.3390/d14050388</v>
      </c>
      <c r="BG463" s="1" t="s">
        <v>74</v>
      </c>
      <c r="BH463" s="1" t="s">
        <v>74</v>
      </c>
      <c r="BI463" s="1" t="s">
        <v>74</v>
      </c>
      <c r="BJ463" s="1" t="s">
        <v>74</v>
      </c>
      <c r="BK463" s="1" t="s">
        <v>74</v>
      </c>
      <c r="BL463" s="1" t="s">
        <v>74</v>
      </c>
      <c r="BM463" s="1" t="s">
        <v>74</v>
      </c>
      <c r="BN463" s="1" t="s">
        <v>74</v>
      </c>
      <c r="BO463" s="1" t="s">
        <v>74</v>
      </c>
      <c r="BP463" s="1" t="s">
        <v>74</v>
      </c>
      <c r="BQ463" s="1" t="s">
        <v>74</v>
      </c>
      <c r="BR463" s="1" t="s">
        <v>74</v>
      </c>
      <c r="BS463" s="1" t="s">
        <v>4768</v>
      </c>
      <c r="BT463" s="1" t="str">
        <f>HYPERLINK("https%3A%2F%2Fwww.webofscience.com%2Fwos%2Fwoscc%2Ffull-record%2FWOS:000801626900001","View Full Record in Web of Science")</f>
        <v>View Full Record in Web of Science</v>
      </c>
    </row>
    <row r="464" ht="12.75" customHeight="1">
      <c r="A464" s="1" t="s">
        <v>72</v>
      </c>
      <c r="B464" s="1" t="s">
        <v>4769</v>
      </c>
      <c r="C464" s="1" t="s">
        <v>74</v>
      </c>
      <c r="D464" s="1" t="s">
        <v>74</v>
      </c>
      <c r="E464" s="1" t="s">
        <v>74</v>
      </c>
      <c r="F464" s="1" t="s">
        <v>4770</v>
      </c>
      <c r="G464" s="1" t="s">
        <v>74</v>
      </c>
      <c r="H464" s="1" t="s">
        <v>74</v>
      </c>
      <c r="I464" s="1" t="s">
        <v>4771</v>
      </c>
      <c r="J464" s="1" t="s">
        <v>4772</v>
      </c>
      <c r="K464" s="1" t="s">
        <v>74</v>
      </c>
      <c r="L464" s="1" t="s">
        <v>74</v>
      </c>
      <c r="M464" s="1" t="s">
        <v>74</v>
      </c>
      <c r="N464" s="1" t="s">
        <v>74</v>
      </c>
      <c r="O464" s="1" t="s">
        <v>74</v>
      </c>
      <c r="P464" s="1" t="s">
        <v>74</v>
      </c>
      <c r="Q464" s="1" t="s">
        <v>74</v>
      </c>
      <c r="R464" s="1" t="s">
        <v>74</v>
      </c>
      <c r="S464" s="1" t="s">
        <v>74</v>
      </c>
      <c r="T464" s="1" t="s">
        <v>74</v>
      </c>
      <c r="U464" s="1" t="s">
        <v>74</v>
      </c>
      <c r="V464" s="1" t="s">
        <v>4773</v>
      </c>
      <c r="W464" s="1" t="s">
        <v>74</v>
      </c>
      <c r="X464" s="1" t="s">
        <v>74</v>
      </c>
      <c r="Y464" s="1" t="s">
        <v>74</v>
      </c>
      <c r="Z464" s="1" t="s">
        <v>74</v>
      </c>
      <c r="AA464" s="1" t="s">
        <v>4774</v>
      </c>
      <c r="AB464" s="1" t="s">
        <v>4775</v>
      </c>
      <c r="AC464" s="1" t="s">
        <v>74</v>
      </c>
      <c r="AD464" s="1" t="s">
        <v>74</v>
      </c>
      <c r="AE464" s="1" t="s">
        <v>74</v>
      </c>
      <c r="AF464" s="1" t="s">
        <v>74</v>
      </c>
      <c r="AG464" s="1" t="s">
        <v>74</v>
      </c>
      <c r="AH464" s="1" t="s">
        <v>74</v>
      </c>
      <c r="AI464" s="1" t="s">
        <v>74</v>
      </c>
      <c r="AJ464" s="1" t="s">
        <v>74</v>
      </c>
      <c r="AK464" s="1" t="s">
        <v>74</v>
      </c>
      <c r="AL464" s="1" t="s">
        <v>74</v>
      </c>
      <c r="AM464" s="1" t="s">
        <v>74</v>
      </c>
      <c r="AN464" s="1" t="s">
        <v>74</v>
      </c>
      <c r="AO464" s="1" t="s">
        <v>4776</v>
      </c>
      <c r="AP464" s="1" t="s">
        <v>4777</v>
      </c>
      <c r="AQ464" s="1" t="s">
        <v>74</v>
      </c>
      <c r="AR464" s="1" t="s">
        <v>74</v>
      </c>
      <c r="AS464" s="1" t="s">
        <v>74</v>
      </c>
      <c r="AT464" s="1" t="s">
        <v>96</v>
      </c>
      <c r="AU464" s="1">
        <v>2022.0</v>
      </c>
      <c r="AV464" s="1">
        <v>122.0</v>
      </c>
      <c r="AW464" s="1" t="s">
        <v>74</v>
      </c>
      <c r="AX464" s="1" t="s">
        <v>74</v>
      </c>
      <c r="AY464" s="1" t="s">
        <v>74</v>
      </c>
      <c r="AZ464" s="1" t="s">
        <v>74</v>
      </c>
      <c r="BA464" s="1" t="s">
        <v>74</v>
      </c>
      <c r="BB464" s="1">
        <v>398.0</v>
      </c>
      <c r="BC464" s="1">
        <v>408.0</v>
      </c>
      <c r="BD464" s="1" t="s">
        <v>74</v>
      </c>
      <c r="BE464" s="1" t="s">
        <v>4778</v>
      </c>
      <c r="BF464" s="2" t="str">
        <f>HYPERLINK("http://dx.doi.org/10.1016/j.isatra.2021.04.028","http://dx.doi.org/10.1016/j.isatra.2021.04.028")</f>
        <v>http://dx.doi.org/10.1016/j.isatra.2021.04.028</v>
      </c>
      <c r="BG464" s="1" t="s">
        <v>74</v>
      </c>
      <c r="BH464" s="1" t="s">
        <v>882</v>
      </c>
      <c r="BI464" s="1" t="s">
        <v>74</v>
      </c>
      <c r="BJ464" s="1" t="s">
        <v>74</v>
      </c>
      <c r="BK464" s="1" t="s">
        <v>74</v>
      </c>
      <c r="BL464" s="1" t="s">
        <v>74</v>
      </c>
      <c r="BM464" s="1" t="s">
        <v>74</v>
      </c>
      <c r="BN464" s="1">
        <v>3.4016438E7</v>
      </c>
      <c r="BO464" s="1" t="s">
        <v>74</v>
      </c>
      <c r="BP464" s="1" t="s">
        <v>74</v>
      </c>
      <c r="BQ464" s="1" t="s">
        <v>74</v>
      </c>
      <c r="BR464" s="1" t="s">
        <v>74</v>
      </c>
      <c r="BS464" s="1" t="s">
        <v>4779</v>
      </c>
      <c r="BT464" s="1" t="str">
        <f>HYPERLINK("https%3A%2F%2Fwww.webofscience.com%2Fwos%2Fwoscc%2Ffull-record%2FWOS:000783324100002","View Full Record in Web of Science")</f>
        <v>View Full Record in Web of Science</v>
      </c>
    </row>
    <row r="465" ht="12.75" customHeight="1">
      <c r="A465" s="1" t="s">
        <v>72</v>
      </c>
      <c r="B465" s="1" t="s">
        <v>4780</v>
      </c>
      <c r="C465" s="1" t="s">
        <v>74</v>
      </c>
      <c r="D465" s="1" t="s">
        <v>74</v>
      </c>
      <c r="E465" s="1" t="s">
        <v>74</v>
      </c>
      <c r="F465" s="1" t="s">
        <v>4781</v>
      </c>
      <c r="G465" s="1" t="s">
        <v>74</v>
      </c>
      <c r="H465" s="1" t="s">
        <v>74</v>
      </c>
      <c r="I465" s="1" t="s">
        <v>4782</v>
      </c>
      <c r="J465" s="1" t="s">
        <v>4783</v>
      </c>
      <c r="K465" s="1" t="s">
        <v>74</v>
      </c>
      <c r="L465" s="1" t="s">
        <v>74</v>
      </c>
      <c r="M465" s="1" t="s">
        <v>74</v>
      </c>
      <c r="N465" s="1" t="s">
        <v>74</v>
      </c>
      <c r="O465" s="1" t="s">
        <v>74</v>
      </c>
      <c r="P465" s="1" t="s">
        <v>74</v>
      </c>
      <c r="Q465" s="1" t="s">
        <v>74</v>
      </c>
      <c r="R465" s="1" t="s">
        <v>74</v>
      </c>
      <c r="S465" s="1" t="s">
        <v>74</v>
      </c>
      <c r="T465" s="1" t="s">
        <v>74</v>
      </c>
      <c r="U465" s="1" t="s">
        <v>74</v>
      </c>
      <c r="V465" s="1" t="s">
        <v>4784</v>
      </c>
      <c r="W465" s="1" t="s">
        <v>74</v>
      </c>
      <c r="X465" s="1" t="s">
        <v>74</v>
      </c>
      <c r="Y465" s="1" t="s">
        <v>74</v>
      </c>
      <c r="Z465" s="1" t="s">
        <v>74</v>
      </c>
      <c r="AA465" s="1" t="s">
        <v>4785</v>
      </c>
      <c r="AB465" s="1" t="s">
        <v>4786</v>
      </c>
      <c r="AC465" s="1" t="s">
        <v>74</v>
      </c>
      <c r="AD465" s="1" t="s">
        <v>74</v>
      </c>
      <c r="AE465" s="1" t="s">
        <v>74</v>
      </c>
      <c r="AF465" s="1" t="s">
        <v>74</v>
      </c>
      <c r="AG465" s="1" t="s">
        <v>74</v>
      </c>
      <c r="AH465" s="1" t="s">
        <v>74</v>
      </c>
      <c r="AI465" s="1" t="s">
        <v>74</v>
      </c>
      <c r="AJ465" s="1" t="s">
        <v>74</v>
      </c>
      <c r="AK465" s="1" t="s">
        <v>74</v>
      </c>
      <c r="AL465" s="1" t="s">
        <v>74</v>
      </c>
      <c r="AM465" s="1" t="s">
        <v>74</v>
      </c>
      <c r="AN465" s="1" t="s">
        <v>74</v>
      </c>
      <c r="AO465" s="1" t="s">
        <v>4787</v>
      </c>
      <c r="AP465" s="1" t="s">
        <v>4788</v>
      </c>
      <c r="AQ465" s="1" t="s">
        <v>74</v>
      </c>
      <c r="AR465" s="1" t="s">
        <v>74</v>
      </c>
      <c r="AS465" s="1" t="s">
        <v>74</v>
      </c>
      <c r="AT465" s="1" t="s">
        <v>259</v>
      </c>
      <c r="AU465" s="1">
        <v>2022.0</v>
      </c>
      <c r="AV465" s="1">
        <v>61.0</v>
      </c>
      <c r="AW465" s="1">
        <v>1.0</v>
      </c>
      <c r="AX465" s="1" t="s">
        <v>74</v>
      </c>
      <c r="AY465" s="1" t="s">
        <v>74</v>
      </c>
      <c r="AZ465" s="1" t="s">
        <v>74</v>
      </c>
      <c r="BA465" s="1" t="s">
        <v>74</v>
      </c>
      <c r="BB465" s="1">
        <v>101.0</v>
      </c>
      <c r="BC465" s="1">
        <v>125.0</v>
      </c>
      <c r="BD465" s="1" t="s">
        <v>74</v>
      </c>
      <c r="BE465" s="1" t="s">
        <v>4789</v>
      </c>
      <c r="BF465" s="2" t="str">
        <f>HYPERLINK("http://dx.doi.org/10.1002/rsa.21052","http://dx.doi.org/10.1002/rsa.21052")</f>
        <v>http://dx.doi.org/10.1002/rsa.21052</v>
      </c>
      <c r="BG465" s="1" t="s">
        <v>74</v>
      </c>
      <c r="BH465" s="1" t="s">
        <v>98</v>
      </c>
      <c r="BI465" s="1" t="s">
        <v>74</v>
      </c>
      <c r="BJ465" s="1" t="s">
        <v>74</v>
      </c>
      <c r="BK465" s="1" t="s">
        <v>74</v>
      </c>
      <c r="BL465" s="1" t="s">
        <v>74</v>
      </c>
      <c r="BM465" s="1" t="s">
        <v>74</v>
      </c>
      <c r="BN465" s="1" t="s">
        <v>74</v>
      </c>
      <c r="BO465" s="1" t="s">
        <v>74</v>
      </c>
      <c r="BP465" s="1" t="s">
        <v>74</v>
      </c>
      <c r="BQ465" s="1" t="s">
        <v>74</v>
      </c>
      <c r="BR465" s="1" t="s">
        <v>74</v>
      </c>
      <c r="BS465" s="1" t="s">
        <v>4790</v>
      </c>
      <c r="BT465" s="1" t="str">
        <f>HYPERLINK("https%3A%2F%2Fwww.webofscience.com%2Fwos%2Fwoscc%2Ffull-record%2FWOS:000707304400001","View Full Record in Web of Science")</f>
        <v>View Full Record in Web of Science</v>
      </c>
    </row>
    <row r="466" ht="12.75" customHeight="1">
      <c r="A466" s="1" t="s">
        <v>72</v>
      </c>
      <c r="B466" s="1" t="s">
        <v>4791</v>
      </c>
      <c r="C466" s="1" t="s">
        <v>74</v>
      </c>
      <c r="D466" s="1" t="s">
        <v>74</v>
      </c>
      <c r="E466" s="1" t="s">
        <v>74</v>
      </c>
      <c r="F466" s="1" t="s">
        <v>4792</v>
      </c>
      <c r="G466" s="1" t="s">
        <v>74</v>
      </c>
      <c r="H466" s="1" t="s">
        <v>74</v>
      </c>
      <c r="I466" s="1" t="s">
        <v>4793</v>
      </c>
      <c r="J466" s="1" t="s">
        <v>553</v>
      </c>
      <c r="K466" s="1" t="s">
        <v>74</v>
      </c>
      <c r="L466" s="1" t="s">
        <v>74</v>
      </c>
      <c r="M466" s="1" t="s">
        <v>74</v>
      </c>
      <c r="N466" s="1" t="s">
        <v>74</v>
      </c>
      <c r="O466" s="1" t="s">
        <v>74</v>
      </c>
      <c r="P466" s="1" t="s">
        <v>74</v>
      </c>
      <c r="Q466" s="1" t="s">
        <v>74</v>
      </c>
      <c r="R466" s="1" t="s">
        <v>74</v>
      </c>
      <c r="S466" s="1" t="s">
        <v>74</v>
      </c>
      <c r="T466" s="1" t="s">
        <v>74</v>
      </c>
      <c r="U466" s="1" t="s">
        <v>74</v>
      </c>
      <c r="V466" s="1" t="s">
        <v>4794</v>
      </c>
      <c r="W466" s="1" t="s">
        <v>74</v>
      </c>
      <c r="X466" s="1" t="s">
        <v>74</v>
      </c>
      <c r="Y466" s="1" t="s">
        <v>74</v>
      </c>
      <c r="Z466" s="1" t="s">
        <v>74</v>
      </c>
      <c r="AA466" s="1" t="s">
        <v>4795</v>
      </c>
      <c r="AB466" s="1" t="s">
        <v>4796</v>
      </c>
      <c r="AC466" s="1" t="s">
        <v>74</v>
      </c>
      <c r="AD466" s="1" t="s">
        <v>74</v>
      </c>
      <c r="AE466" s="1" t="s">
        <v>74</v>
      </c>
      <c r="AF466" s="1" t="s">
        <v>74</v>
      </c>
      <c r="AG466" s="1" t="s">
        <v>74</v>
      </c>
      <c r="AH466" s="1" t="s">
        <v>74</v>
      </c>
      <c r="AI466" s="1" t="s">
        <v>74</v>
      </c>
      <c r="AJ466" s="1" t="s">
        <v>74</v>
      </c>
      <c r="AK466" s="1" t="s">
        <v>74</v>
      </c>
      <c r="AL466" s="1" t="s">
        <v>74</v>
      </c>
      <c r="AM466" s="1" t="s">
        <v>74</v>
      </c>
      <c r="AN466" s="1" t="s">
        <v>74</v>
      </c>
      <c r="AO466" s="1" t="s">
        <v>557</v>
      </c>
      <c r="AP466" s="1" t="s">
        <v>558</v>
      </c>
      <c r="AQ466" s="1" t="s">
        <v>74</v>
      </c>
      <c r="AR466" s="1" t="s">
        <v>74</v>
      </c>
      <c r="AS466" s="1" t="s">
        <v>74</v>
      </c>
      <c r="AT466" s="1" t="s">
        <v>1098</v>
      </c>
      <c r="AU466" s="1">
        <v>2021.0</v>
      </c>
      <c r="AV466" s="1">
        <v>46.0</v>
      </c>
      <c r="AW466" s="1">
        <v>5.0</v>
      </c>
      <c r="AX466" s="1" t="s">
        <v>74</v>
      </c>
      <c r="AY466" s="1" t="s">
        <v>74</v>
      </c>
      <c r="AZ466" s="1" t="s">
        <v>74</v>
      </c>
      <c r="BA466" s="1" t="s">
        <v>74</v>
      </c>
      <c r="BB466" s="1">
        <v>4365.0</v>
      </c>
      <c r="BC466" s="1">
        <v>4377.0</v>
      </c>
      <c r="BD466" s="1" t="s">
        <v>74</v>
      </c>
      <c r="BE466" s="1" t="s">
        <v>4797</v>
      </c>
      <c r="BF466" s="2" t="str">
        <f>HYPERLINK("http://dx.doi.org/10.1016/j.ijhydene.2020.10.231","http://dx.doi.org/10.1016/j.ijhydene.2020.10.231")</f>
        <v>http://dx.doi.org/10.1016/j.ijhydene.2020.10.231</v>
      </c>
      <c r="BG466" s="1" t="s">
        <v>74</v>
      </c>
      <c r="BH466" s="1" t="s">
        <v>4798</v>
      </c>
      <c r="BI466" s="1" t="s">
        <v>74</v>
      </c>
      <c r="BJ466" s="1" t="s">
        <v>74</v>
      </c>
      <c r="BK466" s="1" t="s">
        <v>74</v>
      </c>
      <c r="BL466" s="1" t="s">
        <v>74</v>
      </c>
      <c r="BM466" s="1" t="s">
        <v>74</v>
      </c>
      <c r="BN466" s="1" t="s">
        <v>74</v>
      </c>
      <c r="BO466" s="1" t="s">
        <v>74</v>
      </c>
      <c r="BP466" s="1" t="s">
        <v>74</v>
      </c>
      <c r="BQ466" s="1" t="s">
        <v>74</v>
      </c>
      <c r="BR466" s="1" t="s">
        <v>74</v>
      </c>
      <c r="BS466" s="1" t="s">
        <v>4799</v>
      </c>
      <c r="BT466" s="1" t="str">
        <f>HYPERLINK("https%3A%2F%2Fwww.webofscience.com%2Fwos%2Fwoscc%2Ffull-record%2FWOS:000607465600015","View Full Record in Web of Science")</f>
        <v>View Full Record in Web of Science</v>
      </c>
    </row>
    <row r="467" ht="12.75" customHeight="1">
      <c r="A467" s="1" t="s">
        <v>72</v>
      </c>
      <c r="B467" s="1" t="s">
        <v>4800</v>
      </c>
      <c r="C467" s="1" t="s">
        <v>74</v>
      </c>
      <c r="D467" s="1" t="s">
        <v>74</v>
      </c>
      <c r="E467" s="1" t="s">
        <v>74</v>
      </c>
      <c r="F467" s="1" t="s">
        <v>4801</v>
      </c>
      <c r="G467" s="1" t="s">
        <v>74</v>
      </c>
      <c r="H467" s="1" t="s">
        <v>74</v>
      </c>
      <c r="I467" s="1" t="s">
        <v>4802</v>
      </c>
      <c r="J467" s="1" t="s">
        <v>4803</v>
      </c>
      <c r="K467" s="1" t="s">
        <v>74</v>
      </c>
      <c r="L467" s="1" t="s">
        <v>74</v>
      </c>
      <c r="M467" s="1" t="s">
        <v>74</v>
      </c>
      <c r="N467" s="1" t="s">
        <v>74</v>
      </c>
      <c r="O467" s="1" t="s">
        <v>74</v>
      </c>
      <c r="P467" s="1" t="s">
        <v>74</v>
      </c>
      <c r="Q467" s="1" t="s">
        <v>74</v>
      </c>
      <c r="R467" s="1" t="s">
        <v>74</v>
      </c>
      <c r="S467" s="1" t="s">
        <v>74</v>
      </c>
      <c r="T467" s="1" t="s">
        <v>74</v>
      </c>
      <c r="U467" s="1" t="s">
        <v>74</v>
      </c>
      <c r="V467" s="1" t="s">
        <v>4804</v>
      </c>
      <c r="W467" s="1" t="s">
        <v>74</v>
      </c>
      <c r="X467" s="1" t="s">
        <v>74</v>
      </c>
      <c r="Y467" s="1" t="s">
        <v>74</v>
      </c>
      <c r="Z467" s="1" t="s">
        <v>74</v>
      </c>
      <c r="AA467" s="1" t="s">
        <v>4805</v>
      </c>
      <c r="AB467" s="1" t="s">
        <v>4806</v>
      </c>
      <c r="AC467" s="1" t="s">
        <v>74</v>
      </c>
      <c r="AD467" s="1" t="s">
        <v>74</v>
      </c>
      <c r="AE467" s="1" t="s">
        <v>74</v>
      </c>
      <c r="AF467" s="1" t="s">
        <v>74</v>
      </c>
      <c r="AG467" s="1" t="s">
        <v>74</v>
      </c>
      <c r="AH467" s="1" t="s">
        <v>74</v>
      </c>
      <c r="AI467" s="1" t="s">
        <v>74</v>
      </c>
      <c r="AJ467" s="1" t="s">
        <v>74</v>
      </c>
      <c r="AK467" s="1" t="s">
        <v>74</v>
      </c>
      <c r="AL467" s="1" t="s">
        <v>74</v>
      </c>
      <c r="AM467" s="1" t="s">
        <v>74</v>
      </c>
      <c r="AN467" s="1" t="s">
        <v>74</v>
      </c>
      <c r="AO467" s="1" t="s">
        <v>4807</v>
      </c>
      <c r="AP467" s="1" t="s">
        <v>4808</v>
      </c>
      <c r="AQ467" s="1" t="s">
        <v>74</v>
      </c>
      <c r="AR467" s="1" t="s">
        <v>74</v>
      </c>
      <c r="AS467" s="1" t="s">
        <v>74</v>
      </c>
      <c r="AT467" s="1" t="s">
        <v>316</v>
      </c>
      <c r="AU467" s="1">
        <v>2020.0</v>
      </c>
      <c r="AV467" s="1">
        <v>22.0</v>
      </c>
      <c r="AW467" s="1">
        <v>3.0</v>
      </c>
      <c r="AX467" s="1" t="s">
        <v>74</v>
      </c>
      <c r="AY467" s="1" t="s">
        <v>74</v>
      </c>
      <c r="AZ467" s="1" t="s">
        <v>399</v>
      </c>
      <c r="BA467" s="1" t="s">
        <v>74</v>
      </c>
      <c r="BB467" s="1">
        <v>363.0</v>
      </c>
      <c r="BC467" s="1">
        <v>382.0</v>
      </c>
      <c r="BD467" s="1" t="s">
        <v>74</v>
      </c>
      <c r="BE467" s="1" t="s">
        <v>4809</v>
      </c>
      <c r="BF467" s="2" t="str">
        <f>HYPERLINK("http://dx.doi.org/10.1007/s10698-020-09373-5","http://dx.doi.org/10.1007/s10698-020-09373-5")</f>
        <v>http://dx.doi.org/10.1007/s10698-020-09373-5</v>
      </c>
      <c r="BG467" s="1" t="s">
        <v>74</v>
      </c>
      <c r="BH467" s="1" t="s">
        <v>144</v>
      </c>
      <c r="BI467" s="1" t="s">
        <v>74</v>
      </c>
      <c r="BJ467" s="1" t="s">
        <v>74</v>
      </c>
      <c r="BK467" s="1" t="s">
        <v>74</v>
      </c>
      <c r="BL467" s="1" t="s">
        <v>74</v>
      </c>
      <c r="BM467" s="1" t="s">
        <v>74</v>
      </c>
      <c r="BN467" s="1" t="s">
        <v>74</v>
      </c>
      <c r="BO467" s="1" t="s">
        <v>74</v>
      </c>
      <c r="BP467" s="1" t="s">
        <v>74</v>
      </c>
      <c r="BQ467" s="1" t="s">
        <v>74</v>
      </c>
      <c r="BR467" s="1" t="s">
        <v>74</v>
      </c>
      <c r="BS467" s="1" t="s">
        <v>4810</v>
      </c>
      <c r="BT467" s="1" t="str">
        <f>HYPERLINK("https%3A%2F%2Fwww.webofscience.com%2Fwos%2Fwoscc%2Ffull-record%2FWOS:000541054800001","View Full Record in Web of Science")</f>
        <v>View Full Record in Web of Science</v>
      </c>
    </row>
    <row r="468" ht="12.75" customHeight="1">
      <c r="A468" s="1" t="s">
        <v>72</v>
      </c>
      <c r="B468" s="1" t="s">
        <v>4811</v>
      </c>
      <c r="C468" s="1" t="s">
        <v>74</v>
      </c>
      <c r="D468" s="1" t="s">
        <v>74</v>
      </c>
      <c r="E468" s="1" t="s">
        <v>74</v>
      </c>
      <c r="F468" s="1" t="s">
        <v>4812</v>
      </c>
      <c r="G468" s="1" t="s">
        <v>74</v>
      </c>
      <c r="H468" s="1" t="s">
        <v>74</v>
      </c>
      <c r="I468" s="1" t="s">
        <v>4813</v>
      </c>
      <c r="J468" s="1" t="s">
        <v>470</v>
      </c>
      <c r="K468" s="1" t="s">
        <v>74</v>
      </c>
      <c r="L468" s="1" t="s">
        <v>74</v>
      </c>
      <c r="M468" s="1" t="s">
        <v>74</v>
      </c>
      <c r="N468" s="1" t="s">
        <v>74</v>
      </c>
      <c r="O468" s="1" t="s">
        <v>74</v>
      </c>
      <c r="P468" s="1" t="s">
        <v>74</v>
      </c>
      <c r="Q468" s="1" t="s">
        <v>74</v>
      </c>
      <c r="R468" s="1" t="s">
        <v>74</v>
      </c>
      <c r="S468" s="1" t="s">
        <v>74</v>
      </c>
      <c r="T468" s="1" t="s">
        <v>74</v>
      </c>
      <c r="U468" s="1" t="s">
        <v>74</v>
      </c>
      <c r="V468" s="1" t="s">
        <v>4814</v>
      </c>
      <c r="W468" s="1" t="s">
        <v>74</v>
      </c>
      <c r="X468" s="1" t="s">
        <v>74</v>
      </c>
      <c r="Y468" s="1" t="s">
        <v>74</v>
      </c>
      <c r="Z468" s="1" t="s">
        <v>74</v>
      </c>
      <c r="AA468" s="1" t="s">
        <v>4815</v>
      </c>
      <c r="AB468" s="1" t="s">
        <v>4816</v>
      </c>
      <c r="AC468" s="1" t="s">
        <v>74</v>
      </c>
      <c r="AD468" s="1" t="s">
        <v>74</v>
      </c>
      <c r="AE468" s="1" t="s">
        <v>74</v>
      </c>
      <c r="AF468" s="1" t="s">
        <v>74</v>
      </c>
      <c r="AG468" s="1" t="s">
        <v>74</v>
      </c>
      <c r="AH468" s="1" t="s">
        <v>74</v>
      </c>
      <c r="AI468" s="1" t="s">
        <v>74</v>
      </c>
      <c r="AJ468" s="1" t="s">
        <v>74</v>
      </c>
      <c r="AK468" s="1" t="s">
        <v>74</v>
      </c>
      <c r="AL468" s="1" t="s">
        <v>74</v>
      </c>
      <c r="AM468" s="1" t="s">
        <v>74</v>
      </c>
      <c r="AN468" s="1" t="s">
        <v>74</v>
      </c>
      <c r="AO468" s="1" t="s">
        <v>474</v>
      </c>
      <c r="AP468" s="1" t="s">
        <v>74</v>
      </c>
      <c r="AQ468" s="1" t="s">
        <v>74</v>
      </c>
      <c r="AR468" s="1" t="s">
        <v>74</v>
      </c>
      <c r="AS468" s="1" t="s">
        <v>74</v>
      </c>
      <c r="AT468" s="1" t="s">
        <v>74</v>
      </c>
      <c r="AU468" s="1">
        <v>2020.0</v>
      </c>
      <c r="AV468" s="1">
        <v>8.0</v>
      </c>
      <c r="AW468" s="1" t="s">
        <v>74</v>
      </c>
      <c r="AX468" s="1" t="s">
        <v>74</v>
      </c>
      <c r="AY468" s="1" t="s">
        <v>74</v>
      </c>
      <c r="AZ468" s="1" t="s">
        <v>74</v>
      </c>
      <c r="BA468" s="1" t="s">
        <v>74</v>
      </c>
      <c r="BB468" s="1">
        <v>161929.0</v>
      </c>
      <c r="BC468" s="1">
        <v>161942.0</v>
      </c>
      <c r="BD468" s="1" t="s">
        <v>74</v>
      </c>
      <c r="BE468" s="1" t="s">
        <v>4817</v>
      </c>
      <c r="BF468" s="2" t="str">
        <f>HYPERLINK("http://dx.doi.org/10.1109/ACCESS.2020.3021307","http://dx.doi.org/10.1109/ACCESS.2020.3021307")</f>
        <v>http://dx.doi.org/10.1109/ACCESS.2020.3021307</v>
      </c>
      <c r="BG468" s="1" t="s">
        <v>74</v>
      </c>
      <c r="BH468" s="1" t="s">
        <v>74</v>
      </c>
      <c r="BI468" s="1" t="s">
        <v>74</v>
      </c>
      <c r="BJ468" s="1" t="s">
        <v>74</v>
      </c>
      <c r="BK468" s="1" t="s">
        <v>74</v>
      </c>
      <c r="BL468" s="1" t="s">
        <v>74</v>
      </c>
      <c r="BM468" s="1" t="s">
        <v>74</v>
      </c>
      <c r="BN468" s="1" t="s">
        <v>74</v>
      </c>
      <c r="BO468" s="1" t="s">
        <v>74</v>
      </c>
      <c r="BP468" s="1" t="s">
        <v>74</v>
      </c>
      <c r="BQ468" s="1" t="s">
        <v>74</v>
      </c>
      <c r="BR468" s="1" t="s">
        <v>74</v>
      </c>
      <c r="BS468" s="1" t="s">
        <v>4818</v>
      </c>
      <c r="BT468" s="1" t="str">
        <f>HYPERLINK("https%3A%2F%2Fwww.webofscience.com%2Fwos%2Fwoscc%2Ffull-record%2FWOS:000570098100001","View Full Record in Web of Science")</f>
        <v>View Full Record in Web of Science</v>
      </c>
    </row>
    <row r="469" ht="12.75" customHeight="1">
      <c r="A469" s="1" t="s">
        <v>72</v>
      </c>
      <c r="B469" s="1" t="s">
        <v>4819</v>
      </c>
      <c r="C469" s="1" t="s">
        <v>74</v>
      </c>
      <c r="D469" s="1" t="s">
        <v>74</v>
      </c>
      <c r="E469" s="1" t="s">
        <v>74</v>
      </c>
      <c r="F469" s="1" t="s">
        <v>4820</v>
      </c>
      <c r="G469" s="1" t="s">
        <v>74</v>
      </c>
      <c r="H469" s="1" t="s">
        <v>74</v>
      </c>
      <c r="I469" s="1" t="s">
        <v>4821</v>
      </c>
      <c r="J469" s="1" t="s">
        <v>3024</v>
      </c>
      <c r="K469" s="1" t="s">
        <v>74</v>
      </c>
      <c r="L469" s="1" t="s">
        <v>74</v>
      </c>
      <c r="M469" s="1" t="s">
        <v>74</v>
      </c>
      <c r="N469" s="1" t="s">
        <v>74</v>
      </c>
      <c r="O469" s="1" t="s">
        <v>74</v>
      </c>
      <c r="P469" s="1" t="s">
        <v>74</v>
      </c>
      <c r="Q469" s="1" t="s">
        <v>74</v>
      </c>
      <c r="R469" s="1" t="s">
        <v>74</v>
      </c>
      <c r="S469" s="1" t="s">
        <v>74</v>
      </c>
      <c r="T469" s="1" t="s">
        <v>74</v>
      </c>
      <c r="U469" s="1" t="s">
        <v>74</v>
      </c>
      <c r="V469" s="1" t="s">
        <v>4822</v>
      </c>
      <c r="W469" s="1" t="s">
        <v>74</v>
      </c>
      <c r="X469" s="1" t="s">
        <v>74</v>
      </c>
      <c r="Y469" s="1" t="s">
        <v>74</v>
      </c>
      <c r="Z469" s="1" t="s">
        <v>74</v>
      </c>
      <c r="AA469" s="1" t="s">
        <v>4823</v>
      </c>
      <c r="AB469" s="1" t="s">
        <v>4824</v>
      </c>
      <c r="AC469" s="1" t="s">
        <v>74</v>
      </c>
      <c r="AD469" s="1" t="s">
        <v>74</v>
      </c>
      <c r="AE469" s="1" t="s">
        <v>74</v>
      </c>
      <c r="AF469" s="1" t="s">
        <v>74</v>
      </c>
      <c r="AG469" s="1" t="s">
        <v>74</v>
      </c>
      <c r="AH469" s="1" t="s">
        <v>74</v>
      </c>
      <c r="AI469" s="1" t="s">
        <v>74</v>
      </c>
      <c r="AJ469" s="1" t="s">
        <v>74</v>
      </c>
      <c r="AK469" s="1" t="s">
        <v>74</v>
      </c>
      <c r="AL469" s="1" t="s">
        <v>74</v>
      </c>
      <c r="AM469" s="1" t="s">
        <v>74</v>
      </c>
      <c r="AN469" s="1" t="s">
        <v>74</v>
      </c>
      <c r="AO469" s="1" t="s">
        <v>3028</v>
      </c>
      <c r="AP469" s="1" t="s">
        <v>3029</v>
      </c>
      <c r="AQ469" s="1" t="s">
        <v>74</v>
      </c>
      <c r="AR469" s="1" t="s">
        <v>74</v>
      </c>
      <c r="AS469" s="1" t="s">
        <v>74</v>
      </c>
      <c r="AT469" s="1" t="s">
        <v>559</v>
      </c>
      <c r="AU469" s="1">
        <v>2019.0</v>
      </c>
      <c r="AV469" s="1">
        <v>178.0</v>
      </c>
      <c r="AW469" s="1">
        <v>12.0</v>
      </c>
      <c r="AX469" s="1" t="s">
        <v>74</v>
      </c>
      <c r="AY469" s="1" t="s">
        <v>74</v>
      </c>
      <c r="AZ469" s="1" t="s">
        <v>74</v>
      </c>
      <c r="BA469" s="1" t="s">
        <v>74</v>
      </c>
      <c r="BB469" s="1">
        <v>1813.0</v>
      </c>
      <c r="BC469" s="1">
        <v>1822.0</v>
      </c>
      <c r="BD469" s="1" t="s">
        <v>74</v>
      </c>
      <c r="BE469" s="1" t="s">
        <v>4825</v>
      </c>
      <c r="BF469" s="2" t="str">
        <f>HYPERLINK("http://dx.doi.org/10.1007/s00431-019-03464-y","http://dx.doi.org/10.1007/s00431-019-03464-y")</f>
        <v>http://dx.doi.org/10.1007/s00431-019-03464-y</v>
      </c>
      <c r="BG469" s="1" t="s">
        <v>74</v>
      </c>
      <c r="BH469" s="1" t="s">
        <v>74</v>
      </c>
      <c r="BI469" s="1" t="s">
        <v>74</v>
      </c>
      <c r="BJ469" s="1" t="s">
        <v>74</v>
      </c>
      <c r="BK469" s="1" t="s">
        <v>74</v>
      </c>
      <c r="BL469" s="1" t="s">
        <v>74</v>
      </c>
      <c r="BM469" s="1" t="s">
        <v>74</v>
      </c>
      <c r="BN469" s="1">
        <v>3.1522316E7</v>
      </c>
      <c r="BO469" s="1" t="s">
        <v>74</v>
      </c>
      <c r="BP469" s="1" t="s">
        <v>74</v>
      </c>
      <c r="BQ469" s="1" t="s">
        <v>74</v>
      </c>
      <c r="BR469" s="1" t="s">
        <v>74</v>
      </c>
      <c r="BS469" s="1" t="s">
        <v>4826</v>
      </c>
      <c r="BT469" s="1" t="str">
        <f>HYPERLINK("https%3A%2F%2Fwww.webofscience.com%2Fwos%2Fwoscc%2Ffull-record%2FWOS:000498981500002","View Full Record in Web of Science")</f>
        <v>View Full Record in Web of Science</v>
      </c>
    </row>
    <row r="470" ht="12.75" customHeight="1">
      <c r="A470" s="1" t="s">
        <v>72</v>
      </c>
      <c r="B470" s="1" t="s">
        <v>4827</v>
      </c>
      <c r="C470" s="1" t="s">
        <v>74</v>
      </c>
      <c r="D470" s="1" t="s">
        <v>74</v>
      </c>
      <c r="E470" s="1" t="s">
        <v>74</v>
      </c>
      <c r="F470" s="1" t="s">
        <v>4828</v>
      </c>
      <c r="G470" s="1" t="s">
        <v>74</v>
      </c>
      <c r="H470" s="1" t="s">
        <v>74</v>
      </c>
      <c r="I470" s="1" t="s">
        <v>4829</v>
      </c>
      <c r="J470" s="1" t="s">
        <v>4830</v>
      </c>
      <c r="K470" s="1" t="s">
        <v>74</v>
      </c>
      <c r="L470" s="1" t="s">
        <v>74</v>
      </c>
      <c r="M470" s="1" t="s">
        <v>74</v>
      </c>
      <c r="N470" s="1" t="s">
        <v>74</v>
      </c>
      <c r="O470" s="1" t="s">
        <v>74</v>
      </c>
      <c r="P470" s="1" t="s">
        <v>74</v>
      </c>
      <c r="Q470" s="1" t="s">
        <v>74</v>
      </c>
      <c r="R470" s="1" t="s">
        <v>74</v>
      </c>
      <c r="S470" s="1" t="s">
        <v>74</v>
      </c>
      <c r="T470" s="1" t="s">
        <v>74</v>
      </c>
      <c r="U470" s="1" t="s">
        <v>74</v>
      </c>
      <c r="V470" s="1" t="s">
        <v>4831</v>
      </c>
      <c r="W470" s="1" t="s">
        <v>74</v>
      </c>
      <c r="X470" s="1" t="s">
        <v>74</v>
      </c>
      <c r="Y470" s="1" t="s">
        <v>74</v>
      </c>
      <c r="Z470" s="1" t="s">
        <v>74</v>
      </c>
      <c r="AA470" s="1" t="s">
        <v>4832</v>
      </c>
      <c r="AB470" s="1" t="s">
        <v>4833</v>
      </c>
      <c r="AC470" s="1" t="s">
        <v>74</v>
      </c>
      <c r="AD470" s="1" t="s">
        <v>74</v>
      </c>
      <c r="AE470" s="1" t="s">
        <v>74</v>
      </c>
      <c r="AF470" s="1" t="s">
        <v>74</v>
      </c>
      <c r="AG470" s="1" t="s">
        <v>74</v>
      </c>
      <c r="AH470" s="1" t="s">
        <v>74</v>
      </c>
      <c r="AI470" s="1" t="s">
        <v>74</v>
      </c>
      <c r="AJ470" s="1" t="s">
        <v>74</v>
      </c>
      <c r="AK470" s="1" t="s">
        <v>74</v>
      </c>
      <c r="AL470" s="1" t="s">
        <v>74</v>
      </c>
      <c r="AM470" s="1" t="s">
        <v>74</v>
      </c>
      <c r="AN470" s="1" t="s">
        <v>74</v>
      </c>
      <c r="AO470" s="1" t="s">
        <v>4834</v>
      </c>
      <c r="AP470" s="1" t="s">
        <v>4835</v>
      </c>
      <c r="AQ470" s="1" t="s">
        <v>74</v>
      </c>
      <c r="AR470" s="1" t="s">
        <v>74</v>
      </c>
      <c r="AS470" s="1" t="s">
        <v>74</v>
      </c>
      <c r="AT470" s="1" t="s">
        <v>4836</v>
      </c>
      <c r="AU470" s="1">
        <v>2018.0</v>
      </c>
      <c r="AV470" s="1">
        <v>57.0</v>
      </c>
      <c r="AW470" s="1">
        <v>36.0</v>
      </c>
      <c r="AX470" s="1" t="s">
        <v>74</v>
      </c>
      <c r="AY470" s="1" t="s">
        <v>74</v>
      </c>
      <c r="AZ470" s="1" t="s">
        <v>74</v>
      </c>
      <c r="BA470" s="1" t="s">
        <v>74</v>
      </c>
      <c r="BB470" s="1">
        <v>11613.0</v>
      </c>
      <c r="BC470" s="1">
        <v>11617.0</v>
      </c>
      <c r="BD470" s="1" t="s">
        <v>74</v>
      </c>
      <c r="BE470" s="1" t="s">
        <v>4837</v>
      </c>
      <c r="BF470" s="2" t="str">
        <f>HYPERLINK("http://dx.doi.org/10.1002/anie.201805016","http://dx.doi.org/10.1002/anie.201805016")</f>
        <v>http://dx.doi.org/10.1002/anie.201805016</v>
      </c>
      <c r="BG470" s="1" t="s">
        <v>74</v>
      </c>
      <c r="BH470" s="1" t="s">
        <v>74</v>
      </c>
      <c r="BI470" s="1" t="s">
        <v>74</v>
      </c>
      <c r="BJ470" s="1" t="s">
        <v>74</v>
      </c>
      <c r="BK470" s="1" t="s">
        <v>74</v>
      </c>
      <c r="BL470" s="1" t="s">
        <v>74</v>
      </c>
      <c r="BM470" s="1" t="s">
        <v>74</v>
      </c>
      <c r="BN470" s="1">
        <v>2.9987916E7</v>
      </c>
      <c r="BO470" s="1" t="s">
        <v>74</v>
      </c>
      <c r="BP470" s="1" t="s">
        <v>74</v>
      </c>
      <c r="BQ470" s="1" t="s">
        <v>74</v>
      </c>
      <c r="BR470" s="1" t="s">
        <v>74</v>
      </c>
      <c r="BS470" s="1" t="s">
        <v>4838</v>
      </c>
      <c r="BT470" s="1" t="str">
        <f>HYPERLINK("https%3A%2F%2Fwww.webofscience.com%2Fwos%2Fwoscc%2Ffull-record%2FWOS:000442846300021","View Full Record in Web of Science")</f>
        <v>View Full Record in Web of Science</v>
      </c>
    </row>
    <row r="471" ht="12.75" customHeight="1">
      <c r="A471" s="1" t="s">
        <v>72</v>
      </c>
      <c r="B471" s="1" t="s">
        <v>4839</v>
      </c>
      <c r="C471" s="1" t="s">
        <v>74</v>
      </c>
      <c r="D471" s="1" t="s">
        <v>74</v>
      </c>
      <c r="E471" s="1" t="s">
        <v>74</v>
      </c>
      <c r="F471" s="1" t="s">
        <v>4840</v>
      </c>
      <c r="G471" s="1" t="s">
        <v>74</v>
      </c>
      <c r="H471" s="1" t="s">
        <v>74</v>
      </c>
      <c r="I471" s="1" t="s">
        <v>4841</v>
      </c>
      <c r="J471" s="1" t="s">
        <v>4842</v>
      </c>
      <c r="K471" s="1" t="s">
        <v>74</v>
      </c>
      <c r="L471" s="1" t="s">
        <v>74</v>
      </c>
      <c r="M471" s="1" t="s">
        <v>74</v>
      </c>
      <c r="N471" s="1" t="s">
        <v>74</v>
      </c>
      <c r="O471" s="1" t="s">
        <v>74</v>
      </c>
      <c r="P471" s="1" t="s">
        <v>74</v>
      </c>
      <c r="Q471" s="1" t="s">
        <v>74</v>
      </c>
      <c r="R471" s="1" t="s">
        <v>74</v>
      </c>
      <c r="S471" s="1" t="s">
        <v>74</v>
      </c>
      <c r="T471" s="1" t="s">
        <v>74</v>
      </c>
      <c r="U471" s="1" t="s">
        <v>74</v>
      </c>
      <c r="V471" s="1" t="s">
        <v>4843</v>
      </c>
      <c r="W471" s="1" t="s">
        <v>74</v>
      </c>
      <c r="X471" s="1" t="s">
        <v>74</v>
      </c>
      <c r="Y471" s="1" t="s">
        <v>74</v>
      </c>
      <c r="Z471" s="1" t="s">
        <v>74</v>
      </c>
      <c r="AA471" s="1" t="s">
        <v>4844</v>
      </c>
      <c r="AB471" s="1" t="s">
        <v>4845</v>
      </c>
      <c r="AC471" s="1" t="s">
        <v>74</v>
      </c>
      <c r="AD471" s="1" t="s">
        <v>74</v>
      </c>
      <c r="AE471" s="1" t="s">
        <v>74</v>
      </c>
      <c r="AF471" s="1" t="s">
        <v>74</v>
      </c>
      <c r="AG471" s="1" t="s">
        <v>74</v>
      </c>
      <c r="AH471" s="1" t="s">
        <v>74</v>
      </c>
      <c r="AI471" s="1" t="s">
        <v>74</v>
      </c>
      <c r="AJ471" s="1" t="s">
        <v>74</v>
      </c>
      <c r="AK471" s="1" t="s">
        <v>74</v>
      </c>
      <c r="AL471" s="1" t="s">
        <v>74</v>
      </c>
      <c r="AM471" s="1" t="s">
        <v>74</v>
      </c>
      <c r="AN471" s="1" t="s">
        <v>74</v>
      </c>
      <c r="AO471" s="1" t="s">
        <v>4846</v>
      </c>
      <c r="AP471" s="1" t="s">
        <v>4847</v>
      </c>
      <c r="AQ471" s="1" t="s">
        <v>74</v>
      </c>
      <c r="AR471" s="1" t="s">
        <v>74</v>
      </c>
      <c r="AS471" s="1" t="s">
        <v>74</v>
      </c>
      <c r="AT471" s="1" t="s">
        <v>719</v>
      </c>
      <c r="AU471" s="1">
        <v>2018.0</v>
      </c>
      <c r="AV471" s="1">
        <v>29.0</v>
      </c>
      <c r="AW471" s="1">
        <v>14.0</v>
      </c>
      <c r="AX471" s="1" t="s">
        <v>74</v>
      </c>
      <c r="AY471" s="1" t="s">
        <v>74</v>
      </c>
      <c r="AZ471" s="1" t="s">
        <v>74</v>
      </c>
      <c r="BA471" s="1" t="s">
        <v>74</v>
      </c>
      <c r="BB471" s="1">
        <v>11774.0</v>
      </c>
      <c r="BC471" s="1">
        <v>11782.0</v>
      </c>
      <c r="BD471" s="1" t="s">
        <v>74</v>
      </c>
      <c r="BE471" s="1" t="s">
        <v>4848</v>
      </c>
      <c r="BF471" s="2" t="str">
        <f>HYPERLINK("http://dx.doi.org/10.1007/s10854-018-9276-9","http://dx.doi.org/10.1007/s10854-018-9276-9")</f>
        <v>http://dx.doi.org/10.1007/s10854-018-9276-9</v>
      </c>
      <c r="BG471" s="1" t="s">
        <v>74</v>
      </c>
      <c r="BH471" s="1" t="s">
        <v>74</v>
      </c>
      <c r="BI471" s="1" t="s">
        <v>74</v>
      </c>
      <c r="BJ471" s="1" t="s">
        <v>74</v>
      </c>
      <c r="BK471" s="1" t="s">
        <v>74</v>
      </c>
      <c r="BL471" s="1" t="s">
        <v>74</v>
      </c>
      <c r="BM471" s="1" t="s">
        <v>74</v>
      </c>
      <c r="BN471" s="1" t="s">
        <v>74</v>
      </c>
      <c r="BO471" s="1" t="s">
        <v>74</v>
      </c>
      <c r="BP471" s="1" t="s">
        <v>74</v>
      </c>
      <c r="BQ471" s="1" t="s">
        <v>74</v>
      </c>
      <c r="BR471" s="1" t="s">
        <v>74</v>
      </c>
      <c r="BS471" s="1" t="s">
        <v>4849</v>
      </c>
      <c r="BT471" s="1" t="str">
        <f>HYPERLINK("https%3A%2F%2Fwww.webofscience.com%2Fwos%2Fwoscc%2Ffull-record%2FWOS:000435671800017","View Full Record in Web of Science")</f>
        <v>View Full Record in Web of Science</v>
      </c>
    </row>
    <row r="472" ht="12.75" customHeight="1">
      <c r="A472" s="1" t="s">
        <v>72</v>
      </c>
      <c r="B472" s="1" t="s">
        <v>4850</v>
      </c>
      <c r="C472" s="1" t="s">
        <v>74</v>
      </c>
      <c r="D472" s="1" t="s">
        <v>74</v>
      </c>
      <c r="E472" s="1" t="s">
        <v>74</v>
      </c>
      <c r="F472" s="1" t="s">
        <v>4851</v>
      </c>
      <c r="G472" s="1" t="s">
        <v>74</v>
      </c>
      <c r="H472" s="1" t="s">
        <v>74</v>
      </c>
      <c r="I472" s="1" t="s">
        <v>4852</v>
      </c>
      <c r="J472" s="1" t="s">
        <v>864</v>
      </c>
      <c r="K472" s="1" t="s">
        <v>74</v>
      </c>
      <c r="L472" s="1" t="s">
        <v>74</v>
      </c>
      <c r="M472" s="1" t="s">
        <v>74</v>
      </c>
      <c r="N472" s="1" t="s">
        <v>74</v>
      </c>
      <c r="O472" s="1" t="s">
        <v>74</v>
      </c>
      <c r="P472" s="1" t="s">
        <v>74</v>
      </c>
      <c r="Q472" s="1" t="s">
        <v>74</v>
      </c>
      <c r="R472" s="1" t="s">
        <v>74</v>
      </c>
      <c r="S472" s="1" t="s">
        <v>74</v>
      </c>
      <c r="T472" s="1" t="s">
        <v>74</v>
      </c>
      <c r="U472" s="1" t="s">
        <v>74</v>
      </c>
      <c r="V472" s="1" t="s">
        <v>4853</v>
      </c>
      <c r="W472" s="1" t="s">
        <v>74</v>
      </c>
      <c r="X472" s="1" t="s">
        <v>74</v>
      </c>
      <c r="Y472" s="1" t="s">
        <v>74</v>
      </c>
      <c r="Z472" s="1" t="s">
        <v>74</v>
      </c>
      <c r="AA472" s="1" t="s">
        <v>4854</v>
      </c>
      <c r="AB472" s="1" t="s">
        <v>4855</v>
      </c>
      <c r="AC472" s="1" t="s">
        <v>74</v>
      </c>
      <c r="AD472" s="1" t="s">
        <v>74</v>
      </c>
      <c r="AE472" s="1" t="s">
        <v>74</v>
      </c>
      <c r="AF472" s="1" t="s">
        <v>74</v>
      </c>
      <c r="AG472" s="1" t="s">
        <v>74</v>
      </c>
      <c r="AH472" s="1" t="s">
        <v>74</v>
      </c>
      <c r="AI472" s="1" t="s">
        <v>74</v>
      </c>
      <c r="AJ472" s="1" t="s">
        <v>74</v>
      </c>
      <c r="AK472" s="1" t="s">
        <v>74</v>
      </c>
      <c r="AL472" s="1" t="s">
        <v>74</v>
      </c>
      <c r="AM472" s="1" t="s">
        <v>74</v>
      </c>
      <c r="AN472" s="1" t="s">
        <v>74</v>
      </c>
      <c r="AO472" s="1" t="s">
        <v>74</v>
      </c>
      <c r="AP472" s="1" t="s">
        <v>868</v>
      </c>
      <c r="AQ472" s="1" t="s">
        <v>74</v>
      </c>
      <c r="AR472" s="1" t="s">
        <v>74</v>
      </c>
      <c r="AS472" s="1" t="s">
        <v>74</v>
      </c>
      <c r="AT472" s="1" t="s">
        <v>438</v>
      </c>
      <c r="AU472" s="1">
        <v>2018.0</v>
      </c>
      <c r="AV472" s="1">
        <v>19.0</v>
      </c>
      <c r="AW472" s="1">
        <v>4.0</v>
      </c>
      <c r="AX472" s="1" t="s">
        <v>74</v>
      </c>
      <c r="AY472" s="1" t="s">
        <v>74</v>
      </c>
      <c r="AZ472" s="1" t="s">
        <v>74</v>
      </c>
      <c r="BA472" s="1" t="s">
        <v>74</v>
      </c>
      <c r="BB472" s="1" t="s">
        <v>74</v>
      </c>
      <c r="BC472" s="1" t="s">
        <v>74</v>
      </c>
      <c r="BD472" s="1">
        <v>1161.0</v>
      </c>
      <c r="BE472" s="1" t="s">
        <v>4856</v>
      </c>
      <c r="BF472" s="2" t="str">
        <f>HYPERLINK("http://dx.doi.org/10.3390/ijms19041161","http://dx.doi.org/10.3390/ijms19041161")</f>
        <v>http://dx.doi.org/10.3390/ijms19041161</v>
      </c>
      <c r="BG472" s="1" t="s">
        <v>74</v>
      </c>
      <c r="BH472" s="1" t="s">
        <v>74</v>
      </c>
      <c r="BI472" s="1" t="s">
        <v>74</v>
      </c>
      <c r="BJ472" s="1" t="s">
        <v>74</v>
      </c>
      <c r="BK472" s="1" t="s">
        <v>74</v>
      </c>
      <c r="BL472" s="1" t="s">
        <v>74</v>
      </c>
      <c r="BM472" s="1" t="s">
        <v>74</v>
      </c>
      <c r="BN472" s="1">
        <v>2.9641486E7</v>
      </c>
      <c r="BO472" s="1" t="s">
        <v>74</v>
      </c>
      <c r="BP472" s="1" t="s">
        <v>74</v>
      </c>
      <c r="BQ472" s="1" t="s">
        <v>74</v>
      </c>
      <c r="BR472" s="1" t="s">
        <v>74</v>
      </c>
      <c r="BS472" s="1" t="s">
        <v>4857</v>
      </c>
      <c r="BT472" s="1" t="str">
        <f>HYPERLINK("https%3A%2F%2Fwww.webofscience.com%2Fwos%2Fwoscc%2Ffull-record%2FWOS:000434978700240","View Full Record in Web of Science")</f>
        <v>View Full Record in Web of Science</v>
      </c>
    </row>
    <row r="473" ht="12.75" customHeight="1">
      <c r="A473" s="1" t="s">
        <v>72</v>
      </c>
      <c r="B473" s="1" t="s">
        <v>4858</v>
      </c>
      <c r="C473" s="1" t="s">
        <v>74</v>
      </c>
      <c r="D473" s="1" t="s">
        <v>74</v>
      </c>
      <c r="E473" s="1" t="s">
        <v>74</v>
      </c>
      <c r="F473" s="1" t="s">
        <v>4859</v>
      </c>
      <c r="G473" s="1" t="s">
        <v>74</v>
      </c>
      <c r="H473" s="1" t="s">
        <v>74</v>
      </c>
      <c r="I473" s="1" t="s">
        <v>4860</v>
      </c>
      <c r="J473" s="1" t="s">
        <v>4861</v>
      </c>
      <c r="K473" s="1" t="s">
        <v>74</v>
      </c>
      <c r="L473" s="1" t="s">
        <v>74</v>
      </c>
      <c r="M473" s="1" t="s">
        <v>74</v>
      </c>
      <c r="N473" s="1" t="s">
        <v>74</v>
      </c>
      <c r="O473" s="1" t="s">
        <v>74</v>
      </c>
      <c r="P473" s="1" t="s">
        <v>74</v>
      </c>
      <c r="Q473" s="1" t="s">
        <v>74</v>
      </c>
      <c r="R473" s="1" t="s">
        <v>74</v>
      </c>
      <c r="S473" s="1" t="s">
        <v>74</v>
      </c>
      <c r="T473" s="1" t="s">
        <v>74</v>
      </c>
      <c r="U473" s="1" t="s">
        <v>74</v>
      </c>
      <c r="V473" s="1" t="s">
        <v>4862</v>
      </c>
      <c r="W473" s="1" t="s">
        <v>74</v>
      </c>
      <c r="X473" s="1" t="s">
        <v>74</v>
      </c>
      <c r="Y473" s="1" t="s">
        <v>74</v>
      </c>
      <c r="Z473" s="1" t="s">
        <v>74</v>
      </c>
      <c r="AA473" s="1" t="s">
        <v>4863</v>
      </c>
      <c r="AB473" s="1" t="s">
        <v>4864</v>
      </c>
      <c r="AC473" s="1" t="s">
        <v>74</v>
      </c>
      <c r="AD473" s="1" t="s">
        <v>74</v>
      </c>
      <c r="AE473" s="1" t="s">
        <v>74</v>
      </c>
      <c r="AF473" s="1" t="s">
        <v>74</v>
      </c>
      <c r="AG473" s="1" t="s">
        <v>74</v>
      </c>
      <c r="AH473" s="1" t="s">
        <v>74</v>
      </c>
      <c r="AI473" s="1" t="s">
        <v>74</v>
      </c>
      <c r="AJ473" s="1" t="s">
        <v>74</v>
      </c>
      <c r="AK473" s="1" t="s">
        <v>74</v>
      </c>
      <c r="AL473" s="1" t="s">
        <v>74</v>
      </c>
      <c r="AM473" s="1" t="s">
        <v>74</v>
      </c>
      <c r="AN473" s="1" t="s">
        <v>74</v>
      </c>
      <c r="AO473" s="1" t="s">
        <v>4865</v>
      </c>
      <c r="AP473" s="1" t="s">
        <v>74</v>
      </c>
      <c r="AQ473" s="1" t="s">
        <v>74</v>
      </c>
      <c r="AR473" s="1" t="s">
        <v>74</v>
      </c>
      <c r="AS473" s="1" t="s">
        <v>74</v>
      </c>
      <c r="AT473" s="1" t="s">
        <v>74</v>
      </c>
      <c r="AU473" s="1">
        <v>2017.0</v>
      </c>
      <c r="AV473" s="1">
        <v>45.0</v>
      </c>
      <c r="AW473" s="1">
        <v>2.0</v>
      </c>
      <c r="AX473" s="1" t="s">
        <v>74</v>
      </c>
      <c r="AY473" s="1" t="s">
        <v>74</v>
      </c>
      <c r="AZ473" s="1" t="s">
        <v>74</v>
      </c>
      <c r="BA473" s="1" t="s">
        <v>74</v>
      </c>
      <c r="BB473" s="1">
        <v>219.0</v>
      </c>
      <c r="BC473" s="1">
        <v>244.0</v>
      </c>
      <c r="BD473" s="1" t="s">
        <v>74</v>
      </c>
      <c r="BE473" s="1" t="s">
        <v>4866</v>
      </c>
      <c r="BF473" s="2" t="str">
        <f>HYPERLINK("http://dx.doi.org/10.4067/S0718-22442017000200219","http://dx.doi.org/10.4067/S0718-22442017000200219")</f>
        <v>http://dx.doi.org/10.4067/S0718-22442017000200219</v>
      </c>
      <c r="BG473" s="1" t="s">
        <v>74</v>
      </c>
      <c r="BH473" s="1" t="s">
        <v>74</v>
      </c>
      <c r="BI473" s="1" t="s">
        <v>74</v>
      </c>
      <c r="BJ473" s="1" t="s">
        <v>74</v>
      </c>
      <c r="BK473" s="1" t="s">
        <v>74</v>
      </c>
      <c r="BL473" s="1" t="s">
        <v>74</v>
      </c>
      <c r="BM473" s="1" t="s">
        <v>74</v>
      </c>
      <c r="BN473" s="1" t="s">
        <v>74</v>
      </c>
      <c r="BO473" s="1" t="s">
        <v>74</v>
      </c>
      <c r="BP473" s="1" t="s">
        <v>74</v>
      </c>
      <c r="BQ473" s="1" t="s">
        <v>74</v>
      </c>
      <c r="BR473" s="1" t="s">
        <v>74</v>
      </c>
      <c r="BS473" s="1" t="s">
        <v>4867</v>
      </c>
      <c r="BT473" s="1" t="str">
        <f>HYPERLINK("https%3A%2F%2Fwww.webofscience.com%2Fwos%2Fwoscc%2Ffull-record%2FWOS:000423288900013","View Full Record in Web of Science")</f>
        <v>View Full Record in Web of Science</v>
      </c>
    </row>
    <row r="474" ht="12.75" customHeight="1">
      <c r="A474" s="1" t="s">
        <v>72</v>
      </c>
      <c r="B474" s="1" t="s">
        <v>4868</v>
      </c>
      <c r="C474" s="1" t="s">
        <v>74</v>
      </c>
      <c r="D474" s="1" t="s">
        <v>74</v>
      </c>
      <c r="E474" s="1" t="s">
        <v>74</v>
      </c>
      <c r="F474" s="1" t="s">
        <v>4869</v>
      </c>
      <c r="G474" s="1" t="s">
        <v>74</v>
      </c>
      <c r="H474" s="1" t="s">
        <v>74</v>
      </c>
      <c r="I474" s="1" t="s">
        <v>4870</v>
      </c>
      <c r="J474" s="1" t="s">
        <v>4871</v>
      </c>
      <c r="K474" s="1" t="s">
        <v>74</v>
      </c>
      <c r="L474" s="1" t="s">
        <v>74</v>
      </c>
      <c r="M474" s="1" t="s">
        <v>74</v>
      </c>
      <c r="N474" s="1" t="s">
        <v>74</v>
      </c>
      <c r="O474" s="1" t="s">
        <v>74</v>
      </c>
      <c r="P474" s="1" t="s">
        <v>74</v>
      </c>
      <c r="Q474" s="1" t="s">
        <v>74</v>
      </c>
      <c r="R474" s="1" t="s">
        <v>74</v>
      </c>
      <c r="S474" s="1" t="s">
        <v>74</v>
      </c>
      <c r="T474" s="1" t="s">
        <v>74</v>
      </c>
      <c r="U474" s="1" t="s">
        <v>74</v>
      </c>
      <c r="V474" s="1" t="s">
        <v>4872</v>
      </c>
      <c r="W474" s="1" t="s">
        <v>74</v>
      </c>
      <c r="X474" s="1" t="s">
        <v>74</v>
      </c>
      <c r="Y474" s="1" t="s">
        <v>74</v>
      </c>
      <c r="Z474" s="1" t="s">
        <v>74</v>
      </c>
      <c r="AA474" s="1" t="s">
        <v>4873</v>
      </c>
      <c r="AB474" s="1" t="s">
        <v>4874</v>
      </c>
      <c r="AC474" s="1" t="s">
        <v>74</v>
      </c>
      <c r="AD474" s="1" t="s">
        <v>74</v>
      </c>
      <c r="AE474" s="1" t="s">
        <v>74</v>
      </c>
      <c r="AF474" s="1" t="s">
        <v>74</v>
      </c>
      <c r="AG474" s="1" t="s">
        <v>74</v>
      </c>
      <c r="AH474" s="1" t="s">
        <v>74</v>
      </c>
      <c r="AI474" s="1" t="s">
        <v>74</v>
      </c>
      <c r="AJ474" s="1" t="s">
        <v>74</v>
      </c>
      <c r="AK474" s="1" t="s">
        <v>74</v>
      </c>
      <c r="AL474" s="1" t="s">
        <v>74</v>
      </c>
      <c r="AM474" s="1" t="s">
        <v>74</v>
      </c>
      <c r="AN474" s="1" t="s">
        <v>74</v>
      </c>
      <c r="AO474" s="1" t="s">
        <v>4875</v>
      </c>
      <c r="AP474" s="1" t="s">
        <v>74</v>
      </c>
      <c r="AQ474" s="1" t="s">
        <v>74</v>
      </c>
      <c r="AR474" s="1" t="s">
        <v>74</v>
      </c>
      <c r="AS474" s="1" t="s">
        <v>74</v>
      </c>
      <c r="AT474" s="1" t="s">
        <v>411</v>
      </c>
      <c r="AU474" s="1">
        <v>2015.0</v>
      </c>
      <c r="AV474" s="1">
        <v>101.0</v>
      </c>
      <c r="AW474" s="1" t="s">
        <v>74</v>
      </c>
      <c r="AX474" s="1" t="s">
        <v>74</v>
      </c>
      <c r="AY474" s="1" t="s">
        <v>74</v>
      </c>
      <c r="AZ474" s="1" t="s">
        <v>399</v>
      </c>
      <c r="BA474" s="1" t="s">
        <v>74</v>
      </c>
      <c r="BB474" s="1">
        <v>86.0</v>
      </c>
      <c r="BC474" s="1">
        <v>93.0</v>
      </c>
      <c r="BD474" s="1" t="s">
        <v>74</v>
      </c>
      <c r="BE474" s="1" t="s">
        <v>4876</v>
      </c>
      <c r="BF474" s="2" t="str">
        <f>HYPERLINK("http://dx.doi.org/10.1016/j.phrs.2015.07.016","http://dx.doi.org/10.1016/j.phrs.2015.07.016")</f>
        <v>http://dx.doi.org/10.1016/j.phrs.2015.07.016</v>
      </c>
      <c r="BG474" s="1" t="s">
        <v>74</v>
      </c>
      <c r="BH474" s="1" t="s">
        <v>74</v>
      </c>
      <c r="BI474" s="1" t="s">
        <v>74</v>
      </c>
      <c r="BJ474" s="1" t="s">
        <v>74</v>
      </c>
      <c r="BK474" s="1" t="s">
        <v>74</v>
      </c>
      <c r="BL474" s="1" t="s">
        <v>74</v>
      </c>
      <c r="BM474" s="1" t="s">
        <v>74</v>
      </c>
      <c r="BN474" s="1">
        <v>2.6211949E7</v>
      </c>
      <c r="BO474" s="1" t="s">
        <v>74</v>
      </c>
      <c r="BP474" s="1" t="s">
        <v>74</v>
      </c>
      <c r="BQ474" s="1" t="s">
        <v>74</v>
      </c>
      <c r="BR474" s="1" t="s">
        <v>74</v>
      </c>
      <c r="BS474" s="1" t="s">
        <v>4877</v>
      </c>
      <c r="BT474" s="1" t="str">
        <f>HYPERLINK("https%3A%2F%2Fwww.webofscience.com%2Fwos%2Fwoscc%2Ffull-record%2FWOS:000364258700010","View Full Record in Web of Science")</f>
        <v>View Full Record in Web of Science</v>
      </c>
    </row>
    <row r="475" ht="12.75" customHeight="1">
      <c r="A475" s="1" t="s">
        <v>72</v>
      </c>
      <c r="B475" s="1" t="s">
        <v>4878</v>
      </c>
      <c r="C475" s="1" t="s">
        <v>74</v>
      </c>
      <c r="D475" s="1" t="s">
        <v>74</v>
      </c>
      <c r="E475" s="1" t="s">
        <v>74</v>
      </c>
      <c r="F475" s="1" t="s">
        <v>4879</v>
      </c>
      <c r="G475" s="1" t="s">
        <v>74</v>
      </c>
      <c r="H475" s="1" t="s">
        <v>74</v>
      </c>
      <c r="I475" s="1" t="s">
        <v>4880</v>
      </c>
      <c r="J475" s="1" t="s">
        <v>321</v>
      </c>
      <c r="K475" s="1" t="s">
        <v>74</v>
      </c>
      <c r="L475" s="1" t="s">
        <v>74</v>
      </c>
      <c r="M475" s="1" t="s">
        <v>74</v>
      </c>
      <c r="N475" s="1" t="s">
        <v>74</v>
      </c>
      <c r="O475" s="1" t="s">
        <v>74</v>
      </c>
      <c r="P475" s="1" t="s">
        <v>74</v>
      </c>
      <c r="Q475" s="1" t="s">
        <v>74</v>
      </c>
      <c r="R475" s="1" t="s">
        <v>74</v>
      </c>
      <c r="S475" s="1" t="s">
        <v>74</v>
      </c>
      <c r="T475" s="1" t="s">
        <v>74</v>
      </c>
      <c r="U475" s="1" t="s">
        <v>74</v>
      </c>
      <c r="V475" s="1" t="s">
        <v>4881</v>
      </c>
      <c r="W475" s="1" t="s">
        <v>74</v>
      </c>
      <c r="X475" s="1" t="s">
        <v>74</v>
      </c>
      <c r="Y475" s="1" t="s">
        <v>74</v>
      </c>
      <c r="Z475" s="1" t="s">
        <v>74</v>
      </c>
      <c r="AA475" s="1" t="s">
        <v>4882</v>
      </c>
      <c r="AB475" s="1" t="s">
        <v>4883</v>
      </c>
      <c r="AC475" s="1" t="s">
        <v>74</v>
      </c>
      <c r="AD475" s="1" t="s">
        <v>74</v>
      </c>
      <c r="AE475" s="1" t="s">
        <v>74</v>
      </c>
      <c r="AF475" s="1" t="s">
        <v>74</v>
      </c>
      <c r="AG475" s="1" t="s">
        <v>74</v>
      </c>
      <c r="AH475" s="1" t="s">
        <v>74</v>
      </c>
      <c r="AI475" s="1" t="s">
        <v>74</v>
      </c>
      <c r="AJ475" s="1" t="s">
        <v>74</v>
      </c>
      <c r="AK475" s="1" t="s">
        <v>74</v>
      </c>
      <c r="AL475" s="1" t="s">
        <v>74</v>
      </c>
      <c r="AM475" s="1" t="s">
        <v>74</v>
      </c>
      <c r="AN475" s="1" t="s">
        <v>74</v>
      </c>
      <c r="AO475" s="1" t="s">
        <v>1365</v>
      </c>
      <c r="AP475" s="1" t="s">
        <v>1366</v>
      </c>
      <c r="AQ475" s="1" t="s">
        <v>74</v>
      </c>
      <c r="AR475" s="1" t="s">
        <v>74</v>
      </c>
      <c r="AS475" s="1" t="s">
        <v>74</v>
      </c>
      <c r="AT475" s="1" t="s">
        <v>1087</v>
      </c>
      <c r="AU475" s="1">
        <v>2014.0</v>
      </c>
      <c r="AV475" s="1">
        <v>90.0</v>
      </c>
      <c r="AW475" s="1">
        <v>12.0</v>
      </c>
      <c r="AX475" s="1" t="s">
        <v>74</v>
      </c>
      <c r="AY475" s="1" t="s">
        <v>74</v>
      </c>
      <c r="AZ475" s="1" t="s">
        <v>74</v>
      </c>
      <c r="BA475" s="1" t="s">
        <v>74</v>
      </c>
      <c r="BB475" s="1" t="s">
        <v>74</v>
      </c>
      <c r="BC475" s="1" t="s">
        <v>74</v>
      </c>
      <c r="BD475" s="1">
        <v>125041.0</v>
      </c>
      <c r="BE475" s="1" t="s">
        <v>4884</v>
      </c>
      <c r="BF475" s="2" t="str">
        <f>HYPERLINK("http://dx.doi.org/10.1103/PhysRevD.90.125041","http://dx.doi.org/10.1103/PhysRevD.90.125041")</f>
        <v>http://dx.doi.org/10.1103/PhysRevD.90.125041</v>
      </c>
      <c r="BG475" s="1" t="s">
        <v>74</v>
      </c>
      <c r="BH475" s="1" t="s">
        <v>74</v>
      </c>
      <c r="BI475" s="1" t="s">
        <v>74</v>
      </c>
      <c r="BJ475" s="1" t="s">
        <v>74</v>
      </c>
      <c r="BK475" s="1" t="s">
        <v>74</v>
      </c>
      <c r="BL475" s="1" t="s">
        <v>74</v>
      </c>
      <c r="BM475" s="1" t="s">
        <v>74</v>
      </c>
      <c r="BN475" s="1" t="s">
        <v>74</v>
      </c>
      <c r="BO475" s="1" t="s">
        <v>74</v>
      </c>
      <c r="BP475" s="1" t="s">
        <v>74</v>
      </c>
      <c r="BQ475" s="1" t="s">
        <v>74</v>
      </c>
      <c r="BR475" s="1" t="s">
        <v>74</v>
      </c>
      <c r="BS475" s="1" t="s">
        <v>4885</v>
      </c>
      <c r="BT475" s="1" t="str">
        <f>HYPERLINK("https%3A%2F%2Fwww.webofscience.com%2Fwos%2Fwoscc%2Ffull-record%2FWOS:000349852000007","View Full Record in Web of Science")</f>
        <v>View Full Record in Web of Science</v>
      </c>
    </row>
    <row r="476" ht="12.75" customHeight="1">
      <c r="A476" s="1" t="s">
        <v>647</v>
      </c>
      <c r="B476" s="1" t="s">
        <v>4886</v>
      </c>
      <c r="C476" s="1" t="s">
        <v>74</v>
      </c>
      <c r="D476" s="1" t="s">
        <v>4887</v>
      </c>
      <c r="E476" s="1" t="s">
        <v>74</v>
      </c>
      <c r="F476" s="1" t="s">
        <v>4888</v>
      </c>
      <c r="G476" s="1" t="s">
        <v>74</v>
      </c>
      <c r="H476" s="1" t="s">
        <v>74</v>
      </c>
      <c r="I476" s="1" t="s">
        <v>4889</v>
      </c>
      <c r="J476" s="1" t="s">
        <v>4890</v>
      </c>
      <c r="K476" s="1" t="s">
        <v>4891</v>
      </c>
      <c r="L476" s="1" t="s">
        <v>74</v>
      </c>
      <c r="M476" s="1" t="s">
        <v>74</v>
      </c>
      <c r="N476" s="1" t="s">
        <v>74</v>
      </c>
      <c r="O476" s="1" t="s">
        <v>4892</v>
      </c>
      <c r="P476" s="1" t="s">
        <v>4893</v>
      </c>
      <c r="Q476" s="1" t="s">
        <v>4894</v>
      </c>
      <c r="R476" s="1" t="s">
        <v>4895</v>
      </c>
      <c r="S476" s="1" t="s">
        <v>74</v>
      </c>
      <c r="T476" s="1" t="s">
        <v>74</v>
      </c>
      <c r="U476" s="1" t="s">
        <v>74</v>
      </c>
      <c r="V476" s="1" t="s">
        <v>4896</v>
      </c>
      <c r="W476" s="1" t="s">
        <v>74</v>
      </c>
      <c r="X476" s="1" t="s">
        <v>74</v>
      </c>
      <c r="Y476" s="1" t="s">
        <v>74</v>
      </c>
      <c r="Z476" s="1" t="s">
        <v>74</v>
      </c>
      <c r="AA476" s="1" t="s">
        <v>4897</v>
      </c>
      <c r="AB476" s="1" t="s">
        <v>4898</v>
      </c>
      <c r="AC476" s="1" t="s">
        <v>74</v>
      </c>
      <c r="AD476" s="1" t="s">
        <v>74</v>
      </c>
      <c r="AE476" s="1" t="s">
        <v>74</v>
      </c>
      <c r="AF476" s="1" t="s">
        <v>74</v>
      </c>
      <c r="AG476" s="1" t="s">
        <v>74</v>
      </c>
      <c r="AH476" s="1" t="s">
        <v>74</v>
      </c>
      <c r="AI476" s="1" t="s">
        <v>74</v>
      </c>
      <c r="AJ476" s="1" t="s">
        <v>74</v>
      </c>
      <c r="AK476" s="1" t="s">
        <v>74</v>
      </c>
      <c r="AL476" s="1" t="s">
        <v>74</v>
      </c>
      <c r="AM476" s="1" t="s">
        <v>74</v>
      </c>
      <c r="AN476" s="1" t="s">
        <v>74</v>
      </c>
      <c r="AO476" s="1" t="s">
        <v>4899</v>
      </c>
      <c r="AP476" s="1" t="s">
        <v>4900</v>
      </c>
      <c r="AQ476" s="1" t="s">
        <v>4901</v>
      </c>
      <c r="AR476" s="1" t="s">
        <v>74</v>
      </c>
      <c r="AS476" s="1" t="s">
        <v>74</v>
      </c>
      <c r="AT476" s="1" t="s">
        <v>74</v>
      </c>
      <c r="AU476" s="1">
        <v>2014.0</v>
      </c>
      <c r="AV476" s="1">
        <v>9152.0</v>
      </c>
      <c r="AW476" s="1" t="s">
        <v>74</v>
      </c>
      <c r="AX476" s="1" t="s">
        <v>74</v>
      </c>
      <c r="AY476" s="1" t="s">
        <v>74</v>
      </c>
      <c r="AZ476" s="1" t="s">
        <v>74</v>
      </c>
      <c r="BA476" s="1" t="s">
        <v>74</v>
      </c>
      <c r="BB476" s="1" t="s">
        <v>74</v>
      </c>
      <c r="BC476" s="1" t="s">
        <v>74</v>
      </c>
      <c r="BD476" s="1" t="s">
        <v>4902</v>
      </c>
      <c r="BE476" s="1" t="s">
        <v>4903</v>
      </c>
      <c r="BF476" s="2" t="str">
        <f>HYPERLINK("http://dx.doi.org/10.1117/12.2055579","http://dx.doi.org/10.1117/12.2055579")</f>
        <v>http://dx.doi.org/10.1117/12.2055579</v>
      </c>
      <c r="BG476" s="1" t="s">
        <v>74</v>
      </c>
      <c r="BH476" s="1" t="s">
        <v>74</v>
      </c>
      <c r="BI476" s="1" t="s">
        <v>74</v>
      </c>
      <c r="BJ476" s="1" t="s">
        <v>74</v>
      </c>
      <c r="BK476" s="1" t="s">
        <v>74</v>
      </c>
      <c r="BL476" s="1" t="s">
        <v>74</v>
      </c>
      <c r="BM476" s="1" t="s">
        <v>74</v>
      </c>
      <c r="BN476" s="1" t="s">
        <v>74</v>
      </c>
      <c r="BO476" s="1" t="s">
        <v>74</v>
      </c>
      <c r="BP476" s="1" t="s">
        <v>74</v>
      </c>
      <c r="BQ476" s="1" t="s">
        <v>74</v>
      </c>
      <c r="BR476" s="1" t="s">
        <v>74</v>
      </c>
      <c r="BS476" s="1" t="s">
        <v>4904</v>
      </c>
      <c r="BT476" s="1" t="str">
        <f>HYPERLINK("https%3A%2F%2Fwww.webofscience.com%2Fwos%2Fwoscc%2Ffull-record%2FWOS:000347467300091","View Full Record in Web of Science")</f>
        <v>View Full Record in Web of Science</v>
      </c>
    </row>
    <row r="477" ht="12.75" customHeight="1">
      <c r="A477" s="1" t="s">
        <v>72</v>
      </c>
      <c r="B477" s="1" t="s">
        <v>4905</v>
      </c>
      <c r="C477" s="1" t="s">
        <v>74</v>
      </c>
      <c r="D477" s="1" t="s">
        <v>74</v>
      </c>
      <c r="E477" s="1" t="s">
        <v>74</v>
      </c>
      <c r="F477" s="1" t="s">
        <v>4906</v>
      </c>
      <c r="G477" s="1" t="s">
        <v>74</v>
      </c>
      <c r="H477" s="1" t="s">
        <v>74</v>
      </c>
      <c r="I477" s="1" t="s">
        <v>4907</v>
      </c>
      <c r="J477" s="1" t="s">
        <v>321</v>
      </c>
      <c r="K477" s="1" t="s">
        <v>74</v>
      </c>
      <c r="L477" s="1" t="s">
        <v>74</v>
      </c>
      <c r="M477" s="1" t="s">
        <v>74</v>
      </c>
      <c r="N477" s="1" t="s">
        <v>74</v>
      </c>
      <c r="O477" s="1" t="s">
        <v>74</v>
      </c>
      <c r="P477" s="1" t="s">
        <v>74</v>
      </c>
      <c r="Q477" s="1" t="s">
        <v>74</v>
      </c>
      <c r="R477" s="1" t="s">
        <v>74</v>
      </c>
      <c r="S477" s="1" t="s">
        <v>74</v>
      </c>
      <c r="T477" s="1" t="s">
        <v>74</v>
      </c>
      <c r="U477" s="1" t="s">
        <v>74</v>
      </c>
      <c r="V477" s="1" t="s">
        <v>4908</v>
      </c>
      <c r="W477" s="1" t="s">
        <v>74</v>
      </c>
      <c r="X477" s="1" t="s">
        <v>74</v>
      </c>
      <c r="Y477" s="1" t="s">
        <v>74</v>
      </c>
      <c r="Z477" s="1" t="s">
        <v>74</v>
      </c>
      <c r="AA477" s="1" t="s">
        <v>3127</v>
      </c>
      <c r="AB477" s="1" t="s">
        <v>4909</v>
      </c>
      <c r="AC477" s="1" t="s">
        <v>74</v>
      </c>
      <c r="AD477" s="1" t="s">
        <v>74</v>
      </c>
      <c r="AE477" s="1" t="s">
        <v>74</v>
      </c>
      <c r="AF477" s="1" t="s">
        <v>74</v>
      </c>
      <c r="AG477" s="1" t="s">
        <v>74</v>
      </c>
      <c r="AH477" s="1" t="s">
        <v>74</v>
      </c>
      <c r="AI477" s="1" t="s">
        <v>74</v>
      </c>
      <c r="AJ477" s="1" t="s">
        <v>74</v>
      </c>
      <c r="AK477" s="1" t="s">
        <v>74</v>
      </c>
      <c r="AL477" s="1" t="s">
        <v>74</v>
      </c>
      <c r="AM477" s="1" t="s">
        <v>74</v>
      </c>
      <c r="AN477" s="1" t="s">
        <v>74</v>
      </c>
      <c r="AO477" s="1" t="s">
        <v>1365</v>
      </c>
      <c r="AP477" s="1" t="s">
        <v>1366</v>
      </c>
      <c r="AQ477" s="1" t="s">
        <v>74</v>
      </c>
      <c r="AR477" s="1" t="s">
        <v>74</v>
      </c>
      <c r="AS477" s="1" t="s">
        <v>74</v>
      </c>
      <c r="AT477" s="1" t="s">
        <v>4910</v>
      </c>
      <c r="AU477" s="1">
        <v>2012.0</v>
      </c>
      <c r="AV477" s="1">
        <v>86.0</v>
      </c>
      <c r="AW477" s="1">
        <v>10.0</v>
      </c>
      <c r="AX477" s="1" t="s">
        <v>74</v>
      </c>
      <c r="AY477" s="1" t="s">
        <v>74</v>
      </c>
      <c r="AZ477" s="1" t="s">
        <v>74</v>
      </c>
      <c r="BA477" s="1" t="s">
        <v>74</v>
      </c>
      <c r="BB477" s="1" t="s">
        <v>74</v>
      </c>
      <c r="BC477" s="1" t="s">
        <v>74</v>
      </c>
      <c r="BD477" s="1">
        <v>105035.0</v>
      </c>
      <c r="BE477" s="1" t="s">
        <v>4911</v>
      </c>
      <c r="BF477" s="2" t="str">
        <f>HYPERLINK("http://dx.doi.org/10.1103/PhysRevD.86.105035","http://dx.doi.org/10.1103/PhysRevD.86.105035")</f>
        <v>http://dx.doi.org/10.1103/PhysRevD.86.105035</v>
      </c>
      <c r="BG477" s="1" t="s">
        <v>74</v>
      </c>
      <c r="BH477" s="1" t="s">
        <v>74</v>
      </c>
      <c r="BI477" s="1" t="s">
        <v>74</v>
      </c>
      <c r="BJ477" s="1" t="s">
        <v>74</v>
      </c>
      <c r="BK477" s="1" t="s">
        <v>74</v>
      </c>
      <c r="BL477" s="1" t="s">
        <v>74</v>
      </c>
      <c r="BM477" s="1" t="s">
        <v>74</v>
      </c>
      <c r="BN477" s="1" t="s">
        <v>74</v>
      </c>
      <c r="BO477" s="1" t="s">
        <v>74</v>
      </c>
      <c r="BP477" s="1" t="s">
        <v>74</v>
      </c>
      <c r="BQ477" s="1" t="s">
        <v>74</v>
      </c>
      <c r="BR477" s="1" t="s">
        <v>74</v>
      </c>
      <c r="BS477" s="1" t="s">
        <v>4912</v>
      </c>
      <c r="BT477" s="1" t="str">
        <f>HYPERLINK("https%3A%2F%2Fwww.webofscience.com%2Fwos%2Fwoscc%2Ffull-record%2FWOS:000311279900006","View Full Record in Web of Science")</f>
        <v>View Full Record in Web of Science</v>
      </c>
    </row>
    <row r="478" ht="12.75" customHeight="1">
      <c r="A478" s="1" t="s">
        <v>72</v>
      </c>
      <c r="B478" s="1" t="s">
        <v>4913</v>
      </c>
      <c r="C478" s="1" t="s">
        <v>74</v>
      </c>
      <c r="D478" s="1" t="s">
        <v>74</v>
      </c>
      <c r="E478" s="1" t="s">
        <v>74</v>
      </c>
      <c r="F478" s="1" t="s">
        <v>4914</v>
      </c>
      <c r="G478" s="1" t="s">
        <v>74</v>
      </c>
      <c r="H478" s="1" t="s">
        <v>74</v>
      </c>
      <c r="I478" s="1" t="s">
        <v>4915</v>
      </c>
      <c r="J478" s="1" t="s">
        <v>4916</v>
      </c>
      <c r="K478" s="1" t="s">
        <v>74</v>
      </c>
      <c r="L478" s="1" t="s">
        <v>74</v>
      </c>
      <c r="M478" s="1" t="s">
        <v>74</v>
      </c>
      <c r="N478" s="1" t="s">
        <v>74</v>
      </c>
      <c r="O478" s="1" t="s">
        <v>4917</v>
      </c>
      <c r="P478" s="1" t="s">
        <v>4918</v>
      </c>
      <c r="Q478" s="1" t="s">
        <v>1152</v>
      </c>
      <c r="R478" s="1" t="s">
        <v>74</v>
      </c>
      <c r="S478" s="1" t="s">
        <v>74</v>
      </c>
      <c r="T478" s="1" t="s">
        <v>74</v>
      </c>
      <c r="U478" s="1" t="s">
        <v>74</v>
      </c>
      <c r="V478" s="1" t="s">
        <v>4919</v>
      </c>
      <c r="W478" s="1" t="s">
        <v>74</v>
      </c>
      <c r="X478" s="1" t="s">
        <v>74</v>
      </c>
      <c r="Y478" s="1" t="s">
        <v>74</v>
      </c>
      <c r="Z478" s="1" t="s">
        <v>74</v>
      </c>
      <c r="AA478" s="1" t="s">
        <v>4920</v>
      </c>
      <c r="AB478" s="1" t="s">
        <v>4921</v>
      </c>
      <c r="AC478" s="1" t="s">
        <v>74</v>
      </c>
      <c r="AD478" s="1" t="s">
        <v>74</v>
      </c>
      <c r="AE478" s="1" t="s">
        <v>74</v>
      </c>
      <c r="AF478" s="1" t="s">
        <v>74</v>
      </c>
      <c r="AG478" s="1" t="s">
        <v>74</v>
      </c>
      <c r="AH478" s="1" t="s">
        <v>74</v>
      </c>
      <c r="AI478" s="1" t="s">
        <v>74</v>
      </c>
      <c r="AJ478" s="1" t="s">
        <v>74</v>
      </c>
      <c r="AK478" s="1" t="s">
        <v>74</v>
      </c>
      <c r="AL478" s="1" t="s">
        <v>74</v>
      </c>
      <c r="AM478" s="1" t="s">
        <v>74</v>
      </c>
      <c r="AN478" s="1" t="s">
        <v>74</v>
      </c>
      <c r="AO478" s="1" t="s">
        <v>4922</v>
      </c>
      <c r="AP478" s="1" t="s">
        <v>4923</v>
      </c>
      <c r="AQ478" s="1" t="s">
        <v>74</v>
      </c>
      <c r="AR478" s="1" t="s">
        <v>74</v>
      </c>
      <c r="AS478" s="1" t="s">
        <v>74</v>
      </c>
      <c r="AT478" s="1" t="s">
        <v>316</v>
      </c>
      <c r="AU478" s="1">
        <v>2012.0</v>
      </c>
      <c r="AV478" s="1">
        <v>25.0</v>
      </c>
      <c r="AW478" s="1">
        <v>7.0</v>
      </c>
      <c r="AX478" s="1" t="s">
        <v>74</v>
      </c>
      <c r="AY478" s="1" t="s">
        <v>74</v>
      </c>
      <c r="AZ478" s="1" t="s">
        <v>74</v>
      </c>
      <c r="BA478" s="1" t="s">
        <v>74</v>
      </c>
      <c r="BB478" s="1">
        <v>2205.0</v>
      </c>
      <c r="BC478" s="1">
        <v>2212.0</v>
      </c>
      <c r="BD478" s="1" t="s">
        <v>74</v>
      </c>
      <c r="BE478" s="1" t="s">
        <v>4924</v>
      </c>
      <c r="BF478" s="2" t="str">
        <f>HYPERLINK("http://dx.doi.org/10.1007/s10948-012-1663-5","http://dx.doi.org/10.1007/s10948-012-1663-5")</f>
        <v>http://dx.doi.org/10.1007/s10948-012-1663-5</v>
      </c>
      <c r="BG478" s="1" t="s">
        <v>74</v>
      </c>
      <c r="BH478" s="1" t="s">
        <v>74</v>
      </c>
      <c r="BI478" s="1" t="s">
        <v>74</v>
      </c>
      <c r="BJ478" s="1" t="s">
        <v>74</v>
      </c>
      <c r="BK478" s="1" t="s">
        <v>74</v>
      </c>
      <c r="BL478" s="1" t="s">
        <v>74</v>
      </c>
      <c r="BM478" s="1" t="s">
        <v>74</v>
      </c>
      <c r="BN478" s="1" t="s">
        <v>74</v>
      </c>
      <c r="BO478" s="1" t="s">
        <v>74</v>
      </c>
      <c r="BP478" s="1" t="s">
        <v>74</v>
      </c>
      <c r="BQ478" s="1" t="s">
        <v>74</v>
      </c>
      <c r="BR478" s="1" t="s">
        <v>74</v>
      </c>
      <c r="BS478" s="1" t="s">
        <v>4925</v>
      </c>
      <c r="BT478" s="1" t="str">
        <f>HYPERLINK("https%3A%2F%2Fwww.webofscience.com%2Fwos%2Fwoscc%2Ffull-record%2FWOS:000309157200022","View Full Record in Web of Science")</f>
        <v>View Full Record in Web of Science</v>
      </c>
    </row>
    <row r="479" ht="12.75" customHeight="1">
      <c r="A479" s="1" t="s">
        <v>72</v>
      </c>
      <c r="B479" s="1" t="s">
        <v>4926</v>
      </c>
      <c r="C479" s="1" t="s">
        <v>74</v>
      </c>
      <c r="D479" s="1" t="s">
        <v>74</v>
      </c>
      <c r="E479" s="1" t="s">
        <v>74</v>
      </c>
      <c r="F479" s="1" t="s">
        <v>4927</v>
      </c>
      <c r="G479" s="1" t="s">
        <v>74</v>
      </c>
      <c r="H479" s="1" t="s">
        <v>74</v>
      </c>
      <c r="I479" s="1" t="s">
        <v>4928</v>
      </c>
      <c r="J479" s="1" t="s">
        <v>2315</v>
      </c>
      <c r="K479" s="1" t="s">
        <v>74</v>
      </c>
      <c r="L479" s="1" t="s">
        <v>74</v>
      </c>
      <c r="M479" s="1" t="s">
        <v>74</v>
      </c>
      <c r="N479" s="1" t="s">
        <v>74</v>
      </c>
      <c r="O479" s="1" t="s">
        <v>74</v>
      </c>
      <c r="P479" s="1" t="s">
        <v>74</v>
      </c>
      <c r="Q479" s="1" t="s">
        <v>74</v>
      </c>
      <c r="R479" s="1" t="s">
        <v>74</v>
      </c>
      <c r="S479" s="1" t="s">
        <v>74</v>
      </c>
      <c r="T479" s="1" t="s">
        <v>74</v>
      </c>
      <c r="U479" s="1" t="s">
        <v>74</v>
      </c>
      <c r="V479" s="1" t="s">
        <v>4929</v>
      </c>
      <c r="W479" s="1" t="s">
        <v>74</v>
      </c>
      <c r="X479" s="1" t="s">
        <v>74</v>
      </c>
      <c r="Y479" s="1" t="s">
        <v>74</v>
      </c>
      <c r="Z479" s="1" t="s">
        <v>74</v>
      </c>
      <c r="AA479" s="1" t="s">
        <v>74</v>
      </c>
      <c r="AB479" s="1" t="s">
        <v>74</v>
      </c>
      <c r="AC479" s="1" t="s">
        <v>74</v>
      </c>
      <c r="AD479" s="1" t="s">
        <v>74</v>
      </c>
      <c r="AE479" s="1" t="s">
        <v>74</v>
      </c>
      <c r="AF479" s="1" t="s">
        <v>74</v>
      </c>
      <c r="AG479" s="1" t="s">
        <v>74</v>
      </c>
      <c r="AH479" s="1" t="s">
        <v>74</v>
      </c>
      <c r="AI479" s="1" t="s">
        <v>74</v>
      </c>
      <c r="AJ479" s="1" t="s">
        <v>74</v>
      </c>
      <c r="AK479" s="1" t="s">
        <v>74</v>
      </c>
      <c r="AL479" s="1" t="s">
        <v>74</v>
      </c>
      <c r="AM479" s="1" t="s">
        <v>74</v>
      </c>
      <c r="AN479" s="1" t="s">
        <v>74</v>
      </c>
      <c r="AO479" s="1" t="s">
        <v>2319</v>
      </c>
      <c r="AP479" s="1" t="s">
        <v>74</v>
      </c>
      <c r="AQ479" s="1" t="s">
        <v>74</v>
      </c>
      <c r="AR479" s="1" t="s">
        <v>74</v>
      </c>
      <c r="AS479" s="1" t="s">
        <v>74</v>
      </c>
      <c r="AT479" s="1" t="s">
        <v>316</v>
      </c>
      <c r="AU479" s="1">
        <v>2009.0</v>
      </c>
      <c r="AV479" s="1">
        <v>65.0</v>
      </c>
      <c r="AW479" s="1" t="s">
        <v>74</v>
      </c>
      <c r="AX479" s="1">
        <v>10.0</v>
      </c>
      <c r="AY479" s="1" t="s">
        <v>74</v>
      </c>
      <c r="AZ479" s="1" t="s">
        <v>74</v>
      </c>
      <c r="BA479" s="1" t="s">
        <v>74</v>
      </c>
      <c r="BB479" s="1" t="s">
        <v>4930</v>
      </c>
      <c r="BC479" s="1" t="s">
        <v>661</v>
      </c>
      <c r="BD479" s="1" t="s">
        <v>74</v>
      </c>
      <c r="BE479" s="1" t="s">
        <v>4931</v>
      </c>
      <c r="BF479" s="2" t="str">
        <f>HYPERLINK("http://dx.doi.org/10.1107/S1600536809033418","http://dx.doi.org/10.1107/S1600536809033418")</f>
        <v>http://dx.doi.org/10.1107/S1600536809033418</v>
      </c>
      <c r="BG479" s="1" t="s">
        <v>74</v>
      </c>
      <c r="BH479" s="1" t="s">
        <v>74</v>
      </c>
      <c r="BI479" s="1" t="s">
        <v>74</v>
      </c>
      <c r="BJ479" s="1" t="s">
        <v>74</v>
      </c>
      <c r="BK479" s="1" t="s">
        <v>74</v>
      </c>
      <c r="BL479" s="1" t="s">
        <v>74</v>
      </c>
      <c r="BM479" s="1" t="s">
        <v>74</v>
      </c>
      <c r="BN479" s="1">
        <v>2.1577801E7</v>
      </c>
      <c r="BO479" s="1" t="s">
        <v>74</v>
      </c>
      <c r="BP479" s="1" t="s">
        <v>74</v>
      </c>
      <c r="BQ479" s="1" t="s">
        <v>74</v>
      </c>
      <c r="BR479" s="1" t="s">
        <v>74</v>
      </c>
      <c r="BS479" s="1" t="s">
        <v>4932</v>
      </c>
      <c r="BT479" s="1" t="str">
        <f>HYPERLINK("https%3A%2F%2Fwww.webofscience.com%2Fwos%2Fwoscc%2Ffull-record%2FWOS:000270450400110","View Full Record in Web of Science")</f>
        <v>View Full Record in Web of Science</v>
      </c>
    </row>
    <row r="480" ht="12.75" customHeight="1">
      <c r="A480" s="1" t="s">
        <v>72</v>
      </c>
      <c r="B480" s="1" t="s">
        <v>4933</v>
      </c>
      <c r="C480" s="1" t="s">
        <v>74</v>
      </c>
      <c r="D480" s="1" t="s">
        <v>74</v>
      </c>
      <c r="E480" s="1" t="s">
        <v>74</v>
      </c>
      <c r="F480" s="1" t="s">
        <v>4934</v>
      </c>
      <c r="G480" s="1" t="s">
        <v>74</v>
      </c>
      <c r="H480" s="1" t="s">
        <v>74</v>
      </c>
      <c r="I480" s="1" t="s">
        <v>4935</v>
      </c>
      <c r="J480" s="1" t="s">
        <v>4936</v>
      </c>
      <c r="K480" s="1" t="s">
        <v>74</v>
      </c>
      <c r="L480" s="1" t="s">
        <v>74</v>
      </c>
      <c r="M480" s="1" t="s">
        <v>74</v>
      </c>
      <c r="N480" s="1" t="s">
        <v>74</v>
      </c>
      <c r="O480" s="1" t="s">
        <v>4937</v>
      </c>
      <c r="P480" s="1" t="s">
        <v>4938</v>
      </c>
      <c r="Q480" s="1" t="s">
        <v>952</v>
      </c>
      <c r="R480" s="1" t="s">
        <v>4939</v>
      </c>
      <c r="S480" s="1" t="s">
        <v>74</v>
      </c>
      <c r="T480" s="1" t="s">
        <v>74</v>
      </c>
      <c r="U480" s="1" t="s">
        <v>74</v>
      </c>
      <c r="V480" s="1" t="s">
        <v>74</v>
      </c>
      <c r="W480" s="1" t="s">
        <v>74</v>
      </c>
      <c r="X480" s="1" t="s">
        <v>74</v>
      </c>
      <c r="Y480" s="1" t="s">
        <v>74</v>
      </c>
      <c r="Z480" s="1" t="s">
        <v>74</v>
      </c>
      <c r="AA480" s="1" t="s">
        <v>4940</v>
      </c>
      <c r="AB480" s="1" t="s">
        <v>74</v>
      </c>
      <c r="AC480" s="1" t="s">
        <v>74</v>
      </c>
      <c r="AD480" s="1" t="s">
        <v>74</v>
      </c>
      <c r="AE480" s="1" t="s">
        <v>74</v>
      </c>
      <c r="AF480" s="1" t="s">
        <v>74</v>
      </c>
      <c r="AG480" s="1" t="s">
        <v>74</v>
      </c>
      <c r="AH480" s="1" t="s">
        <v>74</v>
      </c>
      <c r="AI480" s="1" t="s">
        <v>74</v>
      </c>
      <c r="AJ480" s="1" t="s">
        <v>74</v>
      </c>
      <c r="AK480" s="1" t="s">
        <v>74</v>
      </c>
      <c r="AL480" s="1" t="s">
        <v>74</v>
      </c>
      <c r="AM480" s="1" t="s">
        <v>74</v>
      </c>
      <c r="AN480" s="1" t="s">
        <v>74</v>
      </c>
      <c r="AO480" s="1" t="s">
        <v>4941</v>
      </c>
      <c r="AP480" s="1" t="s">
        <v>74</v>
      </c>
      <c r="AQ480" s="1" t="s">
        <v>74</v>
      </c>
      <c r="AR480" s="1" t="s">
        <v>74</v>
      </c>
      <c r="AS480" s="1" t="s">
        <v>74</v>
      </c>
      <c r="AT480" s="1" t="s">
        <v>377</v>
      </c>
      <c r="AU480" s="1">
        <v>2008.0</v>
      </c>
      <c r="AV480" s="1">
        <v>14.0</v>
      </c>
      <c r="AW480" s="1">
        <v>5.0</v>
      </c>
      <c r="AX480" s="1" t="s">
        <v>74</v>
      </c>
      <c r="AY480" s="1" t="s">
        <v>74</v>
      </c>
      <c r="AZ480" s="1" t="s">
        <v>74</v>
      </c>
      <c r="BA480" s="1" t="s">
        <v>4942</v>
      </c>
      <c r="BB480" s="1">
        <v>925.0</v>
      </c>
      <c r="BC480" s="1">
        <v>925.0</v>
      </c>
      <c r="BD480" s="1" t="s">
        <v>74</v>
      </c>
      <c r="BE480" s="1" t="s">
        <v>74</v>
      </c>
      <c r="BF480" s="1" t="s">
        <v>74</v>
      </c>
      <c r="BG480" s="1" t="s">
        <v>74</v>
      </c>
      <c r="BH480" s="1" t="s">
        <v>74</v>
      </c>
      <c r="BI480" s="1" t="s">
        <v>74</v>
      </c>
      <c r="BJ480" s="1" t="s">
        <v>74</v>
      </c>
      <c r="BK480" s="1" t="s">
        <v>74</v>
      </c>
      <c r="BL480" s="1" t="s">
        <v>74</v>
      </c>
      <c r="BM480" s="1" t="s">
        <v>74</v>
      </c>
      <c r="BN480" s="1" t="s">
        <v>74</v>
      </c>
      <c r="BO480" s="1" t="s">
        <v>74</v>
      </c>
      <c r="BP480" s="1" t="s">
        <v>74</v>
      </c>
      <c r="BQ480" s="1" t="s">
        <v>74</v>
      </c>
      <c r="BR480" s="1" t="s">
        <v>74</v>
      </c>
      <c r="BS480" s="1" t="s">
        <v>4943</v>
      </c>
      <c r="BT480" s="1" t="str">
        <f>HYPERLINK("https%3A%2F%2Fwww.webofscience.com%2Fwos%2Fwoscc%2Ffull-record%2FWOS:000256239800730","View Full Record in Web of Science")</f>
        <v>View Full Record in Web of Science</v>
      </c>
    </row>
    <row r="481" ht="12.75" customHeight="1">
      <c r="A481" s="1" t="s">
        <v>72</v>
      </c>
      <c r="B481" s="1" t="s">
        <v>4944</v>
      </c>
      <c r="C481" s="1" t="s">
        <v>74</v>
      </c>
      <c r="D481" s="1" t="s">
        <v>74</v>
      </c>
      <c r="E481" s="1" t="s">
        <v>74</v>
      </c>
      <c r="F481" s="1" t="s">
        <v>4945</v>
      </c>
      <c r="G481" s="1" t="s">
        <v>74</v>
      </c>
      <c r="H481" s="1" t="s">
        <v>74</v>
      </c>
      <c r="I481" s="1" t="s">
        <v>4946</v>
      </c>
      <c r="J481" s="1" t="s">
        <v>4947</v>
      </c>
      <c r="K481" s="1" t="s">
        <v>74</v>
      </c>
      <c r="L481" s="1" t="s">
        <v>74</v>
      </c>
      <c r="M481" s="1" t="s">
        <v>74</v>
      </c>
      <c r="N481" s="1" t="s">
        <v>74</v>
      </c>
      <c r="O481" s="1" t="s">
        <v>74</v>
      </c>
      <c r="P481" s="1" t="s">
        <v>74</v>
      </c>
      <c r="Q481" s="1" t="s">
        <v>74</v>
      </c>
      <c r="R481" s="1" t="s">
        <v>74</v>
      </c>
      <c r="S481" s="1" t="s">
        <v>74</v>
      </c>
      <c r="T481" s="1" t="s">
        <v>74</v>
      </c>
      <c r="U481" s="1" t="s">
        <v>74</v>
      </c>
      <c r="V481" s="1" t="s">
        <v>4948</v>
      </c>
      <c r="W481" s="1" t="s">
        <v>74</v>
      </c>
      <c r="X481" s="1" t="s">
        <v>74</v>
      </c>
      <c r="Y481" s="1" t="s">
        <v>74</v>
      </c>
      <c r="Z481" s="1" t="s">
        <v>74</v>
      </c>
      <c r="AA481" s="1" t="s">
        <v>4949</v>
      </c>
      <c r="AB481" s="1" t="s">
        <v>4950</v>
      </c>
      <c r="AC481" s="1" t="s">
        <v>74</v>
      </c>
      <c r="AD481" s="1" t="s">
        <v>74</v>
      </c>
      <c r="AE481" s="1" t="s">
        <v>74</v>
      </c>
      <c r="AF481" s="1" t="s">
        <v>74</v>
      </c>
      <c r="AG481" s="1" t="s">
        <v>74</v>
      </c>
      <c r="AH481" s="1" t="s">
        <v>74</v>
      </c>
      <c r="AI481" s="1" t="s">
        <v>74</v>
      </c>
      <c r="AJ481" s="1" t="s">
        <v>74</v>
      </c>
      <c r="AK481" s="1" t="s">
        <v>74</v>
      </c>
      <c r="AL481" s="1" t="s">
        <v>74</v>
      </c>
      <c r="AM481" s="1" t="s">
        <v>74</v>
      </c>
      <c r="AN481" s="1" t="s">
        <v>74</v>
      </c>
      <c r="AO481" s="1" t="s">
        <v>4951</v>
      </c>
      <c r="AP481" s="1" t="s">
        <v>74</v>
      </c>
      <c r="AQ481" s="1" t="s">
        <v>74</v>
      </c>
      <c r="AR481" s="1" t="s">
        <v>74</v>
      </c>
      <c r="AS481" s="1" t="s">
        <v>74</v>
      </c>
      <c r="AT481" s="1" t="s">
        <v>316</v>
      </c>
      <c r="AU481" s="1">
        <v>2006.0</v>
      </c>
      <c r="AV481" s="1">
        <v>110.0</v>
      </c>
      <c r="AW481" s="1" t="s">
        <v>74</v>
      </c>
      <c r="AX481" s="1">
        <v>10.0</v>
      </c>
      <c r="AY481" s="1" t="s">
        <v>74</v>
      </c>
      <c r="AZ481" s="1" t="s">
        <v>74</v>
      </c>
      <c r="BA481" s="1" t="s">
        <v>74</v>
      </c>
      <c r="BB481" s="1">
        <v>1129.0</v>
      </c>
      <c r="BC481" s="1">
        <v>1139.0</v>
      </c>
      <c r="BD481" s="1" t="s">
        <v>74</v>
      </c>
      <c r="BE481" s="1" t="s">
        <v>4952</v>
      </c>
      <c r="BF481" s="2" t="str">
        <f>HYPERLINK("http://dx.doi.org/10.1016/j.mycres.2006.07.003","http://dx.doi.org/10.1016/j.mycres.2006.07.003")</f>
        <v>http://dx.doi.org/10.1016/j.mycres.2006.07.003</v>
      </c>
      <c r="BG481" s="1" t="s">
        <v>74</v>
      </c>
      <c r="BH481" s="1" t="s">
        <v>74</v>
      </c>
      <c r="BI481" s="1" t="s">
        <v>74</v>
      </c>
      <c r="BJ481" s="1" t="s">
        <v>74</v>
      </c>
      <c r="BK481" s="1" t="s">
        <v>74</v>
      </c>
      <c r="BL481" s="1" t="s">
        <v>74</v>
      </c>
      <c r="BM481" s="1" t="s">
        <v>74</v>
      </c>
      <c r="BN481" s="1">
        <v>1.7008082E7</v>
      </c>
      <c r="BO481" s="1" t="s">
        <v>74</v>
      </c>
      <c r="BP481" s="1" t="s">
        <v>74</v>
      </c>
      <c r="BQ481" s="1" t="s">
        <v>74</v>
      </c>
      <c r="BR481" s="1" t="s">
        <v>74</v>
      </c>
      <c r="BS481" s="1" t="s">
        <v>4953</v>
      </c>
      <c r="BT481" s="1" t="str">
        <f>HYPERLINK("https%3A%2F%2Fwww.webofscience.com%2Fwos%2Fwoscc%2Ffull-record%2FWOS:000242428700001","View Full Record in Web of Science")</f>
        <v>View Full Record in Web of Science</v>
      </c>
    </row>
    <row r="482" ht="12.75" customHeight="1">
      <c r="A482" s="1" t="s">
        <v>72</v>
      </c>
      <c r="B482" s="1" t="s">
        <v>4954</v>
      </c>
      <c r="C482" s="1" t="s">
        <v>74</v>
      </c>
      <c r="D482" s="1" t="s">
        <v>74</v>
      </c>
      <c r="E482" s="1" t="s">
        <v>74</v>
      </c>
      <c r="F482" s="1" t="s">
        <v>4954</v>
      </c>
      <c r="G482" s="1" t="s">
        <v>74</v>
      </c>
      <c r="H482" s="1" t="s">
        <v>74</v>
      </c>
      <c r="I482" s="1" t="s">
        <v>4955</v>
      </c>
      <c r="J482" s="1" t="s">
        <v>4956</v>
      </c>
      <c r="K482" s="1" t="s">
        <v>74</v>
      </c>
      <c r="L482" s="1" t="s">
        <v>74</v>
      </c>
      <c r="M482" s="1" t="s">
        <v>74</v>
      </c>
      <c r="N482" s="1" t="s">
        <v>74</v>
      </c>
      <c r="O482" s="1" t="s">
        <v>74</v>
      </c>
      <c r="P482" s="1" t="s">
        <v>74</v>
      </c>
      <c r="Q482" s="1" t="s">
        <v>74</v>
      </c>
      <c r="R482" s="1" t="s">
        <v>74</v>
      </c>
      <c r="S482" s="1" t="s">
        <v>74</v>
      </c>
      <c r="T482" s="1" t="s">
        <v>74</v>
      </c>
      <c r="U482" s="1" t="s">
        <v>74</v>
      </c>
      <c r="V482" s="1" t="s">
        <v>74</v>
      </c>
      <c r="W482" s="1" t="s">
        <v>74</v>
      </c>
      <c r="X482" s="1" t="s">
        <v>74</v>
      </c>
      <c r="Y482" s="1" t="s">
        <v>74</v>
      </c>
      <c r="Z482" s="1" t="s">
        <v>74</v>
      </c>
      <c r="AA482" s="1" t="s">
        <v>74</v>
      </c>
      <c r="AB482" s="1" t="s">
        <v>4957</v>
      </c>
      <c r="AC482" s="1" t="s">
        <v>74</v>
      </c>
      <c r="AD482" s="1" t="s">
        <v>74</v>
      </c>
      <c r="AE482" s="1" t="s">
        <v>74</v>
      </c>
      <c r="AF482" s="1" t="s">
        <v>74</v>
      </c>
      <c r="AG482" s="1" t="s">
        <v>74</v>
      </c>
      <c r="AH482" s="1" t="s">
        <v>74</v>
      </c>
      <c r="AI482" s="1" t="s">
        <v>74</v>
      </c>
      <c r="AJ482" s="1" t="s">
        <v>74</v>
      </c>
      <c r="AK482" s="1" t="s">
        <v>74</v>
      </c>
      <c r="AL482" s="1" t="s">
        <v>74</v>
      </c>
      <c r="AM482" s="1" t="s">
        <v>74</v>
      </c>
      <c r="AN482" s="1" t="s">
        <v>74</v>
      </c>
      <c r="AO482" s="1" t="s">
        <v>4958</v>
      </c>
      <c r="AP482" s="1" t="s">
        <v>4959</v>
      </c>
      <c r="AQ482" s="1" t="s">
        <v>74</v>
      </c>
      <c r="AR482" s="1" t="s">
        <v>74</v>
      </c>
      <c r="AS482" s="1" t="s">
        <v>74</v>
      </c>
      <c r="AT482" s="1" t="s">
        <v>96</v>
      </c>
      <c r="AU482" s="1">
        <v>2002.0</v>
      </c>
      <c r="AV482" s="1">
        <v>77.0</v>
      </c>
      <c r="AW482" s="1">
        <v>3.0</v>
      </c>
      <c r="AX482" s="1" t="s">
        <v>74</v>
      </c>
      <c r="AY482" s="1" t="s">
        <v>74</v>
      </c>
      <c r="AZ482" s="1" t="s">
        <v>74</v>
      </c>
      <c r="BA482" s="1" t="s">
        <v>74</v>
      </c>
      <c r="BB482" s="1">
        <v>633.0</v>
      </c>
      <c r="BC482" s="1">
        <v>634.0</v>
      </c>
      <c r="BD482" s="1" t="s">
        <v>4960</v>
      </c>
      <c r="BE482" s="1" t="s">
        <v>4961</v>
      </c>
      <c r="BF482" s="2" t="str">
        <f>HYPERLINK("http://dx.doi.org/10.1016/S0015-0282(01)03214-9","http://dx.doi.org/10.1016/S0015-0282(01)03214-9")</f>
        <v>http://dx.doi.org/10.1016/S0015-0282(01)03214-9</v>
      </c>
      <c r="BG482" s="1" t="s">
        <v>74</v>
      </c>
      <c r="BH482" s="1" t="s">
        <v>74</v>
      </c>
      <c r="BI482" s="1" t="s">
        <v>74</v>
      </c>
      <c r="BJ482" s="1" t="s">
        <v>74</v>
      </c>
      <c r="BK482" s="1" t="s">
        <v>74</v>
      </c>
      <c r="BL482" s="1" t="s">
        <v>74</v>
      </c>
      <c r="BM482" s="1" t="s">
        <v>74</v>
      </c>
      <c r="BN482" s="1">
        <v>1.1872227E7</v>
      </c>
      <c r="BO482" s="1" t="s">
        <v>74</v>
      </c>
      <c r="BP482" s="1" t="s">
        <v>74</v>
      </c>
      <c r="BQ482" s="1" t="s">
        <v>74</v>
      </c>
      <c r="BR482" s="1" t="s">
        <v>74</v>
      </c>
      <c r="BS482" s="1" t="s">
        <v>4962</v>
      </c>
      <c r="BT482" s="1" t="str">
        <f>HYPERLINK("https%3A%2F%2Fwww.webofscience.com%2Fwos%2Fwoscc%2Ffull-record%2FWOS:000174393000038","View Full Record in Web of Science")</f>
        <v>View Full Record in Web of Science</v>
      </c>
    </row>
    <row r="483" ht="12.75" customHeight="1">
      <c r="A483" s="1" t="s">
        <v>72</v>
      </c>
      <c r="B483" s="1" t="s">
        <v>4963</v>
      </c>
      <c r="C483" s="1" t="s">
        <v>74</v>
      </c>
      <c r="D483" s="1" t="s">
        <v>74</v>
      </c>
      <c r="E483" s="1" t="s">
        <v>74</v>
      </c>
      <c r="F483" s="1" t="s">
        <v>4963</v>
      </c>
      <c r="G483" s="1" t="s">
        <v>74</v>
      </c>
      <c r="H483" s="1" t="s">
        <v>74</v>
      </c>
      <c r="I483" s="1" t="s">
        <v>598</v>
      </c>
      <c r="J483" s="1" t="s">
        <v>4964</v>
      </c>
      <c r="K483" s="1" t="s">
        <v>74</v>
      </c>
      <c r="L483" s="1" t="s">
        <v>74</v>
      </c>
      <c r="M483" s="1" t="s">
        <v>74</v>
      </c>
      <c r="N483" s="1" t="s">
        <v>74</v>
      </c>
      <c r="O483" s="1" t="s">
        <v>74</v>
      </c>
      <c r="P483" s="1" t="s">
        <v>74</v>
      </c>
      <c r="Q483" s="1" t="s">
        <v>74</v>
      </c>
      <c r="R483" s="1" t="s">
        <v>74</v>
      </c>
      <c r="S483" s="1" t="s">
        <v>74</v>
      </c>
      <c r="T483" s="1" t="s">
        <v>74</v>
      </c>
      <c r="U483" s="1" t="s">
        <v>74</v>
      </c>
      <c r="V483" s="1" t="s">
        <v>4965</v>
      </c>
      <c r="W483" s="1" t="s">
        <v>74</v>
      </c>
      <c r="X483" s="1" t="s">
        <v>74</v>
      </c>
      <c r="Y483" s="1" t="s">
        <v>74</v>
      </c>
      <c r="Z483" s="1" t="s">
        <v>74</v>
      </c>
      <c r="AA483" s="1" t="s">
        <v>4966</v>
      </c>
      <c r="AB483" s="1" t="s">
        <v>4967</v>
      </c>
      <c r="AC483" s="1" t="s">
        <v>74</v>
      </c>
      <c r="AD483" s="1" t="s">
        <v>74</v>
      </c>
      <c r="AE483" s="1" t="s">
        <v>74</v>
      </c>
      <c r="AF483" s="1" t="s">
        <v>74</v>
      </c>
      <c r="AG483" s="1" t="s">
        <v>74</v>
      </c>
      <c r="AH483" s="1" t="s">
        <v>74</v>
      </c>
      <c r="AI483" s="1" t="s">
        <v>74</v>
      </c>
      <c r="AJ483" s="1" t="s">
        <v>74</v>
      </c>
      <c r="AK483" s="1" t="s">
        <v>74</v>
      </c>
      <c r="AL483" s="1" t="s">
        <v>74</v>
      </c>
      <c r="AM483" s="1" t="s">
        <v>74</v>
      </c>
      <c r="AN483" s="1" t="s">
        <v>74</v>
      </c>
      <c r="AO483" s="1" t="s">
        <v>4968</v>
      </c>
      <c r="AP483" s="1" t="s">
        <v>74</v>
      </c>
      <c r="AQ483" s="1" t="s">
        <v>74</v>
      </c>
      <c r="AR483" s="1" t="s">
        <v>74</v>
      </c>
      <c r="AS483" s="1" t="s">
        <v>74</v>
      </c>
      <c r="AT483" s="1" t="s">
        <v>4969</v>
      </c>
      <c r="AU483" s="1">
        <v>1995.0</v>
      </c>
      <c r="AV483" s="1">
        <v>1252.0</v>
      </c>
      <c r="AW483" s="1">
        <v>1.0</v>
      </c>
      <c r="AX483" s="1" t="s">
        <v>74</v>
      </c>
      <c r="AY483" s="1" t="s">
        <v>74</v>
      </c>
      <c r="AZ483" s="1" t="s">
        <v>74</v>
      </c>
      <c r="BA483" s="1" t="s">
        <v>74</v>
      </c>
      <c r="BB483" s="1">
        <v>23.0</v>
      </c>
      <c r="BC483" s="1">
        <v>27.0</v>
      </c>
      <c r="BD483" s="1" t="s">
        <v>74</v>
      </c>
      <c r="BE483" s="1" t="s">
        <v>4970</v>
      </c>
      <c r="BF483" s="2" t="str">
        <f>HYPERLINK("http://dx.doi.org/10.1016/0167-4838(95)00107-6","http://dx.doi.org/10.1016/0167-4838(95)00107-6")</f>
        <v>http://dx.doi.org/10.1016/0167-4838(95)00107-6</v>
      </c>
      <c r="BG483" s="1" t="s">
        <v>74</v>
      </c>
      <c r="BH483" s="1" t="s">
        <v>74</v>
      </c>
      <c r="BI483" s="1" t="s">
        <v>74</v>
      </c>
      <c r="BJ483" s="1" t="s">
        <v>74</v>
      </c>
      <c r="BK483" s="1" t="s">
        <v>74</v>
      </c>
      <c r="BL483" s="1" t="s">
        <v>74</v>
      </c>
      <c r="BM483" s="1" t="s">
        <v>74</v>
      </c>
      <c r="BN483" s="1">
        <v>7548162.0</v>
      </c>
      <c r="BO483" s="1" t="s">
        <v>74</v>
      </c>
      <c r="BP483" s="1" t="s">
        <v>74</v>
      </c>
      <c r="BQ483" s="1" t="s">
        <v>74</v>
      </c>
      <c r="BR483" s="1" t="s">
        <v>74</v>
      </c>
      <c r="BS483" s="1" t="s">
        <v>4971</v>
      </c>
      <c r="BT483" s="1" t="str">
        <f>HYPERLINK("https%3A%2F%2Fwww.webofscience.com%2Fwos%2Fwoscc%2Ffull-record%2FWOS:A1995RY47000003","View Full Record in Web of Science")</f>
        <v>View Full Record in Web of Science</v>
      </c>
    </row>
    <row r="484" ht="12.75" customHeight="1">
      <c r="A484" s="1" t="s">
        <v>72</v>
      </c>
      <c r="B484" s="1" t="s">
        <v>4972</v>
      </c>
      <c r="C484" s="1" t="s">
        <v>74</v>
      </c>
      <c r="D484" s="1" t="s">
        <v>74</v>
      </c>
      <c r="E484" s="1" t="s">
        <v>74</v>
      </c>
      <c r="F484" s="1" t="s">
        <v>4973</v>
      </c>
      <c r="G484" s="1" t="s">
        <v>74</v>
      </c>
      <c r="H484" s="1" t="s">
        <v>74</v>
      </c>
      <c r="I484" s="1" t="s">
        <v>4974</v>
      </c>
      <c r="J484" s="1" t="s">
        <v>444</v>
      </c>
      <c r="K484" s="1" t="s">
        <v>74</v>
      </c>
      <c r="L484" s="1" t="s">
        <v>74</v>
      </c>
      <c r="M484" s="1" t="s">
        <v>74</v>
      </c>
      <c r="N484" s="1" t="s">
        <v>74</v>
      </c>
      <c r="O484" s="1" t="s">
        <v>74</v>
      </c>
      <c r="P484" s="1" t="s">
        <v>74</v>
      </c>
      <c r="Q484" s="1" t="s">
        <v>74</v>
      </c>
      <c r="R484" s="1" t="s">
        <v>74</v>
      </c>
      <c r="S484" s="1" t="s">
        <v>74</v>
      </c>
      <c r="T484" s="1" t="s">
        <v>74</v>
      </c>
      <c r="U484" s="1" t="s">
        <v>74</v>
      </c>
      <c r="V484" s="1" t="s">
        <v>4975</v>
      </c>
      <c r="W484" s="1" t="s">
        <v>74</v>
      </c>
      <c r="X484" s="1" t="s">
        <v>74</v>
      </c>
      <c r="Y484" s="1" t="s">
        <v>74</v>
      </c>
      <c r="Z484" s="1" t="s">
        <v>74</v>
      </c>
      <c r="AA484" s="1" t="s">
        <v>4976</v>
      </c>
      <c r="AB484" s="1" t="s">
        <v>74</v>
      </c>
      <c r="AC484" s="1" t="s">
        <v>74</v>
      </c>
      <c r="AD484" s="1" t="s">
        <v>74</v>
      </c>
      <c r="AE484" s="1" t="s">
        <v>74</v>
      </c>
      <c r="AF484" s="1" t="s">
        <v>74</v>
      </c>
      <c r="AG484" s="1" t="s">
        <v>74</v>
      </c>
      <c r="AH484" s="1" t="s">
        <v>74</v>
      </c>
      <c r="AI484" s="1" t="s">
        <v>74</v>
      </c>
      <c r="AJ484" s="1" t="s">
        <v>74</v>
      </c>
      <c r="AK484" s="1" t="s">
        <v>74</v>
      </c>
      <c r="AL484" s="1" t="s">
        <v>74</v>
      </c>
      <c r="AM484" s="1" t="s">
        <v>74</v>
      </c>
      <c r="AN484" s="1" t="s">
        <v>74</v>
      </c>
      <c r="AO484" s="1" t="s">
        <v>74</v>
      </c>
      <c r="AP484" s="1" t="s">
        <v>448</v>
      </c>
      <c r="AQ484" s="1" t="s">
        <v>74</v>
      </c>
      <c r="AR484" s="1" t="s">
        <v>74</v>
      </c>
      <c r="AS484" s="1" t="s">
        <v>74</v>
      </c>
      <c r="AT484" s="1" t="s">
        <v>4977</v>
      </c>
      <c r="AU484" s="1">
        <v>2024.0</v>
      </c>
      <c r="AV484" s="1">
        <v>15.0</v>
      </c>
      <c r="AW484" s="1" t="s">
        <v>74</v>
      </c>
      <c r="AX484" s="1" t="s">
        <v>74</v>
      </c>
      <c r="AY484" s="1" t="s">
        <v>74</v>
      </c>
      <c r="AZ484" s="1" t="s">
        <v>74</v>
      </c>
      <c r="BA484" s="1" t="s">
        <v>74</v>
      </c>
      <c r="BB484" s="1" t="s">
        <v>74</v>
      </c>
      <c r="BC484" s="1" t="s">
        <v>74</v>
      </c>
      <c r="BD484" s="1">
        <v>1447097.0</v>
      </c>
      <c r="BE484" s="1" t="s">
        <v>4978</v>
      </c>
      <c r="BF484" s="2" t="str">
        <f>HYPERLINK("http://dx.doi.org/10.3389/fphar.2024.1447097","http://dx.doi.org/10.3389/fphar.2024.1447097")</f>
        <v>http://dx.doi.org/10.3389/fphar.2024.1447097</v>
      </c>
      <c r="BG484" s="1" t="s">
        <v>74</v>
      </c>
      <c r="BH484" s="1" t="s">
        <v>74</v>
      </c>
      <c r="BI484" s="1" t="s">
        <v>74</v>
      </c>
      <c r="BJ484" s="1" t="s">
        <v>74</v>
      </c>
      <c r="BK484" s="1" t="s">
        <v>74</v>
      </c>
      <c r="BL484" s="1" t="s">
        <v>74</v>
      </c>
      <c r="BM484" s="1" t="s">
        <v>74</v>
      </c>
      <c r="BN484" s="1">
        <v>3.940314E7</v>
      </c>
      <c r="BO484" s="1" t="s">
        <v>74</v>
      </c>
      <c r="BP484" s="1" t="s">
        <v>74</v>
      </c>
      <c r="BQ484" s="1" t="s">
        <v>74</v>
      </c>
      <c r="BR484" s="1" t="s">
        <v>74</v>
      </c>
      <c r="BS484" s="1" t="s">
        <v>4979</v>
      </c>
      <c r="BT484" s="1" t="str">
        <f>HYPERLINK("https%3A%2F%2Fwww.webofscience.com%2Fwos%2Fwoscc%2Ffull-record%2FWOS:001334575500001","View Full Record in Web of Science")</f>
        <v>View Full Record in Web of Science</v>
      </c>
    </row>
    <row r="485" ht="12.75" customHeight="1">
      <c r="A485" s="1" t="s">
        <v>72</v>
      </c>
      <c r="B485" s="1" t="s">
        <v>4980</v>
      </c>
      <c r="C485" s="1" t="s">
        <v>74</v>
      </c>
      <c r="D485" s="1" t="s">
        <v>74</v>
      </c>
      <c r="E485" s="1" t="s">
        <v>74</v>
      </c>
      <c r="F485" s="1" t="s">
        <v>4981</v>
      </c>
      <c r="G485" s="1" t="s">
        <v>74</v>
      </c>
      <c r="H485" s="1" t="s">
        <v>74</v>
      </c>
      <c r="I485" s="1" t="s">
        <v>4982</v>
      </c>
      <c r="J485" s="1" t="s">
        <v>864</v>
      </c>
      <c r="K485" s="1" t="s">
        <v>74</v>
      </c>
      <c r="L485" s="1" t="s">
        <v>74</v>
      </c>
      <c r="M485" s="1" t="s">
        <v>74</v>
      </c>
      <c r="N485" s="1" t="s">
        <v>74</v>
      </c>
      <c r="O485" s="1" t="s">
        <v>74</v>
      </c>
      <c r="P485" s="1" t="s">
        <v>74</v>
      </c>
      <c r="Q485" s="1" t="s">
        <v>74</v>
      </c>
      <c r="R485" s="1" t="s">
        <v>74</v>
      </c>
      <c r="S485" s="1" t="s">
        <v>74</v>
      </c>
      <c r="T485" s="1" t="s">
        <v>74</v>
      </c>
      <c r="U485" s="1" t="s">
        <v>74</v>
      </c>
      <c r="V485" s="1" t="s">
        <v>4983</v>
      </c>
      <c r="W485" s="1" t="s">
        <v>74</v>
      </c>
      <c r="X485" s="1" t="s">
        <v>74</v>
      </c>
      <c r="Y485" s="1" t="s">
        <v>74</v>
      </c>
      <c r="Z485" s="1" t="s">
        <v>74</v>
      </c>
      <c r="AA485" s="1" t="s">
        <v>4984</v>
      </c>
      <c r="AB485" s="1" t="s">
        <v>4985</v>
      </c>
      <c r="AC485" s="1" t="s">
        <v>74</v>
      </c>
      <c r="AD485" s="1" t="s">
        <v>74</v>
      </c>
      <c r="AE485" s="1" t="s">
        <v>74</v>
      </c>
      <c r="AF485" s="1" t="s">
        <v>74</v>
      </c>
      <c r="AG485" s="1" t="s">
        <v>74</v>
      </c>
      <c r="AH485" s="1" t="s">
        <v>74</v>
      </c>
      <c r="AI485" s="1" t="s">
        <v>74</v>
      </c>
      <c r="AJ485" s="1" t="s">
        <v>74</v>
      </c>
      <c r="AK485" s="1" t="s">
        <v>74</v>
      </c>
      <c r="AL485" s="1" t="s">
        <v>74</v>
      </c>
      <c r="AM485" s="1" t="s">
        <v>74</v>
      </c>
      <c r="AN485" s="1" t="s">
        <v>74</v>
      </c>
      <c r="AO485" s="1" t="s">
        <v>1906</v>
      </c>
      <c r="AP485" s="1" t="s">
        <v>868</v>
      </c>
      <c r="AQ485" s="1" t="s">
        <v>74</v>
      </c>
      <c r="AR485" s="1" t="s">
        <v>74</v>
      </c>
      <c r="AS485" s="1" t="s">
        <v>74</v>
      </c>
      <c r="AT485" s="1" t="s">
        <v>719</v>
      </c>
      <c r="AU485" s="1">
        <v>2024.0</v>
      </c>
      <c r="AV485" s="1">
        <v>25.0</v>
      </c>
      <c r="AW485" s="1">
        <v>13.0</v>
      </c>
      <c r="AX485" s="1" t="s">
        <v>74</v>
      </c>
      <c r="AY485" s="1" t="s">
        <v>74</v>
      </c>
      <c r="AZ485" s="1" t="s">
        <v>74</v>
      </c>
      <c r="BA485" s="1" t="s">
        <v>74</v>
      </c>
      <c r="BB485" s="1" t="s">
        <v>74</v>
      </c>
      <c r="BC485" s="1" t="s">
        <v>74</v>
      </c>
      <c r="BD485" s="1">
        <v>6905.0</v>
      </c>
      <c r="BE485" s="1" t="s">
        <v>4986</v>
      </c>
      <c r="BF485" s="2" t="str">
        <f>HYPERLINK("http://dx.doi.org/10.3390/ijms25136905","http://dx.doi.org/10.3390/ijms25136905")</f>
        <v>http://dx.doi.org/10.3390/ijms25136905</v>
      </c>
      <c r="BG485" s="1" t="s">
        <v>74</v>
      </c>
      <c r="BH485" s="1" t="s">
        <v>74</v>
      </c>
      <c r="BI485" s="1" t="s">
        <v>74</v>
      </c>
      <c r="BJ485" s="1" t="s">
        <v>74</v>
      </c>
      <c r="BK485" s="1" t="s">
        <v>74</v>
      </c>
      <c r="BL485" s="1" t="s">
        <v>74</v>
      </c>
      <c r="BM485" s="1" t="s">
        <v>74</v>
      </c>
      <c r="BN485" s="1">
        <v>3.9000017E7</v>
      </c>
      <c r="BO485" s="1" t="s">
        <v>74</v>
      </c>
      <c r="BP485" s="1" t="s">
        <v>74</v>
      </c>
      <c r="BQ485" s="1" t="s">
        <v>74</v>
      </c>
      <c r="BR485" s="1" t="s">
        <v>74</v>
      </c>
      <c r="BS485" s="1" t="s">
        <v>4987</v>
      </c>
      <c r="BT485" s="1" t="str">
        <f>HYPERLINK("https%3A%2F%2Fwww.webofscience.com%2Fwos%2Fwoscc%2Ffull-record%2FWOS:001270261400001","View Full Record in Web of Science")</f>
        <v>View Full Record in Web of Science</v>
      </c>
    </row>
    <row r="486" ht="12.75" customHeight="1">
      <c r="A486" s="1" t="s">
        <v>72</v>
      </c>
      <c r="B486" s="1" t="s">
        <v>4988</v>
      </c>
      <c r="C486" s="1" t="s">
        <v>74</v>
      </c>
      <c r="D486" s="1" t="s">
        <v>74</v>
      </c>
      <c r="E486" s="1" t="s">
        <v>74</v>
      </c>
      <c r="F486" s="1" t="s">
        <v>4989</v>
      </c>
      <c r="G486" s="1" t="s">
        <v>74</v>
      </c>
      <c r="H486" s="1" t="s">
        <v>74</v>
      </c>
      <c r="I486" s="1" t="s">
        <v>4990</v>
      </c>
      <c r="J486" s="1" t="s">
        <v>4991</v>
      </c>
      <c r="K486" s="1" t="s">
        <v>74</v>
      </c>
      <c r="L486" s="1" t="s">
        <v>74</v>
      </c>
      <c r="M486" s="1" t="s">
        <v>74</v>
      </c>
      <c r="N486" s="1" t="s">
        <v>74</v>
      </c>
      <c r="O486" s="1" t="s">
        <v>74</v>
      </c>
      <c r="P486" s="1" t="s">
        <v>74</v>
      </c>
      <c r="Q486" s="1" t="s">
        <v>74</v>
      </c>
      <c r="R486" s="1" t="s">
        <v>74</v>
      </c>
      <c r="S486" s="1" t="s">
        <v>74</v>
      </c>
      <c r="T486" s="1" t="s">
        <v>74</v>
      </c>
      <c r="U486" s="1" t="s">
        <v>74</v>
      </c>
      <c r="V486" s="1" t="s">
        <v>4992</v>
      </c>
      <c r="W486" s="1" t="s">
        <v>74</v>
      </c>
      <c r="X486" s="1" t="s">
        <v>74</v>
      </c>
      <c r="Y486" s="1" t="s">
        <v>74</v>
      </c>
      <c r="Z486" s="1" t="s">
        <v>74</v>
      </c>
      <c r="AA486" s="1" t="s">
        <v>4993</v>
      </c>
      <c r="AB486" s="1" t="s">
        <v>4994</v>
      </c>
      <c r="AC486" s="1" t="s">
        <v>74</v>
      </c>
      <c r="AD486" s="1" t="s">
        <v>74</v>
      </c>
      <c r="AE486" s="1" t="s">
        <v>74</v>
      </c>
      <c r="AF486" s="1" t="s">
        <v>74</v>
      </c>
      <c r="AG486" s="1" t="s">
        <v>74</v>
      </c>
      <c r="AH486" s="1" t="s">
        <v>74</v>
      </c>
      <c r="AI486" s="1" t="s">
        <v>74</v>
      </c>
      <c r="AJ486" s="1" t="s">
        <v>74</v>
      </c>
      <c r="AK486" s="1" t="s">
        <v>74</v>
      </c>
      <c r="AL486" s="1" t="s">
        <v>74</v>
      </c>
      <c r="AM486" s="1" t="s">
        <v>74</v>
      </c>
      <c r="AN486" s="1" t="s">
        <v>74</v>
      </c>
      <c r="AO486" s="1" t="s">
        <v>74</v>
      </c>
      <c r="AP486" s="1" t="s">
        <v>4995</v>
      </c>
      <c r="AQ486" s="1" t="s">
        <v>74</v>
      </c>
      <c r="AR486" s="1" t="s">
        <v>74</v>
      </c>
      <c r="AS486" s="1" t="s">
        <v>74</v>
      </c>
      <c r="AT486" s="1" t="s">
        <v>377</v>
      </c>
      <c r="AU486" s="1">
        <v>2024.0</v>
      </c>
      <c r="AV486" s="1">
        <v>12.0</v>
      </c>
      <c r="AW486" s="1">
        <v>10.0</v>
      </c>
      <c r="AX486" s="1" t="s">
        <v>74</v>
      </c>
      <c r="AY486" s="1" t="s">
        <v>74</v>
      </c>
      <c r="AZ486" s="1" t="s">
        <v>74</v>
      </c>
      <c r="BA486" s="1" t="s">
        <v>74</v>
      </c>
      <c r="BB486" s="1" t="s">
        <v>74</v>
      </c>
      <c r="BC486" s="1" t="s">
        <v>74</v>
      </c>
      <c r="BD486" s="1">
        <v>1511.0</v>
      </c>
      <c r="BE486" s="1" t="s">
        <v>4996</v>
      </c>
      <c r="BF486" s="2" t="str">
        <f>HYPERLINK("http://dx.doi.org/10.3390/math12101511","http://dx.doi.org/10.3390/math12101511")</f>
        <v>http://dx.doi.org/10.3390/math12101511</v>
      </c>
      <c r="BG486" s="1" t="s">
        <v>74</v>
      </c>
      <c r="BH486" s="1" t="s">
        <v>74</v>
      </c>
      <c r="BI486" s="1" t="s">
        <v>74</v>
      </c>
      <c r="BJ486" s="1" t="s">
        <v>74</v>
      </c>
      <c r="BK486" s="1" t="s">
        <v>74</v>
      </c>
      <c r="BL486" s="1" t="s">
        <v>74</v>
      </c>
      <c r="BM486" s="1" t="s">
        <v>74</v>
      </c>
      <c r="BN486" s="1" t="s">
        <v>74</v>
      </c>
      <c r="BO486" s="1" t="s">
        <v>74</v>
      </c>
      <c r="BP486" s="1" t="s">
        <v>74</v>
      </c>
      <c r="BQ486" s="1" t="s">
        <v>74</v>
      </c>
      <c r="BR486" s="1" t="s">
        <v>74</v>
      </c>
      <c r="BS486" s="1" t="s">
        <v>4997</v>
      </c>
      <c r="BT486" s="1" t="str">
        <f>HYPERLINK("https%3A%2F%2Fwww.webofscience.com%2Fwos%2Fwoscc%2Ffull-record%2FWOS:001231562300001","View Full Record in Web of Science")</f>
        <v>View Full Record in Web of Science</v>
      </c>
    </row>
    <row r="487" ht="12.75" customHeight="1">
      <c r="A487" s="1" t="s">
        <v>72</v>
      </c>
      <c r="B487" s="1" t="s">
        <v>4998</v>
      </c>
      <c r="C487" s="1" t="s">
        <v>74</v>
      </c>
      <c r="D487" s="1" t="s">
        <v>74</v>
      </c>
      <c r="E487" s="1" t="s">
        <v>74</v>
      </c>
      <c r="F487" s="1" t="s">
        <v>4999</v>
      </c>
      <c r="G487" s="1" t="s">
        <v>74</v>
      </c>
      <c r="H487" s="1" t="s">
        <v>74</v>
      </c>
      <c r="I487" s="1" t="s">
        <v>5000</v>
      </c>
      <c r="J487" s="1" t="s">
        <v>3593</v>
      </c>
      <c r="K487" s="1" t="s">
        <v>74</v>
      </c>
      <c r="L487" s="1" t="s">
        <v>74</v>
      </c>
      <c r="M487" s="1" t="s">
        <v>74</v>
      </c>
      <c r="N487" s="1" t="s">
        <v>74</v>
      </c>
      <c r="O487" s="1" t="s">
        <v>74</v>
      </c>
      <c r="P487" s="1" t="s">
        <v>74</v>
      </c>
      <c r="Q487" s="1" t="s">
        <v>74</v>
      </c>
      <c r="R487" s="1" t="s">
        <v>74</v>
      </c>
      <c r="S487" s="1" t="s">
        <v>74</v>
      </c>
      <c r="T487" s="1" t="s">
        <v>74</v>
      </c>
      <c r="U487" s="1" t="s">
        <v>74</v>
      </c>
      <c r="V487" s="1" t="s">
        <v>5001</v>
      </c>
      <c r="W487" s="1" t="s">
        <v>74</v>
      </c>
      <c r="X487" s="1" t="s">
        <v>74</v>
      </c>
      <c r="Y487" s="1" t="s">
        <v>74</v>
      </c>
      <c r="Z487" s="1" t="s">
        <v>74</v>
      </c>
      <c r="AA487" s="1" t="s">
        <v>5002</v>
      </c>
      <c r="AB487" s="1" t="s">
        <v>5003</v>
      </c>
      <c r="AC487" s="1" t="s">
        <v>74</v>
      </c>
      <c r="AD487" s="1" t="s">
        <v>74</v>
      </c>
      <c r="AE487" s="1" t="s">
        <v>74</v>
      </c>
      <c r="AF487" s="1" t="s">
        <v>74</v>
      </c>
      <c r="AG487" s="1" t="s">
        <v>74</v>
      </c>
      <c r="AH487" s="1" t="s">
        <v>74</v>
      </c>
      <c r="AI487" s="1" t="s">
        <v>74</v>
      </c>
      <c r="AJ487" s="1" t="s">
        <v>74</v>
      </c>
      <c r="AK487" s="1" t="s">
        <v>74</v>
      </c>
      <c r="AL487" s="1" t="s">
        <v>74</v>
      </c>
      <c r="AM487" s="1" t="s">
        <v>74</v>
      </c>
      <c r="AN487" s="1" t="s">
        <v>74</v>
      </c>
      <c r="AO487" s="1" t="s">
        <v>3597</v>
      </c>
      <c r="AP487" s="1" t="s">
        <v>3598</v>
      </c>
      <c r="AQ487" s="1" t="s">
        <v>74</v>
      </c>
      <c r="AR487" s="1" t="s">
        <v>74</v>
      </c>
      <c r="AS487" s="1" t="s">
        <v>74</v>
      </c>
      <c r="AT487" s="1" t="s">
        <v>5004</v>
      </c>
      <c r="AU487" s="1">
        <v>2024.0</v>
      </c>
      <c r="AV487" s="1">
        <v>57.0</v>
      </c>
      <c r="AW487" s="1">
        <v>8.0</v>
      </c>
      <c r="AX487" s="1" t="s">
        <v>74</v>
      </c>
      <c r="AY487" s="1" t="s">
        <v>74</v>
      </c>
      <c r="AZ487" s="1" t="s">
        <v>74</v>
      </c>
      <c r="BA487" s="1" t="s">
        <v>74</v>
      </c>
      <c r="BB487" s="1" t="s">
        <v>74</v>
      </c>
      <c r="BC487" s="1" t="s">
        <v>74</v>
      </c>
      <c r="BD487" s="1">
        <v>85203.0</v>
      </c>
      <c r="BE487" s="1" t="s">
        <v>5005</v>
      </c>
      <c r="BF487" s="2" t="str">
        <f>HYPERLINK("http://dx.doi.org/10.1088/1751-8121/ad24ca","http://dx.doi.org/10.1088/1751-8121/ad24ca")</f>
        <v>http://dx.doi.org/10.1088/1751-8121/ad24ca</v>
      </c>
      <c r="BG487" s="1" t="s">
        <v>74</v>
      </c>
      <c r="BH487" s="1" t="s">
        <v>74</v>
      </c>
      <c r="BI487" s="1" t="s">
        <v>74</v>
      </c>
      <c r="BJ487" s="1" t="s">
        <v>74</v>
      </c>
      <c r="BK487" s="1" t="s">
        <v>74</v>
      </c>
      <c r="BL487" s="1" t="s">
        <v>74</v>
      </c>
      <c r="BM487" s="1" t="s">
        <v>74</v>
      </c>
      <c r="BN487" s="1" t="s">
        <v>74</v>
      </c>
      <c r="BO487" s="1" t="s">
        <v>74</v>
      </c>
      <c r="BP487" s="1" t="s">
        <v>74</v>
      </c>
      <c r="BQ487" s="1" t="s">
        <v>74</v>
      </c>
      <c r="BR487" s="1" t="s">
        <v>74</v>
      </c>
      <c r="BS487" s="1" t="s">
        <v>5006</v>
      </c>
      <c r="BT487" s="1" t="str">
        <f>HYPERLINK("https%3A%2F%2Fwww.webofscience.com%2Fwos%2Fwoscc%2Ffull-record%2FWOS:001159913000001","View Full Record in Web of Science")</f>
        <v>View Full Record in Web of Science</v>
      </c>
    </row>
    <row r="488" ht="12.75" customHeight="1">
      <c r="A488" s="1" t="s">
        <v>72</v>
      </c>
      <c r="B488" s="1" t="s">
        <v>5007</v>
      </c>
      <c r="C488" s="1" t="s">
        <v>74</v>
      </c>
      <c r="D488" s="1" t="s">
        <v>74</v>
      </c>
      <c r="E488" s="1" t="s">
        <v>74</v>
      </c>
      <c r="F488" s="1" t="s">
        <v>5008</v>
      </c>
      <c r="G488" s="1" t="s">
        <v>74</v>
      </c>
      <c r="H488" s="1" t="s">
        <v>74</v>
      </c>
      <c r="I488" s="1" t="s">
        <v>5009</v>
      </c>
      <c r="J488" s="1" t="s">
        <v>842</v>
      </c>
      <c r="K488" s="1" t="s">
        <v>74</v>
      </c>
      <c r="L488" s="1" t="s">
        <v>74</v>
      </c>
      <c r="M488" s="1" t="s">
        <v>74</v>
      </c>
      <c r="N488" s="1" t="s">
        <v>74</v>
      </c>
      <c r="O488" s="1" t="s">
        <v>74</v>
      </c>
      <c r="P488" s="1" t="s">
        <v>74</v>
      </c>
      <c r="Q488" s="1" t="s">
        <v>74</v>
      </c>
      <c r="R488" s="1" t="s">
        <v>74</v>
      </c>
      <c r="S488" s="1" t="s">
        <v>74</v>
      </c>
      <c r="T488" s="1" t="s">
        <v>74</v>
      </c>
      <c r="U488" s="1" t="s">
        <v>74</v>
      </c>
      <c r="V488" s="1" t="s">
        <v>5010</v>
      </c>
      <c r="W488" s="1" t="s">
        <v>74</v>
      </c>
      <c r="X488" s="1" t="s">
        <v>74</v>
      </c>
      <c r="Y488" s="1" t="s">
        <v>74</v>
      </c>
      <c r="Z488" s="1" t="s">
        <v>74</v>
      </c>
      <c r="AA488" s="1" t="s">
        <v>5011</v>
      </c>
      <c r="AB488" s="1" t="s">
        <v>5012</v>
      </c>
      <c r="AC488" s="1" t="s">
        <v>74</v>
      </c>
      <c r="AD488" s="1" t="s">
        <v>74</v>
      </c>
      <c r="AE488" s="1" t="s">
        <v>74</v>
      </c>
      <c r="AF488" s="1" t="s">
        <v>74</v>
      </c>
      <c r="AG488" s="1" t="s">
        <v>74</v>
      </c>
      <c r="AH488" s="1" t="s">
        <v>74</v>
      </c>
      <c r="AI488" s="1" t="s">
        <v>74</v>
      </c>
      <c r="AJ488" s="1" t="s">
        <v>74</v>
      </c>
      <c r="AK488" s="1" t="s">
        <v>74</v>
      </c>
      <c r="AL488" s="1" t="s">
        <v>74</v>
      </c>
      <c r="AM488" s="1" t="s">
        <v>74</v>
      </c>
      <c r="AN488" s="1" t="s">
        <v>74</v>
      </c>
      <c r="AO488" s="1" t="s">
        <v>846</v>
      </c>
      <c r="AP488" s="1" t="s">
        <v>74</v>
      </c>
      <c r="AQ488" s="1" t="s">
        <v>74</v>
      </c>
      <c r="AR488" s="1" t="s">
        <v>74</v>
      </c>
      <c r="AS488" s="1" t="s">
        <v>74</v>
      </c>
      <c r="AT488" s="1" t="s">
        <v>5013</v>
      </c>
      <c r="AU488" s="1">
        <v>2023.0</v>
      </c>
      <c r="AV488" s="1">
        <v>6.0</v>
      </c>
      <c r="AW488" s="1">
        <v>1.0</v>
      </c>
      <c r="AX488" s="1" t="s">
        <v>74</v>
      </c>
      <c r="AY488" s="1" t="s">
        <v>74</v>
      </c>
      <c r="AZ488" s="1" t="s">
        <v>74</v>
      </c>
      <c r="BA488" s="1" t="s">
        <v>74</v>
      </c>
      <c r="BB488" s="1" t="s">
        <v>74</v>
      </c>
      <c r="BC488" s="1" t="s">
        <v>74</v>
      </c>
      <c r="BD488" s="1">
        <v>167.0</v>
      </c>
      <c r="BE488" s="1" t="s">
        <v>5014</v>
      </c>
      <c r="BF488" s="2" t="str">
        <f>HYPERLINK("http://dx.doi.org/10.1038/s42005-023-01283-0","http://dx.doi.org/10.1038/s42005-023-01283-0")</f>
        <v>http://dx.doi.org/10.1038/s42005-023-01283-0</v>
      </c>
      <c r="BG488" s="1" t="s">
        <v>74</v>
      </c>
      <c r="BH488" s="1" t="s">
        <v>74</v>
      </c>
      <c r="BI488" s="1" t="s">
        <v>74</v>
      </c>
      <c r="BJ488" s="1" t="s">
        <v>74</v>
      </c>
      <c r="BK488" s="1" t="s">
        <v>74</v>
      </c>
      <c r="BL488" s="1" t="s">
        <v>74</v>
      </c>
      <c r="BM488" s="1" t="s">
        <v>74</v>
      </c>
      <c r="BN488" s="1" t="s">
        <v>74</v>
      </c>
      <c r="BO488" s="1" t="s">
        <v>74</v>
      </c>
      <c r="BP488" s="1" t="s">
        <v>74</v>
      </c>
      <c r="BQ488" s="1" t="s">
        <v>74</v>
      </c>
      <c r="BR488" s="1" t="s">
        <v>74</v>
      </c>
      <c r="BS488" s="1" t="s">
        <v>5015</v>
      </c>
      <c r="BT488" s="1" t="str">
        <f>HYPERLINK("https%3A%2F%2Fwww.webofscience.com%2Fwos%2Fwoscc%2Ffull-record%2FWOS:001025017900002","View Full Record in Web of Science")</f>
        <v>View Full Record in Web of Science</v>
      </c>
    </row>
    <row r="489" ht="12.75" customHeight="1">
      <c r="A489" s="1" t="s">
        <v>72</v>
      </c>
      <c r="B489" s="1" t="s">
        <v>5016</v>
      </c>
      <c r="C489" s="1" t="s">
        <v>74</v>
      </c>
      <c r="D489" s="1" t="s">
        <v>74</v>
      </c>
      <c r="E489" s="1" t="s">
        <v>74</v>
      </c>
      <c r="F489" s="1" t="s">
        <v>5017</v>
      </c>
      <c r="G489" s="1" t="s">
        <v>74</v>
      </c>
      <c r="H489" s="1" t="s">
        <v>74</v>
      </c>
      <c r="I489" s="1" t="s">
        <v>5018</v>
      </c>
      <c r="J489" s="1" t="s">
        <v>5019</v>
      </c>
      <c r="K489" s="1" t="s">
        <v>74</v>
      </c>
      <c r="L489" s="1" t="s">
        <v>74</v>
      </c>
      <c r="M489" s="1" t="s">
        <v>74</v>
      </c>
      <c r="N489" s="1" t="s">
        <v>74</v>
      </c>
      <c r="O489" s="1" t="s">
        <v>74</v>
      </c>
      <c r="P489" s="1" t="s">
        <v>74</v>
      </c>
      <c r="Q489" s="1" t="s">
        <v>74</v>
      </c>
      <c r="R489" s="1" t="s">
        <v>74</v>
      </c>
      <c r="S489" s="1" t="s">
        <v>74</v>
      </c>
      <c r="T489" s="1" t="s">
        <v>74</v>
      </c>
      <c r="U489" s="1" t="s">
        <v>74</v>
      </c>
      <c r="V489" s="1" t="s">
        <v>5020</v>
      </c>
      <c r="W489" s="1" t="s">
        <v>74</v>
      </c>
      <c r="X489" s="1" t="s">
        <v>74</v>
      </c>
      <c r="Y489" s="1" t="s">
        <v>74</v>
      </c>
      <c r="Z489" s="1" t="s">
        <v>74</v>
      </c>
      <c r="AA489" s="1" t="s">
        <v>5021</v>
      </c>
      <c r="AB489" s="1" t="s">
        <v>5022</v>
      </c>
      <c r="AC489" s="1" t="s">
        <v>74</v>
      </c>
      <c r="AD489" s="1" t="s">
        <v>74</v>
      </c>
      <c r="AE489" s="1" t="s">
        <v>74</v>
      </c>
      <c r="AF489" s="1" t="s">
        <v>74</v>
      </c>
      <c r="AG489" s="1" t="s">
        <v>74</v>
      </c>
      <c r="AH489" s="1" t="s">
        <v>74</v>
      </c>
      <c r="AI489" s="1" t="s">
        <v>74</v>
      </c>
      <c r="AJ489" s="1" t="s">
        <v>74</v>
      </c>
      <c r="AK489" s="1" t="s">
        <v>74</v>
      </c>
      <c r="AL489" s="1" t="s">
        <v>74</v>
      </c>
      <c r="AM489" s="1" t="s">
        <v>74</v>
      </c>
      <c r="AN489" s="1" t="s">
        <v>74</v>
      </c>
      <c r="AO489" s="1" t="s">
        <v>5023</v>
      </c>
      <c r="AP489" s="1" t="s">
        <v>74</v>
      </c>
      <c r="AQ489" s="1" t="s">
        <v>74</v>
      </c>
      <c r="AR489" s="1" t="s">
        <v>74</v>
      </c>
      <c r="AS489" s="1" t="s">
        <v>74</v>
      </c>
      <c r="AT489" s="1" t="s">
        <v>259</v>
      </c>
      <c r="AU489" s="1">
        <v>2023.0</v>
      </c>
      <c r="AV489" s="1">
        <v>54.0</v>
      </c>
      <c r="AW489" s="1" t="s">
        <v>74</v>
      </c>
      <c r="AX489" s="1" t="s">
        <v>74</v>
      </c>
      <c r="AY489" s="1" t="s">
        <v>74</v>
      </c>
      <c r="AZ489" s="1" t="s">
        <v>74</v>
      </c>
      <c r="BA489" s="1" t="s">
        <v>74</v>
      </c>
      <c r="BB489" s="1" t="s">
        <v>74</v>
      </c>
      <c r="BC489" s="1" t="s">
        <v>74</v>
      </c>
      <c r="BD489" s="1">
        <v>103922.0</v>
      </c>
      <c r="BE489" s="1" t="s">
        <v>5024</v>
      </c>
      <c r="BF489" s="2" t="str">
        <f>HYPERLINK("http://dx.doi.org/10.1016/j.jwpe.2023.103922","http://dx.doi.org/10.1016/j.jwpe.2023.103922")</f>
        <v>http://dx.doi.org/10.1016/j.jwpe.2023.103922</v>
      </c>
      <c r="BG489" s="1" t="s">
        <v>74</v>
      </c>
      <c r="BH489" s="1" t="s">
        <v>5025</v>
      </c>
      <c r="BI489" s="1" t="s">
        <v>74</v>
      </c>
      <c r="BJ489" s="1" t="s">
        <v>74</v>
      </c>
      <c r="BK489" s="1" t="s">
        <v>74</v>
      </c>
      <c r="BL489" s="1" t="s">
        <v>74</v>
      </c>
      <c r="BM489" s="1" t="s">
        <v>74</v>
      </c>
      <c r="BN489" s="1" t="s">
        <v>74</v>
      </c>
      <c r="BO489" s="1" t="s">
        <v>74</v>
      </c>
      <c r="BP489" s="1" t="s">
        <v>74</v>
      </c>
      <c r="BQ489" s="1" t="s">
        <v>74</v>
      </c>
      <c r="BR489" s="1" t="s">
        <v>74</v>
      </c>
      <c r="BS489" s="1" t="s">
        <v>5026</v>
      </c>
      <c r="BT489" s="1" t="str">
        <f>HYPERLINK("https%3A%2F%2Fwww.webofscience.com%2Fwos%2Fwoscc%2Ffull-record%2FWOS:001028244900001","View Full Record in Web of Science")</f>
        <v>View Full Record in Web of Science</v>
      </c>
    </row>
    <row r="490" ht="12.75" customHeight="1">
      <c r="A490" s="1" t="s">
        <v>72</v>
      </c>
      <c r="B490" s="1" t="s">
        <v>5027</v>
      </c>
      <c r="C490" s="1" t="s">
        <v>74</v>
      </c>
      <c r="D490" s="1" t="s">
        <v>74</v>
      </c>
      <c r="E490" s="1" t="s">
        <v>74</v>
      </c>
      <c r="F490" s="1" t="s">
        <v>5028</v>
      </c>
      <c r="G490" s="1" t="s">
        <v>74</v>
      </c>
      <c r="H490" s="1" t="s">
        <v>74</v>
      </c>
      <c r="I490" s="1" t="s">
        <v>5029</v>
      </c>
      <c r="J490" s="1" t="s">
        <v>1734</v>
      </c>
      <c r="K490" s="1" t="s">
        <v>74</v>
      </c>
      <c r="L490" s="1" t="s">
        <v>74</v>
      </c>
      <c r="M490" s="1" t="s">
        <v>74</v>
      </c>
      <c r="N490" s="1" t="s">
        <v>74</v>
      </c>
      <c r="O490" s="1" t="s">
        <v>74</v>
      </c>
      <c r="P490" s="1" t="s">
        <v>74</v>
      </c>
      <c r="Q490" s="1" t="s">
        <v>74</v>
      </c>
      <c r="R490" s="1" t="s">
        <v>74</v>
      </c>
      <c r="S490" s="1" t="s">
        <v>74</v>
      </c>
      <c r="T490" s="1" t="s">
        <v>74</v>
      </c>
      <c r="U490" s="1" t="s">
        <v>74</v>
      </c>
      <c r="V490" s="1" t="s">
        <v>5030</v>
      </c>
      <c r="W490" s="1" t="s">
        <v>74</v>
      </c>
      <c r="X490" s="1" t="s">
        <v>74</v>
      </c>
      <c r="Y490" s="1" t="s">
        <v>74</v>
      </c>
      <c r="Z490" s="1" t="s">
        <v>74</v>
      </c>
      <c r="AA490" s="1" t="s">
        <v>5031</v>
      </c>
      <c r="AB490" s="1" t="s">
        <v>5032</v>
      </c>
      <c r="AC490" s="1" t="s">
        <v>74</v>
      </c>
      <c r="AD490" s="1" t="s">
        <v>74</v>
      </c>
      <c r="AE490" s="1" t="s">
        <v>74</v>
      </c>
      <c r="AF490" s="1" t="s">
        <v>74</v>
      </c>
      <c r="AG490" s="1" t="s">
        <v>74</v>
      </c>
      <c r="AH490" s="1" t="s">
        <v>74</v>
      </c>
      <c r="AI490" s="1" t="s">
        <v>74</v>
      </c>
      <c r="AJ490" s="1" t="s">
        <v>74</v>
      </c>
      <c r="AK490" s="1" t="s">
        <v>74</v>
      </c>
      <c r="AL490" s="1" t="s">
        <v>74</v>
      </c>
      <c r="AM490" s="1" t="s">
        <v>74</v>
      </c>
      <c r="AN490" s="1" t="s">
        <v>74</v>
      </c>
      <c r="AO490" s="1" t="s">
        <v>1737</v>
      </c>
      <c r="AP490" s="1" t="s">
        <v>1738</v>
      </c>
      <c r="AQ490" s="1" t="s">
        <v>74</v>
      </c>
      <c r="AR490" s="1" t="s">
        <v>74</v>
      </c>
      <c r="AS490" s="1" t="s">
        <v>74</v>
      </c>
      <c r="AT490" s="1" t="s">
        <v>398</v>
      </c>
      <c r="AU490" s="1">
        <v>2023.0</v>
      </c>
      <c r="AV490" s="1">
        <v>151.0</v>
      </c>
      <c r="AW490" s="1">
        <v>1.0</v>
      </c>
      <c r="AX490" s="1" t="s">
        <v>74</v>
      </c>
      <c r="AY490" s="1" t="s">
        <v>74</v>
      </c>
      <c r="AZ490" s="1" t="s">
        <v>74</v>
      </c>
      <c r="BA490" s="1" t="s">
        <v>74</v>
      </c>
      <c r="BB490" s="1">
        <v>61.0</v>
      </c>
      <c r="BC490" s="1">
        <v>71.0</v>
      </c>
      <c r="BD490" s="1" t="s">
        <v>74</v>
      </c>
      <c r="BE490" s="1" t="s">
        <v>74</v>
      </c>
      <c r="BF490" s="1" t="s">
        <v>74</v>
      </c>
      <c r="BG490" s="1" t="s">
        <v>74</v>
      </c>
      <c r="BH490" s="1" t="s">
        <v>74</v>
      </c>
      <c r="BI490" s="1" t="s">
        <v>74</v>
      </c>
      <c r="BJ490" s="1" t="s">
        <v>74</v>
      </c>
      <c r="BK490" s="1" t="s">
        <v>74</v>
      </c>
      <c r="BL490" s="1" t="s">
        <v>74</v>
      </c>
      <c r="BM490" s="1" t="s">
        <v>74</v>
      </c>
      <c r="BN490" s="1">
        <v>3.7906747E7</v>
      </c>
      <c r="BO490" s="1" t="s">
        <v>74</v>
      </c>
      <c r="BP490" s="1" t="s">
        <v>74</v>
      </c>
      <c r="BQ490" s="1" t="s">
        <v>74</v>
      </c>
      <c r="BR490" s="1" t="s">
        <v>74</v>
      </c>
      <c r="BS490" s="1" t="s">
        <v>5033</v>
      </c>
      <c r="BT490" s="1" t="str">
        <f>HYPERLINK("https%3A%2F%2Fwww.webofscience.com%2Fwos%2Fwoscc%2Ffull-record%2FWOS:001054505000007","View Full Record in Web of Science")</f>
        <v>View Full Record in Web of Science</v>
      </c>
    </row>
    <row r="491" ht="12.75" customHeight="1">
      <c r="A491" s="1" t="s">
        <v>72</v>
      </c>
      <c r="B491" s="1" t="s">
        <v>5034</v>
      </c>
      <c r="C491" s="1" t="s">
        <v>74</v>
      </c>
      <c r="D491" s="1" t="s">
        <v>74</v>
      </c>
      <c r="E491" s="1" t="s">
        <v>74</v>
      </c>
      <c r="F491" s="1" t="s">
        <v>5035</v>
      </c>
      <c r="G491" s="1" t="s">
        <v>74</v>
      </c>
      <c r="H491" s="1" t="s">
        <v>74</v>
      </c>
      <c r="I491" s="1" t="s">
        <v>5036</v>
      </c>
      <c r="J491" s="1" t="s">
        <v>910</v>
      </c>
      <c r="K491" s="1" t="s">
        <v>74</v>
      </c>
      <c r="L491" s="1" t="s">
        <v>74</v>
      </c>
      <c r="M491" s="1" t="s">
        <v>74</v>
      </c>
      <c r="N491" s="1" t="s">
        <v>74</v>
      </c>
      <c r="O491" s="1" t="s">
        <v>74</v>
      </c>
      <c r="P491" s="1" t="s">
        <v>74</v>
      </c>
      <c r="Q491" s="1" t="s">
        <v>74</v>
      </c>
      <c r="R491" s="1" t="s">
        <v>74</v>
      </c>
      <c r="S491" s="1" t="s">
        <v>74</v>
      </c>
      <c r="T491" s="1" t="s">
        <v>74</v>
      </c>
      <c r="U491" s="1" t="s">
        <v>74</v>
      </c>
      <c r="V491" s="1" t="s">
        <v>5037</v>
      </c>
      <c r="W491" s="1" t="s">
        <v>74</v>
      </c>
      <c r="X491" s="1" t="s">
        <v>74</v>
      </c>
      <c r="Y491" s="1" t="s">
        <v>74</v>
      </c>
      <c r="Z491" s="1" t="s">
        <v>74</v>
      </c>
      <c r="AA491" s="1" t="s">
        <v>5038</v>
      </c>
      <c r="AB491" s="1" t="s">
        <v>5039</v>
      </c>
      <c r="AC491" s="1" t="s">
        <v>74</v>
      </c>
      <c r="AD491" s="1" t="s">
        <v>74</v>
      </c>
      <c r="AE491" s="1" t="s">
        <v>74</v>
      </c>
      <c r="AF491" s="1" t="s">
        <v>74</v>
      </c>
      <c r="AG491" s="1" t="s">
        <v>74</v>
      </c>
      <c r="AH491" s="1" t="s">
        <v>74</v>
      </c>
      <c r="AI491" s="1" t="s">
        <v>74</v>
      </c>
      <c r="AJ491" s="1" t="s">
        <v>74</v>
      </c>
      <c r="AK491" s="1" t="s">
        <v>74</v>
      </c>
      <c r="AL491" s="1" t="s">
        <v>74</v>
      </c>
      <c r="AM491" s="1" t="s">
        <v>74</v>
      </c>
      <c r="AN491" s="1" t="s">
        <v>74</v>
      </c>
      <c r="AO491" s="1" t="s">
        <v>74</v>
      </c>
      <c r="AP491" s="1" t="s">
        <v>914</v>
      </c>
      <c r="AQ491" s="1" t="s">
        <v>74</v>
      </c>
      <c r="AR491" s="1" t="s">
        <v>74</v>
      </c>
      <c r="AS491" s="1" t="s">
        <v>74</v>
      </c>
      <c r="AT491" s="1" t="s">
        <v>398</v>
      </c>
      <c r="AU491" s="1">
        <v>2023.0</v>
      </c>
      <c r="AV491" s="1">
        <v>23.0</v>
      </c>
      <c r="AW491" s="1">
        <v>3.0</v>
      </c>
      <c r="AX491" s="1" t="s">
        <v>74</v>
      </c>
      <c r="AY491" s="1" t="s">
        <v>74</v>
      </c>
      <c r="AZ491" s="1" t="s">
        <v>74</v>
      </c>
      <c r="BA491" s="1" t="s">
        <v>74</v>
      </c>
      <c r="BB491" s="1" t="s">
        <v>74</v>
      </c>
      <c r="BC491" s="1" t="s">
        <v>74</v>
      </c>
      <c r="BD491" s="1">
        <v>1533.0</v>
      </c>
      <c r="BE491" s="1" t="s">
        <v>5040</v>
      </c>
      <c r="BF491" s="2" t="str">
        <f>HYPERLINK("http://dx.doi.org/10.3390/s23031533","http://dx.doi.org/10.3390/s23031533")</f>
        <v>http://dx.doi.org/10.3390/s23031533</v>
      </c>
      <c r="BG491" s="1" t="s">
        <v>74</v>
      </c>
      <c r="BH491" s="1" t="s">
        <v>74</v>
      </c>
      <c r="BI491" s="1" t="s">
        <v>74</v>
      </c>
      <c r="BJ491" s="1" t="s">
        <v>74</v>
      </c>
      <c r="BK491" s="1" t="s">
        <v>74</v>
      </c>
      <c r="BL491" s="1" t="s">
        <v>74</v>
      </c>
      <c r="BM491" s="1" t="s">
        <v>74</v>
      </c>
      <c r="BN491" s="1">
        <v>3.6772574E7</v>
      </c>
      <c r="BO491" s="1" t="s">
        <v>74</v>
      </c>
      <c r="BP491" s="1" t="s">
        <v>74</v>
      </c>
      <c r="BQ491" s="1" t="s">
        <v>74</v>
      </c>
      <c r="BR491" s="1" t="s">
        <v>74</v>
      </c>
      <c r="BS491" s="1" t="s">
        <v>5041</v>
      </c>
      <c r="BT491" s="1" t="str">
        <f>HYPERLINK("https%3A%2F%2Fwww.webofscience.com%2Fwos%2Fwoscc%2Ffull-record%2FWOS:000932986300001","View Full Record in Web of Science")</f>
        <v>View Full Record in Web of Science</v>
      </c>
    </row>
    <row r="492" ht="12.75" customHeight="1">
      <c r="A492" s="1" t="s">
        <v>72</v>
      </c>
      <c r="B492" s="1" t="s">
        <v>5042</v>
      </c>
      <c r="C492" s="1" t="s">
        <v>74</v>
      </c>
      <c r="D492" s="1" t="s">
        <v>74</v>
      </c>
      <c r="E492" s="1" t="s">
        <v>74</v>
      </c>
      <c r="F492" s="1" t="s">
        <v>5043</v>
      </c>
      <c r="G492" s="1" t="s">
        <v>74</v>
      </c>
      <c r="H492" s="1" t="s">
        <v>74</v>
      </c>
      <c r="I492" s="1" t="s">
        <v>5044</v>
      </c>
      <c r="J492" s="1" t="s">
        <v>5045</v>
      </c>
      <c r="K492" s="1" t="s">
        <v>74</v>
      </c>
      <c r="L492" s="1" t="s">
        <v>74</v>
      </c>
      <c r="M492" s="1" t="s">
        <v>74</v>
      </c>
      <c r="N492" s="1" t="s">
        <v>74</v>
      </c>
      <c r="O492" s="1" t="s">
        <v>74</v>
      </c>
      <c r="P492" s="1" t="s">
        <v>74</v>
      </c>
      <c r="Q492" s="1" t="s">
        <v>74</v>
      </c>
      <c r="R492" s="1" t="s">
        <v>74</v>
      </c>
      <c r="S492" s="1" t="s">
        <v>74</v>
      </c>
      <c r="T492" s="1" t="s">
        <v>74</v>
      </c>
      <c r="U492" s="1" t="s">
        <v>74</v>
      </c>
      <c r="V492" s="1" t="s">
        <v>5046</v>
      </c>
      <c r="W492" s="1" t="s">
        <v>74</v>
      </c>
      <c r="X492" s="1" t="s">
        <v>74</v>
      </c>
      <c r="Y492" s="1" t="s">
        <v>74</v>
      </c>
      <c r="Z492" s="1" t="s">
        <v>74</v>
      </c>
      <c r="AA492" s="1" t="s">
        <v>5047</v>
      </c>
      <c r="AB492" s="1" t="s">
        <v>74</v>
      </c>
      <c r="AC492" s="1" t="s">
        <v>74</v>
      </c>
      <c r="AD492" s="1" t="s">
        <v>74</v>
      </c>
      <c r="AE492" s="1" t="s">
        <v>74</v>
      </c>
      <c r="AF492" s="1" t="s">
        <v>74</v>
      </c>
      <c r="AG492" s="1" t="s">
        <v>74</v>
      </c>
      <c r="AH492" s="1" t="s">
        <v>74</v>
      </c>
      <c r="AI492" s="1" t="s">
        <v>74</v>
      </c>
      <c r="AJ492" s="1" t="s">
        <v>74</v>
      </c>
      <c r="AK492" s="1" t="s">
        <v>74</v>
      </c>
      <c r="AL492" s="1" t="s">
        <v>74</v>
      </c>
      <c r="AM492" s="1" t="s">
        <v>74</v>
      </c>
      <c r="AN492" s="1" t="s">
        <v>74</v>
      </c>
      <c r="AO492" s="1" t="s">
        <v>5048</v>
      </c>
      <c r="AP492" s="1" t="s">
        <v>5049</v>
      </c>
      <c r="AQ492" s="1" t="s">
        <v>74</v>
      </c>
      <c r="AR492" s="1" t="s">
        <v>74</v>
      </c>
      <c r="AS492" s="1" t="s">
        <v>74</v>
      </c>
      <c r="AT492" s="1" t="s">
        <v>74</v>
      </c>
      <c r="AU492" s="1">
        <v>2023.0</v>
      </c>
      <c r="AV492" s="1">
        <v>43.0</v>
      </c>
      <c r="AW492" s="1">
        <v>2.0</v>
      </c>
      <c r="AX492" s="1" t="s">
        <v>74</v>
      </c>
      <c r="AY492" s="1" t="s">
        <v>74</v>
      </c>
      <c r="AZ492" s="1" t="s">
        <v>74</v>
      </c>
      <c r="BA492" s="1" t="s">
        <v>74</v>
      </c>
      <c r="BB492" s="1">
        <v>68.0</v>
      </c>
      <c r="BC492" s="1">
        <v>74.0</v>
      </c>
      <c r="BD492" s="1" t="s">
        <v>74</v>
      </c>
      <c r="BE492" s="1" t="s">
        <v>5050</v>
      </c>
      <c r="BF492" s="2" t="str">
        <f>HYPERLINK("http://dx.doi.org/10.12873/432aravena","http://dx.doi.org/10.12873/432aravena")</f>
        <v>http://dx.doi.org/10.12873/432aravena</v>
      </c>
      <c r="BG492" s="1" t="s">
        <v>74</v>
      </c>
      <c r="BH492" s="1" t="s">
        <v>74</v>
      </c>
      <c r="BI492" s="1" t="s">
        <v>74</v>
      </c>
      <c r="BJ492" s="1" t="s">
        <v>74</v>
      </c>
      <c r="BK492" s="1" t="s">
        <v>74</v>
      </c>
      <c r="BL492" s="1" t="s">
        <v>74</v>
      </c>
      <c r="BM492" s="1" t="s">
        <v>74</v>
      </c>
      <c r="BN492" s="1" t="s">
        <v>74</v>
      </c>
      <c r="BO492" s="1" t="s">
        <v>74</v>
      </c>
      <c r="BP492" s="1" t="s">
        <v>74</v>
      </c>
      <c r="BQ492" s="1" t="s">
        <v>74</v>
      </c>
      <c r="BR492" s="1" t="s">
        <v>74</v>
      </c>
      <c r="BS492" s="1" t="s">
        <v>5051</v>
      </c>
      <c r="BT492" s="1" t="str">
        <f>HYPERLINK("https%3A%2F%2Fwww.webofscience.com%2Fwos%2Fwoscc%2Ffull-record%2FWOS:000985806000007","View Full Record in Web of Science")</f>
        <v>View Full Record in Web of Science</v>
      </c>
    </row>
    <row r="493" ht="12.75" customHeight="1">
      <c r="A493" s="1" t="s">
        <v>72</v>
      </c>
      <c r="B493" s="1" t="s">
        <v>5052</v>
      </c>
      <c r="C493" s="1" t="s">
        <v>74</v>
      </c>
      <c r="D493" s="1" t="s">
        <v>74</v>
      </c>
      <c r="E493" s="1" t="s">
        <v>74</v>
      </c>
      <c r="F493" s="1" t="s">
        <v>5053</v>
      </c>
      <c r="G493" s="1" t="s">
        <v>74</v>
      </c>
      <c r="H493" s="1" t="s">
        <v>74</v>
      </c>
      <c r="I493" s="1" t="s">
        <v>5054</v>
      </c>
      <c r="J493" s="1" t="s">
        <v>3711</v>
      </c>
      <c r="K493" s="1" t="s">
        <v>74</v>
      </c>
      <c r="L493" s="1" t="s">
        <v>74</v>
      </c>
      <c r="M493" s="1" t="s">
        <v>74</v>
      </c>
      <c r="N493" s="1" t="s">
        <v>74</v>
      </c>
      <c r="O493" s="1" t="s">
        <v>74</v>
      </c>
      <c r="P493" s="1" t="s">
        <v>74</v>
      </c>
      <c r="Q493" s="1" t="s">
        <v>74</v>
      </c>
      <c r="R493" s="1" t="s">
        <v>74</v>
      </c>
      <c r="S493" s="1" t="s">
        <v>74</v>
      </c>
      <c r="T493" s="1" t="s">
        <v>74</v>
      </c>
      <c r="U493" s="1" t="s">
        <v>74</v>
      </c>
      <c r="V493" s="1" t="s">
        <v>5055</v>
      </c>
      <c r="W493" s="1" t="s">
        <v>74</v>
      </c>
      <c r="X493" s="1" t="s">
        <v>74</v>
      </c>
      <c r="Y493" s="1" t="s">
        <v>74</v>
      </c>
      <c r="Z493" s="1" t="s">
        <v>74</v>
      </c>
      <c r="AA493" s="1" t="s">
        <v>5056</v>
      </c>
      <c r="AB493" s="1" t="s">
        <v>5057</v>
      </c>
      <c r="AC493" s="1" t="s">
        <v>74</v>
      </c>
      <c r="AD493" s="1" t="s">
        <v>74</v>
      </c>
      <c r="AE493" s="1" t="s">
        <v>74</v>
      </c>
      <c r="AF493" s="1" t="s">
        <v>74</v>
      </c>
      <c r="AG493" s="1" t="s">
        <v>74</v>
      </c>
      <c r="AH493" s="1" t="s">
        <v>74</v>
      </c>
      <c r="AI493" s="1" t="s">
        <v>74</v>
      </c>
      <c r="AJ493" s="1" t="s">
        <v>74</v>
      </c>
      <c r="AK493" s="1" t="s">
        <v>74</v>
      </c>
      <c r="AL493" s="1" t="s">
        <v>74</v>
      </c>
      <c r="AM493" s="1" t="s">
        <v>74</v>
      </c>
      <c r="AN493" s="1" t="s">
        <v>74</v>
      </c>
      <c r="AO493" s="1" t="s">
        <v>3715</v>
      </c>
      <c r="AP493" s="1" t="s">
        <v>3932</v>
      </c>
      <c r="AQ493" s="1" t="s">
        <v>74</v>
      </c>
      <c r="AR493" s="1" t="s">
        <v>74</v>
      </c>
      <c r="AS493" s="1" t="s">
        <v>74</v>
      </c>
      <c r="AT493" s="1" t="s">
        <v>5058</v>
      </c>
      <c r="AU493" s="1">
        <v>2021.0</v>
      </c>
      <c r="AV493" s="1">
        <v>50.0</v>
      </c>
      <c r="AW493" s="1">
        <v>8.0</v>
      </c>
      <c r="AX493" s="1" t="s">
        <v>74</v>
      </c>
      <c r="AY493" s="1" t="s">
        <v>74</v>
      </c>
      <c r="AZ493" s="1" t="s">
        <v>74</v>
      </c>
      <c r="BA493" s="1" t="s">
        <v>74</v>
      </c>
      <c r="BB493" s="1">
        <v>2981.0</v>
      </c>
      <c r="BC493" s="1">
        <v>2996.0</v>
      </c>
      <c r="BD493" s="1" t="s">
        <v>74</v>
      </c>
      <c r="BE493" s="1" t="s">
        <v>5059</v>
      </c>
      <c r="BF493" s="2" t="str">
        <f>HYPERLINK("http://dx.doi.org/10.1039/d0dt03696j","http://dx.doi.org/10.1039/d0dt03696j")</f>
        <v>http://dx.doi.org/10.1039/d0dt03696j</v>
      </c>
      <c r="BG493" s="1" t="s">
        <v>74</v>
      </c>
      <c r="BH493" s="1" t="s">
        <v>74</v>
      </c>
      <c r="BI493" s="1" t="s">
        <v>74</v>
      </c>
      <c r="BJ493" s="1" t="s">
        <v>74</v>
      </c>
      <c r="BK493" s="1" t="s">
        <v>74</v>
      </c>
      <c r="BL493" s="1" t="s">
        <v>74</v>
      </c>
      <c r="BM493" s="1" t="s">
        <v>74</v>
      </c>
      <c r="BN493" s="1">
        <v>3.3565528E7</v>
      </c>
      <c r="BO493" s="1" t="s">
        <v>74</v>
      </c>
      <c r="BP493" s="1" t="s">
        <v>74</v>
      </c>
      <c r="BQ493" s="1" t="s">
        <v>74</v>
      </c>
      <c r="BR493" s="1" t="s">
        <v>74</v>
      </c>
      <c r="BS493" s="1" t="s">
        <v>5060</v>
      </c>
      <c r="BT493" s="1" t="str">
        <f>HYPERLINK("https%3A%2F%2Fwww.webofscience.com%2Fwos%2Fwoscc%2Ffull-record%2FWOS:000624242900030","View Full Record in Web of Science")</f>
        <v>View Full Record in Web of Science</v>
      </c>
    </row>
    <row r="494" ht="12.75" customHeight="1">
      <c r="A494" s="1" t="s">
        <v>72</v>
      </c>
      <c r="B494" s="1" t="s">
        <v>5061</v>
      </c>
      <c r="C494" s="1" t="s">
        <v>74</v>
      </c>
      <c r="D494" s="1" t="s">
        <v>74</v>
      </c>
      <c r="E494" s="1" t="s">
        <v>74</v>
      </c>
      <c r="F494" s="1" t="s">
        <v>5062</v>
      </c>
      <c r="G494" s="1" t="s">
        <v>74</v>
      </c>
      <c r="H494" s="1" t="s">
        <v>74</v>
      </c>
      <c r="I494" s="1" t="s">
        <v>5063</v>
      </c>
      <c r="J494" s="1" t="s">
        <v>747</v>
      </c>
      <c r="K494" s="1" t="s">
        <v>74</v>
      </c>
      <c r="L494" s="1" t="s">
        <v>74</v>
      </c>
      <c r="M494" s="1" t="s">
        <v>74</v>
      </c>
      <c r="N494" s="1" t="s">
        <v>74</v>
      </c>
      <c r="O494" s="1" t="s">
        <v>74</v>
      </c>
      <c r="P494" s="1" t="s">
        <v>74</v>
      </c>
      <c r="Q494" s="1" t="s">
        <v>74</v>
      </c>
      <c r="R494" s="1" t="s">
        <v>74</v>
      </c>
      <c r="S494" s="1" t="s">
        <v>74</v>
      </c>
      <c r="T494" s="1" t="s">
        <v>74</v>
      </c>
      <c r="U494" s="1" t="s">
        <v>74</v>
      </c>
      <c r="V494" s="1" t="s">
        <v>5064</v>
      </c>
      <c r="W494" s="1" t="s">
        <v>74</v>
      </c>
      <c r="X494" s="1" t="s">
        <v>74</v>
      </c>
      <c r="Y494" s="1" t="s">
        <v>74</v>
      </c>
      <c r="Z494" s="1" t="s">
        <v>74</v>
      </c>
      <c r="AA494" s="1" t="s">
        <v>5065</v>
      </c>
      <c r="AB494" s="1" t="s">
        <v>5066</v>
      </c>
      <c r="AC494" s="1" t="s">
        <v>74</v>
      </c>
      <c r="AD494" s="1" t="s">
        <v>74</v>
      </c>
      <c r="AE494" s="1" t="s">
        <v>74</v>
      </c>
      <c r="AF494" s="1" t="s">
        <v>74</v>
      </c>
      <c r="AG494" s="1" t="s">
        <v>74</v>
      </c>
      <c r="AH494" s="1" t="s">
        <v>74</v>
      </c>
      <c r="AI494" s="1" t="s">
        <v>74</v>
      </c>
      <c r="AJ494" s="1" t="s">
        <v>74</v>
      </c>
      <c r="AK494" s="1" t="s">
        <v>74</v>
      </c>
      <c r="AL494" s="1" t="s">
        <v>74</v>
      </c>
      <c r="AM494" s="1" t="s">
        <v>74</v>
      </c>
      <c r="AN494" s="1" t="s">
        <v>74</v>
      </c>
      <c r="AO494" s="1" t="s">
        <v>751</v>
      </c>
      <c r="AP494" s="1" t="s">
        <v>752</v>
      </c>
      <c r="AQ494" s="1" t="s">
        <v>74</v>
      </c>
      <c r="AR494" s="1" t="s">
        <v>74</v>
      </c>
      <c r="AS494" s="1" t="s">
        <v>74</v>
      </c>
      <c r="AT494" s="1" t="s">
        <v>5067</v>
      </c>
      <c r="AU494" s="1">
        <v>2020.0</v>
      </c>
      <c r="AV494" s="1">
        <v>53.0</v>
      </c>
      <c r="AW494" s="1">
        <v>39.0</v>
      </c>
      <c r="AX494" s="1" t="s">
        <v>74</v>
      </c>
      <c r="AY494" s="1" t="s">
        <v>74</v>
      </c>
      <c r="AZ494" s="1" t="s">
        <v>74</v>
      </c>
      <c r="BA494" s="1" t="s">
        <v>74</v>
      </c>
      <c r="BB494" s="1" t="s">
        <v>74</v>
      </c>
      <c r="BC494" s="1" t="s">
        <v>74</v>
      </c>
      <c r="BD494" s="1">
        <v>395001.0</v>
      </c>
      <c r="BE494" s="1" t="s">
        <v>5068</v>
      </c>
      <c r="BF494" s="2" t="str">
        <f>HYPERLINK("http://dx.doi.org/10.1088/1361-6463/ab95be","http://dx.doi.org/10.1088/1361-6463/ab95be")</f>
        <v>http://dx.doi.org/10.1088/1361-6463/ab95be</v>
      </c>
      <c r="BG494" s="1" t="s">
        <v>74</v>
      </c>
      <c r="BH494" s="1" t="s">
        <v>74</v>
      </c>
      <c r="BI494" s="1" t="s">
        <v>74</v>
      </c>
      <c r="BJ494" s="1" t="s">
        <v>74</v>
      </c>
      <c r="BK494" s="1" t="s">
        <v>74</v>
      </c>
      <c r="BL494" s="1" t="s">
        <v>74</v>
      </c>
      <c r="BM494" s="1" t="s">
        <v>74</v>
      </c>
      <c r="BN494" s="1" t="s">
        <v>74</v>
      </c>
      <c r="BO494" s="1" t="s">
        <v>74</v>
      </c>
      <c r="BP494" s="1" t="s">
        <v>74</v>
      </c>
      <c r="BQ494" s="1" t="s">
        <v>74</v>
      </c>
      <c r="BR494" s="1" t="s">
        <v>74</v>
      </c>
      <c r="BS494" s="1" t="s">
        <v>5069</v>
      </c>
      <c r="BT494" s="1" t="str">
        <f>HYPERLINK("https%3A%2F%2Fwww.webofscience.com%2Fwos%2Fwoscc%2Ffull-record%2FWOS:000549142400001","View Full Record in Web of Science")</f>
        <v>View Full Record in Web of Science</v>
      </c>
    </row>
    <row r="495" ht="12.75" customHeight="1">
      <c r="A495" s="1" t="s">
        <v>72</v>
      </c>
      <c r="B495" s="1" t="s">
        <v>5070</v>
      </c>
      <c r="C495" s="1" t="s">
        <v>74</v>
      </c>
      <c r="D495" s="1" t="s">
        <v>74</v>
      </c>
      <c r="E495" s="1" t="s">
        <v>74</v>
      </c>
      <c r="F495" s="1" t="s">
        <v>5071</v>
      </c>
      <c r="G495" s="1" t="s">
        <v>74</v>
      </c>
      <c r="H495" s="1" t="s">
        <v>74</v>
      </c>
      <c r="I495" s="1" t="s">
        <v>5072</v>
      </c>
      <c r="J495" s="1" t="s">
        <v>2207</v>
      </c>
      <c r="K495" s="1" t="s">
        <v>74</v>
      </c>
      <c r="L495" s="1" t="s">
        <v>74</v>
      </c>
      <c r="M495" s="1" t="s">
        <v>74</v>
      </c>
      <c r="N495" s="1" t="s">
        <v>74</v>
      </c>
      <c r="O495" s="1" t="s">
        <v>74</v>
      </c>
      <c r="P495" s="1" t="s">
        <v>74</v>
      </c>
      <c r="Q495" s="1" t="s">
        <v>74</v>
      </c>
      <c r="R495" s="1" t="s">
        <v>74</v>
      </c>
      <c r="S495" s="1" t="s">
        <v>74</v>
      </c>
      <c r="T495" s="1" t="s">
        <v>74</v>
      </c>
      <c r="U495" s="1" t="s">
        <v>74</v>
      </c>
      <c r="V495" s="1" t="s">
        <v>5073</v>
      </c>
      <c r="W495" s="1" t="s">
        <v>74</v>
      </c>
      <c r="X495" s="1" t="s">
        <v>74</v>
      </c>
      <c r="Y495" s="1" t="s">
        <v>74</v>
      </c>
      <c r="Z495" s="1" t="s">
        <v>74</v>
      </c>
      <c r="AA495" s="1" t="s">
        <v>5074</v>
      </c>
      <c r="AB495" s="1" t="s">
        <v>5075</v>
      </c>
      <c r="AC495" s="1" t="s">
        <v>74</v>
      </c>
      <c r="AD495" s="1" t="s">
        <v>74</v>
      </c>
      <c r="AE495" s="1" t="s">
        <v>74</v>
      </c>
      <c r="AF495" s="1" t="s">
        <v>74</v>
      </c>
      <c r="AG495" s="1" t="s">
        <v>74</v>
      </c>
      <c r="AH495" s="1" t="s">
        <v>74</v>
      </c>
      <c r="AI495" s="1" t="s">
        <v>74</v>
      </c>
      <c r="AJ495" s="1" t="s">
        <v>74</v>
      </c>
      <c r="AK495" s="1" t="s">
        <v>74</v>
      </c>
      <c r="AL495" s="1" t="s">
        <v>74</v>
      </c>
      <c r="AM495" s="1" t="s">
        <v>74</v>
      </c>
      <c r="AN495" s="1" t="s">
        <v>74</v>
      </c>
      <c r="AO495" s="1" t="s">
        <v>2211</v>
      </c>
      <c r="AP495" s="1" t="s">
        <v>2212</v>
      </c>
      <c r="AQ495" s="1" t="s">
        <v>74</v>
      </c>
      <c r="AR495" s="1" t="s">
        <v>74</v>
      </c>
      <c r="AS495" s="1" t="s">
        <v>74</v>
      </c>
      <c r="AT495" s="1" t="s">
        <v>1198</v>
      </c>
      <c r="AU495" s="1">
        <v>2020.0</v>
      </c>
      <c r="AV495" s="1">
        <v>499.0</v>
      </c>
      <c r="AW495" s="1" t="s">
        <v>74</v>
      </c>
      <c r="AX495" s="1" t="s">
        <v>74</v>
      </c>
      <c r="AY495" s="1" t="s">
        <v>74</v>
      </c>
      <c r="AZ495" s="1" t="s">
        <v>74</v>
      </c>
      <c r="BA495" s="1" t="s">
        <v>74</v>
      </c>
      <c r="BB495" s="1" t="s">
        <v>74</v>
      </c>
      <c r="BC495" s="1" t="s">
        <v>74</v>
      </c>
      <c r="BD495" s="1">
        <v>166240.0</v>
      </c>
      <c r="BE495" s="1" t="s">
        <v>5076</v>
      </c>
      <c r="BF495" s="2" t="str">
        <f>HYPERLINK("http://dx.doi.org/10.1016/j.jmmm.2019.166240","http://dx.doi.org/10.1016/j.jmmm.2019.166240")</f>
        <v>http://dx.doi.org/10.1016/j.jmmm.2019.166240</v>
      </c>
      <c r="BG495" s="1" t="s">
        <v>74</v>
      </c>
      <c r="BH495" s="1" t="s">
        <v>74</v>
      </c>
      <c r="BI495" s="1" t="s">
        <v>74</v>
      </c>
      <c r="BJ495" s="1" t="s">
        <v>74</v>
      </c>
      <c r="BK495" s="1" t="s">
        <v>74</v>
      </c>
      <c r="BL495" s="1" t="s">
        <v>74</v>
      </c>
      <c r="BM495" s="1" t="s">
        <v>74</v>
      </c>
      <c r="BN495" s="1" t="s">
        <v>74</v>
      </c>
      <c r="BO495" s="1" t="s">
        <v>74</v>
      </c>
      <c r="BP495" s="1" t="s">
        <v>74</v>
      </c>
      <c r="BQ495" s="1" t="s">
        <v>74</v>
      </c>
      <c r="BR495" s="1" t="s">
        <v>74</v>
      </c>
      <c r="BS495" s="1" t="s">
        <v>5077</v>
      </c>
      <c r="BT495" s="1" t="str">
        <f>HYPERLINK("https%3A%2F%2Fwww.webofscience.com%2Fwos%2Fwoscc%2Ffull-record%2FWOS:000510014100026","View Full Record in Web of Science")</f>
        <v>View Full Record in Web of Science</v>
      </c>
    </row>
    <row r="496" ht="12.75" customHeight="1">
      <c r="A496" s="1" t="s">
        <v>72</v>
      </c>
      <c r="B496" s="1" t="s">
        <v>5078</v>
      </c>
      <c r="C496" s="1" t="s">
        <v>74</v>
      </c>
      <c r="D496" s="1" t="s">
        <v>74</v>
      </c>
      <c r="E496" s="1" t="s">
        <v>74</v>
      </c>
      <c r="F496" s="1" t="s">
        <v>5079</v>
      </c>
      <c r="G496" s="1" t="s">
        <v>74</v>
      </c>
      <c r="H496" s="1" t="s">
        <v>74</v>
      </c>
      <c r="I496" s="1" t="s">
        <v>5080</v>
      </c>
      <c r="J496" s="1" t="s">
        <v>383</v>
      </c>
      <c r="K496" s="1" t="s">
        <v>74</v>
      </c>
      <c r="L496" s="1" t="s">
        <v>74</v>
      </c>
      <c r="M496" s="1" t="s">
        <v>74</v>
      </c>
      <c r="N496" s="1" t="s">
        <v>74</v>
      </c>
      <c r="O496" s="1" t="s">
        <v>74</v>
      </c>
      <c r="P496" s="1" t="s">
        <v>74</v>
      </c>
      <c r="Q496" s="1" t="s">
        <v>74</v>
      </c>
      <c r="R496" s="1" t="s">
        <v>74</v>
      </c>
      <c r="S496" s="1" t="s">
        <v>74</v>
      </c>
      <c r="T496" s="1" t="s">
        <v>74</v>
      </c>
      <c r="U496" s="1" t="s">
        <v>74</v>
      </c>
      <c r="V496" s="1" t="s">
        <v>5081</v>
      </c>
      <c r="W496" s="1" t="s">
        <v>74</v>
      </c>
      <c r="X496" s="1" t="s">
        <v>74</v>
      </c>
      <c r="Y496" s="1" t="s">
        <v>74</v>
      </c>
      <c r="Z496" s="1" t="s">
        <v>74</v>
      </c>
      <c r="AA496" s="1" t="s">
        <v>5082</v>
      </c>
      <c r="AB496" s="1" t="s">
        <v>5083</v>
      </c>
      <c r="AC496" s="1" t="s">
        <v>74</v>
      </c>
      <c r="AD496" s="1" t="s">
        <v>74</v>
      </c>
      <c r="AE496" s="1" t="s">
        <v>74</v>
      </c>
      <c r="AF496" s="1" t="s">
        <v>74</v>
      </c>
      <c r="AG496" s="1" t="s">
        <v>74</v>
      </c>
      <c r="AH496" s="1" t="s">
        <v>74</v>
      </c>
      <c r="AI496" s="1" t="s">
        <v>74</v>
      </c>
      <c r="AJ496" s="1" t="s">
        <v>74</v>
      </c>
      <c r="AK496" s="1" t="s">
        <v>74</v>
      </c>
      <c r="AL496" s="1" t="s">
        <v>74</v>
      </c>
      <c r="AM496" s="1" t="s">
        <v>74</v>
      </c>
      <c r="AN496" s="1" t="s">
        <v>74</v>
      </c>
      <c r="AO496" s="1" t="s">
        <v>387</v>
      </c>
      <c r="AP496" s="1" t="s">
        <v>74</v>
      </c>
      <c r="AQ496" s="1" t="s">
        <v>74</v>
      </c>
      <c r="AR496" s="1" t="s">
        <v>74</v>
      </c>
      <c r="AS496" s="1" t="s">
        <v>74</v>
      </c>
      <c r="AT496" s="1" t="s">
        <v>5084</v>
      </c>
      <c r="AU496" s="1">
        <v>2019.0</v>
      </c>
      <c r="AV496" s="1">
        <v>9.0</v>
      </c>
      <c r="AW496" s="1" t="s">
        <v>74</v>
      </c>
      <c r="AX496" s="1" t="s">
        <v>74</v>
      </c>
      <c r="AY496" s="1" t="s">
        <v>74</v>
      </c>
      <c r="AZ496" s="1" t="s">
        <v>74</v>
      </c>
      <c r="BA496" s="1" t="s">
        <v>74</v>
      </c>
      <c r="BB496" s="1" t="s">
        <v>74</v>
      </c>
      <c r="BC496" s="1" t="s">
        <v>74</v>
      </c>
      <c r="BD496" s="1">
        <v>18571.0</v>
      </c>
      <c r="BE496" s="1" t="s">
        <v>5085</v>
      </c>
      <c r="BF496" s="2" t="str">
        <f>HYPERLINK("http://dx.doi.org/10.1038/s41598-019-54875-8","http://dx.doi.org/10.1038/s41598-019-54875-8")</f>
        <v>http://dx.doi.org/10.1038/s41598-019-54875-8</v>
      </c>
      <c r="BG496" s="1" t="s">
        <v>74</v>
      </c>
      <c r="BH496" s="1" t="s">
        <v>74</v>
      </c>
      <c r="BI496" s="1" t="s">
        <v>74</v>
      </c>
      <c r="BJ496" s="1" t="s">
        <v>74</v>
      </c>
      <c r="BK496" s="1" t="s">
        <v>74</v>
      </c>
      <c r="BL496" s="1" t="s">
        <v>74</v>
      </c>
      <c r="BM496" s="1" t="s">
        <v>74</v>
      </c>
      <c r="BN496" s="1">
        <v>3.1819101E7</v>
      </c>
      <c r="BO496" s="1" t="s">
        <v>74</v>
      </c>
      <c r="BP496" s="1" t="s">
        <v>74</v>
      </c>
      <c r="BQ496" s="1" t="s">
        <v>74</v>
      </c>
      <c r="BR496" s="1" t="s">
        <v>74</v>
      </c>
      <c r="BS496" s="1" t="s">
        <v>5086</v>
      </c>
      <c r="BT496" s="1" t="str">
        <f>HYPERLINK("https%3A%2F%2Fwww.webofscience.com%2Fwos%2Fwoscc%2Ffull-record%2FWOS:000501750800001","View Full Record in Web of Science")</f>
        <v>View Full Record in Web of Science</v>
      </c>
    </row>
    <row r="497" ht="12.75" customHeight="1">
      <c r="A497" s="1" t="s">
        <v>72</v>
      </c>
      <c r="B497" s="1" t="s">
        <v>5087</v>
      </c>
      <c r="C497" s="1" t="s">
        <v>74</v>
      </c>
      <c r="D497" s="1" t="s">
        <v>74</v>
      </c>
      <c r="E497" s="1" t="s">
        <v>74</v>
      </c>
      <c r="F497" s="1" t="s">
        <v>5088</v>
      </c>
      <c r="G497" s="1" t="s">
        <v>74</v>
      </c>
      <c r="H497" s="1" t="s">
        <v>74</v>
      </c>
      <c r="I497" s="1" t="s">
        <v>5089</v>
      </c>
      <c r="J497" s="1" t="s">
        <v>5090</v>
      </c>
      <c r="K497" s="1" t="s">
        <v>74</v>
      </c>
      <c r="L497" s="1" t="s">
        <v>74</v>
      </c>
      <c r="M497" s="1" t="s">
        <v>74</v>
      </c>
      <c r="N497" s="1" t="s">
        <v>74</v>
      </c>
      <c r="O497" s="1" t="s">
        <v>74</v>
      </c>
      <c r="P497" s="1" t="s">
        <v>74</v>
      </c>
      <c r="Q497" s="1" t="s">
        <v>74</v>
      </c>
      <c r="R497" s="1" t="s">
        <v>74</v>
      </c>
      <c r="S497" s="1" t="s">
        <v>74</v>
      </c>
      <c r="T497" s="1" t="s">
        <v>74</v>
      </c>
      <c r="U497" s="1" t="s">
        <v>74</v>
      </c>
      <c r="V497" s="1" t="s">
        <v>5091</v>
      </c>
      <c r="W497" s="1" t="s">
        <v>74</v>
      </c>
      <c r="X497" s="1" t="s">
        <v>74</v>
      </c>
      <c r="Y497" s="1" t="s">
        <v>74</v>
      </c>
      <c r="Z497" s="1" t="s">
        <v>74</v>
      </c>
      <c r="AA497" s="1" t="s">
        <v>5092</v>
      </c>
      <c r="AB497" s="1" t="s">
        <v>5093</v>
      </c>
      <c r="AC497" s="1" t="s">
        <v>74</v>
      </c>
      <c r="AD497" s="1" t="s">
        <v>74</v>
      </c>
      <c r="AE497" s="1" t="s">
        <v>74</v>
      </c>
      <c r="AF497" s="1" t="s">
        <v>74</v>
      </c>
      <c r="AG497" s="1" t="s">
        <v>74</v>
      </c>
      <c r="AH497" s="1" t="s">
        <v>74</v>
      </c>
      <c r="AI497" s="1" t="s">
        <v>74</v>
      </c>
      <c r="AJ497" s="1" t="s">
        <v>74</v>
      </c>
      <c r="AK497" s="1" t="s">
        <v>74</v>
      </c>
      <c r="AL497" s="1" t="s">
        <v>74</v>
      </c>
      <c r="AM497" s="1" t="s">
        <v>74</v>
      </c>
      <c r="AN497" s="1" t="s">
        <v>74</v>
      </c>
      <c r="AO497" s="1" t="s">
        <v>5094</v>
      </c>
      <c r="AP497" s="1" t="s">
        <v>5095</v>
      </c>
      <c r="AQ497" s="1" t="s">
        <v>74</v>
      </c>
      <c r="AR497" s="1" t="s">
        <v>74</v>
      </c>
      <c r="AS497" s="1" t="s">
        <v>74</v>
      </c>
      <c r="AT497" s="1" t="s">
        <v>5096</v>
      </c>
      <c r="AU497" s="1">
        <v>2017.0</v>
      </c>
      <c r="AV497" s="1">
        <v>819.0</v>
      </c>
      <c r="AW497" s="1" t="s">
        <v>74</v>
      </c>
      <c r="AX497" s="1" t="s">
        <v>74</v>
      </c>
      <c r="AY497" s="1" t="s">
        <v>74</v>
      </c>
      <c r="AZ497" s="1" t="s">
        <v>74</v>
      </c>
      <c r="BA497" s="1" t="s">
        <v>74</v>
      </c>
      <c r="BB497" s="1">
        <v>285.0</v>
      </c>
      <c r="BC497" s="1">
        <v>310.0</v>
      </c>
      <c r="BD497" s="1" t="s">
        <v>74</v>
      </c>
      <c r="BE497" s="1" t="s">
        <v>5097</v>
      </c>
      <c r="BF497" s="2" t="str">
        <f>HYPERLINK("http://dx.doi.org/10.1017/jfm.2017.166","http://dx.doi.org/10.1017/jfm.2017.166")</f>
        <v>http://dx.doi.org/10.1017/jfm.2017.166</v>
      </c>
      <c r="BG497" s="1" t="s">
        <v>74</v>
      </c>
      <c r="BH497" s="1" t="s">
        <v>74</v>
      </c>
      <c r="BI497" s="1" t="s">
        <v>74</v>
      </c>
      <c r="BJ497" s="1" t="s">
        <v>74</v>
      </c>
      <c r="BK497" s="1" t="s">
        <v>74</v>
      </c>
      <c r="BL497" s="1" t="s">
        <v>74</v>
      </c>
      <c r="BM497" s="1" t="s">
        <v>74</v>
      </c>
      <c r="BN497" s="1" t="s">
        <v>74</v>
      </c>
      <c r="BO497" s="1" t="s">
        <v>74</v>
      </c>
      <c r="BP497" s="1" t="s">
        <v>74</v>
      </c>
      <c r="BQ497" s="1" t="s">
        <v>74</v>
      </c>
      <c r="BR497" s="1" t="s">
        <v>74</v>
      </c>
      <c r="BS497" s="1" t="s">
        <v>5098</v>
      </c>
      <c r="BT497" s="1" t="str">
        <f>HYPERLINK("https%3A%2F%2Fwww.webofscience.com%2Fwos%2Fwoscc%2Ffull-record%2FWOS:000400010500011","View Full Record in Web of Science")</f>
        <v>View Full Record in Web of Science</v>
      </c>
    </row>
    <row r="498" ht="12.75" customHeight="1">
      <c r="A498" s="1" t="s">
        <v>72</v>
      </c>
      <c r="B498" s="1" t="s">
        <v>5099</v>
      </c>
      <c r="C498" s="1" t="s">
        <v>74</v>
      </c>
      <c r="D498" s="1" t="s">
        <v>74</v>
      </c>
      <c r="E498" s="1" t="s">
        <v>74</v>
      </c>
      <c r="F498" s="1" t="s">
        <v>5100</v>
      </c>
      <c r="G498" s="1" t="s">
        <v>74</v>
      </c>
      <c r="H498" s="1" t="s">
        <v>74</v>
      </c>
      <c r="I498" s="1" t="s">
        <v>5101</v>
      </c>
      <c r="J498" s="1" t="s">
        <v>5102</v>
      </c>
      <c r="K498" s="1" t="s">
        <v>74</v>
      </c>
      <c r="L498" s="1" t="s">
        <v>74</v>
      </c>
      <c r="M498" s="1" t="s">
        <v>74</v>
      </c>
      <c r="N498" s="1" t="s">
        <v>74</v>
      </c>
      <c r="O498" s="1" t="s">
        <v>74</v>
      </c>
      <c r="P498" s="1" t="s">
        <v>74</v>
      </c>
      <c r="Q498" s="1" t="s">
        <v>74</v>
      </c>
      <c r="R498" s="1" t="s">
        <v>74</v>
      </c>
      <c r="S498" s="1" t="s">
        <v>74</v>
      </c>
      <c r="T498" s="1" t="s">
        <v>74</v>
      </c>
      <c r="U498" s="1" t="s">
        <v>74</v>
      </c>
      <c r="V498" s="1" t="s">
        <v>5103</v>
      </c>
      <c r="W498" s="1" t="s">
        <v>74</v>
      </c>
      <c r="X498" s="1" t="s">
        <v>74</v>
      </c>
      <c r="Y498" s="1" t="s">
        <v>74</v>
      </c>
      <c r="Z498" s="1" t="s">
        <v>74</v>
      </c>
      <c r="AA498" s="1" t="s">
        <v>5104</v>
      </c>
      <c r="AB498" s="1" t="s">
        <v>5105</v>
      </c>
      <c r="AC498" s="1" t="s">
        <v>74</v>
      </c>
      <c r="AD498" s="1" t="s">
        <v>74</v>
      </c>
      <c r="AE498" s="1" t="s">
        <v>74</v>
      </c>
      <c r="AF498" s="1" t="s">
        <v>74</v>
      </c>
      <c r="AG498" s="1" t="s">
        <v>74</v>
      </c>
      <c r="AH498" s="1" t="s">
        <v>74</v>
      </c>
      <c r="AI498" s="1" t="s">
        <v>74</v>
      </c>
      <c r="AJ498" s="1" t="s">
        <v>74</v>
      </c>
      <c r="AK498" s="1" t="s">
        <v>74</v>
      </c>
      <c r="AL498" s="1" t="s">
        <v>74</v>
      </c>
      <c r="AM498" s="1" t="s">
        <v>74</v>
      </c>
      <c r="AN498" s="1" t="s">
        <v>74</v>
      </c>
      <c r="AO498" s="1" t="s">
        <v>5106</v>
      </c>
      <c r="AP498" s="1" t="s">
        <v>5107</v>
      </c>
      <c r="AQ498" s="1" t="s">
        <v>74</v>
      </c>
      <c r="AR498" s="1" t="s">
        <v>74</v>
      </c>
      <c r="AS498" s="1" t="s">
        <v>74</v>
      </c>
      <c r="AT498" s="1" t="s">
        <v>377</v>
      </c>
      <c r="AU498" s="1">
        <v>2017.0</v>
      </c>
      <c r="AV498" s="1">
        <v>13.0</v>
      </c>
      <c r="AW498" s="1">
        <v>5.0</v>
      </c>
      <c r="AX498" s="1" t="s">
        <v>74</v>
      </c>
      <c r="AY498" s="1" t="s">
        <v>74</v>
      </c>
      <c r="AZ498" s="1" t="s">
        <v>74</v>
      </c>
      <c r="BA498" s="1" t="s">
        <v>74</v>
      </c>
      <c r="BB498" s="1">
        <v>1952.0</v>
      </c>
      <c r="BC498" s="1">
        <v>1962.0</v>
      </c>
      <c r="BD498" s="1" t="s">
        <v>74</v>
      </c>
      <c r="BE498" s="1" t="s">
        <v>5108</v>
      </c>
      <c r="BF498" s="2" t="str">
        <f>HYPERLINK("http://dx.doi.org/10.1021/acs.jctc.6b01250","http://dx.doi.org/10.1021/acs.jctc.6b01250")</f>
        <v>http://dx.doi.org/10.1021/acs.jctc.6b01250</v>
      </c>
      <c r="BG498" s="1" t="s">
        <v>74</v>
      </c>
      <c r="BH498" s="1" t="s">
        <v>74</v>
      </c>
      <c r="BI498" s="1" t="s">
        <v>74</v>
      </c>
      <c r="BJ498" s="1" t="s">
        <v>74</v>
      </c>
      <c r="BK498" s="1" t="s">
        <v>74</v>
      </c>
      <c r="BL498" s="1" t="s">
        <v>74</v>
      </c>
      <c r="BM498" s="1" t="s">
        <v>74</v>
      </c>
      <c r="BN498" s="1">
        <v>2.8287722E7</v>
      </c>
      <c r="BO498" s="1" t="s">
        <v>74</v>
      </c>
      <c r="BP498" s="1" t="s">
        <v>74</v>
      </c>
      <c r="BQ498" s="1" t="s">
        <v>74</v>
      </c>
      <c r="BR498" s="1" t="s">
        <v>74</v>
      </c>
      <c r="BS498" s="1" t="s">
        <v>5109</v>
      </c>
      <c r="BT498" s="1" t="str">
        <f>HYPERLINK("https%3A%2F%2Fwww.webofscience.com%2Fwos%2Fwoscc%2Ffull-record%2FWOS:000401221300010","View Full Record in Web of Science")</f>
        <v>View Full Record in Web of Science</v>
      </c>
    </row>
    <row r="499" ht="12.75" customHeight="1">
      <c r="A499" s="1" t="s">
        <v>72</v>
      </c>
      <c r="B499" s="1" t="s">
        <v>5110</v>
      </c>
      <c r="C499" s="1" t="s">
        <v>74</v>
      </c>
      <c r="D499" s="1" t="s">
        <v>74</v>
      </c>
      <c r="E499" s="1" t="s">
        <v>74</v>
      </c>
      <c r="F499" s="1" t="s">
        <v>5111</v>
      </c>
      <c r="G499" s="1" t="s">
        <v>74</v>
      </c>
      <c r="H499" s="1" t="s">
        <v>74</v>
      </c>
      <c r="I499" s="1" t="s">
        <v>5112</v>
      </c>
      <c r="J499" s="1" t="s">
        <v>5113</v>
      </c>
      <c r="K499" s="1" t="s">
        <v>74</v>
      </c>
      <c r="L499" s="1" t="s">
        <v>74</v>
      </c>
      <c r="M499" s="1" t="s">
        <v>74</v>
      </c>
      <c r="N499" s="1" t="s">
        <v>74</v>
      </c>
      <c r="O499" s="1" t="s">
        <v>74</v>
      </c>
      <c r="P499" s="1" t="s">
        <v>74</v>
      </c>
      <c r="Q499" s="1" t="s">
        <v>74</v>
      </c>
      <c r="R499" s="1" t="s">
        <v>74</v>
      </c>
      <c r="S499" s="1" t="s">
        <v>74</v>
      </c>
      <c r="T499" s="1" t="s">
        <v>74</v>
      </c>
      <c r="U499" s="1" t="s">
        <v>74</v>
      </c>
      <c r="V499" s="1" t="s">
        <v>5114</v>
      </c>
      <c r="W499" s="1" t="s">
        <v>74</v>
      </c>
      <c r="X499" s="1" t="s">
        <v>74</v>
      </c>
      <c r="Y499" s="1" t="s">
        <v>74</v>
      </c>
      <c r="Z499" s="1" t="s">
        <v>74</v>
      </c>
      <c r="AA499" s="1" t="s">
        <v>5115</v>
      </c>
      <c r="AB499" s="1" t="s">
        <v>5116</v>
      </c>
      <c r="AC499" s="1" t="s">
        <v>74</v>
      </c>
      <c r="AD499" s="1" t="s">
        <v>74</v>
      </c>
      <c r="AE499" s="1" t="s">
        <v>74</v>
      </c>
      <c r="AF499" s="1" t="s">
        <v>74</v>
      </c>
      <c r="AG499" s="1" t="s">
        <v>74</v>
      </c>
      <c r="AH499" s="1" t="s">
        <v>74</v>
      </c>
      <c r="AI499" s="1" t="s">
        <v>74</v>
      </c>
      <c r="AJ499" s="1" t="s">
        <v>74</v>
      </c>
      <c r="AK499" s="1" t="s">
        <v>74</v>
      </c>
      <c r="AL499" s="1" t="s">
        <v>74</v>
      </c>
      <c r="AM499" s="1" t="s">
        <v>74</v>
      </c>
      <c r="AN499" s="1" t="s">
        <v>74</v>
      </c>
      <c r="AO499" s="1" t="s">
        <v>5117</v>
      </c>
      <c r="AP499" s="1" t="s">
        <v>5118</v>
      </c>
      <c r="AQ499" s="1" t="s">
        <v>74</v>
      </c>
      <c r="AR499" s="1" t="s">
        <v>74</v>
      </c>
      <c r="AS499" s="1" t="s">
        <v>74</v>
      </c>
      <c r="AT499" s="1" t="s">
        <v>880</v>
      </c>
      <c r="AU499" s="1">
        <v>2017.0</v>
      </c>
      <c r="AV499" s="1">
        <v>27.0</v>
      </c>
      <c r="AW499" s="1">
        <v>8.0</v>
      </c>
      <c r="AX499" s="1" t="s">
        <v>74</v>
      </c>
      <c r="AY499" s="1" t="s">
        <v>74</v>
      </c>
      <c r="AZ499" s="1" t="s">
        <v>74</v>
      </c>
      <c r="BA499" s="1" t="s">
        <v>74</v>
      </c>
      <c r="BB499" s="1">
        <v>1649.0</v>
      </c>
      <c r="BC499" s="1">
        <v>1653.0</v>
      </c>
      <c r="BD499" s="1" t="s">
        <v>74</v>
      </c>
      <c r="BE499" s="1" t="s">
        <v>5119</v>
      </c>
      <c r="BF499" s="2" t="str">
        <f>HYPERLINK("http://dx.doi.org/10.1016/j.bmcl.2017.03.017","http://dx.doi.org/10.1016/j.bmcl.2017.03.017")</f>
        <v>http://dx.doi.org/10.1016/j.bmcl.2017.03.017</v>
      </c>
      <c r="BG499" s="1" t="s">
        <v>74</v>
      </c>
      <c r="BH499" s="1" t="s">
        <v>74</v>
      </c>
      <c r="BI499" s="1" t="s">
        <v>74</v>
      </c>
      <c r="BJ499" s="1" t="s">
        <v>74</v>
      </c>
      <c r="BK499" s="1" t="s">
        <v>74</v>
      </c>
      <c r="BL499" s="1" t="s">
        <v>74</v>
      </c>
      <c r="BM499" s="1" t="s">
        <v>74</v>
      </c>
      <c r="BN499" s="1">
        <v>2.8318946E7</v>
      </c>
      <c r="BO499" s="1" t="s">
        <v>74</v>
      </c>
      <c r="BP499" s="1" t="s">
        <v>74</v>
      </c>
      <c r="BQ499" s="1" t="s">
        <v>74</v>
      </c>
      <c r="BR499" s="1" t="s">
        <v>74</v>
      </c>
      <c r="BS499" s="1" t="s">
        <v>5120</v>
      </c>
      <c r="BT499" s="1" t="str">
        <f>HYPERLINK("https%3A%2F%2Fwww.webofscience.com%2Fwos%2Fwoscc%2Ffull-record%2FWOS:000399262600005","View Full Record in Web of Science")</f>
        <v>View Full Record in Web of Science</v>
      </c>
    </row>
    <row r="500" ht="12.75" customHeight="1">
      <c r="A500" s="1" t="s">
        <v>72</v>
      </c>
      <c r="B500" s="1" t="s">
        <v>5121</v>
      </c>
      <c r="C500" s="1" t="s">
        <v>74</v>
      </c>
      <c r="D500" s="1" t="s">
        <v>74</v>
      </c>
      <c r="E500" s="1" t="s">
        <v>74</v>
      </c>
      <c r="F500" s="1" t="s">
        <v>5122</v>
      </c>
      <c r="G500" s="1" t="s">
        <v>74</v>
      </c>
      <c r="H500" s="1" t="s">
        <v>74</v>
      </c>
      <c r="I500" s="1" t="s">
        <v>5123</v>
      </c>
      <c r="J500" s="1" t="s">
        <v>5124</v>
      </c>
      <c r="K500" s="1" t="s">
        <v>74</v>
      </c>
      <c r="L500" s="1" t="s">
        <v>74</v>
      </c>
      <c r="M500" s="1" t="s">
        <v>74</v>
      </c>
      <c r="N500" s="1" t="s">
        <v>74</v>
      </c>
      <c r="O500" s="1" t="s">
        <v>74</v>
      </c>
      <c r="P500" s="1" t="s">
        <v>74</v>
      </c>
      <c r="Q500" s="1" t="s">
        <v>74</v>
      </c>
      <c r="R500" s="1" t="s">
        <v>74</v>
      </c>
      <c r="S500" s="1" t="s">
        <v>74</v>
      </c>
      <c r="T500" s="1" t="s">
        <v>74</v>
      </c>
      <c r="U500" s="1" t="s">
        <v>74</v>
      </c>
      <c r="V500" s="1" t="s">
        <v>5125</v>
      </c>
      <c r="W500" s="1" t="s">
        <v>74</v>
      </c>
      <c r="X500" s="1" t="s">
        <v>74</v>
      </c>
      <c r="Y500" s="1" t="s">
        <v>74</v>
      </c>
      <c r="Z500" s="1" t="s">
        <v>74</v>
      </c>
      <c r="AA500" s="1" t="s">
        <v>5126</v>
      </c>
      <c r="AB500" s="1" t="s">
        <v>5127</v>
      </c>
      <c r="AC500" s="1" t="s">
        <v>74</v>
      </c>
      <c r="AD500" s="1" t="s">
        <v>74</v>
      </c>
      <c r="AE500" s="1" t="s">
        <v>74</v>
      </c>
      <c r="AF500" s="1" t="s">
        <v>74</v>
      </c>
      <c r="AG500" s="1" t="s">
        <v>74</v>
      </c>
      <c r="AH500" s="1" t="s">
        <v>74</v>
      </c>
      <c r="AI500" s="1" t="s">
        <v>74</v>
      </c>
      <c r="AJ500" s="1" t="s">
        <v>74</v>
      </c>
      <c r="AK500" s="1" t="s">
        <v>74</v>
      </c>
      <c r="AL500" s="1" t="s">
        <v>74</v>
      </c>
      <c r="AM500" s="1" t="s">
        <v>74</v>
      </c>
      <c r="AN500" s="1" t="s">
        <v>74</v>
      </c>
      <c r="AO500" s="1" t="s">
        <v>5128</v>
      </c>
      <c r="AP500" s="1" t="s">
        <v>74</v>
      </c>
      <c r="AQ500" s="1" t="s">
        <v>74</v>
      </c>
      <c r="AR500" s="1" t="s">
        <v>74</v>
      </c>
      <c r="AS500" s="1" t="s">
        <v>74</v>
      </c>
      <c r="AT500" s="1" t="s">
        <v>74</v>
      </c>
      <c r="AU500" s="1">
        <v>2017.0</v>
      </c>
      <c r="AV500" s="1">
        <v>151.0</v>
      </c>
      <c r="AW500" s="1" t="s">
        <v>74</v>
      </c>
      <c r="AX500" s="1" t="s">
        <v>74</v>
      </c>
      <c r="AY500" s="1" t="s">
        <v>74</v>
      </c>
      <c r="AZ500" s="1" t="s">
        <v>74</v>
      </c>
      <c r="BA500" s="1" t="s">
        <v>74</v>
      </c>
      <c r="BB500" s="1">
        <v>88.0</v>
      </c>
      <c r="BC500" s="1">
        <v>97.0</v>
      </c>
      <c r="BD500" s="1" t="s">
        <v>74</v>
      </c>
      <c r="BE500" s="1" t="s">
        <v>5129</v>
      </c>
      <c r="BF500" s="2" t="str">
        <f>HYPERLINK("http://dx.doi.org/10.1016/j.ijleo.2017.10.121","http://dx.doi.org/10.1016/j.ijleo.2017.10.121")</f>
        <v>http://dx.doi.org/10.1016/j.ijleo.2017.10.121</v>
      </c>
      <c r="BG500" s="1" t="s">
        <v>74</v>
      </c>
      <c r="BH500" s="1" t="s">
        <v>74</v>
      </c>
      <c r="BI500" s="1" t="s">
        <v>74</v>
      </c>
      <c r="BJ500" s="1" t="s">
        <v>74</v>
      </c>
      <c r="BK500" s="1" t="s">
        <v>74</v>
      </c>
      <c r="BL500" s="1" t="s">
        <v>74</v>
      </c>
      <c r="BM500" s="1" t="s">
        <v>74</v>
      </c>
      <c r="BN500" s="1" t="s">
        <v>74</v>
      </c>
      <c r="BO500" s="1" t="s">
        <v>74</v>
      </c>
      <c r="BP500" s="1" t="s">
        <v>74</v>
      </c>
      <c r="BQ500" s="1" t="s">
        <v>74</v>
      </c>
      <c r="BR500" s="1" t="s">
        <v>74</v>
      </c>
      <c r="BS500" s="1" t="s">
        <v>5130</v>
      </c>
      <c r="BT500" s="1" t="str">
        <f>HYPERLINK("https%3A%2F%2Fwww.webofscience.com%2Fwos%2Fwoscc%2Ffull-record%2FWOS:000418623800009","View Full Record in Web of Science")</f>
        <v>View Full Record in Web of Science</v>
      </c>
    </row>
    <row r="501" ht="12.75" customHeight="1">
      <c r="A501" s="1" t="s">
        <v>72</v>
      </c>
      <c r="B501" s="1" t="s">
        <v>5131</v>
      </c>
      <c r="C501" s="1" t="s">
        <v>74</v>
      </c>
      <c r="D501" s="1" t="s">
        <v>74</v>
      </c>
      <c r="E501" s="1" t="s">
        <v>74</v>
      </c>
      <c r="F501" s="1" t="s">
        <v>5132</v>
      </c>
      <c r="G501" s="1" t="s">
        <v>74</v>
      </c>
      <c r="H501" s="1" t="s">
        <v>74</v>
      </c>
      <c r="I501" s="1" t="s">
        <v>5133</v>
      </c>
      <c r="J501" s="1" t="s">
        <v>5134</v>
      </c>
      <c r="K501" s="1" t="s">
        <v>74</v>
      </c>
      <c r="L501" s="1" t="s">
        <v>74</v>
      </c>
      <c r="M501" s="1" t="s">
        <v>74</v>
      </c>
      <c r="N501" s="1" t="s">
        <v>74</v>
      </c>
      <c r="O501" s="1" t="s">
        <v>74</v>
      </c>
      <c r="P501" s="1" t="s">
        <v>74</v>
      </c>
      <c r="Q501" s="1" t="s">
        <v>74</v>
      </c>
      <c r="R501" s="1" t="s">
        <v>74</v>
      </c>
      <c r="S501" s="1" t="s">
        <v>74</v>
      </c>
      <c r="T501" s="1" t="s">
        <v>74</v>
      </c>
      <c r="U501" s="1" t="s">
        <v>74</v>
      </c>
      <c r="V501" s="1" t="s">
        <v>5135</v>
      </c>
      <c r="W501" s="1" t="s">
        <v>74</v>
      </c>
      <c r="X501" s="1" t="s">
        <v>74</v>
      </c>
      <c r="Y501" s="1" t="s">
        <v>74</v>
      </c>
      <c r="Z501" s="1" t="s">
        <v>74</v>
      </c>
      <c r="AA501" s="1" t="s">
        <v>5136</v>
      </c>
      <c r="AB501" s="1" t="s">
        <v>5137</v>
      </c>
      <c r="AC501" s="1" t="s">
        <v>74</v>
      </c>
      <c r="AD501" s="1" t="s">
        <v>74</v>
      </c>
      <c r="AE501" s="1" t="s">
        <v>74</v>
      </c>
      <c r="AF501" s="1" t="s">
        <v>74</v>
      </c>
      <c r="AG501" s="1" t="s">
        <v>74</v>
      </c>
      <c r="AH501" s="1" t="s">
        <v>74</v>
      </c>
      <c r="AI501" s="1" t="s">
        <v>74</v>
      </c>
      <c r="AJ501" s="1" t="s">
        <v>74</v>
      </c>
      <c r="AK501" s="1" t="s">
        <v>74</v>
      </c>
      <c r="AL501" s="1" t="s">
        <v>74</v>
      </c>
      <c r="AM501" s="1" t="s">
        <v>74</v>
      </c>
      <c r="AN501" s="1" t="s">
        <v>74</v>
      </c>
      <c r="AO501" s="1" t="s">
        <v>5138</v>
      </c>
      <c r="AP501" s="1" t="s">
        <v>5139</v>
      </c>
      <c r="AQ501" s="1" t="s">
        <v>74</v>
      </c>
      <c r="AR501" s="1" t="s">
        <v>74</v>
      </c>
      <c r="AS501" s="1" t="s">
        <v>74</v>
      </c>
      <c r="AT501" s="1" t="s">
        <v>438</v>
      </c>
      <c r="AU501" s="1">
        <v>2015.0</v>
      </c>
      <c r="AV501" s="1">
        <v>78.0</v>
      </c>
      <c r="AW501" s="1">
        <v>4.0</v>
      </c>
      <c r="AX501" s="1" t="s">
        <v>74</v>
      </c>
      <c r="AY501" s="1" t="s">
        <v>74</v>
      </c>
      <c r="AZ501" s="1" t="s">
        <v>74</v>
      </c>
      <c r="BA501" s="1" t="s">
        <v>74</v>
      </c>
      <c r="BB501" s="1">
        <v>919.0</v>
      </c>
      <c r="BC501" s="1">
        <v>923.0</v>
      </c>
      <c r="BD501" s="1" t="s">
        <v>74</v>
      </c>
      <c r="BE501" s="1" t="s">
        <v>5140</v>
      </c>
      <c r="BF501" s="2" t="str">
        <f>HYPERLINK("http://dx.doi.org/10.1021/np500906k","http://dx.doi.org/10.1021/np500906k")</f>
        <v>http://dx.doi.org/10.1021/np500906k</v>
      </c>
      <c r="BG501" s="1" t="s">
        <v>74</v>
      </c>
      <c r="BH501" s="1" t="s">
        <v>74</v>
      </c>
      <c r="BI501" s="1" t="s">
        <v>74</v>
      </c>
      <c r="BJ501" s="1" t="s">
        <v>74</v>
      </c>
      <c r="BK501" s="1" t="s">
        <v>74</v>
      </c>
      <c r="BL501" s="1" t="s">
        <v>74</v>
      </c>
      <c r="BM501" s="1" t="s">
        <v>74</v>
      </c>
      <c r="BN501" s="1">
        <v>2.573256E7</v>
      </c>
      <c r="BO501" s="1" t="s">
        <v>74</v>
      </c>
      <c r="BP501" s="1" t="s">
        <v>74</v>
      </c>
      <c r="BQ501" s="1" t="s">
        <v>74</v>
      </c>
      <c r="BR501" s="1" t="s">
        <v>74</v>
      </c>
      <c r="BS501" s="1" t="s">
        <v>5141</v>
      </c>
      <c r="BT501" s="1" t="str">
        <f>HYPERLINK("https%3A%2F%2Fwww.webofscience.com%2Fwos%2Fwoscc%2Ffull-record%2FWOS:000353665100042","View Full Record in Web of Science")</f>
        <v>View Full Record in Web of Science</v>
      </c>
    </row>
    <row r="502" ht="12.75" customHeight="1">
      <c r="A502" s="1" t="s">
        <v>72</v>
      </c>
      <c r="B502" s="1" t="s">
        <v>5142</v>
      </c>
      <c r="C502" s="1" t="s">
        <v>74</v>
      </c>
      <c r="D502" s="1" t="s">
        <v>74</v>
      </c>
      <c r="E502" s="1" t="s">
        <v>74</v>
      </c>
      <c r="F502" s="1" t="s">
        <v>5143</v>
      </c>
      <c r="G502" s="1" t="s">
        <v>74</v>
      </c>
      <c r="H502" s="1" t="s">
        <v>74</v>
      </c>
      <c r="I502" s="1" t="s">
        <v>5144</v>
      </c>
      <c r="J502" s="1" t="s">
        <v>5145</v>
      </c>
      <c r="K502" s="1" t="s">
        <v>74</v>
      </c>
      <c r="L502" s="1" t="s">
        <v>74</v>
      </c>
      <c r="M502" s="1" t="s">
        <v>74</v>
      </c>
      <c r="N502" s="1" t="s">
        <v>74</v>
      </c>
      <c r="O502" s="1" t="s">
        <v>74</v>
      </c>
      <c r="P502" s="1" t="s">
        <v>74</v>
      </c>
      <c r="Q502" s="1" t="s">
        <v>74</v>
      </c>
      <c r="R502" s="1" t="s">
        <v>74</v>
      </c>
      <c r="S502" s="1" t="s">
        <v>74</v>
      </c>
      <c r="T502" s="1" t="s">
        <v>74</v>
      </c>
      <c r="U502" s="1" t="s">
        <v>74</v>
      </c>
      <c r="V502" s="1" t="s">
        <v>5146</v>
      </c>
      <c r="W502" s="1" t="s">
        <v>74</v>
      </c>
      <c r="X502" s="1" t="s">
        <v>74</v>
      </c>
      <c r="Y502" s="1" t="s">
        <v>74</v>
      </c>
      <c r="Z502" s="1" t="s">
        <v>74</v>
      </c>
      <c r="AA502" s="1" t="s">
        <v>74</v>
      </c>
      <c r="AB502" s="1" t="s">
        <v>5147</v>
      </c>
      <c r="AC502" s="1" t="s">
        <v>74</v>
      </c>
      <c r="AD502" s="1" t="s">
        <v>74</v>
      </c>
      <c r="AE502" s="1" t="s">
        <v>74</v>
      </c>
      <c r="AF502" s="1" t="s">
        <v>74</v>
      </c>
      <c r="AG502" s="1" t="s">
        <v>74</v>
      </c>
      <c r="AH502" s="1" t="s">
        <v>74</v>
      </c>
      <c r="AI502" s="1" t="s">
        <v>74</v>
      </c>
      <c r="AJ502" s="1" t="s">
        <v>74</v>
      </c>
      <c r="AK502" s="1" t="s">
        <v>74</v>
      </c>
      <c r="AL502" s="1" t="s">
        <v>74</v>
      </c>
      <c r="AM502" s="1" t="s">
        <v>74</v>
      </c>
      <c r="AN502" s="1" t="s">
        <v>74</v>
      </c>
      <c r="AO502" s="1" t="s">
        <v>5148</v>
      </c>
      <c r="AP502" s="1" t="s">
        <v>5149</v>
      </c>
      <c r="AQ502" s="1" t="s">
        <v>74</v>
      </c>
      <c r="AR502" s="1" t="s">
        <v>74</v>
      </c>
      <c r="AS502" s="1" t="s">
        <v>74</v>
      </c>
      <c r="AT502" s="1" t="s">
        <v>74</v>
      </c>
      <c r="AU502" s="1">
        <v>2015.0</v>
      </c>
      <c r="AV502" s="1">
        <v>135.0</v>
      </c>
      <c r="AW502" s="1">
        <v>12.0</v>
      </c>
      <c r="AX502" s="1" t="s">
        <v>74</v>
      </c>
      <c r="AY502" s="1" t="s">
        <v>74</v>
      </c>
      <c r="AZ502" s="1" t="s">
        <v>74</v>
      </c>
      <c r="BA502" s="1" t="s">
        <v>74</v>
      </c>
      <c r="BB502" s="1">
        <v>1205.0</v>
      </c>
      <c r="BC502" s="1">
        <v>1211.0</v>
      </c>
      <c r="BD502" s="1" t="s">
        <v>74</v>
      </c>
      <c r="BE502" s="1" t="s">
        <v>5150</v>
      </c>
      <c r="BF502" s="2" t="str">
        <f>HYPERLINK("http://dx.doi.org/10.3109/00016489.2015.1072873","http://dx.doi.org/10.3109/00016489.2015.1072873")</f>
        <v>http://dx.doi.org/10.3109/00016489.2015.1072873</v>
      </c>
      <c r="BG502" s="1" t="s">
        <v>74</v>
      </c>
      <c r="BH502" s="1" t="s">
        <v>74</v>
      </c>
      <c r="BI502" s="1" t="s">
        <v>74</v>
      </c>
      <c r="BJ502" s="1" t="s">
        <v>74</v>
      </c>
      <c r="BK502" s="1" t="s">
        <v>74</v>
      </c>
      <c r="BL502" s="1" t="s">
        <v>74</v>
      </c>
      <c r="BM502" s="1" t="s">
        <v>74</v>
      </c>
      <c r="BN502" s="1">
        <v>2.6245698E7</v>
      </c>
      <c r="BO502" s="1" t="s">
        <v>74</v>
      </c>
      <c r="BP502" s="1" t="s">
        <v>74</v>
      </c>
      <c r="BQ502" s="1" t="s">
        <v>74</v>
      </c>
      <c r="BR502" s="1" t="s">
        <v>74</v>
      </c>
      <c r="BS502" s="1" t="s">
        <v>5151</v>
      </c>
      <c r="BT502" s="1" t="str">
        <f>HYPERLINK("https%3A%2F%2Fwww.webofscience.com%2Fwos%2Fwoscc%2Ffull-record%2FWOS:000369940500001","View Full Record in Web of Science")</f>
        <v>View Full Record in Web of Science</v>
      </c>
    </row>
    <row r="503" ht="12.75" customHeight="1">
      <c r="A503" s="1" t="s">
        <v>72</v>
      </c>
      <c r="B503" s="1" t="s">
        <v>5152</v>
      </c>
      <c r="C503" s="1" t="s">
        <v>74</v>
      </c>
      <c r="D503" s="1" t="s">
        <v>74</v>
      </c>
      <c r="E503" s="1" t="s">
        <v>74</v>
      </c>
      <c r="F503" s="1" t="s">
        <v>5153</v>
      </c>
      <c r="G503" s="1" t="s">
        <v>74</v>
      </c>
      <c r="H503" s="1" t="s">
        <v>74</v>
      </c>
      <c r="I503" s="1" t="s">
        <v>5154</v>
      </c>
      <c r="J503" s="1" t="s">
        <v>3268</v>
      </c>
      <c r="K503" s="1" t="s">
        <v>74</v>
      </c>
      <c r="L503" s="1" t="s">
        <v>74</v>
      </c>
      <c r="M503" s="1" t="s">
        <v>74</v>
      </c>
      <c r="N503" s="1" t="s">
        <v>74</v>
      </c>
      <c r="O503" s="1" t="s">
        <v>74</v>
      </c>
      <c r="P503" s="1" t="s">
        <v>74</v>
      </c>
      <c r="Q503" s="1" t="s">
        <v>74</v>
      </c>
      <c r="R503" s="1" t="s">
        <v>74</v>
      </c>
      <c r="S503" s="1" t="s">
        <v>74</v>
      </c>
      <c r="T503" s="1" t="s">
        <v>74</v>
      </c>
      <c r="U503" s="1" t="s">
        <v>74</v>
      </c>
      <c r="V503" s="1" t="s">
        <v>5155</v>
      </c>
      <c r="W503" s="1" t="s">
        <v>74</v>
      </c>
      <c r="X503" s="1" t="s">
        <v>74</v>
      </c>
      <c r="Y503" s="1" t="s">
        <v>74</v>
      </c>
      <c r="Z503" s="1" t="s">
        <v>74</v>
      </c>
      <c r="AA503" s="1" t="s">
        <v>5156</v>
      </c>
      <c r="AB503" s="1" t="s">
        <v>5157</v>
      </c>
      <c r="AC503" s="1" t="s">
        <v>74</v>
      </c>
      <c r="AD503" s="1" t="s">
        <v>74</v>
      </c>
      <c r="AE503" s="1" t="s">
        <v>74</v>
      </c>
      <c r="AF503" s="1" t="s">
        <v>74</v>
      </c>
      <c r="AG503" s="1" t="s">
        <v>74</v>
      </c>
      <c r="AH503" s="1" t="s">
        <v>74</v>
      </c>
      <c r="AI503" s="1" t="s">
        <v>74</v>
      </c>
      <c r="AJ503" s="1" t="s">
        <v>74</v>
      </c>
      <c r="AK503" s="1" t="s">
        <v>74</v>
      </c>
      <c r="AL503" s="1" t="s">
        <v>74</v>
      </c>
      <c r="AM503" s="1" t="s">
        <v>74</v>
      </c>
      <c r="AN503" s="1" t="s">
        <v>74</v>
      </c>
      <c r="AO503" s="1" t="s">
        <v>3272</v>
      </c>
      <c r="AP503" s="1" t="s">
        <v>3273</v>
      </c>
      <c r="AQ503" s="1" t="s">
        <v>74</v>
      </c>
      <c r="AR503" s="1" t="s">
        <v>74</v>
      </c>
      <c r="AS503" s="1" t="s">
        <v>74</v>
      </c>
      <c r="AT503" s="1" t="s">
        <v>411</v>
      </c>
      <c r="AU503" s="1">
        <v>2013.0</v>
      </c>
      <c r="AV503" s="1">
        <v>89.0</v>
      </c>
      <c r="AW503" s="1">
        <v>6.0</v>
      </c>
      <c r="AX503" s="1" t="s">
        <v>74</v>
      </c>
      <c r="AY503" s="1" t="s">
        <v>74</v>
      </c>
      <c r="AZ503" s="1" t="s">
        <v>74</v>
      </c>
      <c r="BA503" s="1" t="s">
        <v>74</v>
      </c>
      <c r="BB503" s="1">
        <v>1327.0</v>
      </c>
      <c r="BC503" s="1">
        <v>1334.0</v>
      </c>
      <c r="BD503" s="1" t="s">
        <v>74</v>
      </c>
      <c r="BE503" s="1" t="s">
        <v>5158</v>
      </c>
      <c r="BF503" s="2" t="str">
        <f>HYPERLINK("http://dx.doi.org/10.1111/php.12133","http://dx.doi.org/10.1111/php.12133")</f>
        <v>http://dx.doi.org/10.1111/php.12133</v>
      </c>
      <c r="BG503" s="1" t="s">
        <v>74</v>
      </c>
      <c r="BH503" s="1" t="s">
        <v>74</v>
      </c>
      <c r="BI503" s="1" t="s">
        <v>74</v>
      </c>
      <c r="BJ503" s="1" t="s">
        <v>74</v>
      </c>
      <c r="BK503" s="1" t="s">
        <v>74</v>
      </c>
      <c r="BL503" s="1" t="s">
        <v>74</v>
      </c>
      <c r="BM503" s="1" t="s">
        <v>74</v>
      </c>
      <c r="BN503" s="1">
        <v>2.3834078E7</v>
      </c>
      <c r="BO503" s="1" t="s">
        <v>74</v>
      </c>
      <c r="BP503" s="1" t="s">
        <v>74</v>
      </c>
      <c r="BQ503" s="1" t="s">
        <v>74</v>
      </c>
      <c r="BR503" s="1" t="s">
        <v>74</v>
      </c>
      <c r="BS503" s="1" t="s">
        <v>5159</v>
      </c>
      <c r="BT503" s="1" t="str">
        <f>HYPERLINK("https%3A%2F%2Fwww.webofscience.com%2Fwos%2Fwoscc%2Ffull-record%2FWOS:000326507100009","View Full Record in Web of Science")</f>
        <v>View Full Record in Web of Science</v>
      </c>
    </row>
    <row r="504" ht="12.75" customHeight="1">
      <c r="A504" s="1" t="s">
        <v>72</v>
      </c>
      <c r="B504" s="1" t="s">
        <v>5160</v>
      </c>
      <c r="C504" s="1" t="s">
        <v>74</v>
      </c>
      <c r="D504" s="1" t="s">
        <v>74</v>
      </c>
      <c r="E504" s="1" t="s">
        <v>74</v>
      </c>
      <c r="F504" s="1" t="s">
        <v>5161</v>
      </c>
      <c r="G504" s="1" t="s">
        <v>74</v>
      </c>
      <c r="H504" s="1" t="s">
        <v>74</v>
      </c>
      <c r="I504" s="1" t="s">
        <v>5162</v>
      </c>
      <c r="J504" s="1" t="s">
        <v>5163</v>
      </c>
      <c r="K504" s="1" t="s">
        <v>74</v>
      </c>
      <c r="L504" s="1" t="s">
        <v>74</v>
      </c>
      <c r="M504" s="1" t="s">
        <v>74</v>
      </c>
      <c r="N504" s="1" t="s">
        <v>74</v>
      </c>
      <c r="O504" s="1" t="s">
        <v>74</v>
      </c>
      <c r="P504" s="1" t="s">
        <v>74</v>
      </c>
      <c r="Q504" s="1" t="s">
        <v>74</v>
      </c>
      <c r="R504" s="1" t="s">
        <v>74</v>
      </c>
      <c r="S504" s="1" t="s">
        <v>74</v>
      </c>
      <c r="T504" s="1" t="s">
        <v>74</v>
      </c>
      <c r="U504" s="1" t="s">
        <v>74</v>
      </c>
      <c r="V504" s="1" t="s">
        <v>5164</v>
      </c>
      <c r="W504" s="1" t="s">
        <v>74</v>
      </c>
      <c r="X504" s="1" t="s">
        <v>74</v>
      </c>
      <c r="Y504" s="1" t="s">
        <v>74</v>
      </c>
      <c r="Z504" s="1" t="s">
        <v>74</v>
      </c>
      <c r="AA504" s="1" t="s">
        <v>5165</v>
      </c>
      <c r="AB504" s="1" t="s">
        <v>5166</v>
      </c>
      <c r="AC504" s="1" t="s">
        <v>74</v>
      </c>
      <c r="AD504" s="1" t="s">
        <v>74</v>
      </c>
      <c r="AE504" s="1" t="s">
        <v>74</v>
      </c>
      <c r="AF504" s="1" t="s">
        <v>74</v>
      </c>
      <c r="AG504" s="1" t="s">
        <v>74</v>
      </c>
      <c r="AH504" s="1" t="s">
        <v>74</v>
      </c>
      <c r="AI504" s="1" t="s">
        <v>74</v>
      </c>
      <c r="AJ504" s="1" t="s">
        <v>74</v>
      </c>
      <c r="AK504" s="1" t="s">
        <v>74</v>
      </c>
      <c r="AL504" s="1" t="s">
        <v>74</v>
      </c>
      <c r="AM504" s="1" t="s">
        <v>74</v>
      </c>
      <c r="AN504" s="1" t="s">
        <v>74</v>
      </c>
      <c r="AO504" s="1" t="s">
        <v>5167</v>
      </c>
      <c r="AP504" s="1" t="s">
        <v>74</v>
      </c>
      <c r="AQ504" s="1" t="s">
        <v>74</v>
      </c>
      <c r="AR504" s="1" t="s">
        <v>74</v>
      </c>
      <c r="AS504" s="1" t="s">
        <v>74</v>
      </c>
      <c r="AT504" s="1" t="s">
        <v>1897</v>
      </c>
      <c r="AU504" s="1">
        <v>2011.0</v>
      </c>
      <c r="AV504" s="1">
        <v>9.0</v>
      </c>
      <c r="AW504" s="1" t="s">
        <v>74</v>
      </c>
      <c r="AX504" s="1" t="s">
        <v>74</v>
      </c>
      <c r="AY504" s="1" t="s">
        <v>74</v>
      </c>
      <c r="AZ504" s="1" t="s">
        <v>74</v>
      </c>
      <c r="BA504" s="1" t="s">
        <v>74</v>
      </c>
      <c r="BB504" s="1" t="s">
        <v>74</v>
      </c>
      <c r="BC504" s="1" t="s">
        <v>74</v>
      </c>
      <c r="BD504" s="1">
        <v>14.0</v>
      </c>
      <c r="BE504" s="1" t="s">
        <v>5168</v>
      </c>
      <c r="BF504" s="2" t="str">
        <f>HYPERLINK("http://dx.doi.org/10.1186/1477-7827-9-14","http://dx.doi.org/10.1186/1477-7827-9-14")</f>
        <v>http://dx.doi.org/10.1186/1477-7827-9-14</v>
      </c>
      <c r="BG504" s="1" t="s">
        <v>74</v>
      </c>
      <c r="BH504" s="1" t="s">
        <v>74</v>
      </c>
      <c r="BI504" s="1" t="s">
        <v>74</v>
      </c>
      <c r="BJ504" s="1" t="s">
        <v>74</v>
      </c>
      <c r="BK504" s="1" t="s">
        <v>74</v>
      </c>
      <c r="BL504" s="1" t="s">
        <v>74</v>
      </c>
      <c r="BM504" s="1" t="s">
        <v>74</v>
      </c>
      <c r="BN504" s="1">
        <v>2.1272326E7</v>
      </c>
      <c r="BO504" s="1" t="s">
        <v>74</v>
      </c>
      <c r="BP504" s="1" t="s">
        <v>74</v>
      </c>
      <c r="BQ504" s="1" t="s">
        <v>74</v>
      </c>
      <c r="BR504" s="1" t="s">
        <v>74</v>
      </c>
      <c r="BS504" s="1" t="s">
        <v>5169</v>
      </c>
      <c r="BT504" s="1" t="str">
        <f>HYPERLINK("https%3A%2F%2Fwww.webofscience.com%2Fwos%2Fwoscc%2Ffull-record%2FWOS:000287398600001","View Full Record in Web of Science")</f>
        <v>View Full Record in Web of Science</v>
      </c>
    </row>
    <row r="505" ht="12.75" customHeight="1">
      <c r="A505" s="1" t="s">
        <v>72</v>
      </c>
      <c r="B505" s="1" t="s">
        <v>5170</v>
      </c>
      <c r="C505" s="1" t="s">
        <v>74</v>
      </c>
      <c r="D505" s="1" t="s">
        <v>74</v>
      </c>
      <c r="E505" s="1" t="s">
        <v>74</v>
      </c>
      <c r="F505" s="1" t="s">
        <v>5171</v>
      </c>
      <c r="G505" s="1" t="s">
        <v>74</v>
      </c>
      <c r="H505" s="1" t="s">
        <v>74</v>
      </c>
      <c r="I505" s="1" t="s">
        <v>5172</v>
      </c>
      <c r="J505" s="1" t="s">
        <v>5173</v>
      </c>
      <c r="K505" s="1" t="s">
        <v>74</v>
      </c>
      <c r="L505" s="1" t="s">
        <v>74</v>
      </c>
      <c r="M505" s="1" t="s">
        <v>74</v>
      </c>
      <c r="N505" s="1" t="s">
        <v>74</v>
      </c>
      <c r="O505" s="1" t="s">
        <v>74</v>
      </c>
      <c r="P505" s="1" t="s">
        <v>74</v>
      </c>
      <c r="Q505" s="1" t="s">
        <v>74</v>
      </c>
      <c r="R505" s="1" t="s">
        <v>74</v>
      </c>
      <c r="S505" s="1" t="s">
        <v>74</v>
      </c>
      <c r="T505" s="1" t="s">
        <v>74</v>
      </c>
      <c r="U505" s="1" t="s">
        <v>74</v>
      </c>
      <c r="V505" s="1" t="s">
        <v>5174</v>
      </c>
      <c r="W505" s="1" t="s">
        <v>74</v>
      </c>
      <c r="X505" s="1" t="s">
        <v>74</v>
      </c>
      <c r="Y505" s="1" t="s">
        <v>74</v>
      </c>
      <c r="Z505" s="1" t="s">
        <v>74</v>
      </c>
      <c r="AA505" s="1" t="s">
        <v>5175</v>
      </c>
      <c r="AB505" s="1" t="s">
        <v>5176</v>
      </c>
      <c r="AC505" s="1" t="s">
        <v>74</v>
      </c>
      <c r="AD505" s="1" t="s">
        <v>74</v>
      </c>
      <c r="AE505" s="1" t="s">
        <v>74</v>
      </c>
      <c r="AF505" s="1" t="s">
        <v>74</v>
      </c>
      <c r="AG505" s="1" t="s">
        <v>74</v>
      </c>
      <c r="AH505" s="1" t="s">
        <v>74</v>
      </c>
      <c r="AI505" s="1" t="s">
        <v>74</v>
      </c>
      <c r="AJ505" s="1" t="s">
        <v>74</v>
      </c>
      <c r="AK505" s="1" t="s">
        <v>74</v>
      </c>
      <c r="AL505" s="1" t="s">
        <v>74</v>
      </c>
      <c r="AM505" s="1" t="s">
        <v>74</v>
      </c>
      <c r="AN505" s="1" t="s">
        <v>74</v>
      </c>
      <c r="AO505" s="1" t="s">
        <v>5177</v>
      </c>
      <c r="AP505" s="1" t="s">
        <v>74</v>
      </c>
      <c r="AQ505" s="1" t="s">
        <v>74</v>
      </c>
      <c r="AR505" s="1" t="s">
        <v>74</v>
      </c>
      <c r="AS505" s="1" t="s">
        <v>74</v>
      </c>
      <c r="AT505" s="1" t="s">
        <v>5178</v>
      </c>
      <c r="AU505" s="1">
        <v>2010.0</v>
      </c>
      <c r="AV505" s="1">
        <v>96.0</v>
      </c>
      <c r="AW505" s="1">
        <v>2.0</v>
      </c>
      <c r="AX505" s="1" t="s">
        <v>74</v>
      </c>
      <c r="AY505" s="1" t="s">
        <v>74</v>
      </c>
      <c r="AZ505" s="1" t="s">
        <v>74</v>
      </c>
      <c r="BA505" s="1" t="s">
        <v>74</v>
      </c>
      <c r="BB505" s="1">
        <v>85.0</v>
      </c>
      <c r="BC505" s="1">
        <v>89.0</v>
      </c>
      <c r="BD505" s="1" t="s">
        <v>74</v>
      </c>
      <c r="BE505" s="1" t="s">
        <v>5179</v>
      </c>
      <c r="BF505" s="2" t="str">
        <f>HYPERLINK("http://dx.doi.org/10.1016/j.aquatox.2009.10.007","http://dx.doi.org/10.1016/j.aquatox.2009.10.007")</f>
        <v>http://dx.doi.org/10.1016/j.aquatox.2009.10.007</v>
      </c>
      <c r="BG505" s="1" t="s">
        <v>74</v>
      </c>
      <c r="BH505" s="1" t="s">
        <v>74</v>
      </c>
      <c r="BI505" s="1" t="s">
        <v>74</v>
      </c>
      <c r="BJ505" s="1" t="s">
        <v>74</v>
      </c>
      <c r="BK505" s="1" t="s">
        <v>74</v>
      </c>
      <c r="BL505" s="1" t="s">
        <v>74</v>
      </c>
      <c r="BM505" s="1" t="s">
        <v>74</v>
      </c>
      <c r="BN505" s="1">
        <v>1.9896729E7</v>
      </c>
      <c r="BO505" s="1" t="s">
        <v>74</v>
      </c>
      <c r="BP505" s="1" t="s">
        <v>74</v>
      </c>
      <c r="BQ505" s="1" t="s">
        <v>74</v>
      </c>
      <c r="BR505" s="1" t="s">
        <v>74</v>
      </c>
      <c r="BS505" s="1" t="s">
        <v>5180</v>
      </c>
      <c r="BT505" s="1" t="str">
        <f>HYPERLINK("https%3A%2F%2Fwww.webofscience.com%2Fwos%2Fwoscc%2Ffull-record%2FWOS:000274978500001","View Full Record in Web of Science")</f>
        <v>View Full Record in Web of Science</v>
      </c>
    </row>
    <row r="506" ht="12.75" customHeight="1">
      <c r="A506" s="1" t="s">
        <v>647</v>
      </c>
      <c r="B506" s="1" t="s">
        <v>5181</v>
      </c>
      <c r="C506" s="1" t="s">
        <v>74</v>
      </c>
      <c r="D506" s="1" t="s">
        <v>74</v>
      </c>
      <c r="E506" s="1" t="s">
        <v>649</v>
      </c>
      <c r="F506" s="1" t="s">
        <v>5182</v>
      </c>
      <c r="G506" s="1" t="s">
        <v>74</v>
      </c>
      <c r="H506" s="1" t="s">
        <v>74</v>
      </c>
      <c r="I506" s="1" t="s">
        <v>5183</v>
      </c>
      <c r="J506" s="1" t="s">
        <v>5184</v>
      </c>
      <c r="K506" s="1" t="s">
        <v>5185</v>
      </c>
      <c r="L506" s="1" t="s">
        <v>74</v>
      </c>
      <c r="M506" s="1" t="s">
        <v>74</v>
      </c>
      <c r="N506" s="1" t="s">
        <v>74</v>
      </c>
      <c r="O506" s="1" t="s">
        <v>5186</v>
      </c>
      <c r="P506" s="1" t="s">
        <v>5187</v>
      </c>
      <c r="Q506" s="1" t="s">
        <v>5188</v>
      </c>
      <c r="R506" s="1" t="s">
        <v>5189</v>
      </c>
      <c r="S506" s="1" t="s">
        <v>74</v>
      </c>
      <c r="T506" s="1" t="s">
        <v>74</v>
      </c>
      <c r="U506" s="1" t="s">
        <v>74</v>
      </c>
      <c r="V506" s="1" t="s">
        <v>5190</v>
      </c>
      <c r="W506" s="1" t="s">
        <v>74</v>
      </c>
      <c r="X506" s="1" t="s">
        <v>74</v>
      </c>
      <c r="Y506" s="1" t="s">
        <v>74</v>
      </c>
      <c r="Z506" s="1" t="s">
        <v>74</v>
      </c>
      <c r="AA506" s="1" t="s">
        <v>5191</v>
      </c>
      <c r="AB506" s="1" t="s">
        <v>5192</v>
      </c>
      <c r="AC506" s="1" t="s">
        <v>74</v>
      </c>
      <c r="AD506" s="1" t="s">
        <v>74</v>
      </c>
      <c r="AE506" s="1" t="s">
        <v>74</v>
      </c>
      <c r="AF506" s="1" t="s">
        <v>74</v>
      </c>
      <c r="AG506" s="1" t="s">
        <v>74</v>
      </c>
      <c r="AH506" s="1" t="s">
        <v>74</v>
      </c>
      <c r="AI506" s="1" t="s">
        <v>74</v>
      </c>
      <c r="AJ506" s="1" t="s">
        <v>74</v>
      </c>
      <c r="AK506" s="1" t="s">
        <v>74</v>
      </c>
      <c r="AL506" s="1" t="s">
        <v>74</v>
      </c>
      <c r="AM506" s="1" t="s">
        <v>74</v>
      </c>
      <c r="AN506" s="1" t="s">
        <v>74</v>
      </c>
      <c r="AO506" s="1" t="s">
        <v>5193</v>
      </c>
      <c r="AP506" s="1" t="s">
        <v>74</v>
      </c>
      <c r="AQ506" s="1" t="s">
        <v>5194</v>
      </c>
      <c r="AR506" s="1" t="s">
        <v>74</v>
      </c>
      <c r="AS506" s="1" t="s">
        <v>74</v>
      </c>
      <c r="AT506" s="1" t="s">
        <v>74</v>
      </c>
      <c r="AU506" s="1">
        <v>2010.0</v>
      </c>
      <c r="AV506" s="1" t="s">
        <v>74</v>
      </c>
      <c r="AW506" s="1" t="s">
        <v>74</v>
      </c>
      <c r="AX506" s="1" t="s">
        <v>74</v>
      </c>
      <c r="AY506" s="1" t="s">
        <v>74</v>
      </c>
      <c r="AZ506" s="1" t="s">
        <v>74</v>
      </c>
      <c r="BA506" s="1" t="s">
        <v>74</v>
      </c>
      <c r="BB506" s="1">
        <v>1230.0</v>
      </c>
      <c r="BC506" s="1">
        <v>1235.0</v>
      </c>
      <c r="BD506" s="1" t="s">
        <v>74</v>
      </c>
      <c r="BE506" s="1" t="s">
        <v>74</v>
      </c>
      <c r="BF506" s="1" t="s">
        <v>74</v>
      </c>
      <c r="BG506" s="1" t="s">
        <v>74</v>
      </c>
      <c r="BH506" s="1" t="s">
        <v>74</v>
      </c>
      <c r="BI506" s="1" t="s">
        <v>74</v>
      </c>
      <c r="BJ506" s="1" t="s">
        <v>74</v>
      </c>
      <c r="BK506" s="1" t="s">
        <v>74</v>
      </c>
      <c r="BL506" s="1" t="s">
        <v>74</v>
      </c>
      <c r="BM506" s="1" t="s">
        <v>74</v>
      </c>
      <c r="BN506" s="1" t="s">
        <v>74</v>
      </c>
      <c r="BO506" s="1" t="s">
        <v>74</v>
      </c>
      <c r="BP506" s="1" t="s">
        <v>74</v>
      </c>
      <c r="BQ506" s="1" t="s">
        <v>74</v>
      </c>
      <c r="BR506" s="1" t="s">
        <v>74</v>
      </c>
      <c r="BS506" s="1" t="s">
        <v>5195</v>
      </c>
      <c r="BT506" s="1" t="str">
        <f>HYPERLINK("https%3A%2F%2Fwww.webofscience.com%2Fwos%2Fwoscc%2Ffull-record%2FWOS:000295007801079","View Full Record in Web of Science")</f>
        <v>View Full Record in Web of Science</v>
      </c>
    </row>
    <row r="507" ht="12.75" customHeight="1">
      <c r="A507" s="1" t="s">
        <v>72</v>
      </c>
      <c r="B507" s="1" t="s">
        <v>5196</v>
      </c>
      <c r="C507" s="1" t="s">
        <v>74</v>
      </c>
      <c r="D507" s="1" t="s">
        <v>74</v>
      </c>
      <c r="E507" s="1" t="s">
        <v>74</v>
      </c>
      <c r="F507" s="1" t="s">
        <v>5196</v>
      </c>
      <c r="G507" s="1" t="s">
        <v>74</v>
      </c>
      <c r="H507" s="1" t="s">
        <v>74</v>
      </c>
      <c r="I507" s="1" t="s">
        <v>5197</v>
      </c>
      <c r="J507" s="1" t="s">
        <v>312</v>
      </c>
      <c r="K507" s="1" t="s">
        <v>74</v>
      </c>
      <c r="L507" s="1" t="s">
        <v>74</v>
      </c>
      <c r="M507" s="1" t="s">
        <v>74</v>
      </c>
      <c r="N507" s="1" t="s">
        <v>74</v>
      </c>
      <c r="O507" s="1" t="s">
        <v>74</v>
      </c>
      <c r="P507" s="1" t="s">
        <v>74</v>
      </c>
      <c r="Q507" s="1" t="s">
        <v>74</v>
      </c>
      <c r="R507" s="1" t="s">
        <v>74</v>
      </c>
      <c r="S507" s="1" t="s">
        <v>74</v>
      </c>
      <c r="T507" s="1" t="s">
        <v>74</v>
      </c>
      <c r="U507" s="1" t="s">
        <v>74</v>
      </c>
      <c r="V507" s="1" t="s">
        <v>5198</v>
      </c>
      <c r="W507" s="1" t="s">
        <v>74</v>
      </c>
      <c r="X507" s="1" t="s">
        <v>74</v>
      </c>
      <c r="Y507" s="1" t="s">
        <v>74</v>
      </c>
      <c r="Z507" s="1" t="s">
        <v>74</v>
      </c>
      <c r="AA507" s="1" t="s">
        <v>5199</v>
      </c>
      <c r="AB507" s="1" t="s">
        <v>5200</v>
      </c>
      <c r="AC507" s="1" t="s">
        <v>74</v>
      </c>
      <c r="AD507" s="1" t="s">
        <v>74</v>
      </c>
      <c r="AE507" s="1" t="s">
        <v>74</v>
      </c>
      <c r="AF507" s="1" t="s">
        <v>74</v>
      </c>
      <c r="AG507" s="1" t="s">
        <v>74</v>
      </c>
      <c r="AH507" s="1" t="s">
        <v>74</v>
      </c>
      <c r="AI507" s="1" t="s">
        <v>74</v>
      </c>
      <c r="AJ507" s="1" t="s">
        <v>74</v>
      </c>
      <c r="AK507" s="1" t="s">
        <v>74</v>
      </c>
      <c r="AL507" s="1" t="s">
        <v>74</v>
      </c>
      <c r="AM507" s="1" t="s">
        <v>74</v>
      </c>
      <c r="AN507" s="1" t="s">
        <v>74</v>
      </c>
      <c r="AO507" s="1" t="s">
        <v>314</v>
      </c>
      <c r="AP507" s="1" t="s">
        <v>315</v>
      </c>
      <c r="AQ507" s="1" t="s">
        <v>74</v>
      </c>
      <c r="AR507" s="1" t="s">
        <v>74</v>
      </c>
      <c r="AS507" s="1" t="s">
        <v>74</v>
      </c>
      <c r="AT507" s="1" t="s">
        <v>438</v>
      </c>
      <c r="AU507" s="1">
        <v>2006.0</v>
      </c>
      <c r="AV507" s="1">
        <v>20.0</v>
      </c>
      <c r="AW507" s="1">
        <v>4.0</v>
      </c>
      <c r="AX507" s="1" t="s">
        <v>74</v>
      </c>
      <c r="AY507" s="1" t="s">
        <v>74</v>
      </c>
      <c r="AZ507" s="1" t="s">
        <v>74</v>
      </c>
      <c r="BA507" s="1" t="s">
        <v>74</v>
      </c>
      <c r="BB507" s="1">
        <v>272.0</v>
      </c>
      <c r="BC507" s="1">
        <v>276.0</v>
      </c>
      <c r="BD507" s="1" t="s">
        <v>74</v>
      </c>
      <c r="BE507" s="1" t="s">
        <v>5201</v>
      </c>
      <c r="BF507" s="2" t="str">
        <f>HYPERLINK("http://dx.doi.org/10.1002/aoc.1021","http://dx.doi.org/10.1002/aoc.1021")</f>
        <v>http://dx.doi.org/10.1002/aoc.1021</v>
      </c>
      <c r="BG507" s="1" t="s">
        <v>74</v>
      </c>
      <c r="BH507" s="1" t="s">
        <v>74</v>
      </c>
      <c r="BI507" s="1" t="s">
        <v>74</v>
      </c>
      <c r="BJ507" s="1" t="s">
        <v>74</v>
      </c>
      <c r="BK507" s="1" t="s">
        <v>74</v>
      </c>
      <c r="BL507" s="1" t="s">
        <v>74</v>
      </c>
      <c r="BM507" s="1" t="s">
        <v>74</v>
      </c>
      <c r="BN507" s="1" t="s">
        <v>74</v>
      </c>
      <c r="BO507" s="1" t="s">
        <v>74</v>
      </c>
      <c r="BP507" s="1" t="s">
        <v>74</v>
      </c>
      <c r="BQ507" s="1" t="s">
        <v>74</v>
      </c>
      <c r="BR507" s="1" t="s">
        <v>74</v>
      </c>
      <c r="BS507" s="1" t="s">
        <v>5202</v>
      </c>
      <c r="BT507" s="1" t="str">
        <f>HYPERLINK("https%3A%2F%2Fwww.webofscience.com%2Fwos%2Fwoscc%2Ffull-record%2FWOS:000236916700006","View Full Record in Web of Science")</f>
        <v>View Full Record in Web of Science</v>
      </c>
    </row>
    <row r="508" ht="12.75" customHeight="1">
      <c r="A508" s="1" t="s">
        <v>72</v>
      </c>
      <c r="B508" s="1" t="s">
        <v>5203</v>
      </c>
      <c r="C508" s="1" t="s">
        <v>74</v>
      </c>
      <c r="D508" s="1" t="s">
        <v>74</v>
      </c>
      <c r="E508" s="1" t="s">
        <v>74</v>
      </c>
      <c r="F508" s="1" t="s">
        <v>5203</v>
      </c>
      <c r="G508" s="1" t="s">
        <v>74</v>
      </c>
      <c r="H508" s="1" t="s">
        <v>74</v>
      </c>
      <c r="I508" s="1" t="s">
        <v>5204</v>
      </c>
      <c r="J508" s="1" t="s">
        <v>2334</v>
      </c>
      <c r="K508" s="1" t="s">
        <v>74</v>
      </c>
      <c r="L508" s="1" t="s">
        <v>74</v>
      </c>
      <c r="M508" s="1" t="s">
        <v>74</v>
      </c>
      <c r="N508" s="1" t="s">
        <v>74</v>
      </c>
      <c r="O508" s="1" t="s">
        <v>74</v>
      </c>
      <c r="P508" s="1" t="s">
        <v>74</v>
      </c>
      <c r="Q508" s="1" t="s">
        <v>74</v>
      </c>
      <c r="R508" s="1" t="s">
        <v>74</v>
      </c>
      <c r="S508" s="1" t="s">
        <v>74</v>
      </c>
      <c r="T508" s="1" t="s">
        <v>74</v>
      </c>
      <c r="U508" s="1" t="s">
        <v>74</v>
      </c>
      <c r="V508" s="1" t="s">
        <v>5205</v>
      </c>
      <c r="W508" s="1" t="s">
        <v>74</v>
      </c>
      <c r="X508" s="1" t="s">
        <v>74</v>
      </c>
      <c r="Y508" s="1" t="s">
        <v>74</v>
      </c>
      <c r="Z508" s="1" t="s">
        <v>74</v>
      </c>
      <c r="AA508" s="1" t="s">
        <v>5206</v>
      </c>
      <c r="AB508" s="1" t="s">
        <v>5207</v>
      </c>
      <c r="AC508" s="1" t="s">
        <v>74</v>
      </c>
      <c r="AD508" s="1" t="s">
        <v>74</v>
      </c>
      <c r="AE508" s="1" t="s">
        <v>74</v>
      </c>
      <c r="AF508" s="1" t="s">
        <v>74</v>
      </c>
      <c r="AG508" s="1" t="s">
        <v>74</v>
      </c>
      <c r="AH508" s="1" t="s">
        <v>74</v>
      </c>
      <c r="AI508" s="1" t="s">
        <v>74</v>
      </c>
      <c r="AJ508" s="1" t="s">
        <v>74</v>
      </c>
      <c r="AK508" s="1" t="s">
        <v>74</v>
      </c>
      <c r="AL508" s="1" t="s">
        <v>74</v>
      </c>
      <c r="AM508" s="1" t="s">
        <v>74</v>
      </c>
      <c r="AN508" s="1" t="s">
        <v>74</v>
      </c>
      <c r="AO508" s="1" t="s">
        <v>2338</v>
      </c>
      <c r="AP508" s="1" t="s">
        <v>74</v>
      </c>
      <c r="AQ508" s="1" t="s">
        <v>74</v>
      </c>
      <c r="AR508" s="1" t="s">
        <v>74</v>
      </c>
      <c r="AS508" s="1" t="s">
        <v>74</v>
      </c>
      <c r="AT508" s="1" t="s">
        <v>5208</v>
      </c>
      <c r="AU508" s="1">
        <v>2001.0</v>
      </c>
      <c r="AV508" s="1">
        <v>27.0</v>
      </c>
      <c r="AW508" s="1">
        <v>1.0</v>
      </c>
      <c r="AX508" s="1" t="s">
        <v>74</v>
      </c>
      <c r="AY508" s="1" t="s">
        <v>74</v>
      </c>
      <c r="AZ508" s="1" t="s">
        <v>74</v>
      </c>
      <c r="BA508" s="1" t="s">
        <v>74</v>
      </c>
      <c r="BB508" s="1">
        <v>15.0</v>
      </c>
      <c r="BC508" s="1">
        <v>27.0</v>
      </c>
      <c r="BD508" s="1" t="s">
        <v>74</v>
      </c>
      <c r="BE508" s="1" t="s">
        <v>5209</v>
      </c>
      <c r="BF508" s="2" t="str">
        <f>HYPERLINK("http://dx.doi.org/10.1016/S0924-2031(01)00117-5","http://dx.doi.org/10.1016/S0924-2031(01)00117-5")</f>
        <v>http://dx.doi.org/10.1016/S0924-2031(01)00117-5</v>
      </c>
      <c r="BG508" s="1" t="s">
        <v>74</v>
      </c>
      <c r="BH508" s="1" t="s">
        <v>74</v>
      </c>
      <c r="BI508" s="1" t="s">
        <v>74</v>
      </c>
      <c r="BJ508" s="1" t="s">
        <v>74</v>
      </c>
      <c r="BK508" s="1" t="s">
        <v>74</v>
      </c>
      <c r="BL508" s="1" t="s">
        <v>74</v>
      </c>
      <c r="BM508" s="1" t="s">
        <v>74</v>
      </c>
      <c r="BN508" s="1" t="s">
        <v>74</v>
      </c>
      <c r="BO508" s="1" t="s">
        <v>74</v>
      </c>
      <c r="BP508" s="1" t="s">
        <v>74</v>
      </c>
      <c r="BQ508" s="1" t="s">
        <v>74</v>
      </c>
      <c r="BR508" s="1" t="s">
        <v>74</v>
      </c>
      <c r="BS508" s="1" t="s">
        <v>5210</v>
      </c>
      <c r="BT508" s="1" t="str">
        <f>HYPERLINK("https%3A%2F%2Fwww.webofscience.com%2Fwos%2Fwoscc%2Ffull-record%2FWOS:000172139600002","View Full Record in Web of Science")</f>
        <v>View Full Record in Web of Science</v>
      </c>
    </row>
    <row r="509" ht="12.75" customHeight="1">
      <c r="A509" s="1" t="s">
        <v>72</v>
      </c>
      <c r="B509" s="1" t="s">
        <v>5211</v>
      </c>
      <c r="C509" s="1" t="s">
        <v>74</v>
      </c>
      <c r="D509" s="1" t="s">
        <v>74</v>
      </c>
      <c r="E509" s="1" t="s">
        <v>74</v>
      </c>
      <c r="F509" s="1" t="s">
        <v>5212</v>
      </c>
      <c r="G509" s="1" t="s">
        <v>74</v>
      </c>
      <c r="H509" s="1" t="s">
        <v>74</v>
      </c>
      <c r="I509" s="1" t="s">
        <v>5213</v>
      </c>
      <c r="J509" s="1" t="s">
        <v>5214</v>
      </c>
      <c r="K509" s="1" t="s">
        <v>74</v>
      </c>
      <c r="L509" s="1" t="s">
        <v>74</v>
      </c>
      <c r="M509" s="1" t="s">
        <v>74</v>
      </c>
      <c r="N509" s="1" t="s">
        <v>74</v>
      </c>
      <c r="O509" s="1" t="s">
        <v>74</v>
      </c>
      <c r="P509" s="1" t="s">
        <v>74</v>
      </c>
      <c r="Q509" s="1" t="s">
        <v>74</v>
      </c>
      <c r="R509" s="1" t="s">
        <v>74</v>
      </c>
      <c r="S509" s="1" t="s">
        <v>74</v>
      </c>
      <c r="T509" s="1" t="s">
        <v>74</v>
      </c>
      <c r="U509" s="1" t="s">
        <v>74</v>
      </c>
      <c r="V509" s="1" t="s">
        <v>5215</v>
      </c>
      <c r="W509" s="1" t="s">
        <v>74</v>
      </c>
      <c r="X509" s="1" t="s">
        <v>74</v>
      </c>
      <c r="Y509" s="1" t="s">
        <v>74</v>
      </c>
      <c r="Z509" s="1" t="s">
        <v>74</v>
      </c>
      <c r="AA509" s="1" t="s">
        <v>5216</v>
      </c>
      <c r="AB509" s="1" t="s">
        <v>5217</v>
      </c>
      <c r="AC509" s="1" t="s">
        <v>74</v>
      </c>
      <c r="AD509" s="1" t="s">
        <v>74</v>
      </c>
      <c r="AE509" s="1" t="s">
        <v>74</v>
      </c>
      <c r="AF509" s="1" t="s">
        <v>74</v>
      </c>
      <c r="AG509" s="1" t="s">
        <v>74</v>
      </c>
      <c r="AH509" s="1" t="s">
        <v>74</v>
      </c>
      <c r="AI509" s="1" t="s">
        <v>74</v>
      </c>
      <c r="AJ509" s="1" t="s">
        <v>74</v>
      </c>
      <c r="AK509" s="1" t="s">
        <v>74</v>
      </c>
      <c r="AL509" s="1" t="s">
        <v>74</v>
      </c>
      <c r="AM509" s="1" t="s">
        <v>74</v>
      </c>
      <c r="AN509" s="1" t="s">
        <v>74</v>
      </c>
      <c r="AO509" s="1" t="s">
        <v>5218</v>
      </c>
      <c r="AP509" s="1" t="s">
        <v>5219</v>
      </c>
      <c r="AQ509" s="1" t="s">
        <v>74</v>
      </c>
      <c r="AR509" s="1" t="s">
        <v>74</v>
      </c>
      <c r="AS509" s="1" t="s">
        <v>74</v>
      </c>
      <c r="AT509" s="1" t="s">
        <v>559</v>
      </c>
      <c r="AU509" s="1">
        <v>2023.0</v>
      </c>
      <c r="AV509" s="1">
        <v>65.0</v>
      </c>
      <c r="AW509" s="1">
        <v>12.0</v>
      </c>
      <c r="AX509" s="1" t="s">
        <v>74</v>
      </c>
      <c r="AY509" s="1" t="s">
        <v>74</v>
      </c>
      <c r="AZ509" s="1" t="s">
        <v>74</v>
      </c>
      <c r="BA509" s="1" t="s">
        <v>74</v>
      </c>
      <c r="BB509" s="1">
        <v>1045.0</v>
      </c>
      <c r="BC509" s="1">
        <v>1050.0</v>
      </c>
      <c r="BD509" s="1" t="s">
        <v>74</v>
      </c>
      <c r="BE509" s="1" t="s">
        <v>5220</v>
      </c>
      <c r="BF509" s="2" t="str">
        <f>HYPERLINK("http://dx.doi.org/10.1097/JOM.0000000000002967","http://dx.doi.org/10.1097/JOM.0000000000002967")</f>
        <v>http://dx.doi.org/10.1097/JOM.0000000000002967</v>
      </c>
      <c r="BG509" s="1" t="s">
        <v>74</v>
      </c>
      <c r="BH509" s="1" t="s">
        <v>74</v>
      </c>
      <c r="BI509" s="1" t="s">
        <v>74</v>
      </c>
      <c r="BJ509" s="1" t="s">
        <v>74</v>
      </c>
      <c r="BK509" s="1" t="s">
        <v>74</v>
      </c>
      <c r="BL509" s="1" t="s">
        <v>74</v>
      </c>
      <c r="BM509" s="1" t="s">
        <v>74</v>
      </c>
      <c r="BN509" s="1">
        <v>3.7705398E7</v>
      </c>
      <c r="BO509" s="1" t="s">
        <v>74</v>
      </c>
      <c r="BP509" s="1" t="s">
        <v>74</v>
      </c>
      <c r="BQ509" s="1" t="s">
        <v>74</v>
      </c>
      <c r="BR509" s="1" t="s">
        <v>74</v>
      </c>
      <c r="BS509" s="1" t="s">
        <v>5221</v>
      </c>
      <c r="BT509" s="1" t="str">
        <f>HYPERLINK("https%3A%2F%2Fwww.webofscience.com%2Fwos%2Fwoscc%2Ffull-record%2FWOS:001112407600019","View Full Record in Web of Science")</f>
        <v>View Full Record in Web of Science</v>
      </c>
    </row>
    <row r="510" ht="12.75" customHeight="1">
      <c r="A510" s="1" t="s">
        <v>72</v>
      </c>
      <c r="B510" s="1" t="s">
        <v>5222</v>
      </c>
      <c r="C510" s="1" t="s">
        <v>74</v>
      </c>
      <c r="D510" s="1" t="s">
        <v>74</v>
      </c>
      <c r="E510" s="1" t="s">
        <v>74</v>
      </c>
      <c r="F510" s="1" t="s">
        <v>5223</v>
      </c>
      <c r="G510" s="1" t="s">
        <v>74</v>
      </c>
      <c r="H510" s="1" t="s">
        <v>74</v>
      </c>
      <c r="I510" s="1" t="s">
        <v>5224</v>
      </c>
      <c r="J510" s="1" t="s">
        <v>5225</v>
      </c>
      <c r="K510" s="1" t="s">
        <v>74</v>
      </c>
      <c r="L510" s="1" t="s">
        <v>74</v>
      </c>
      <c r="M510" s="1" t="s">
        <v>74</v>
      </c>
      <c r="N510" s="1" t="s">
        <v>74</v>
      </c>
      <c r="O510" s="1" t="s">
        <v>74</v>
      </c>
      <c r="P510" s="1" t="s">
        <v>74</v>
      </c>
      <c r="Q510" s="1" t="s">
        <v>74</v>
      </c>
      <c r="R510" s="1" t="s">
        <v>74</v>
      </c>
      <c r="S510" s="1" t="s">
        <v>74</v>
      </c>
      <c r="T510" s="1" t="s">
        <v>74</v>
      </c>
      <c r="U510" s="1" t="s">
        <v>74</v>
      </c>
      <c r="V510" s="1" t="s">
        <v>5226</v>
      </c>
      <c r="W510" s="1" t="s">
        <v>74</v>
      </c>
      <c r="X510" s="1" t="s">
        <v>74</v>
      </c>
      <c r="Y510" s="1" t="s">
        <v>74</v>
      </c>
      <c r="Z510" s="1" t="s">
        <v>74</v>
      </c>
      <c r="AA510" s="1" t="s">
        <v>5227</v>
      </c>
      <c r="AB510" s="1" t="s">
        <v>5228</v>
      </c>
      <c r="AC510" s="1" t="s">
        <v>74</v>
      </c>
      <c r="AD510" s="1" t="s">
        <v>74</v>
      </c>
      <c r="AE510" s="1" t="s">
        <v>74</v>
      </c>
      <c r="AF510" s="1" t="s">
        <v>74</v>
      </c>
      <c r="AG510" s="1" t="s">
        <v>74</v>
      </c>
      <c r="AH510" s="1" t="s">
        <v>74</v>
      </c>
      <c r="AI510" s="1" t="s">
        <v>74</v>
      </c>
      <c r="AJ510" s="1" t="s">
        <v>74</v>
      </c>
      <c r="AK510" s="1" t="s">
        <v>74</v>
      </c>
      <c r="AL510" s="1" t="s">
        <v>74</v>
      </c>
      <c r="AM510" s="1" t="s">
        <v>74</v>
      </c>
      <c r="AN510" s="1" t="s">
        <v>74</v>
      </c>
      <c r="AO510" s="1" t="s">
        <v>5229</v>
      </c>
      <c r="AP510" s="1" t="s">
        <v>74</v>
      </c>
      <c r="AQ510" s="1" t="s">
        <v>74</v>
      </c>
      <c r="AR510" s="1" t="s">
        <v>74</v>
      </c>
      <c r="AS510" s="1" t="s">
        <v>74</v>
      </c>
      <c r="AT510" s="1" t="s">
        <v>5230</v>
      </c>
      <c r="AU510" s="1">
        <v>2023.0</v>
      </c>
      <c r="AV510" s="1">
        <v>11.0</v>
      </c>
      <c r="AW510" s="1">
        <v>29.0</v>
      </c>
      <c r="AX510" s="1" t="s">
        <v>74</v>
      </c>
      <c r="AY510" s="1" t="s">
        <v>74</v>
      </c>
      <c r="AZ510" s="1" t="s">
        <v>74</v>
      </c>
      <c r="BA510" s="1" t="s">
        <v>74</v>
      </c>
      <c r="BB510" s="1">
        <v>10755.0</v>
      </c>
      <c r="BC510" s="1">
        <v>10766.0</v>
      </c>
      <c r="BD510" s="1" t="s">
        <v>74</v>
      </c>
      <c r="BE510" s="1" t="s">
        <v>5231</v>
      </c>
      <c r="BF510" s="2" t="str">
        <f>HYPERLINK("http://dx.doi.org/10.1021/acssuschemeng.3c01358","http://dx.doi.org/10.1021/acssuschemeng.3c01358")</f>
        <v>http://dx.doi.org/10.1021/acssuschemeng.3c01358</v>
      </c>
      <c r="BG510" s="1" t="s">
        <v>74</v>
      </c>
      <c r="BH510" s="1" t="s">
        <v>1919</v>
      </c>
      <c r="BI510" s="1" t="s">
        <v>74</v>
      </c>
      <c r="BJ510" s="1" t="s">
        <v>74</v>
      </c>
      <c r="BK510" s="1" t="s">
        <v>74</v>
      </c>
      <c r="BL510" s="1" t="s">
        <v>74</v>
      </c>
      <c r="BM510" s="1" t="s">
        <v>74</v>
      </c>
      <c r="BN510" s="1" t="s">
        <v>74</v>
      </c>
      <c r="BO510" s="1" t="s">
        <v>74</v>
      </c>
      <c r="BP510" s="1" t="s">
        <v>74</v>
      </c>
      <c r="BQ510" s="1" t="s">
        <v>74</v>
      </c>
      <c r="BR510" s="1" t="s">
        <v>74</v>
      </c>
      <c r="BS510" s="1" t="s">
        <v>5232</v>
      </c>
      <c r="BT510" s="1" t="str">
        <f>HYPERLINK("https%3A%2F%2Fwww.webofscience.com%2Fwos%2Fwoscc%2Ffull-record%2FWOS:001027021000001","View Full Record in Web of Science")</f>
        <v>View Full Record in Web of Science</v>
      </c>
    </row>
    <row r="511" ht="12.75" customHeight="1">
      <c r="A511" s="1" t="s">
        <v>72</v>
      </c>
      <c r="B511" s="1" t="s">
        <v>5233</v>
      </c>
      <c r="C511" s="1" t="s">
        <v>74</v>
      </c>
      <c r="D511" s="1" t="s">
        <v>74</v>
      </c>
      <c r="E511" s="1" t="s">
        <v>74</v>
      </c>
      <c r="F511" s="1" t="s">
        <v>5234</v>
      </c>
      <c r="G511" s="1" t="s">
        <v>74</v>
      </c>
      <c r="H511" s="1" t="s">
        <v>74</v>
      </c>
      <c r="I511" s="1" t="s">
        <v>5235</v>
      </c>
      <c r="J511" s="1" t="s">
        <v>5236</v>
      </c>
      <c r="K511" s="1" t="s">
        <v>74</v>
      </c>
      <c r="L511" s="1" t="s">
        <v>74</v>
      </c>
      <c r="M511" s="1" t="s">
        <v>74</v>
      </c>
      <c r="N511" s="1" t="s">
        <v>74</v>
      </c>
      <c r="O511" s="1" t="s">
        <v>74</v>
      </c>
      <c r="P511" s="1" t="s">
        <v>74</v>
      </c>
      <c r="Q511" s="1" t="s">
        <v>74</v>
      </c>
      <c r="R511" s="1" t="s">
        <v>74</v>
      </c>
      <c r="S511" s="1" t="s">
        <v>74</v>
      </c>
      <c r="T511" s="1" t="s">
        <v>74</v>
      </c>
      <c r="U511" s="1" t="s">
        <v>74</v>
      </c>
      <c r="V511" s="1" t="s">
        <v>5237</v>
      </c>
      <c r="W511" s="1" t="s">
        <v>74</v>
      </c>
      <c r="X511" s="1" t="s">
        <v>74</v>
      </c>
      <c r="Y511" s="1" t="s">
        <v>74</v>
      </c>
      <c r="Z511" s="1" t="s">
        <v>74</v>
      </c>
      <c r="AA511" s="1" t="s">
        <v>5238</v>
      </c>
      <c r="AB511" s="1" t="s">
        <v>5239</v>
      </c>
      <c r="AC511" s="1" t="s">
        <v>74</v>
      </c>
      <c r="AD511" s="1" t="s">
        <v>74</v>
      </c>
      <c r="AE511" s="1" t="s">
        <v>74</v>
      </c>
      <c r="AF511" s="1" t="s">
        <v>74</v>
      </c>
      <c r="AG511" s="1" t="s">
        <v>74</v>
      </c>
      <c r="AH511" s="1" t="s">
        <v>74</v>
      </c>
      <c r="AI511" s="1" t="s">
        <v>74</v>
      </c>
      <c r="AJ511" s="1" t="s">
        <v>74</v>
      </c>
      <c r="AK511" s="1" t="s">
        <v>74</v>
      </c>
      <c r="AL511" s="1" t="s">
        <v>74</v>
      </c>
      <c r="AM511" s="1" t="s">
        <v>74</v>
      </c>
      <c r="AN511" s="1" t="s">
        <v>74</v>
      </c>
      <c r="AO511" s="1" t="s">
        <v>74</v>
      </c>
      <c r="AP511" s="1" t="s">
        <v>5240</v>
      </c>
      <c r="AQ511" s="1" t="s">
        <v>74</v>
      </c>
      <c r="AR511" s="1" t="s">
        <v>74</v>
      </c>
      <c r="AS511" s="1" t="s">
        <v>74</v>
      </c>
      <c r="AT511" s="1" t="s">
        <v>155</v>
      </c>
      <c r="AU511" s="1">
        <v>2023.0</v>
      </c>
      <c r="AV511" s="1">
        <v>9.0</v>
      </c>
      <c r="AW511" s="1">
        <v>6.0</v>
      </c>
      <c r="AX511" s="1" t="s">
        <v>74</v>
      </c>
      <c r="AY511" s="1" t="s">
        <v>74</v>
      </c>
      <c r="AZ511" s="1" t="s">
        <v>74</v>
      </c>
      <c r="BA511" s="1" t="s">
        <v>74</v>
      </c>
      <c r="BB511" s="1" t="s">
        <v>74</v>
      </c>
      <c r="BC511" s="1" t="s">
        <v>74</v>
      </c>
      <c r="BD511" s="1">
        <v>155.0</v>
      </c>
      <c r="BE511" s="1" t="s">
        <v>5241</v>
      </c>
      <c r="BF511" s="2" t="str">
        <f>HYPERLINK("http://dx.doi.org/10.3390/magnetochemistry9060155","http://dx.doi.org/10.3390/magnetochemistry9060155")</f>
        <v>http://dx.doi.org/10.3390/magnetochemistry9060155</v>
      </c>
      <c r="BG511" s="1" t="s">
        <v>74</v>
      </c>
      <c r="BH511" s="1" t="s">
        <v>74</v>
      </c>
      <c r="BI511" s="1" t="s">
        <v>74</v>
      </c>
      <c r="BJ511" s="1" t="s">
        <v>74</v>
      </c>
      <c r="BK511" s="1" t="s">
        <v>74</v>
      </c>
      <c r="BL511" s="1" t="s">
        <v>74</v>
      </c>
      <c r="BM511" s="1" t="s">
        <v>74</v>
      </c>
      <c r="BN511" s="1" t="s">
        <v>74</v>
      </c>
      <c r="BO511" s="1" t="s">
        <v>74</v>
      </c>
      <c r="BP511" s="1" t="s">
        <v>74</v>
      </c>
      <c r="BQ511" s="1" t="s">
        <v>74</v>
      </c>
      <c r="BR511" s="1" t="s">
        <v>74</v>
      </c>
      <c r="BS511" s="1" t="s">
        <v>5242</v>
      </c>
      <c r="BT511" s="1" t="str">
        <f>HYPERLINK("https%3A%2F%2Fwww.webofscience.com%2Fwos%2Fwoscc%2Ffull-record%2FWOS:001020992500001","View Full Record in Web of Science")</f>
        <v>View Full Record in Web of Science</v>
      </c>
    </row>
    <row r="512" ht="12.75" customHeight="1">
      <c r="A512" s="1" t="s">
        <v>72</v>
      </c>
      <c r="B512" s="1" t="s">
        <v>5243</v>
      </c>
      <c r="C512" s="1" t="s">
        <v>74</v>
      </c>
      <c r="D512" s="1" t="s">
        <v>74</v>
      </c>
      <c r="E512" s="1" t="s">
        <v>74</v>
      </c>
      <c r="F512" s="1" t="s">
        <v>5244</v>
      </c>
      <c r="G512" s="1" t="s">
        <v>74</v>
      </c>
      <c r="H512" s="1" t="s">
        <v>74</v>
      </c>
      <c r="I512" s="1" t="s">
        <v>5245</v>
      </c>
      <c r="J512" s="1" t="s">
        <v>1633</v>
      </c>
      <c r="K512" s="1" t="s">
        <v>74</v>
      </c>
      <c r="L512" s="1" t="s">
        <v>74</v>
      </c>
      <c r="M512" s="1" t="s">
        <v>74</v>
      </c>
      <c r="N512" s="1" t="s">
        <v>74</v>
      </c>
      <c r="O512" s="1" t="s">
        <v>74</v>
      </c>
      <c r="P512" s="1" t="s">
        <v>74</v>
      </c>
      <c r="Q512" s="1" t="s">
        <v>74</v>
      </c>
      <c r="R512" s="1" t="s">
        <v>74</v>
      </c>
      <c r="S512" s="1" t="s">
        <v>74</v>
      </c>
      <c r="T512" s="1" t="s">
        <v>74</v>
      </c>
      <c r="U512" s="1" t="s">
        <v>74</v>
      </c>
      <c r="V512" s="1" t="s">
        <v>5246</v>
      </c>
      <c r="W512" s="1" t="s">
        <v>74</v>
      </c>
      <c r="X512" s="1" t="s">
        <v>74</v>
      </c>
      <c r="Y512" s="1" t="s">
        <v>74</v>
      </c>
      <c r="Z512" s="1" t="s">
        <v>74</v>
      </c>
      <c r="AA512" s="1" t="s">
        <v>5247</v>
      </c>
      <c r="AB512" s="1" t="s">
        <v>5248</v>
      </c>
      <c r="AC512" s="1" t="s">
        <v>74</v>
      </c>
      <c r="AD512" s="1" t="s">
        <v>74</v>
      </c>
      <c r="AE512" s="1" t="s">
        <v>74</v>
      </c>
      <c r="AF512" s="1" t="s">
        <v>74</v>
      </c>
      <c r="AG512" s="1" t="s">
        <v>74</v>
      </c>
      <c r="AH512" s="1" t="s">
        <v>74</v>
      </c>
      <c r="AI512" s="1" t="s">
        <v>74</v>
      </c>
      <c r="AJ512" s="1" t="s">
        <v>74</v>
      </c>
      <c r="AK512" s="1" t="s">
        <v>74</v>
      </c>
      <c r="AL512" s="1" t="s">
        <v>74</v>
      </c>
      <c r="AM512" s="1" t="s">
        <v>74</v>
      </c>
      <c r="AN512" s="1" t="s">
        <v>74</v>
      </c>
      <c r="AO512" s="1" t="s">
        <v>1637</v>
      </c>
      <c r="AP512" s="1" t="s">
        <v>1638</v>
      </c>
      <c r="AQ512" s="1" t="s">
        <v>74</v>
      </c>
      <c r="AR512" s="1" t="s">
        <v>74</v>
      </c>
      <c r="AS512" s="1" t="s">
        <v>74</v>
      </c>
      <c r="AT512" s="1" t="s">
        <v>5249</v>
      </c>
      <c r="AU512" s="1">
        <v>2023.0</v>
      </c>
      <c r="AV512" s="1">
        <v>47.0</v>
      </c>
      <c r="AW512" s="1">
        <v>27.0</v>
      </c>
      <c r="AX512" s="1" t="s">
        <v>74</v>
      </c>
      <c r="AY512" s="1" t="s">
        <v>74</v>
      </c>
      <c r="AZ512" s="1" t="s">
        <v>74</v>
      </c>
      <c r="BA512" s="1" t="s">
        <v>74</v>
      </c>
      <c r="BB512" s="1">
        <v>12806.0</v>
      </c>
      <c r="BC512" s="1">
        <v>12815.0</v>
      </c>
      <c r="BD512" s="1" t="s">
        <v>74</v>
      </c>
      <c r="BE512" s="1" t="s">
        <v>5250</v>
      </c>
      <c r="BF512" s="2" t="str">
        <f>HYPERLINK("http://dx.doi.org/10.1039/d3nj01178j","http://dx.doi.org/10.1039/d3nj01178j")</f>
        <v>http://dx.doi.org/10.1039/d3nj01178j</v>
      </c>
      <c r="BG512" s="1" t="s">
        <v>74</v>
      </c>
      <c r="BH512" s="1" t="s">
        <v>5025</v>
      </c>
      <c r="BI512" s="1" t="s">
        <v>74</v>
      </c>
      <c r="BJ512" s="1" t="s">
        <v>74</v>
      </c>
      <c r="BK512" s="1" t="s">
        <v>74</v>
      </c>
      <c r="BL512" s="1" t="s">
        <v>74</v>
      </c>
      <c r="BM512" s="1" t="s">
        <v>74</v>
      </c>
      <c r="BN512" s="1" t="s">
        <v>74</v>
      </c>
      <c r="BO512" s="1" t="s">
        <v>74</v>
      </c>
      <c r="BP512" s="1" t="s">
        <v>74</v>
      </c>
      <c r="BQ512" s="1" t="s">
        <v>74</v>
      </c>
      <c r="BR512" s="1" t="s">
        <v>74</v>
      </c>
      <c r="BS512" s="1" t="s">
        <v>5251</v>
      </c>
      <c r="BT512" s="1" t="str">
        <f>HYPERLINK("https%3A%2F%2Fwww.webofscience.com%2Fwos%2Fwoscc%2Ffull-record%2FWOS:001016057200001","View Full Record in Web of Science")</f>
        <v>View Full Record in Web of Science</v>
      </c>
    </row>
    <row r="513" ht="12.75" customHeight="1">
      <c r="A513" s="1" t="s">
        <v>72</v>
      </c>
      <c r="B513" s="1" t="s">
        <v>5252</v>
      </c>
      <c r="C513" s="1" t="s">
        <v>74</v>
      </c>
      <c r="D513" s="1" t="s">
        <v>74</v>
      </c>
      <c r="E513" s="1" t="s">
        <v>74</v>
      </c>
      <c r="F513" s="1" t="s">
        <v>5253</v>
      </c>
      <c r="G513" s="1" t="s">
        <v>74</v>
      </c>
      <c r="H513" s="1" t="s">
        <v>74</v>
      </c>
      <c r="I513" s="1" t="s">
        <v>5254</v>
      </c>
      <c r="J513" s="1" t="s">
        <v>1726</v>
      </c>
      <c r="K513" s="1" t="s">
        <v>74</v>
      </c>
      <c r="L513" s="1" t="s">
        <v>74</v>
      </c>
      <c r="M513" s="1" t="s">
        <v>74</v>
      </c>
      <c r="N513" s="1" t="s">
        <v>74</v>
      </c>
      <c r="O513" s="1" t="s">
        <v>74</v>
      </c>
      <c r="P513" s="1" t="s">
        <v>74</v>
      </c>
      <c r="Q513" s="1" t="s">
        <v>74</v>
      </c>
      <c r="R513" s="1" t="s">
        <v>74</v>
      </c>
      <c r="S513" s="1" t="s">
        <v>74</v>
      </c>
      <c r="T513" s="1" t="s">
        <v>74</v>
      </c>
      <c r="U513" s="1" t="s">
        <v>74</v>
      </c>
      <c r="V513" s="1" t="s">
        <v>5255</v>
      </c>
      <c r="W513" s="1" t="s">
        <v>74</v>
      </c>
      <c r="X513" s="1" t="s">
        <v>74</v>
      </c>
      <c r="Y513" s="1" t="s">
        <v>74</v>
      </c>
      <c r="Z513" s="1" t="s">
        <v>74</v>
      </c>
      <c r="AA513" s="1" t="s">
        <v>5256</v>
      </c>
      <c r="AB513" s="1" t="s">
        <v>74</v>
      </c>
      <c r="AC513" s="1" t="s">
        <v>74</v>
      </c>
      <c r="AD513" s="1" t="s">
        <v>74</v>
      </c>
      <c r="AE513" s="1" t="s">
        <v>74</v>
      </c>
      <c r="AF513" s="1" t="s">
        <v>74</v>
      </c>
      <c r="AG513" s="1" t="s">
        <v>74</v>
      </c>
      <c r="AH513" s="1" t="s">
        <v>74</v>
      </c>
      <c r="AI513" s="1" t="s">
        <v>74</v>
      </c>
      <c r="AJ513" s="1" t="s">
        <v>74</v>
      </c>
      <c r="AK513" s="1" t="s">
        <v>74</v>
      </c>
      <c r="AL513" s="1" t="s">
        <v>74</v>
      </c>
      <c r="AM513" s="1" t="s">
        <v>74</v>
      </c>
      <c r="AN513" s="1" t="s">
        <v>74</v>
      </c>
      <c r="AO513" s="1" t="s">
        <v>1729</v>
      </c>
      <c r="AP513" s="1" t="s">
        <v>74</v>
      </c>
      <c r="AQ513" s="1" t="s">
        <v>74</v>
      </c>
      <c r="AR513" s="1" t="s">
        <v>74</v>
      </c>
      <c r="AS513" s="1" t="s">
        <v>74</v>
      </c>
      <c r="AT513" s="1" t="s">
        <v>74</v>
      </c>
      <c r="AU513" s="1">
        <v>2022.0</v>
      </c>
      <c r="AV513" s="1">
        <v>11.0</v>
      </c>
      <c r="AW513" s="1" t="s">
        <v>74</v>
      </c>
      <c r="AX513" s="1" t="s">
        <v>74</v>
      </c>
      <c r="AY513" s="1">
        <v>4.0</v>
      </c>
      <c r="AZ513" s="1" t="s">
        <v>74</v>
      </c>
      <c r="BA513" s="1" t="s">
        <v>74</v>
      </c>
      <c r="BB513" s="1" t="s">
        <v>74</v>
      </c>
      <c r="BC513" s="1" t="s">
        <v>74</v>
      </c>
      <c r="BD513" s="1" t="s">
        <v>74</v>
      </c>
      <c r="BE513" s="1" t="s">
        <v>74</v>
      </c>
      <c r="BF513" s="1" t="s">
        <v>74</v>
      </c>
      <c r="BG513" s="1" t="s">
        <v>74</v>
      </c>
      <c r="BH513" s="1" t="s">
        <v>74</v>
      </c>
      <c r="BI513" s="1" t="s">
        <v>74</v>
      </c>
      <c r="BJ513" s="1" t="s">
        <v>74</v>
      </c>
      <c r="BK513" s="1" t="s">
        <v>74</v>
      </c>
      <c r="BL513" s="1" t="s">
        <v>74</v>
      </c>
      <c r="BM513" s="1" t="s">
        <v>74</v>
      </c>
      <c r="BN513" s="1" t="s">
        <v>74</v>
      </c>
      <c r="BO513" s="1" t="s">
        <v>74</v>
      </c>
      <c r="BP513" s="1" t="s">
        <v>74</v>
      </c>
      <c r="BQ513" s="1" t="s">
        <v>74</v>
      </c>
      <c r="BR513" s="1" t="s">
        <v>74</v>
      </c>
      <c r="BS513" s="1" t="s">
        <v>5257</v>
      </c>
      <c r="BT513" s="1" t="str">
        <f>HYPERLINK("https%3A%2F%2Fwww.webofscience.com%2Fwos%2Fwoscc%2Ffull-record%2FWOS:001014834900004","View Full Record in Web of Science")</f>
        <v>View Full Record in Web of Science</v>
      </c>
    </row>
    <row r="514" ht="12.75" customHeight="1">
      <c r="A514" s="1" t="s">
        <v>72</v>
      </c>
      <c r="B514" s="1" t="s">
        <v>5258</v>
      </c>
      <c r="C514" s="1" t="s">
        <v>74</v>
      </c>
      <c r="D514" s="1" t="s">
        <v>74</v>
      </c>
      <c r="E514" s="1" t="s">
        <v>74</v>
      </c>
      <c r="F514" s="1" t="s">
        <v>5259</v>
      </c>
      <c r="G514" s="1" t="s">
        <v>74</v>
      </c>
      <c r="H514" s="1" t="s">
        <v>5260</v>
      </c>
      <c r="I514" s="1" t="s">
        <v>5261</v>
      </c>
      <c r="J514" s="1" t="s">
        <v>1992</v>
      </c>
      <c r="K514" s="1" t="s">
        <v>74</v>
      </c>
      <c r="L514" s="1" t="s">
        <v>74</v>
      </c>
      <c r="M514" s="1" t="s">
        <v>74</v>
      </c>
      <c r="N514" s="1" t="s">
        <v>74</v>
      </c>
      <c r="O514" s="1" t="s">
        <v>74</v>
      </c>
      <c r="P514" s="1" t="s">
        <v>74</v>
      </c>
      <c r="Q514" s="1" t="s">
        <v>74</v>
      </c>
      <c r="R514" s="1" t="s">
        <v>74</v>
      </c>
      <c r="S514" s="1" t="s">
        <v>74</v>
      </c>
      <c r="T514" s="1" t="s">
        <v>74</v>
      </c>
      <c r="U514" s="1" t="s">
        <v>74</v>
      </c>
      <c r="V514" s="1" t="s">
        <v>5262</v>
      </c>
      <c r="W514" s="1" t="s">
        <v>74</v>
      </c>
      <c r="X514" s="1" t="s">
        <v>74</v>
      </c>
      <c r="Y514" s="1" t="s">
        <v>74</v>
      </c>
      <c r="Z514" s="1" t="s">
        <v>74</v>
      </c>
      <c r="AA514" s="1" t="s">
        <v>5263</v>
      </c>
      <c r="AB514" s="1" t="s">
        <v>5264</v>
      </c>
      <c r="AC514" s="1" t="s">
        <v>74</v>
      </c>
      <c r="AD514" s="1" t="s">
        <v>74</v>
      </c>
      <c r="AE514" s="1" t="s">
        <v>74</v>
      </c>
      <c r="AF514" s="1" t="s">
        <v>74</v>
      </c>
      <c r="AG514" s="1" t="s">
        <v>74</v>
      </c>
      <c r="AH514" s="1" t="s">
        <v>74</v>
      </c>
      <c r="AI514" s="1" t="s">
        <v>74</v>
      </c>
      <c r="AJ514" s="1" t="s">
        <v>74</v>
      </c>
      <c r="AK514" s="1" t="s">
        <v>74</v>
      </c>
      <c r="AL514" s="1" t="s">
        <v>74</v>
      </c>
      <c r="AM514" s="1" t="s">
        <v>74</v>
      </c>
      <c r="AN514" s="1" t="s">
        <v>74</v>
      </c>
      <c r="AO514" s="1" t="s">
        <v>1995</v>
      </c>
      <c r="AP514" s="1" t="s">
        <v>74</v>
      </c>
      <c r="AQ514" s="1" t="s">
        <v>74</v>
      </c>
      <c r="AR514" s="1" t="s">
        <v>74</v>
      </c>
      <c r="AS514" s="1" t="s">
        <v>74</v>
      </c>
      <c r="AT514" s="1" t="s">
        <v>411</v>
      </c>
      <c r="AU514" s="1">
        <v>2020.0</v>
      </c>
      <c r="AV514" s="1">
        <v>20.0</v>
      </c>
      <c r="AW514" s="1">
        <v>10.0</v>
      </c>
      <c r="AX514" s="1" t="s">
        <v>74</v>
      </c>
      <c r="AY514" s="1" t="s">
        <v>74</v>
      </c>
      <c r="AZ514" s="1" t="s">
        <v>74</v>
      </c>
      <c r="BA514" s="1" t="s">
        <v>74</v>
      </c>
      <c r="BB514" s="1" t="s">
        <v>74</v>
      </c>
      <c r="BC514" s="1" t="s">
        <v>74</v>
      </c>
      <c r="BD514" s="1" t="s">
        <v>5265</v>
      </c>
      <c r="BE514" s="1" t="s">
        <v>5266</v>
      </c>
      <c r="BF514" s="2" t="str">
        <f>HYPERLINK("http://dx.doi.org/10.5867/medwave.2020.10.8062","http://dx.doi.org/10.5867/medwave.2020.10.8062")</f>
        <v>http://dx.doi.org/10.5867/medwave.2020.10.8062</v>
      </c>
      <c r="BG514" s="1" t="s">
        <v>74</v>
      </c>
      <c r="BH514" s="1" t="s">
        <v>74</v>
      </c>
      <c r="BI514" s="1" t="s">
        <v>74</v>
      </c>
      <c r="BJ514" s="1" t="s">
        <v>74</v>
      </c>
      <c r="BK514" s="1" t="s">
        <v>74</v>
      </c>
      <c r="BL514" s="1" t="s">
        <v>74</v>
      </c>
      <c r="BM514" s="1" t="s">
        <v>74</v>
      </c>
      <c r="BN514" s="1">
        <v>3.3361754E7</v>
      </c>
      <c r="BO514" s="1" t="s">
        <v>74</v>
      </c>
      <c r="BP514" s="1" t="s">
        <v>74</v>
      </c>
      <c r="BQ514" s="1" t="s">
        <v>74</v>
      </c>
      <c r="BR514" s="1" t="s">
        <v>74</v>
      </c>
      <c r="BS514" s="1" t="s">
        <v>5267</v>
      </c>
      <c r="BT514" s="1" t="str">
        <f>HYPERLINK("https%3A%2F%2Fwww.webofscience.com%2Fwos%2Fwoscc%2Ffull-record%2FWOS:000603383400008","View Full Record in Web of Science")</f>
        <v>View Full Record in Web of Science</v>
      </c>
    </row>
    <row r="515" ht="12.75" customHeight="1">
      <c r="A515" s="1" t="s">
        <v>72</v>
      </c>
      <c r="B515" s="1" t="s">
        <v>5268</v>
      </c>
      <c r="C515" s="1" t="s">
        <v>74</v>
      </c>
      <c r="D515" s="1" t="s">
        <v>74</v>
      </c>
      <c r="E515" s="1" t="s">
        <v>74</v>
      </c>
      <c r="F515" s="1" t="s">
        <v>5269</v>
      </c>
      <c r="G515" s="1" t="s">
        <v>74</v>
      </c>
      <c r="H515" s="1" t="s">
        <v>74</v>
      </c>
      <c r="I515" s="1" t="s">
        <v>5270</v>
      </c>
      <c r="J515" s="1" t="s">
        <v>1548</v>
      </c>
      <c r="K515" s="1" t="s">
        <v>74</v>
      </c>
      <c r="L515" s="1" t="s">
        <v>74</v>
      </c>
      <c r="M515" s="1" t="s">
        <v>74</v>
      </c>
      <c r="N515" s="1" t="s">
        <v>74</v>
      </c>
      <c r="O515" s="1" t="s">
        <v>74</v>
      </c>
      <c r="P515" s="1" t="s">
        <v>74</v>
      </c>
      <c r="Q515" s="1" t="s">
        <v>74</v>
      </c>
      <c r="R515" s="1" t="s">
        <v>74</v>
      </c>
      <c r="S515" s="1" t="s">
        <v>74</v>
      </c>
      <c r="T515" s="1" t="s">
        <v>74</v>
      </c>
      <c r="U515" s="1" t="s">
        <v>74</v>
      </c>
      <c r="V515" s="1" t="s">
        <v>5271</v>
      </c>
      <c r="W515" s="1" t="s">
        <v>74</v>
      </c>
      <c r="X515" s="1" t="s">
        <v>74</v>
      </c>
      <c r="Y515" s="1" t="s">
        <v>74</v>
      </c>
      <c r="Z515" s="1" t="s">
        <v>74</v>
      </c>
      <c r="AA515" s="1" t="s">
        <v>5272</v>
      </c>
      <c r="AB515" s="1" t="s">
        <v>5273</v>
      </c>
      <c r="AC515" s="1" t="s">
        <v>74</v>
      </c>
      <c r="AD515" s="1" t="s">
        <v>74</v>
      </c>
      <c r="AE515" s="1" t="s">
        <v>74</v>
      </c>
      <c r="AF515" s="1" t="s">
        <v>74</v>
      </c>
      <c r="AG515" s="1" t="s">
        <v>74</v>
      </c>
      <c r="AH515" s="1" t="s">
        <v>74</v>
      </c>
      <c r="AI515" s="1" t="s">
        <v>74</v>
      </c>
      <c r="AJ515" s="1" t="s">
        <v>74</v>
      </c>
      <c r="AK515" s="1" t="s">
        <v>74</v>
      </c>
      <c r="AL515" s="1" t="s">
        <v>74</v>
      </c>
      <c r="AM515" s="1" t="s">
        <v>74</v>
      </c>
      <c r="AN515" s="1" t="s">
        <v>74</v>
      </c>
      <c r="AO515" s="1" t="s">
        <v>1552</v>
      </c>
      <c r="AP515" s="1" t="s">
        <v>1553</v>
      </c>
      <c r="AQ515" s="1" t="s">
        <v>74</v>
      </c>
      <c r="AR515" s="1" t="s">
        <v>74</v>
      </c>
      <c r="AS515" s="1" t="s">
        <v>74</v>
      </c>
      <c r="AT515" s="1" t="s">
        <v>3274</v>
      </c>
      <c r="AU515" s="1">
        <v>2020.0</v>
      </c>
      <c r="AV515" s="1">
        <v>37.0</v>
      </c>
      <c r="AW515" s="1">
        <v>6.0</v>
      </c>
      <c r="AX515" s="1" t="s">
        <v>74</v>
      </c>
      <c r="AY515" s="1" t="s">
        <v>74</v>
      </c>
      <c r="AZ515" s="1" t="s">
        <v>74</v>
      </c>
      <c r="BA515" s="1" t="s">
        <v>74</v>
      </c>
      <c r="BB515" s="1">
        <v>1186.0</v>
      </c>
      <c r="BC515" s="1">
        <v>1189.0</v>
      </c>
      <c r="BD515" s="1" t="s">
        <v>74</v>
      </c>
      <c r="BE515" s="1" t="s">
        <v>5274</v>
      </c>
      <c r="BF515" s="2" t="str">
        <f>HYPERLINK("http://dx.doi.org/10.20960/nh.03207","http://dx.doi.org/10.20960/nh.03207")</f>
        <v>http://dx.doi.org/10.20960/nh.03207</v>
      </c>
      <c r="BG515" s="1" t="s">
        <v>74</v>
      </c>
      <c r="BH515" s="1" t="s">
        <v>74</v>
      </c>
      <c r="BI515" s="1" t="s">
        <v>74</v>
      </c>
      <c r="BJ515" s="1" t="s">
        <v>74</v>
      </c>
      <c r="BK515" s="1" t="s">
        <v>74</v>
      </c>
      <c r="BL515" s="1" t="s">
        <v>74</v>
      </c>
      <c r="BM515" s="1" t="s">
        <v>74</v>
      </c>
      <c r="BN515" s="1">
        <v>3.3119395E7</v>
      </c>
      <c r="BO515" s="1" t="s">
        <v>74</v>
      </c>
      <c r="BP515" s="1" t="s">
        <v>74</v>
      </c>
      <c r="BQ515" s="1" t="s">
        <v>74</v>
      </c>
      <c r="BR515" s="1" t="s">
        <v>74</v>
      </c>
      <c r="BS515" s="1" t="s">
        <v>5275</v>
      </c>
      <c r="BT515" s="1" t="str">
        <f>HYPERLINK("https%3A%2F%2Fwww.webofscience.com%2Fwos%2Fwoscc%2Ffull-record%2FWOS:000614882500014","View Full Record in Web of Science")</f>
        <v>View Full Record in Web of Science</v>
      </c>
    </row>
    <row r="516" ht="12.75" customHeight="1">
      <c r="A516" s="1" t="s">
        <v>72</v>
      </c>
      <c r="B516" s="1" t="s">
        <v>5276</v>
      </c>
      <c r="C516" s="1" t="s">
        <v>74</v>
      </c>
      <c r="D516" s="1" t="s">
        <v>74</v>
      </c>
      <c r="E516" s="1" t="s">
        <v>74</v>
      </c>
      <c r="F516" s="1" t="s">
        <v>5277</v>
      </c>
      <c r="G516" s="1" t="s">
        <v>74</v>
      </c>
      <c r="H516" s="1" t="s">
        <v>74</v>
      </c>
      <c r="I516" s="1" t="s">
        <v>5278</v>
      </c>
      <c r="J516" s="1" t="s">
        <v>5279</v>
      </c>
      <c r="K516" s="1" t="s">
        <v>74</v>
      </c>
      <c r="L516" s="1" t="s">
        <v>74</v>
      </c>
      <c r="M516" s="1" t="s">
        <v>74</v>
      </c>
      <c r="N516" s="1" t="s">
        <v>74</v>
      </c>
      <c r="O516" s="1" t="s">
        <v>74</v>
      </c>
      <c r="P516" s="1" t="s">
        <v>74</v>
      </c>
      <c r="Q516" s="1" t="s">
        <v>74</v>
      </c>
      <c r="R516" s="1" t="s">
        <v>74</v>
      </c>
      <c r="S516" s="1" t="s">
        <v>74</v>
      </c>
      <c r="T516" s="1" t="s">
        <v>74</v>
      </c>
      <c r="U516" s="1" t="s">
        <v>74</v>
      </c>
      <c r="V516" s="1" t="s">
        <v>5280</v>
      </c>
      <c r="W516" s="1" t="s">
        <v>74</v>
      </c>
      <c r="X516" s="1" t="s">
        <v>74</v>
      </c>
      <c r="Y516" s="1" t="s">
        <v>74</v>
      </c>
      <c r="Z516" s="1" t="s">
        <v>74</v>
      </c>
      <c r="AA516" s="1" t="s">
        <v>5281</v>
      </c>
      <c r="AB516" s="1" t="s">
        <v>5282</v>
      </c>
      <c r="AC516" s="1" t="s">
        <v>74</v>
      </c>
      <c r="AD516" s="1" t="s">
        <v>74</v>
      </c>
      <c r="AE516" s="1" t="s">
        <v>74</v>
      </c>
      <c r="AF516" s="1" t="s">
        <v>74</v>
      </c>
      <c r="AG516" s="1" t="s">
        <v>74</v>
      </c>
      <c r="AH516" s="1" t="s">
        <v>74</v>
      </c>
      <c r="AI516" s="1" t="s">
        <v>74</v>
      </c>
      <c r="AJ516" s="1" t="s">
        <v>74</v>
      </c>
      <c r="AK516" s="1" t="s">
        <v>74</v>
      </c>
      <c r="AL516" s="1" t="s">
        <v>74</v>
      </c>
      <c r="AM516" s="1" t="s">
        <v>74</v>
      </c>
      <c r="AN516" s="1" t="s">
        <v>74</v>
      </c>
      <c r="AO516" s="1" t="s">
        <v>5283</v>
      </c>
      <c r="AP516" s="1" t="s">
        <v>5284</v>
      </c>
      <c r="AQ516" s="1" t="s">
        <v>74</v>
      </c>
      <c r="AR516" s="1" t="s">
        <v>74</v>
      </c>
      <c r="AS516" s="1" t="s">
        <v>74</v>
      </c>
      <c r="AT516" s="1" t="s">
        <v>155</v>
      </c>
      <c r="AU516" s="1">
        <v>2020.0</v>
      </c>
      <c r="AV516" s="1">
        <v>71.0</v>
      </c>
      <c r="AW516" s="1">
        <v>3.0</v>
      </c>
      <c r="AX516" s="1" t="s">
        <v>74</v>
      </c>
      <c r="AY516" s="1" t="s">
        <v>74</v>
      </c>
      <c r="AZ516" s="1" t="s">
        <v>74</v>
      </c>
      <c r="BA516" s="1" t="s">
        <v>74</v>
      </c>
      <c r="BB516" s="1">
        <v>150.0</v>
      </c>
      <c r="BC516" s="1">
        <v>164.0</v>
      </c>
      <c r="BD516" s="1" t="s">
        <v>74</v>
      </c>
      <c r="BE516" s="1" t="s">
        <v>5285</v>
      </c>
      <c r="BF516" s="2" t="str">
        <f>HYPERLINK("http://dx.doi.org/10.2478/jee-2020-0022","http://dx.doi.org/10.2478/jee-2020-0022")</f>
        <v>http://dx.doi.org/10.2478/jee-2020-0022</v>
      </c>
      <c r="BG516" s="1" t="s">
        <v>74</v>
      </c>
      <c r="BH516" s="1" t="s">
        <v>74</v>
      </c>
      <c r="BI516" s="1" t="s">
        <v>74</v>
      </c>
      <c r="BJ516" s="1" t="s">
        <v>74</v>
      </c>
      <c r="BK516" s="1" t="s">
        <v>74</v>
      </c>
      <c r="BL516" s="1" t="s">
        <v>74</v>
      </c>
      <c r="BM516" s="1" t="s">
        <v>74</v>
      </c>
      <c r="BN516" s="1" t="s">
        <v>74</v>
      </c>
      <c r="BO516" s="1" t="s">
        <v>74</v>
      </c>
      <c r="BP516" s="1" t="s">
        <v>74</v>
      </c>
      <c r="BQ516" s="1" t="s">
        <v>74</v>
      </c>
      <c r="BR516" s="1" t="s">
        <v>74</v>
      </c>
      <c r="BS516" s="1" t="s">
        <v>5286</v>
      </c>
      <c r="BT516" s="1" t="str">
        <f>HYPERLINK("https%3A%2F%2Fwww.webofscience.com%2Fwos%2Fwoscc%2Ffull-record%2FWOS:000560032700002","View Full Record in Web of Science")</f>
        <v>View Full Record in Web of Science</v>
      </c>
    </row>
    <row r="517" ht="12.75" customHeight="1">
      <c r="A517" s="1" t="s">
        <v>72</v>
      </c>
      <c r="B517" s="1" t="s">
        <v>5287</v>
      </c>
      <c r="C517" s="1" t="s">
        <v>74</v>
      </c>
      <c r="D517" s="1" t="s">
        <v>74</v>
      </c>
      <c r="E517" s="1" t="s">
        <v>74</v>
      </c>
      <c r="F517" s="1" t="s">
        <v>5288</v>
      </c>
      <c r="G517" s="1" t="s">
        <v>74</v>
      </c>
      <c r="H517" s="1" t="s">
        <v>74</v>
      </c>
      <c r="I517" s="1" t="s">
        <v>5289</v>
      </c>
      <c r="J517" s="1" t="s">
        <v>5290</v>
      </c>
      <c r="K517" s="1" t="s">
        <v>74</v>
      </c>
      <c r="L517" s="1" t="s">
        <v>74</v>
      </c>
      <c r="M517" s="1" t="s">
        <v>74</v>
      </c>
      <c r="N517" s="1" t="s">
        <v>74</v>
      </c>
      <c r="O517" s="1" t="s">
        <v>74</v>
      </c>
      <c r="P517" s="1" t="s">
        <v>74</v>
      </c>
      <c r="Q517" s="1" t="s">
        <v>74</v>
      </c>
      <c r="R517" s="1" t="s">
        <v>74</v>
      </c>
      <c r="S517" s="1" t="s">
        <v>74</v>
      </c>
      <c r="T517" s="1" t="s">
        <v>74</v>
      </c>
      <c r="U517" s="1" t="s">
        <v>74</v>
      </c>
      <c r="V517" s="1" t="s">
        <v>5291</v>
      </c>
      <c r="W517" s="1" t="s">
        <v>74</v>
      </c>
      <c r="X517" s="1" t="s">
        <v>74</v>
      </c>
      <c r="Y517" s="1" t="s">
        <v>74</v>
      </c>
      <c r="Z517" s="1" t="s">
        <v>74</v>
      </c>
      <c r="AA517" s="1" t="s">
        <v>5292</v>
      </c>
      <c r="AB517" s="1" t="s">
        <v>5293</v>
      </c>
      <c r="AC517" s="1" t="s">
        <v>74</v>
      </c>
      <c r="AD517" s="1" t="s">
        <v>74</v>
      </c>
      <c r="AE517" s="1" t="s">
        <v>74</v>
      </c>
      <c r="AF517" s="1" t="s">
        <v>74</v>
      </c>
      <c r="AG517" s="1" t="s">
        <v>74</v>
      </c>
      <c r="AH517" s="1" t="s">
        <v>74</v>
      </c>
      <c r="AI517" s="1" t="s">
        <v>74</v>
      </c>
      <c r="AJ517" s="1" t="s">
        <v>74</v>
      </c>
      <c r="AK517" s="1" t="s">
        <v>74</v>
      </c>
      <c r="AL517" s="1" t="s">
        <v>74</v>
      </c>
      <c r="AM517" s="1" t="s">
        <v>74</v>
      </c>
      <c r="AN517" s="1" t="s">
        <v>74</v>
      </c>
      <c r="AO517" s="1" t="s">
        <v>5294</v>
      </c>
      <c r="AP517" s="1" t="s">
        <v>5295</v>
      </c>
      <c r="AQ517" s="1" t="s">
        <v>74</v>
      </c>
      <c r="AR517" s="1" t="s">
        <v>74</v>
      </c>
      <c r="AS517" s="1" t="s">
        <v>74</v>
      </c>
      <c r="AT517" s="1" t="s">
        <v>719</v>
      </c>
      <c r="AU517" s="1">
        <v>2018.0</v>
      </c>
      <c r="AV517" s="1">
        <v>233.0</v>
      </c>
      <c r="AW517" s="1">
        <v>1.0</v>
      </c>
      <c r="AX517" s="1" t="s">
        <v>74</v>
      </c>
      <c r="AY517" s="1" t="s">
        <v>74</v>
      </c>
      <c r="AZ517" s="1" t="s">
        <v>74</v>
      </c>
      <c r="BA517" s="1" t="s">
        <v>74</v>
      </c>
      <c r="BB517" s="1">
        <v>73.0</v>
      </c>
      <c r="BC517" s="1">
        <v>85.0</v>
      </c>
      <c r="BD517" s="1" t="s">
        <v>74</v>
      </c>
      <c r="BE517" s="1" t="s">
        <v>5296</v>
      </c>
      <c r="BF517" s="2" t="str">
        <f>HYPERLINK("http://dx.doi.org/10.1111/joa.12814","http://dx.doi.org/10.1111/joa.12814")</f>
        <v>http://dx.doi.org/10.1111/joa.12814</v>
      </c>
      <c r="BG517" s="1" t="s">
        <v>74</v>
      </c>
      <c r="BH517" s="1" t="s">
        <v>74</v>
      </c>
      <c r="BI517" s="1" t="s">
        <v>74</v>
      </c>
      <c r="BJ517" s="1" t="s">
        <v>74</v>
      </c>
      <c r="BK517" s="1" t="s">
        <v>74</v>
      </c>
      <c r="BL517" s="1" t="s">
        <v>74</v>
      </c>
      <c r="BM517" s="1" t="s">
        <v>74</v>
      </c>
      <c r="BN517" s="1">
        <v>2.9663371E7</v>
      </c>
      <c r="BO517" s="1" t="s">
        <v>74</v>
      </c>
      <c r="BP517" s="1" t="s">
        <v>74</v>
      </c>
      <c r="BQ517" s="1" t="s">
        <v>74</v>
      </c>
      <c r="BR517" s="1" t="s">
        <v>74</v>
      </c>
      <c r="BS517" s="1" t="s">
        <v>5297</v>
      </c>
      <c r="BT517" s="1" t="str">
        <f>HYPERLINK("https%3A%2F%2Fwww.webofscience.com%2Fwos%2Fwoscc%2Ffull-record%2FWOS:000434275300007","View Full Record in Web of Science")</f>
        <v>View Full Record in Web of Science</v>
      </c>
    </row>
    <row r="518" ht="12.75" customHeight="1">
      <c r="A518" s="1" t="s">
        <v>72</v>
      </c>
      <c r="B518" s="1" t="s">
        <v>5298</v>
      </c>
      <c r="C518" s="1" t="s">
        <v>74</v>
      </c>
      <c r="D518" s="1" t="s">
        <v>74</v>
      </c>
      <c r="E518" s="1" t="s">
        <v>74</v>
      </c>
      <c r="F518" s="1" t="s">
        <v>5299</v>
      </c>
      <c r="G518" s="1" t="s">
        <v>74</v>
      </c>
      <c r="H518" s="1" t="s">
        <v>74</v>
      </c>
      <c r="I518" s="1" t="s">
        <v>5300</v>
      </c>
      <c r="J518" s="1" t="s">
        <v>5301</v>
      </c>
      <c r="K518" s="1" t="s">
        <v>74</v>
      </c>
      <c r="L518" s="1" t="s">
        <v>74</v>
      </c>
      <c r="M518" s="1" t="s">
        <v>74</v>
      </c>
      <c r="N518" s="1" t="s">
        <v>74</v>
      </c>
      <c r="O518" s="1" t="s">
        <v>74</v>
      </c>
      <c r="P518" s="1" t="s">
        <v>74</v>
      </c>
      <c r="Q518" s="1" t="s">
        <v>74</v>
      </c>
      <c r="R518" s="1" t="s">
        <v>74</v>
      </c>
      <c r="S518" s="1" t="s">
        <v>74</v>
      </c>
      <c r="T518" s="1" t="s">
        <v>74</v>
      </c>
      <c r="U518" s="1" t="s">
        <v>74</v>
      </c>
      <c r="V518" s="1" t="s">
        <v>5302</v>
      </c>
      <c r="W518" s="1" t="s">
        <v>74</v>
      </c>
      <c r="X518" s="1" t="s">
        <v>74</v>
      </c>
      <c r="Y518" s="1" t="s">
        <v>74</v>
      </c>
      <c r="Z518" s="1" t="s">
        <v>74</v>
      </c>
      <c r="AA518" s="1" t="s">
        <v>5303</v>
      </c>
      <c r="AB518" s="1" t="s">
        <v>5304</v>
      </c>
      <c r="AC518" s="1" t="s">
        <v>74</v>
      </c>
      <c r="AD518" s="1" t="s">
        <v>74</v>
      </c>
      <c r="AE518" s="1" t="s">
        <v>74</v>
      </c>
      <c r="AF518" s="1" t="s">
        <v>74</v>
      </c>
      <c r="AG518" s="1" t="s">
        <v>74</v>
      </c>
      <c r="AH518" s="1" t="s">
        <v>74</v>
      </c>
      <c r="AI518" s="1" t="s">
        <v>74</v>
      </c>
      <c r="AJ518" s="1" t="s">
        <v>74</v>
      </c>
      <c r="AK518" s="1" t="s">
        <v>74</v>
      </c>
      <c r="AL518" s="1" t="s">
        <v>74</v>
      </c>
      <c r="AM518" s="1" t="s">
        <v>74</v>
      </c>
      <c r="AN518" s="1" t="s">
        <v>74</v>
      </c>
      <c r="AO518" s="1" t="s">
        <v>5305</v>
      </c>
      <c r="AP518" s="1" t="s">
        <v>5306</v>
      </c>
      <c r="AQ518" s="1" t="s">
        <v>74</v>
      </c>
      <c r="AR518" s="1" t="s">
        <v>74</v>
      </c>
      <c r="AS518" s="1" t="s">
        <v>74</v>
      </c>
      <c r="AT518" s="1" t="s">
        <v>1009</v>
      </c>
      <c r="AU518" s="1">
        <v>2015.0</v>
      </c>
      <c r="AV518" s="1">
        <v>107.0</v>
      </c>
      <c r="AW518" s="1">
        <v>4.0</v>
      </c>
      <c r="AX518" s="1" t="s">
        <v>74</v>
      </c>
      <c r="AY518" s="1" t="s">
        <v>74</v>
      </c>
      <c r="AZ518" s="1" t="s">
        <v>74</v>
      </c>
      <c r="BA518" s="1" t="s">
        <v>74</v>
      </c>
      <c r="BB518" s="1">
        <v>661.0</v>
      </c>
      <c r="BC518" s="1">
        <v>666.0</v>
      </c>
      <c r="BD518" s="1" t="s">
        <v>74</v>
      </c>
      <c r="BE518" s="1" t="s">
        <v>5307</v>
      </c>
      <c r="BF518" s="2" t="str">
        <f>HYPERLINK("http://dx.doi.org/10.3852/14-162","http://dx.doi.org/10.3852/14-162")</f>
        <v>http://dx.doi.org/10.3852/14-162</v>
      </c>
      <c r="BG518" s="1" t="s">
        <v>74</v>
      </c>
      <c r="BH518" s="1" t="s">
        <v>74</v>
      </c>
      <c r="BI518" s="1" t="s">
        <v>74</v>
      </c>
      <c r="BJ518" s="1" t="s">
        <v>74</v>
      </c>
      <c r="BK518" s="1" t="s">
        <v>74</v>
      </c>
      <c r="BL518" s="1" t="s">
        <v>74</v>
      </c>
      <c r="BM518" s="1" t="s">
        <v>74</v>
      </c>
      <c r="BN518" s="1">
        <v>2.5977212E7</v>
      </c>
      <c r="BO518" s="1" t="s">
        <v>74</v>
      </c>
      <c r="BP518" s="1" t="s">
        <v>74</v>
      </c>
      <c r="BQ518" s="1" t="s">
        <v>74</v>
      </c>
      <c r="BR518" s="1" t="s">
        <v>74</v>
      </c>
      <c r="BS518" s="1" t="s">
        <v>5308</v>
      </c>
      <c r="BT518" s="1" t="str">
        <f>HYPERLINK("https%3A%2F%2Fwww.webofscience.com%2Fwos%2Fwoscc%2Ffull-record%2FWOS:000361918700001","View Full Record in Web of Science")</f>
        <v>View Full Record in Web of Science</v>
      </c>
    </row>
    <row r="519" ht="12.75" customHeight="1">
      <c r="A519" s="1" t="s">
        <v>647</v>
      </c>
      <c r="B519" s="1" t="s">
        <v>4256</v>
      </c>
      <c r="C519" s="1" t="s">
        <v>74</v>
      </c>
      <c r="D519" s="1" t="s">
        <v>5309</v>
      </c>
      <c r="E519" s="1" t="s">
        <v>74</v>
      </c>
      <c r="F519" s="1" t="s">
        <v>4257</v>
      </c>
      <c r="G519" s="1" t="s">
        <v>74</v>
      </c>
      <c r="H519" s="1" t="s">
        <v>74</v>
      </c>
      <c r="I519" s="1" t="s">
        <v>5310</v>
      </c>
      <c r="J519" s="1" t="s">
        <v>5311</v>
      </c>
      <c r="K519" s="1" t="s">
        <v>5312</v>
      </c>
      <c r="L519" s="1" t="s">
        <v>74</v>
      </c>
      <c r="M519" s="1" t="s">
        <v>74</v>
      </c>
      <c r="N519" s="1" t="s">
        <v>74</v>
      </c>
      <c r="O519" s="1" t="s">
        <v>5313</v>
      </c>
      <c r="P519" s="1" t="s">
        <v>5314</v>
      </c>
      <c r="Q519" s="1" t="s">
        <v>5315</v>
      </c>
      <c r="R519" s="1" t="s">
        <v>74</v>
      </c>
      <c r="S519" s="1" t="s">
        <v>5316</v>
      </c>
      <c r="T519" s="1" t="s">
        <v>74</v>
      </c>
      <c r="U519" s="1" t="s">
        <v>74</v>
      </c>
      <c r="V519" s="1" t="s">
        <v>74</v>
      </c>
      <c r="W519" s="1" t="s">
        <v>74</v>
      </c>
      <c r="X519" s="1" t="s">
        <v>74</v>
      </c>
      <c r="Y519" s="1" t="s">
        <v>74</v>
      </c>
      <c r="Z519" s="1" t="s">
        <v>74</v>
      </c>
      <c r="AA519" s="1" t="s">
        <v>4261</v>
      </c>
      <c r="AB519" s="1" t="s">
        <v>5317</v>
      </c>
      <c r="AC519" s="1" t="s">
        <v>74</v>
      </c>
      <c r="AD519" s="1" t="s">
        <v>74</v>
      </c>
      <c r="AE519" s="1" t="s">
        <v>74</v>
      </c>
      <c r="AF519" s="1" t="s">
        <v>74</v>
      </c>
      <c r="AG519" s="1" t="s">
        <v>74</v>
      </c>
      <c r="AH519" s="1" t="s">
        <v>74</v>
      </c>
      <c r="AI519" s="1" t="s">
        <v>74</v>
      </c>
      <c r="AJ519" s="1" t="s">
        <v>74</v>
      </c>
      <c r="AK519" s="1" t="s">
        <v>74</v>
      </c>
      <c r="AL519" s="1" t="s">
        <v>74</v>
      </c>
      <c r="AM519" s="1" t="s">
        <v>74</v>
      </c>
      <c r="AN519" s="1" t="s">
        <v>74</v>
      </c>
      <c r="AO519" s="1" t="s">
        <v>74</v>
      </c>
      <c r="AP519" s="1" t="s">
        <v>74</v>
      </c>
      <c r="AQ519" s="1" t="s">
        <v>5318</v>
      </c>
      <c r="AR519" s="1" t="s">
        <v>74</v>
      </c>
      <c r="AS519" s="1" t="s">
        <v>74</v>
      </c>
      <c r="AT519" s="1" t="s">
        <v>74</v>
      </c>
      <c r="AU519" s="1">
        <v>2015.0</v>
      </c>
      <c r="AV519" s="1">
        <v>86.0</v>
      </c>
      <c r="AW519" s="1" t="s">
        <v>74</v>
      </c>
      <c r="AX519" s="1" t="s">
        <v>74</v>
      </c>
      <c r="AY519" s="1" t="s">
        <v>74</v>
      </c>
      <c r="AZ519" s="1" t="s">
        <v>74</v>
      </c>
      <c r="BA519" s="1" t="s">
        <v>74</v>
      </c>
      <c r="BB519" s="1">
        <v>163.0</v>
      </c>
      <c r="BC519" s="1">
        <v>171.0</v>
      </c>
      <c r="BD519" s="1" t="s">
        <v>74</v>
      </c>
      <c r="BE519" s="1" t="s">
        <v>5319</v>
      </c>
      <c r="BF519" s="2" t="str">
        <f>HYPERLINK("http://dx.doi.org/10.1007/978-3-319-19902-3_11","http://dx.doi.org/10.1007/978-3-319-19902-3_11")</f>
        <v>http://dx.doi.org/10.1007/978-3-319-19902-3_11</v>
      </c>
      <c r="BG519" s="1" t="s">
        <v>74</v>
      </c>
      <c r="BH519" s="1" t="s">
        <v>74</v>
      </c>
      <c r="BI519" s="1" t="s">
        <v>74</v>
      </c>
      <c r="BJ519" s="1" t="s">
        <v>74</v>
      </c>
      <c r="BK519" s="1" t="s">
        <v>74</v>
      </c>
      <c r="BL519" s="1" t="s">
        <v>74</v>
      </c>
      <c r="BM519" s="1" t="s">
        <v>74</v>
      </c>
      <c r="BN519" s="1" t="s">
        <v>74</v>
      </c>
      <c r="BO519" s="1" t="s">
        <v>74</v>
      </c>
      <c r="BP519" s="1" t="s">
        <v>74</v>
      </c>
      <c r="BQ519" s="1" t="s">
        <v>74</v>
      </c>
      <c r="BR519" s="1" t="s">
        <v>74</v>
      </c>
      <c r="BS519" s="1" t="s">
        <v>5320</v>
      </c>
      <c r="BT519" s="1" t="str">
        <f>HYPERLINK("https%3A%2F%2Fwww.webofscience.com%2Fwos%2Fwoscc%2Ffull-record%2FWOS:000380554500011","View Full Record in Web of Science")</f>
        <v>View Full Record in Web of Science</v>
      </c>
    </row>
    <row r="520" ht="12.75" customHeight="1">
      <c r="A520" s="1" t="s">
        <v>72</v>
      </c>
      <c r="B520" s="1" t="s">
        <v>5321</v>
      </c>
      <c r="C520" s="1" t="s">
        <v>74</v>
      </c>
      <c r="D520" s="1" t="s">
        <v>74</v>
      </c>
      <c r="E520" s="1" t="s">
        <v>74</v>
      </c>
      <c r="F520" s="1" t="s">
        <v>5322</v>
      </c>
      <c r="G520" s="1" t="s">
        <v>74</v>
      </c>
      <c r="H520" s="1" t="s">
        <v>74</v>
      </c>
      <c r="I520" s="1" t="s">
        <v>5323</v>
      </c>
      <c r="J520" s="1" t="s">
        <v>5324</v>
      </c>
      <c r="K520" s="1" t="s">
        <v>74</v>
      </c>
      <c r="L520" s="1" t="s">
        <v>74</v>
      </c>
      <c r="M520" s="1" t="s">
        <v>74</v>
      </c>
      <c r="N520" s="1" t="s">
        <v>74</v>
      </c>
      <c r="O520" s="1" t="s">
        <v>74</v>
      </c>
      <c r="P520" s="1" t="s">
        <v>74</v>
      </c>
      <c r="Q520" s="1" t="s">
        <v>74</v>
      </c>
      <c r="R520" s="1" t="s">
        <v>74</v>
      </c>
      <c r="S520" s="1" t="s">
        <v>74</v>
      </c>
      <c r="T520" s="1" t="s">
        <v>74</v>
      </c>
      <c r="U520" s="1" t="s">
        <v>74</v>
      </c>
      <c r="V520" s="1" t="s">
        <v>5325</v>
      </c>
      <c r="W520" s="1" t="s">
        <v>74</v>
      </c>
      <c r="X520" s="1" t="s">
        <v>74</v>
      </c>
      <c r="Y520" s="1" t="s">
        <v>74</v>
      </c>
      <c r="Z520" s="1" t="s">
        <v>74</v>
      </c>
      <c r="AA520" s="1" t="s">
        <v>5326</v>
      </c>
      <c r="AB520" s="1" t="s">
        <v>5327</v>
      </c>
      <c r="AC520" s="1" t="s">
        <v>74</v>
      </c>
      <c r="AD520" s="1" t="s">
        <v>74</v>
      </c>
      <c r="AE520" s="1" t="s">
        <v>74</v>
      </c>
      <c r="AF520" s="1" t="s">
        <v>74</v>
      </c>
      <c r="AG520" s="1" t="s">
        <v>74</v>
      </c>
      <c r="AH520" s="1" t="s">
        <v>74</v>
      </c>
      <c r="AI520" s="1" t="s">
        <v>74</v>
      </c>
      <c r="AJ520" s="1" t="s">
        <v>74</v>
      </c>
      <c r="AK520" s="1" t="s">
        <v>74</v>
      </c>
      <c r="AL520" s="1" t="s">
        <v>74</v>
      </c>
      <c r="AM520" s="1" t="s">
        <v>74</v>
      </c>
      <c r="AN520" s="1" t="s">
        <v>74</v>
      </c>
      <c r="AO520" s="1" t="s">
        <v>5328</v>
      </c>
      <c r="AP520" s="1" t="s">
        <v>5329</v>
      </c>
      <c r="AQ520" s="1" t="s">
        <v>74</v>
      </c>
      <c r="AR520" s="1" t="s">
        <v>74</v>
      </c>
      <c r="AS520" s="1" t="s">
        <v>74</v>
      </c>
      <c r="AT520" s="1" t="s">
        <v>559</v>
      </c>
      <c r="AU520" s="1">
        <v>2014.0</v>
      </c>
      <c r="AV520" s="1">
        <v>19.0</v>
      </c>
      <c r="AW520" s="1">
        <v>4.0</v>
      </c>
      <c r="AX520" s="1" t="s">
        <v>74</v>
      </c>
      <c r="AY520" s="1" t="s">
        <v>74</v>
      </c>
      <c r="AZ520" s="1" t="s">
        <v>74</v>
      </c>
      <c r="BA520" s="1" t="s">
        <v>74</v>
      </c>
      <c r="BB520" s="1">
        <v>503.0</v>
      </c>
      <c r="BC520" s="1">
        <v>523.0</v>
      </c>
      <c r="BD520" s="1" t="s">
        <v>74</v>
      </c>
      <c r="BE520" s="1" t="s">
        <v>5330</v>
      </c>
      <c r="BF520" s="2" t="str">
        <f>HYPERLINK("http://dx.doi.org/10.1007/s13253-014-0188-8","http://dx.doi.org/10.1007/s13253-014-0188-8")</f>
        <v>http://dx.doi.org/10.1007/s13253-014-0188-8</v>
      </c>
      <c r="BG520" s="1" t="s">
        <v>74</v>
      </c>
      <c r="BH520" s="1" t="s">
        <v>74</v>
      </c>
      <c r="BI520" s="1" t="s">
        <v>74</v>
      </c>
      <c r="BJ520" s="1" t="s">
        <v>74</v>
      </c>
      <c r="BK520" s="1" t="s">
        <v>74</v>
      </c>
      <c r="BL520" s="1" t="s">
        <v>74</v>
      </c>
      <c r="BM520" s="1" t="s">
        <v>74</v>
      </c>
      <c r="BN520" s="1" t="s">
        <v>74</v>
      </c>
      <c r="BO520" s="1" t="s">
        <v>74</v>
      </c>
      <c r="BP520" s="1" t="s">
        <v>74</v>
      </c>
      <c r="BQ520" s="1" t="s">
        <v>74</v>
      </c>
      <c r="BR520" s="1" t="s">
        <v>74</v>
      </c>
      <c r="BS520" s="1" t="s">
        <v>5331</v>
      </c>
      <c r="BT520" s="1" t="str">
        <f>HYPERLINK("https%3A%2F%2Fwww.webofscience.com%2Fwos%2Fwoscc%2Ffull-record%2FWOS:000346633600008","View Full Record in Web of Science")</f>
        <v>View Full Record in Web of Science</v>
      </c>
    </row>
    <row r="521" ht="12.75" customHeight="1">
      <c r="A521" s="1" t="s">
        <v>72</v>
      </c>
      <c r="B521" s="1" t="s">
        <v>5332</v>
      </c>
      <c r="C521" s="1" t="s">
        <v>74</v>
      </c>
      <c r="D521" s="1" t="s">
        <v>74</v>
      </c>
      <c r="E521" s="1" t="s">
        <v>74</v>
      </c>
      <c r="F521" s="1" t="s">
        <v>5333</v>
      </c>
      <c r="G521" s="1" t="s">
        <v>74</v>
      </c>
      <c r="H521" s="1" t="s">
        <v>74</v>
      </c>
      <c r="I521" s="1" t="s">
        <v>5334</v>
      </c>
      <c r="J521" s="1" t="s">
        <v>5335</v>
      </c>
      <c r="K521" s="1" t="s">
        <v>74</v>
      </c>
      <c r="L521" s="1" t="s">
        <v>74</v>
      </c>
      <c r="M521" s="1" t="s">
        <v>74</v>
      </c>
      <c r="N521" s="1" t="s">
        <v>74</v>
      </c>
      <c r="O521" s="1" t="s">
        <v>74</v>
      </c>
      <c r="P521" s="1" t="s">
        <v>74</v>
      </c>
      <c r="Q521" s="1" t="s">
        <v>74</v>
      </c>
      <c r="R521" s="1" t="s">
        <v>74</v>
      </c>
      <c r="S521" s="1" t="s">
        <v>74</v>
      </c>
      <c r="T521" s="1" t="s">
        <v>74</v>
      </c>
      <c r="U521" s="1" t="s">
        <v>74</v>
      </c>
      <c r="V521" s="1" t="s">
        <v>5336</v>
      </c>
      <c r="W521" s="1" t="s">
        <v>74</v>
      </c>
      <c r="X521" s="1" t="s">
        <v>74</v>
      </c>
      <c r="Y521" s="1" t="s">
        <v>74</v>
      </c>
      <c r="Z521" s="1" t="s">
        <v>74</v>
      </c>
      <c r="AA521" s="1" t="s">
        <v>5337</v>
      </c>
      <c r="AB521" s="1" t="s">
        <v>5338</v>
      </c>
      <c r="AC521" s="1" t="s">
        <v>74</v>
      </c>
      <c r="AD521" s="1" t="s">
        <v>74</v>
      </c>
      <c r="AE521" s="1" t="s">
        <v>74</v>
      </c>
      <c r="AF521" s="1" t="s">
        <v>74</v>
      </c>
      <c r="AG521" s="1" t="s">
        <v>74</v>
      </c>
      <c r="AH521" s="1" t="s">
        <v>74</v>
      </c>
      <c r="AI521" s="1" t="s">
        <v>74</v>
      </c>
      <c r="AJ521" s="1" t="s">
        <v>74</v>
      </c>
      <c r="AK521" s="1" t="s">
        <v>74</v>
      </c>
      <c r="AL521" s="1" t="s">
        <v>74</v>
      </c>
      <c r="AM521" s="1" t="s">
        <v>74</v>
      </c>
      <c r="AN521" s="1" t="s">
        <v>74</v>
      </c>
      <c r="AO521" s="1" t="s">
        <v>5339</v>
      </c>
      <c r="AP521" s="1" t="s">
        <v>5340</v>
      </c>
      <c r="AQ521" s="1" t="s">
        <v>74</v>
      </c>
      <c r="AR521" s="1" t="s">
        <v>74</v>
      </c>
      <c r="AS521" s="1" t="s">
        <v>74</v>
      </c>
      <c r="AT521" s="1" t="s">
        <v>250</v>
      </c>
      <c r="AU521" s="1">
        <v>2014.0</v>
      </c>
      <c r="AV521" s="1" t="s">
        <v>74</v>
      </c>
      <c r="AW521" s="1">
        <v>27.0</v>
      </c>
      <c r="AX521" s="1" t="s">
        <v>74</v>
      </c>
      <c r="AY521" s="1" t="s">
        <v>74</v>
      </c>
      <c r="AZ521" s="1" t="s">
        <v>399</v>
      </c>
      <c r="BA521" s="1" t="s">
        <v>74</v>
      </c>
      <c r="BB521" s="1">
        <v>4677.0</v>
      </c>
      <c r="BC521" s="1">
        <v>4689.0</v>
      </c>
      <c r="BD521" s="1" t="s">
        <v>74</v>
      </c>
      <c r="BE521" s="1" t="s">
        <v>5341</v>
      </c>
      <c r="BF521" s="2" t="str">
        <f>HYPERLINK("http://dx.doi.org/10.1002/ejic.201402614","http://dx.doi.org/10.1002/ejic.201402614")</f>
        <v>http://dx.doi.org/10.1002/ejic.201402614</v>
      </c>
      <c r="BG521" s="1" t="s">
        <v>74</v>
      </c>
      <c r="BH521" s="1" t="s">
        <v>74</v>
      </c>
      <c r="BI521" s="1" t="s">
        <v>74</v>
      </c>
      <c r="BJ521" s="1" t="s">
        <v>74</v>
      </c>
      <c r="BK521" s="1" t="s">
        <v>74</v>
      </c>
      <c r="BL521" s="1" t="s">
        <v>74</v>
      </c>
      <c r="BM521" s="1" t="s">
        <v>74</v>
      </c>
      <c r="BN521" s="1" t="s">
        <v>74</v>
      </c>
      <c r="BO521" s="1" t="s">
        <v>74</v>
      </c>
      <c r="BP521" s="1" t="s">
        <v>74</v>
      </c>
      <c r="BQ521" s="1" t="s">
        <v>74</v>
      </c>
      <c r="BR521" s="1" t="s">
        <v>74</v>
      </c>
      <c r="BS521" s="1" t="s">
        <v>5342</v>
      </c>
      <c r="BT521" s="1" t="str">
        <f>HYPERLINK("https%3A%2F%2Fwww.webofscience.com%2Fwos%2Fwoscc%2Ffull-record%2FWOS:000342910200027","View Full Record in Web of Science")</f>
        <v>View Full Record in Web of Science</v>
      </c>
    </row>
    <row r="522" ht="12.75" customHeight="1">
      <c r="A522" s="1" t="s">
        <v>72</v>
      </c>
      <c r="B522" s="1" t="s">
        <v>5343</v>
      </c>
      <c r="C522" s="1" t="s">
        <v>74</v>
      </c>
      <c r="D522" s="1" t="s">
        <v>74</v>
      </c>
      <c r="E522" s="1" t="s">
        <v>74</v>
      </c>
      <c r="F522" s="1" t="s">
        <v>5344</v>
      </c>
      <c r="G522" s="1" t="s">
        <v>74</v>
      </c>
      <c r="H522" s="1" t="s">
        <v>74</v>
      </c>
      <c r="I522" s="1" t="s">
        <v>5345</v>
      </c>
      <c r="J522" s="1" t="s">
        <v>5346</v>
      </c>
      <c r="K522" s="1" t="s">
        <v>74</v>
      </c>
      <c r="L522" s="1" t="s">
        <v>74</v>
      </c>
      <c r="M522" s="1" t="s">
        <v>74</v>
      </c>
      <c r="N522" s="1" t="s">
        <v>74</v>
      </c>
      <c r="O522" s="1" t="s">
        <v>74</v>
      </c>
      <c r="P522" s="1" t="s">
        <v>74</v>
      </c>
      <c r="Q522" s="1" t="s">
        <v>74</v>
      </c>
      <c r="R522" s="1" t="s">
        <v>74</v>
      </c>
      <c r="S522" s="1" t="s">
        <v>74</v>
      </c>
      <c r="T522" s="1" t="s">
        <v>74</v>
      </c>
      <c r="U522" s="1" t="s">
        <v>74</v>
      </c>
      <c r="V522" s="1" t="s">
        <v>5347</v>
      </c>
      <c r="W522" s="1" t="s">
        <v>74</v>
      </c>
      <c r="X522" s="1" t="s">
        <v>74</v>
      </c>
      <c r="Y522" s="1" t="s">
        <v>74</v>
      </c>
      <c r="Z522" s="1" t="s">
        <v>74</v>
      </c>
      <c r="AA522" s="1" t="s">
        <v>5348</v>
      </c>
      <c r="AB522" s="1" t="s">
        <v>5349</v>
      </c>
      <c r="AC522" s="1" t="s">
        <v>74</v>
      </c>
      <c r="AD522" s="1" t="s">
        <v>74</v>
      </c>
      <c r="AE522" s="1" t="s">
        <v>74</v>
      </c>
      <c r="AF522" s="1" t="s">
        <v>74</v>
      </c>
      <c r="AG522" s="1" t="s">
        <v>74</v>
      </c>
      <c r="AH522" s="1" t="s">
        <v>74</v>
      </c>
      <c r="AI522" s="1" t="s">
        <v>74</v>
      </c>
      <c r="AJ522" s="1" t="s">
        <v>74</v>
      </c>
      <c r="AK522" s="1" t="s">
        <v>74</v>
      </c>
      <c r="AL522" s="1" t="s">
        <v>74</v>
      </c>
      <c r="AM522" s="1" t="s">
        <v>74</v>
      </c>
      <c r="AN522" s="1" t="s">
        <v>74</v>
      </c>
      <c r="AO522" s="1" t="s">
        <v>5350</v>
      </c>
      <c r="AP522" s="1" t="s">
        <v>5351</v>
      </c>
      <c r="AQ522" s="1" t="s">
        <v>74</v>
      </c>
      <c r="AR522" s="1" t="s">
        <v>74</v>
      </c>
      <c r="AS522" s="1" t="s">
        <v>74</v>
      </c>
      <c r="AT522" s="1" t="s">
        <v>1650</v>
      </c>
      <c r="AU522" s="1">
        <v>2013.0</v>
      </c>
      <c r="AV522" s="1">
        <v>360.0</v>
      </c>
      <c r="AW522" s="1" t="s">
        <v>74</v>
      </c>
      <c r="AX522" s="1" t="s">
        <v>74</v>
      </c>
      <c r="AY522" s="1" t="s">
        <v>74</v>
      </c>
      <c r="AZ522" s="1" t="s">
        <v>74</v>
      </c>
      <c r="BA522" s="1" t="s">
        <v>74</v>
      </c>
      <c r="BB522" s="1">
        <v>22.0</v>
      </c>
      <c r="BC522" s="1">
        <v>31.0</v>
      </c>
      <c r="BD522" s="1" t="s">
        <v>74</v>
      </c>
      <c r="BE522" s="1" t="s">
        <v>5352</v>
      </c>
      <c r="BF522" s="2" t="str">
        <f>HYPERLINK("http://dx.doi.org/10.1016/j.chemgeo.2013.09.023","http://dx.doi.org/10.1016/j.chemgeo.2013.09.023")</f>
        <v>http://dx.doi.org/10.1016/j.chemgeo.2013.09.023</v>
      </c>
      <c r="BG522" s="1" t="s">
        <v>74</v>
      </c>
      <c r="BH522" s="1" t="s">
        <v>74</v>
      </c>
      <c r="BI522" s="1" t="s">
        <v>74</v>
      </c>
      <c r="BJ522" s="1" t="s">
        <v>74</v>
      </c>
      <c r="BK522" s="1" t="s">
        <v>74</v>
      </c>
      <c r="BL522" s="1" t="s">
        <v>74</v>
      </c>
      <c r="BM522" s="1" t="s">
        <v>74</v>
      </c>
      <c r="BN522" s="1" t="s">
        <v>74</v>
      </c>
      <c r="BO522" s="1" t="s">
        <v>74</v>
      </c>
      <c r="BP522" s="1" t="s">
        <v>74</v>
      </c>
      <c r="BQ522" s="1" t="s">
        <v>74</v>
      </c>
      <c r="BR522" s="1" t="s">
        <v>74</v>
      </c>
      <c r="BS522" s="1" t="s">
        <v>5353</v>
      </c>
      <c r="BT522" s="1" t="str">
        <f>HYPERLINK("https%3A%2F%2Fwww.webofscience.com%2Fwos%2Fwoscc%2Ffull-record%2FWOS:000327532100003","View Full Record in Web of Science")</f>
        <v>View Full Record in Web of Science</v>
      </c>
    </row>
    <row r="523" ht="12.75" customHeight="1">
      <c r="A523" s="1" t="s">
        <v>72</v>
      </c>
      <c r="B523" s="1" t="s">
        <v>5354</v>
      </c>
      <c r="C523" s="1" t="s">
        <v>74</v>
      </c>
      <c r="D523" s="1" t="s">
        <v>74</v>
      </c>
      <c r="E523" s="1" t="s">
        <v>74</v>
      </c>
      <c r="F523" s="1" t="s">
        <v>5355</v>
      </c>
      <c r="G523" s="1" t="s">
        <v>74</v>
      </c>
      <c r="H523" s="1" t="s">
        <v>74</v>
      </c>
      <c r="I523" s="1" t="s">
        <v>5356</v>
      </c>
      <c r="J523" s="1" t="s">
        <v>5357</v>
      </c>
      <c r="K523" s="1" t="s">
        <v>74</v>
      </c>
      <c r="L523" s="1" t="s">
        <v>74</v>
      </c>
      <c r="M523" s="1" t="s">
        <v>74</v>
      </c>
      <c r="N523" s="1" t="s">
        <v>74</v>
      </c>
      <c r="O523" s="1" t="s">
        <v>74</v>
      </c>
      <c r="P523" s="1" t="s">
        <v>74</v>
      </c>
      <c r="Q523" s="1" t="s">
        <v>74</v>
      </c>
      <c r="R523" s="1" t="s">
        <v>74</v>
      </c>
      <c r="S523" s="1" t="s">
        <v>74</v>
      </c>
      <c r="T523" s="1" t="s">
        <v>74</v>
      </c>
      <c r="U523" s="1" t="s">
        <v>74</v>
      </c>
      <c r="V523" s="1" t="s">
        <v>5358</v>
      </c>
      <c r="W523" s="1" t="s">
        <v>74</v>
      </c>
      <c r="X523" s="1" t="s">
        <v>74</v>
      </c>
      <c r="Y523" s="1" t="s">
        <v>74</v>
      </c>
      <c r="Z523" s="1" t="s">
        <v>74</v>
      </c>
      <c r="AA523" s="1" t="s">
        <v>5359</v>
      </c>
      <c r="AB523" s="1" t="s">
        <v>5360</v>
      </c>
      <c r="AC523" s="1" t="s">
        <v>74</v>
      </c>
      <c r="AD523" s="1" t="s">
        <v>74</v>
      </c>
      <c r="AE523" s="1" t="s">
        <v>74</v>
      </c>
      <c r="AF523" s="1" t="s">
        <v>74</v>
      </c>
      <c r="AG523" s="1" t="s">
        <v>74</v>
      </c>
      <c r="AH523" s="1" t="s">
        <v>74</v>
      </c>
      <c r="AI523" s="1" t="s">
        <v>74</v>
      </c>
      <c r="AJ523" s="1" t="s">
        <v>74</v>
      </c>
      <c r="AK523" s="1" t="s">
        <v>74</v>
      </c>
      <c r="AL523" s="1" t="s">
        <v>74</v>
      </c>
      <c r="AM523" s="1" t="s">
        <v>74</v>
      </c>
      <c r="AN523" s="1" t="s">
        <v>74</v>
      </c>
      <c r="AO523" s="1" t="s">
        <v>5361</v>
      </c>
      <c r="AP523" s="1" t="s">
        <v>5362</v>
      </c>
      <c r="AQ523" s="1" t="s">
        <v>74</v>
      </c>
      <c r="AR523" s="1" t="s">
        <v>74</v>
      </c>
      <c r="AS523" s="1" t="s">
        <v>74</v>
      </c>
      <c r="AT523" s="1" t="s">
        <v>588</v>
      </c>
      <c r="AU523" s="1">
        <v>2009.0</v>
      </c>
      <c r="AV523" s="1">
        <v>49.0</v>
      </c>
      <c r="AW523" s="1">
        <v>1.0</v>
      </c>
      <c r="AX523" s="1" t="s">
        <v>74</v>
      </c>
      <c r="AY523" s="1" t="s">
        <v>74</v>
      </c>
      <c r="AZ523" s="1" t="s">
        <v>399</v>
      </c>
      <c r="BA523" s="1" t="s">
        <v>74</v>
      </c>
      <c r="BB523" s="1">
        <v>33.0</v>
      </c>
      <c r="BC523" s="1">
        <v>40.0</v>
      </c>
      <c r="BD523" s="1" t="s">
        <v>74</v>
      </c>
      <c r="BE523" s="1" t="s">
        <v>5363</v>
      </c>
      <c r="BF523" s="2" t="str">
        <f>HYPERLINK("http://dx.doi.org/10.33588/rn.4901.2008085","http://dx.doi.org/10.33588/rn.4901.2008085")</f>
        <v>http://dx.doi.org/10.33588/rn.4901.2008085</v>
      </c>
      <c r="BG523" s="1" t="s">
        <v>74</v>
      </c>
      <c r="BH523" s="1" t="s">
        <v>74</v>
      </c>
      <c r="BI523" s="1" t="s">
        <v>74</v>
      </c>
      <c r="BJ523" s="1" t="s">
        <v>74</v>
      </c>
      <c r="BK523" s="1" t="s">
        <v>74</v>
      </c>
      <c r="BL523" s="1" t="s">
        <v>74</v>
      </c>
      <c r="BM523" s="1" t="s">
        <v>74</v>
      </c>
      <c r="BN523" s="1">
        <v>1.9557698E7</v>
      </c>
      <c r="BO523" s="1" t="s">
        <v>74</v>
      </c>
      <c r="BP523" s="1" t="s">
        <v>74</v>
      </c>
      <c r="BQ523" s="1" t="s">
        <v>74</v>
      </c>
      <c r="BR523" s="1" t="s">
        <v>74</v>
      </c>
      <c r="BS523" s="1" t="s">
        <v>5364</v>
      </c>
      <c r="BT523" s="1" t="str">
        <f>HYPERLINK("https%3A%2F%2Fwww.webofscience.com%2Fwos%2Fwoscc%2Ffull-record%2FWOS:000267652400007","View Full Record in Web of Science")</f>
        <v>View Full Record in Web of Science</v>
      </c>
    </row>
    <row r="524" ht="12.75" customHeight="1">
      <c r="A524" s="1" t="s">
        <v>72</v>
      </c>
      <c r="B524" s="1" t="s">
        <v>1844</v>
      </c>
      <c r="C524" s="1" t="s">
        <v>74</v>
      </c>
      <c r="D524" s="1" t="s">
        <v>74</v>
      </c>
      <c r="E524" s="1" t="s">
        <v>74</v>
      </c>
      <c r="F524" s="1" t="s">
        <v>1844</v>
      </c>
      <c r="G524" s="1" t="s">
        <v>74</v>
      </c>
      <c r="H524" s="1" t="s">
        <v>74</v>
      </c>
      <c r="I524" s="1" t="s">
        <v>5365</v>
      </c>
      <c r="J524" s="1" t="s">
        <v>1846</v>
      </c>
      <c r="K524" s="1" t="s">
        <v>74</v>
      </c>
      <c r="L524" s="1" t="s">
        <v>74</v>
      </c>
      <c r="M524" s="1" t="s">
        <v>74</v>
      </c>
      <c r="N524" s="1" t="s">
        <v>74</v>
      </c>
      <c r="O524" s="1" t="s">
        <v>74</v>
      </c>
      <c r="P524" s="1" t="s">
        <v>74</v>
      </c>
      <c r="Q524" s="1" t="s">
        <v>74</v>
      </c>
      <c r="R524" s="1" t="s">
        <v>74</v>
      </c>
      <c r="S524" s="1" t="s">
        <v>74</v>
      </c>
      <c r="T524" s="1" t="s">
        <v>74</v>
      </c>
      <c r="U524" s="1" t="s">
        <v>74</v>
      </c>
      <c r="V524" s="1" t="s">
        <v>5366</v>
      </c>
      <c r="W524" s="1" t="s">
        <v>74</v>
      </c>
      <c r="X524" s="1" t="s">
        <v>74</v>
      </c>
      <c r="Y524" s="1" t="s">
        <v>74</v>
      </c>
      <c r="Z524" s="1" t="s">
        <v>74</v>
      </c>
      <c r="AA524" s="1" t="s">
        <v>74</v>
      </c>
      <c r="AB524" s="1" t="s">
        <v>5367</v>
      </c>
      <c r="AC524" s="1" t="s">
        <v>74</v>
      </c>
      <c r="AD524" s="1" t="s">
        <v>74</v>
      </c>
      <c r="AE524" s="1" t="s">
        <v>74</v>
      </c>
      <c r="AF524" s="1" t="s">
        <v>74</v>
      </c>
      <c r="AG524" s="1" t="s">
        <v>74</v>
      </c>
      <c r="AH524" s="1" t="s">
        <v>74</v>
      </c>
      <c r="AI524" s="1" t="s">
        <v>74</v>
      </c>
      <c r="AJ524" s="1" t="s">
        <v>74</v>
      </c>
      <c r="AK524" s="1" t="s">
        <v>74</v>
      </c>
      <c r="AL524" s="1" t="s">
        <v>74</v>
      </c>
      <c r="AM524" s="1" t="s">
        <v>74</v>
      </c>
      <c r="AN524" s="1" t="s">
        <v>74</v>
      </c>
      <c r="AO524" s="1" t="s">
        <v>1849</v>
      </c>
      <c r="AP524" s="1" t="s">
        <v>5368</v>
      </c>
      <c r="AQ524" s="1" t="s">
        <v>74</v>
      </c>
      <c r="AR524" s="1" t="s">
        <v>74</v>
      </c>
      <c r="AS524" s="1" t="s">
        <v>74</v>
      </c>
      <c r="AT524" s="1" t="s">
        <v>1850</v>
      </c>
      <c r="AU524" s="1">
        <v>2005.0</v>
      </c>
      <c r="AV524" s="1">
        <v>263.0</v>
      </c>
      <c r="AW524" s="1" t="s">
        <v>238</v>
      </c>
      <c r="AX524" s="1" t="s">
        <v>74</v>
      </c>
      <c r="AY524" s="1" t="s">
        <v>74</v>
      </c>
      <c r="AZ524" s="1" t="s">
        <v>74</v>
      </c>
      <c r="BA524" s="1" t="s">
        <v>74</v>
      </c>
      <c r="BB524" s="1">
        <v>146.0</v>
      </c>
      <c r="BC524" s="1">
        <v>153.0</v>
      </c>
      <c r="BD524" s="1" t="s">
        <v>74</v>
      </c>
      <c r="BE524" s="1" t="s">
        <v>5369</v>
      </c>
      <c r="BF524" s="2" t="str">
        <f>HYPERLINK("http://dx.doi.org/10.1016/j.memsci.2005.04.043","http://dx.doi.org/10.1016/j.memsci.2005.04.043")</f>
        <v>http://dx.doi.org/10.1016/j.memsci.2005.04.043</v>
      </c>
      <c r="BG524" s="1" t="s">
        <v>74</v>
      </c>
      <c r="BH524" s="1" t="s">
        <v>74</v>
      </c>
      <c r="BI524" s="1" t="s">
        <v>74</v>
      </c>
      <c r="BJ524" s="1" t="s">
        <v>74</v>
      </c>
      <c r="BK524" s="1" t="s">
        <v>74</v>
      </c>
      <c r="BL524" s="1" t="s">
        <v>74</v>
      </c>
      <c r="BM524" s="1" t="s">
        <v>74</v>
      </c>
      <c r="BN524" s="1" t="s">
        <v>74</v>
      </c>
      <c r="BO524" s="1" t="s">
        <v>74</v>
      </c>
      <c r="BP524" s="1" t="s">
        <v>74</v>
      </c>
      <c r="BQ524" s="1" t="s">
        <v>74</v>
      </c>
      <c r="BR524" s="1" t="s">
        <v>74</v>
      </c>
      <c r="BS524" s="1" t="s">
        <v>5370</v>
      </c>
      <c r="BT524" s="1" t="str">
        <f>HYPERLINK("https%3A%2F%2Fwww.webofscience.com%2Fwos%2Fwoscc%2Ffull-record%2FWOS:000232439300013","View Full Record in Web of Science")</f>
        <v>View Full Record in Web of Science</v>
      </c>
    </row>
    <row r="525" ht="12.75" customHeight="1">
      <c r="A525" s="1" t="s">
        <v>72</v>
      </c>
      <c r="B525" s="1" t="s">
        <v>5371</v>
      </c>
      <c r="C525" s="1" t="s">
        <v>74</v>
      </c>
      <c r="D525" s="1" t="s">
        <v>74</v>
      </c>
      <c r="E525" s="1" t="s">
        <v>74</v>
      </c>
      <c r="F525" s="1" t="s">
        <v>5372</v>
      </c>
      <c r="G525" s="1" t="s">
        <v>74</v>
      </c>
      <c r="H525" s="1" t="s">
        <v>74</v>
      </c>
      <c r="I525" s="1" t="s">
        <v>5373</v>
      </c>
      <c r="J525" s="1" t="s">
        <v>5374</v>
      </c>
      <c r="K525" s="1" t="s">
        <v>74</v>
      </c>
      <c r="L525" s="1" t="s">
        <v>74</v>
      </c>
      <c r="M525" s="1" t="s">
        <v>74</v>
      </c>
      <c r="N525" s="1" t="s">
        <v>74</v>
      </c>
      <c r="O525" s="1" t="s">
        <v>74</v>
      </c>
      <c r="P525" s="1" t="s">
        <v>74</v>
      </c>
      <c r="Q525" s="1" t="s">
        <v>74</v>
      </c>
      <c r="R525" s="1" t="s">
        <v>74</v>
      </c>
      <c r="S525" s="1" t="s">
        <v>74</v>
      </c>
      <c r="T525" s="1" t="s">
        <v>74</v>
      </c>
      <c r="U525" s="1" t="s">
        <v>74</v>
      </c>
      <c r="V525" s="1" t="s">
        <v>5375</v>
      </c>
      <c r="W525" s="1" t="s">
        <v>74</v>
      </c>
      <c r="X525" s="1" t="s">
        <v>74</v>
      </c>
      <c r="Y525" s="1" t="s">
        <v>74</v>
      </c>
      <c r="Z525" s="1" t="s">
        <v>74</v>
      </c>
      <c r="AA525" s="1" t="s">
        <v>5376</v>
      </c>
      <c r="AB525" s="1" t="s">
        <v>5377</v>
      </c>
      <c r="AC525" s="1" t="s">
        <v>74</v>
      </c>
      <c r="AD525" s="1" t="s">
        <v>74</v>
      </c>
      <c r="AE525" s="1" t="s">
        <v>74</v>
      </c>
      <c r="AF525" s="1" t="s">
        <v>74</v>
      </c>
      <c r="AG525" s="1" t="s">
        <v>74</v>
      </c>
      <c r="AH525" s="1" t="s">
        <v>74</v>
      </c>
      <c r="AI525" s="1" t="s">
        <v>74</v>
      </c>
      <c r="AJ525" s="1" t="s">
        <v>74</v>
      </c>
      <c r="AK525" s="1" t="s">
        <v>74</v>
      </c>
      <c r="AL525" s="1" t="s">
        <v>74</v>
      </c>
      <c r="AM525" s="1" t="s">
        <v>74</v>
      </c>
      <c r="AN525" s="1" t="s">
        <v>74</v>
      </c>
      <c r="AO525" s="1" t="s">
        <v>5378</v>
      </c>
      <c r="AP525" s="1" t="s">
        <v>5379</v>
      </c>
      <c r="AQ525" s="1" t="s">
        <v>74</v>
      </c>
      <c r="AR525" s="1" t="s">
        <v>74</v>
      </c>
      <c r="AS525" s="1" t="s">
        <v>74</v>
      </c>
      <c r="AT525" s="1" t="s">
        <v>438</v>
      </c>
      <c r="AU525" s="1">
        <v>2024.0</v>
      </c>
      <c r="AV525" s="1">
        <v>52.0</v>
      </c>
      <c r="AW525" s="1">
        <v>2.0</v>
      </c>
      <c r="AX525" s="1" t="s">
        <v>74</v>
      </c>
      <c r="AY525" s="1" t="s">
        <v>74</v>
      </c>
      <c r="AZ525" s="1" t="s">
        <v>399</v>
      </c>
      <c r="BA525" s="1" t="s">
        <v>74</v>
      </c>
      <c r="BB525" s="1">
        <v>425.0</v>
      </c>
      <c r="BC525" s="1">
        <v>444.0</v>
      </c>
      <c r="BD525" s="1" t="s">
        <v>74</v>
      </c>
      <c r="BE525" s="1" t="s">
        <v>5380</v>
      </c>
      <c r="BF525" s="2" t="str">
        <f>HYPERLINK("http://dx.doi.org/10.1007/s10745-024-00486-5","http://dx.doi.org/10.1007/s10745-024-00486-5")</f>
        <v>http://dx.doi.org/10.1007/s10745-024-00486-5</v>
      </c>
      <c r="BG525" s="1" t="s">
        <v>74</v>
      </c>
      <c r="BH525" s="1" t="s">
        <v>5381</v>
      </c>
      <c r="BI525" s="1" t="s">
        <v>74</v>
      </c>
      <c r="BJ525" s="1" t="s">
        <v>74</v>
      </c>
      <c r="BK525" s="1" t="s">
        <v>74</v>
      </c>
      <c r="BL525" s="1" t="s">
        <v>74</v>
      </c>
      <c r="BM525" s="1" t="s">
        <v>74</v>
      </c>
      <c r="BN525" s="1" t="s">
        <v>74</v>
      </c>
      <c r="BO525" s="1" t="s">
        <v>74</v>
      </c>
      <c r="BP525" s="1" t="s">
        <v>74</v>
      </c>
      <c r="BQ525" s="1" t="s">
        <v>74</v>
      </c>
      <c r="BR525" s="1" t="s">
        <v>74</v>
      </c>
      <c r="BS525" s="1" t="s">
        <v>5382</v>
      </c>
      <c r="BT525" s="1" t="str">
        <f>HYPERLINK("https%3A%2F%2Fwww.webofscience.com%2Fwos%2Fwoscc%2Ffull-record%2FWOS:001215059400001","View Full Record in Web of Science")</f>
        <v>View Full Record in Web of Science</v>
      </c>
    </row>
    <row r="526" ht="12.75" customHeight="1">
      <c r="A526" s="1" t="s">
        <v>72</v>
      </c>
      <c r="B526" s="1" t="s">
        <v>5383</v>
      </c>
      <c r="C526" s="1" t="s">
        <v>74</v>
      </c>
      <c r="D526" s="1" t="s">
        <v>74</v>
      </c>
      <c r="E526" s="1" t="s">
        <v>74</v>
      </c>
      <c r="F526" s="1" t="s">
        <v>5384</v>
      </c>
      <c r="G526" s="1" t="s">
        <v>74</v>
      </c>
      <c r="H526" s="1" t="s">
        <v>74</v>
      </c>
      <c r="I526" s="1" t="s">
        <v>5385</v>
      </c>
      <c r="J526" s="1" t="s">
        <v>5386</v>
      </c>
      <c r="K526" s="1" t="s">
        <v>74</v>
      </c>
      <c r="L526" s="1" t="s">
        <v>74</v>
      </c>
      <c r="M526" s="1" t="s">
        <v>74</v>
      </c>
      <c r="N526" s="1" t="s">
        <v>74</v>
      </c>
      <c r="O526" s="1" t="s">
        <v>74</v>
      </c>
      <c r="P526" s="1" t="s">
        <v>74</v>
      </c>
      <c r="Q526" s="1" t="s">
        <v>74</v>
      </c>
      <c r="R526" s="1" t="s">
        <v>74</v>
      </c>
      <c r="S526" s="1" t="s">
        <v>74</v>
      </c>
      <c r="T526" s="1" t="s">
        <v>74</v>
      </c>
      <c r="U526" s="1" t="s">
        <v>74</v>
      </c>
      <c r="V526" s="1" t="s">
        <v>5387</v>
      </c>
      <c r="W526" s="1" t="s">
        <v>74</v>
      </c>
      <c r="X526" s="1" t="s">
        <v>74</v>
      </c>
      <c r="Y526" s="1" t="s">
        <v>74</v>
      </c>
      <c r="Z526" s="1" t="s">
        <v>74</v>
      </c>
      <c r="AA526" s="1" t="s">
        <v>5388</v>
      </c>
      <c r="AB526" s="1" t="s">
        <v>5389</v>
      </c>
      <c r="AC526" s="1" t="s">
        <v>74</v>
      </c>
      <c r="AD526" s="1" t="s">
        <v>74</v>
      </c>
      <c r="AE526" s="1" t="s">
        <v>74</v>
      </c>
      <c r="AF526" s="1" t="s">
        <v>74</v>
      </c>
      <c r="AG526" s="1" t="s">
        <v>74</v>
      </c>
      <c r="AH526" s="1" t="s">
        <v>74</v>
      </c>
      <c r="AI526" s="1" t="s">
        <v>74</v>
      </c>
      <c r="AJ526" s="1" t="s">
        <v>74</v>
      </c>
      <c r="AK526" s="1" t="s">
        <v>74</v>
      </c>
      <c r="AL526" s="1" t="s">
        <v>74</v>
      </c>
      <c r="AM526" s="1" t="s">
        <v>74</v>
      </c>
      <c r="AN526" s="1" t="s">
        <v>74</v>
      </c>
      <c r="AO526" s="1" t="s">
        <v>5390</v>
      </c>
      <c r="AP526" s="1" t="s">
        <v>5391</v>
      </c>
      <c r="AQ526" s="1" t="s">
        <v>74</v>
      </c>
      <c r="AR526" s="1" t="s">
        <v>74</v>
      </c>
      <c r="AS526" s="1" t="s">
        <v>74</v>
      </c>
      <c r="AT526" s="1" t="s">
        <v>5392</v>
      </c>
      <c r="AU526" s="1">
        <v>2024.0</v>
      </c>
      <c r="AV526" s="1">
        <v>128.0</v>
      </c>
      <c r="AW526" s="1">
        <v>15.0</v>
      </c>
      <c r="AX526" s="1" t="s">
        <v>74</v>
      </c>
      <c r="AY526" s="1" t="s">
        <v>74</v>
      </c>
      <c r="AZ526" s="1" t="s">
        <v>74</v>
      </c>
      <c r="BA526" s="1" t="s">
        <v>74</v>
      </c>
      <c r="BB526" s="1">
        <v>6259.0</v>
      </c>
      <c r="BC526" s="1">
        <v>6268.0</v>
      </c>
      <c r="BD526" s="1" t="s">
        <v>74</v>
      </c>
      <c r="BE526" s="1" t="s">
        <v>5393</v>
      </c>
      <c r="BF526" s="2" t="str">
        <f>HYPERLINK("http://dx.doi.org/10.1021/acs.jpcc.3c07507","http://dx.doi.org/10.1021/acs.jpcc.3c07507")</f>
        <v>http://dx.doi.org/10.1021/acs.jpcc.3c07507</v>
      </c>
      <c r="BG526" s="1" t="s">
        <v>74</v>
      </c>
      <c r="BH526" s="1" t="s">
        <v>5394</v>
      </c>
      <c r="BI526" s="1" t="s">
        <v>74</v>
      </c>
      <c r="BJ526" s="1" t="s">
        <v>74</v>
      </c>
      <c r="BK526" s="1" t="s">
        <v>74</v>
      </c>
      <c r="BL526" s="1" t="s">
        <v>74</v>
      </c>
      <c r="BM526" s="1" t="s">
        <v>74</v>
      </c>
      <c r="BN526" s="1" t="s">
        <v>74</v>
      </c>
      <c r="BO526" s="1" t="s">
        <v>74</v>
      </c>
      <c r="BP526" s="1" t="s">
        <v>74</v>
      </c>
      <c r="BQ526" s="1" t="s">
        <v>74</v>
      </c>
      <c r="BR526" s="1" t="s">
        <v>74</v>
      </c>
      <c r="BS526" s="1" t="s">
        <v>5395</v>
      </c>
      <c r="BT526" s="1" t="str">
        <f>HYPERLINK("https%3A%2F%2Fwww.webofscience.com%2Fwos%2Fwoscc%2Ffull-record%2FWOS:001200620800001","View Full Record in Web of Science")</f>
        <v>View Full Record in Web of Science</v>
      </c>
    </row>
    <row r="527" ht="12.75" customHeight="1">
      <c r="A527" s="1" t="s">
        <v>72</v>
      </c>
      <c r="B527" s="1" t="s">
        <v>5396</v>
      </c>
      <c r="C527" s="1" t="s">
        <v>74</v>
      </c>
      <c r="D527" s="1" t="s">
        <v>74</v>
      </c>
      <c r="E527" s="1" t="s">
        <v>74</v>
      </c>
      <c r="F527" s="1" t="s">
        <v>5397</v>
      </c>
      <c r="G527" s="1" t="s">
        <v>74</v>
      </c>
      <c r="H527" s="1" t="s">
        <v>74</v>
      </c>
      <c r="I527" s="1" t="s">
        <v>5398</v>
      </c>
      <c r="J527" s="1" t="s">
        <v>114</v>
      </c>
      <c r="K527" s="1" t="s">
        <v>74</v>
      </c>
      <c r="L527" s="1" t="s">
        <v>74</v>
      </c>
      <c r="M527" s="1" t="s">
        <v>74</v>
      </c>
      <c r="N527" s="1" t="s">
        <v>74</v>
      </c>
      <c r="O527" s="1" t="s">
        <v>74</v>
      </c>
      <c r="P527" s="1" t="s">
        <v>74</v>
      </c>
      <c r="Q527" s="1" t="s">
        <v>74</v>
      </c>
      <c r="R527" s="1" t="s">
        <v>74</v>
      </c>
      <c r="S527" s="1" t="s">
        <v>74</v>
      </c>
      <c r="T527" s="1" t="s">
        <v>74</v>
      </c>
      <c r="U527" s="1" t="s">
        <v>74</v>
      </c>
      <c r="V527" s="1" t="s">
        <v>5399</v>
      </c>
      <c r="W527" s="1" t="s">
        <v>74</v>
      </c>
      <c r="X527" s="1" t="s">
        <v>74</v>
      </c>
      <c r="Y527" s="1" t="s">
        <v>74</v>
      </c>
      <c r="Z527" s="1" t="s">
        <v>74</v>
      </c>
      <c r="AA527" s="1" t="s">
        <v>5400</v>
      </c>
      <c r="AB527" s="1" t="s">
        <v>5401</v>
      </c>
      <c r="AC527" s="1" t="s">
        <v>74</v>
      </c>
      <c r="AD527" s="1" t="s">
        <v>74</v>
      </c>
      <c r="AE527" s="1" t="s">
        <v>74</v>
      </c>
      <c r="AF527" s="1" t="s">
        <v>74</v>
      </c>
      <c r="AG527" s="1" t="s">
        <v>74</v>
      </c>
      <c r="AH527" s="1" t="s">
        <v>74</v>
      </c>
      <c r="AI527" s="1" t="s">
        <v>74</v>
      </c>
      <c r="AJ527" s="1" t="s">
        <v>74</v>
      </c>
      <c r="AK527" s="1" t="s">
        <v>74</v>
      </c>
      <c r="AL527" s="1" t="s">
        <v>74</v>
      </c>
      <c r="AM527" s="1" t="s">
        <v>74</v>
      </c>
      <c r="AN527" s="1" t="s">
        <v>74</v>
      </c>
      <c r="AO527" s="1" t="s">
        <v>118</v>
      </c>
      <c r="AP527" s="1" t="s">
        <v>119</v>
      </c>
      <c r="AQ527" s="1" t="s">
        <v>74</v>
      </c>
      <c r="AR527" s="1" t="s">
        <v>74</v>
      </c>
      <c r="AS527" s="1" t="s">
        <v>74</v>
      </c>
      <c r="AT527" s="1" t="s">
        <v>5402</v>
      </c>
      <c r="AU527" s="1">
        <v>2022.0</v>
      </c>
      <c r="AV527" s="1">
        <v>24.0</v>
      </c>
      <c r="AW527" s="1">
        <v>22.0</v>
      </c>
      <c r="AX527" s="1" t="s">
        <v>74</v>
      </c>
      <c r="AY527" s="1" t="s">
        <v>74</v>
      </c>
      <c r="AZ527" s="1" t="s">
        <v>74</v>
      </c>
      <c r="BA527" s="1" t="s">
        <v>74</v>
      </c>
      <c r="BB527" s="1">
        <v>14072.0</v>
      </c>
      <c r="BC527" s="1">
        <v>14084.0</v>
      </c>
      <c r="BD527" s="1" t="s">
        <v>74</v>
      </c>
      <c r="BE527" s="1" t="s">
        <v>5403</v>
      </c>
      <c r="BF527" s="2" t="str">
        <f>HYPERLINK("http://dx.doi.org/10.1039/d2cp01017h","http://dx.doi.org/10.1039/d2cp01017h")</f>
        <v>http://dx.doi.org/10.1039/d2cp01017h</v>
      </c>
      <c r="BG527" s="1" t="s">
        <v>74</v>
      </c>
      <c r="BH527" s="1" t="s">
        <v>3355</v>
      </c>
      <c r="BI527" s="1" t="s">
        <v>74</v>
      </c>
      <c r="BJ527" s="1" t="s">
        <v>74</v>
      </c>
      <c r="BK527" s="1" t="s">
        <v>74</v>
      </c>
      <c r="BL527" s="1" t="s">
        <v>74</v>
      </c>
      <c r="BM527" s="1" t="s">
        <v>74</v>
      </c>
      <c r="BN527" s="1">
        <v>3.5640548E7</v>
      </c>
      <c r="BO527" s="1" t="s">
        <v>74</v>
      </c>
      <c r="BP527" s="1" t="s">
        <v>74</v>
      </c>
      <c r="BQ527" s="1" t="s">
        <v>74</v>
      </c>
      <c r="BR527" s="1" t="s">
        <v>74</v>
      </c>
      <c r="BS527" s="1" t="s">
        <v>5404</v>
      </c>
      <c r="BT527" s="1" t="str">
        <f>HYPERLINK("https%3A%2F%2Fwww.webofscience.com%2Fwos%2Fwoscc%2Ffull-record%2FWOS:000803672100001","View Full Record in Web of Science")</f>
        <v>View Full Record in Web of Science</v>
      </c>
    </row>
    <row r="528" ht="12.75" customHeight="1">
      <c r="A528" s="1" t="s">
        <v>72</v>
      </c>
      <c r="B528" s="1" t="s">
        <v>5405</v>
      </c>
      <c r="C528" s="1" t="s">
        <v>74</v>
      </c>
      <c r="D528" s="1" t="s">
        <v>74</v>
      </c>
      <c r="E528" s="1" t="s">
        <v>74</v>
      </c>
      <c r="F528" s="1" t="s">
        <v>5406</v>
      </c>
      <c r="G528" s="1" t="s">
        <v>74</v>
      </c>
      <c r="H528" s="1" t="s">
        <v>74</v>
      </c>
      <c r="I528" s="1" t="s">
        <v>5407</v>
      </c>
      <c r="J528" s="1" t="s">
        <v>703</v>
      </c>
      <c r="K528" s="1" t="s">
        <v>74</v>
      </c>
      <c r="L528" s="1" t="s">
        <v>74</v>
      </c>
      <c r="M528" s="1" t="s">
        <v>74</v>
      </c>
      <c r="N528" s="1" t="s">
        <v>74</v>
      </c>
      <c r="O528" s="1" t="s">
        <v>74</v>
      </c>
      <c r="P528" s="1" t="s">
        <v>74</v>
      </c>
      <c r="Q528" s="1" t="s">
        <v>74</v>
      </c>
      <c r="R528" s="1" t="s">
        <v>74</v>
      </c>
      <c r="S528" s="1" t="s">
        <v>74</v>
      </c>
      <c r="T528" s="1" t="s">
        <v>74</v>
      </c>
      <c r="U528" s="1" t="s">
        <v>74</v>
      </c>
      <c r="V528" s="1" t="s">
        <v>5408</v>
      </c>
      <c r="W528" s="1" t="s">
        <v>74</v>
      </c>
      <c r="X528" s="1" t="s">
        <v>74</v>
      </c>
      <c r="Y528" s="1" t="s">
        <v>74</v>
      </c>
      <c r="Z528" s="1" t="s">
        <v>74</v>
      </c>
      <c r="AA528" s="1" t="s">
        <v>5409</v>
      </c>
      <c r="AB528" s="1" t="s">
        <v>5410</v>
      </c>
      <c r="AC528" s="1" t="s">
        <v>74</v>
      </c>
      <c r="AD528" s="1" t="s">
        <v>74</v>
      </c>
      <c r="AE528" s="1" t="s">
        <v>74</v>
      </c>
      <c r="AF528" s="1" t="s">
        <v>74</v>
      </c>
      <c r="AG528" s="1" t="s">
        <v>74</v>
      </c>
      <c r="AH528" s="1" t="s">
        <v>74</v>
      </c>
      <c r="AI528" s="1" t="s">
        <v>74</v>
      </c>
      <c r="AJ528" s="1" t="s">
        <v>74</v>
      </c>
      <c r="AK528" s="1" t="s">
        <v>74</v>
      </c>
      <c r="AL528" s="1" t="s">
        <v>74</v>
      </c>
      <c r="AM528" s="1" t="s">
        <v>74</v>
      </c>
      <c r="AN528" s="1" t="s">
        <v>74</v>
      </c>
      <c r="AO528" s="1" t="s">
        <v>74</v>
      </c>
      <c r="AP528" s="1" t="s">
        <v>707</v>
      </c>
      <c r="AQ528" s="1" t="s">
        <v>74</v>
      </c>
      <c r="AR528" s="1" t="s">
        <v>74</v>
      </c>
      <c r="AS528" s="1" t="s">
        <v>74</v>
      </c>
      <c r="AT528" s="1" t="s">
        <v>96</v>
      </c>
      <c r="AU528" s="1">
        <v>2022.0</v>
      </c>
      <c r="AV528" s="1">
        <v>19.0</v>
      </c>
      <c r="AW528" s="1">
        <v>6.0</v>
      </c>
      <c r="AX528" s="1" t="s">
        <v>74</v>
      </c>
      <c r="AY528" s="1" t="s">
        <v>74</v>
      </c>
      <c r="AZ528" s="1" t="s">
        <v>74</v>
      </c>
      <c r="BA528" s="1" t="s">
        <v>74</v>
      </c>
      <c r="BB528" s="1" t="s">
        <v>74</v>
      </c>
      <c r="BC528" s="1" t="s">
        <v>74</v>
      </c>
      <c r="BD528" s="1">
        <v>3441.0</v>
      </c>
      <c r="BE528" s="1" t="s">
        <v>5411</v>
      </c>
      <c r="BF528" s="2" t="str">
        <f>HYPERLINK("http://dx.doi.org/10.3390/ijerph19063441","http://dx.doi.org/10.3390/ijerph19063441")</f>
        <v>http://dx.doi.org/10.3390/ijerph19063441</v>
      </c>
      <c r="BG528" s="1" t="s">
        <v>74</v>
      </c>
      <c r="BH528" s="1" t="s">
        <v>74</v>
      </c>
      <c r="BI528" s="1" t="s">
        <v>74</v>
      </c>
      <c r="BJ528" s="1" t="s">
        <v>74</v>
      </c>
      <c r="BK528" s="1" t="s">
        <v>74</v>
      </c>
      <c r="BL528" s="1" t="s">
        <v>74</v>
      </c>
      <c r="BM528" s="1" t="s">
        <v>74</v>
      </c>
      <c r="BN528" s="1">
        <v>3.5329129E7</v>
      </c>
      <c r="BO528" s="1" t="s">
        <v>74</v>
      </c>
      <c r="BP528" s="1" t="s">
        <v>74</v>
      </c>
      <c r="BQ528" s="1" t="s">
        <v>74</v>
      </c>
      <c r="BR528" s="1" t="s">
        <v>74</v>
      </c>
      <c r="BS528" s="1" t="s">
        <v>5412</v>
      </c>
      <c r="BT528" s="1" t="str">
        <f>HYPERLINK("https%3A%2F%2Fwww.webofscience.com%2Fwos%2Fwoscc%2Ffull-record%2FWOS:000776973900001","View Full Record in Web of Science")</f>
        <v>View Full Record in Web of Science</v>
      </c>
    </row>
    <row r="529" ht="12.75" customHeight="1">
      <c r="A529" s="1" t="s">
        <v>72</v>
      </c>
      <c r="B529" s="1" t="s">
        <v>5413</v>
      </c>
      <c r="C529" s="1" t="s">
        <v>74</v>
      </c>
      <c r="D529" s="1" t="s">
        <v>74</v>
      </c>
      <c r="E529" s="1" t="s">
        <v>74</v>
      </c>
      <c r="F529" s="1" t="s">
        <v>5414</v>
      </c>
      <c r="G529" s="1" t="s">
        <v>74</v>
      </c>
      <c r="H529" s="1" t="s">
        <v>74</v>
      </c>
      <c r="I529" s="1" t="s">
        <v>5415</v>
      </c>
      <c r="J529" s="1" t="s">
        <v>5416</v>
      </c>
      <c r="K529" s="1" t="s">
        <v>74</v>
      </c>
      <c r="L529" s="1" t="s">
        <v>74</v>
      </c>
      <c r="M529" s="1" t="s">
        <v>74</v>
      </c>
      <c r="N529" s="1" t="s">
        <v>74</v>
      </c>
      <c r="O529" s="1" t="s">
        <v>74</v>
      </c>
      <c r="P529" s="1" t="s">
        <v>74</v>
      </c>
      <c r="Q529" s="1" t="s">
        <v>74</v>
      </c>
      <c r="R529" s="1" t="s">
        <v>74</v>
      </c>
      <c r="S529" s="1" t="s">
        <v>74</v>
      </c>
      <c r="T529" s="1" t="s">
        <v>74</v>
      </c>
      <c r="U529" s="1" t="s">
        <v>74</v>
      </c>
      <c r="V529" s="1" t="s">
        <v>74</v>
      </c>
      <c r="W529" s="1" t="s">
        <v>74</v>
      </c>
      <c r="X529" s="1" t="s">
        <v>74</v>
      </c>
      <c r="Y529" s="1" t="s">
        <v>74</v>
      </c>
      <c r="Z529" s="1" t="s">
        <v>74</v>
      </c>
      <c r="AA529" s="1" t="s">
        <v>5417</v>
      </c>
      <c r="AB529" s="1" t="s">
        <v>74</v>
      </c>
      <c r="AC529" s="1" t="s">
        <v>74</v>
      </c>
      <c r="AD529" s="1" t="s">
        <v>74</v>
      </c>
      <c r="AE529" s="1" t="s">
        <v>74</v>
      </c>
      <c r="AF529" s="1" t="s">
        <v>74</v>
      </c>
      <c r="AG529" s="1" t="s">
        <v>74</v>
      </c>
      <c r="AH529" s="1" t="s">
        <v>74</v>
      </c>
      <c r="AI529" s="1" t="s">
        <v>74</v>
      </c>
      <c r="AJ529" s="1" t="s">
        <v>74</v>
      </c>
      <c r="AK529" s="1" t="s">
        <v>74</v>
      </c>
      <c r="AL529" s="1" t="s">
        <v>74</v>
      </c>
      <c r="AM529" s="1" t="s">
        <v>74</v>
      </c>
      <c r="AN529" s="1" t="s">
        <v>74</v>
      </c>
      <c r="AO529" s="1" t="s">
        <v>5418</v>
      </c>
      <c r="AP529" s="1" t="s">
        <v>5419</v>
      </c>
      <c r="AQ529" s="1" t="s">
        <v>74</v>
      </c>
      <c r="AR529" s="1" t="s">
        <v>74</v>
      </c>
      <c r="AS529" s="1" t="s">
        <v>74</v>
      </c>
      <c r="AT529" s="1" t="s">
        <v>96</v>
      </c>
      <c r="AU529" s="1">
        <v>2022.0</v>
      </c>
      <c r="AV529" s="1">
        <v>29.0</v>
      </c>
      <c r="AW529" s="1" t="s">
        <v>5420</v>
      </c>
      <c r="AX529" s="1" t="s">
        <v>74</v>
      </c>
      <c r="AY529" s="1">
        <v>1.0</v>
      </c>
      <c r="AZ529" s="1" t="s">
        <v>399</v>
      </c>
      <c r="BA529" s="1" t="s">
        <v>5421</v>
      </c>
      <c r="BB529" s="1">
        <v>275.0</v>
      </c>
      <c r="BC529" s="1">
        <v>275.0</v>
      </c>
      <c r="BD529" s="1" t="s">
        <v>74</v>
      </c>
      <c r="BE529" s="1" t="s">
        <v>74</v>
      </c>
      <c r="BF529" s="1" t="s">
        <v>74</v>
      </c>
      <c r="BG529" s="1" t="s">
        <v>74</v>
      </c>
      <c r="BH529" s="1" t="s">
        <v>74</v>
      </c>
      <c r="BI529" s="1" t="s">
        <v>74</v>
      </c>
      <c r="BJ529" s="1" t="s">
        <v>74</v>
      </c>
      <c r="BK529" s="1" t="s">
        <v>74</v>
      </c>
      <c r="BL529" s="1" t="s">
        <v>74</v>
      </c>
      <c r="BM529" s="1" t="s">
        <v>74</v>
      </c>
      <c r="BN529" s="1" t="s">
        <v>74</v>
      </c>
      <c r="BO529" s="1" t="s">
        <v>74</v>
      </c>
      <c r="BP529" s="1" t="s">
        <v>74</v>
      </c>
      <c r="BQ529" s="1" t="s">
        <v>74</v>
      </c>
      <c r="BR529" s="1" t="s">
        <v>74</v>
      </c>
      <c r="BS529" s="1" t="s">
        <v>5422</v>
      </c>
      <c r="BT529" s="1" t="str">
        <f>HYPERLINK("https%3A%2F%2Fwww.webofscience.com%2Fwos%2Fwoscc%2Ffull-record%2FWOS:000762765300589","View Full Record in Web of Science")</f>
        <v>View Full Record in Web of Science</v>
      </c>
    </row>
    <row r="530" ht="12.75" customHeight="1">
      <c r="A530" s="1" t="s">
        <v>72</v>
      </c>
      <c r="B530" s="1" t="s">
        <v>5423</v>
      </c>
      <c r="C530" s="1" t="s">
        <v>74</v>
      </c>
      <c r="D530" s="1" t="s">
        <v>74</v>
      </c>
      <c r="E530" s="1" t="s">
        <v>74</v>
      </c>
      <c r="F530" s="1" t="s">
        <v>5424</v>
      </c>
      <c r="G530" s="1" t="s">
        <v>74</v>
      </c>
      <c r="H530" s="1" t="s">
        <v>74</v>
      </c>
      <c r="I530" s="1" t="s">
        <v>5425</v>
      </c>
      <c r="J530" s="1" t="s">
        <v>2833</v>
      </c>
      <c r="K530" s="1" t="s">
        <v>74</v>
      </c>
      <c r="L530" s="1" t="s">
        <v>74</v>
      </c>
      <c r="M530" s="1" t="s">
        <v>74</v>
      </c>
      <c r="N530" s="1" t="s">
        <v>74</v>
      </c>
      <c r="O530" s="1" t="s">
        <v>74</v>
      </c>
      <c r="P530" s="1" t="s">
        <v>74</v>
      </c>
      <c r="Q530" s="1" t="s">
        <v>74</v>
      </c>
      <c r="R530" s="1" t="s">
        <v>74</v>
      </c>
      <c r="S530" s="1" t="s">
        <v>74</v>
      </c>
      <c r="T530" s="1" t="s">
        <v>74</v>
      </c>
      <c r="U530" s="1" t="s">
        <v>74</v>
      </c>
      <c r="V530" s="1" t="s">
        <v>5426</v>
      </c>
      <c r="W530" s="1" t="s">
        <v>74</v>
      </c>
      <c r="X530" s="1" t="s">
        <v>74</v>
      </c>
      <c r="Y530" s="1" t="s">
        <v>74</v>
      </c>
      <c r="Z530" s="1" t="s">
        <v>74</v>
      </c>
      <c r="AA530" s="1" t="s">
        <v>5427</v>
      </c>
      <c r="AB530" s="1" t="s">
        <v>5428</v>
      </c>
      <c r="AC530" s="1" t="s">
        <v>74</v>
      </c>
      <c r="AD530" s="1" t="s">
        <v>74</v>
      </c>
      <c r="AE530" s="1" t="s">
        <v>74</v>
      </c>
      <c r="AF530" s="1" t="s">
        <v>74</v>
      </c>
      <c r="AG530" s="1" t="s">
        <v>74</v>
      </c>
      <c r="AH530" s="1" t="s">
        <v>74</v>
      </c>
      <c r="AI530" s="1" t="s">
        <v>74</v>
      </c>
      <c r="AJ530" s="1" t="s">
        <v>74</v>
      </c>
      <c r="AK530" s="1" t="s">
        <v>74</v>
      </c>
      <c r="AL530" s="1" t="s">
        <v>74</v>
      </c>
      <c r="AM530" s="1" t="s">
        <v>74</v>
      </c>
      <c r="AN530" s="1" t="s">
        <v>74</v>
      </c>
      <c r="AO530" s="1" t="s">
        <v>74</v>
      </c>
      <c r="AP530" s="1" t="s">
        <v>2837</v>
      </c>
      <c r="AQ530" s="1" t="s">
        <v>74</v>
      </c>
      <c r="AR530" s="1" t="s">
        <v>74</v>
      </c>
      <c r="AS530" s="1" t="s">
        <v>74</v>
      </c>
      <c r="AT530" s="1" t="s">
        <v>96</v>
      </c>
      <c r="AU530" s="1">
        <v>2022.0</v>
      </c>
      <c r="AV530" s="1">
        <v>10.0</v>
      </c>
      <c r="AW530" s="1">
        <v>3.0</v>
      </c>
      <c r="AX530" s="1" t="s">
        <v>74</v>
      </c>
      <c r="AY530" s="1" t="s">
        <v>74</v>
      </c>
      <c r="AZ530" s="1" t="s">
        <v>74</v>
      </c>
      <c r="BA530" s="1" t="s">
        <v>74</v>
      </c>
      <c r="BB530" s="1" t="s">
        <v>74</v>
      </c>
      <c r="BC530" s="1" t="s">
        <v>74</v>
      </c>
      <c r="BD530" s="1">
        <v>482.0</v>
      </c>
      <c r="BE530" s="1" t="s">
        <v>5429</v>
      </c>
      <c r="BF530" s="2" t="str">
        <f>HYPERLINK("http://dx.doi.org/10.3390/pr10030482","http://dx.doi.org/10.3390/pr10030482")</f>
        <v>http://dx.doi.org/10.3390/pr10030482</v>
      </c>
      <c r="BG530" s="1" t="s">
        <v>74</v>
      </c>
      <c r="BH530" s="1" t="s">
        <v>74</v>
      </c>
      <c r="BI530" s="1" t="s">
        <v>74</v>
      </c>
      <c r="BJ530" s="1" t="s">
        <v>74</v>
      </c>
      <c r="BK530" s="1" t="s">
        <v>74</v>
      </c>
      <c r="BL530" s="1" t="s">
        <v>74</v>
      </c>
      <c r="BM530" s="1" t="s">
        <v>74</v>
      </c>
      <c r="BN530" s="1" t="s">
        <v>74</v>
      </c>
      <c r="BO530" s="1" t="s">
        <v>74</v>
      </c>
      <c r="BP530" s="1" t="s">
        <v>74</v>
      </c>
      <c r="BQ530" s="1" t="s">
        <v>74</v>
      </c>
      <c r="BR530" s="1" t="s">
        <v>74</v>
      </c>
      <c r="BS530" s="1" t="s">
        <v>5430</v>
      </c>
      <c r="BT530" s="1" t="str">
        <f>HYPERLINK("https%3A%2F%2Fwww.webofscience.com%2Fwos%2Fwoscc%2Ffull-record%2FWOS:000774535000001","View Full Record in Web of Science")</f>
        <v>View Full Record in Web of Science</v>
      </c>
    </row>
    <row r="531" ht="12.75" customHeight="1">
      <c r="A531" s="1" t="s">
        <v>72</v>
      </c>
      <c r="B531" s="1" t="s">
        <v>5431</v>
      </c>
      <c r="C531" s="1" t="s">
        <v>74</v>
      </c>
      <c r="D531" s="1" t="s">
        <v>74</v>
      </c>
      <c r="E531" s="1" t="s">
        <v>74</v>
      </c>
      <c r="F531" s="1" t="s">
        <v>5432</v>
      </c>
      <c r="G531" s="1" t="s">
        <v>74</v>
      </c>
      <c r="H531" s="1" t="s">
        <v>74</v>
      </c>
      <c r="I531" s="1" t="s">
        <v>5433</v>
      </c>
      <c r="J531" s="1" t="s">
        <v>5434</v>
      </c>
      <c r="K531" s="1" t="s">
        <v>74</v>
      </c>
      <c r="L531" s="1" t="s">
        <v>74</v>
      </c>
      <c r="M531" s="1" t="s">
        <v>74</v>
      </c>
      <c r="N531" s="1" t="s">
        <v>74</v>
      </c>
      <c r="O531" s="1" t="s">
        <v>74</v>
      </c>
      <c r="P531" s="1" t="s">
        <v>74</v>
      </c>
      <c r="Q531" s="1" t="s">
        <v>74</v>
      </c>
      <c r="R531" s="1" t="s">
        <v>74</v>
      </c>
      <c r="S531" s="1" t="s">
        <v>74</v>
      </c>
      <c r="T531" s="1" t="s">
        <v>74</v>
      </c>
      <c r="U531" s="1" t="s">
        <v>74</v>
      </c>
      <c r="V531" s="1" t="s">
        <v>5435</v>
      </c>
      <c r="W531" s="1" t="s">
        <v>74</v>
      </c>
      <c r="X531" s="1" t="s">
        <v>74</v>
      </c>
      <c r="Y531" s="1" t="s">
        <v>74</v>
      </c>
      <c r="Z531" s="1" t="s">
        <v>74</v>
      </c>
      <c r="AA531" s="1" t="s">
        <v>5436</v>
      </c>
      <c r="AB531" s="1" t="s">
        <v>5437</v>
      </c>
      <c r="AC531" s="1" t="s">
        <v>74</v>
      </c>
      <c r="AD531" s="1" t="s">
        <v>74</v>
      </c>
      <c r="AE531" s="1" t="s">
        <v>74</v>
      </c>
      <c r="AF531" s="1" t="s">
        <v>74</v>
      </c>
      <c r="AG531" s="1" t="s">
        <v>74</v>
      </c>
      <c r="AH531" s="1" t="s">
        <v>74</v>
      </c>
      <c r="AI531" s="1" t="s">
        <v>74</v>
      </c>
      <c r="AJ531" s="1" t="s">
        <v>74</v>
      </c>
      <c r="AK531" s="1" t="s">
        <v>74</v>
      </c>
      <c r="AL531" s="1" t="s">
        <v>74</v>
      </c>
      <c r="AM531" s="1" t="s">
        <v>74</v>
      </c>
      <c r="AN531" s="1" t="s">
        <v>74</v>
      </c>
      <c r="AO531" s="1" t="s">
        <v>5438</v>
      </c>
      <c r="AP531" s="1" t="s">
        <v>5439</v>
      </c>
      <c r="AQ531" s="1" t="s">
        <v>74</v>
      </c>
      <c r="AR531" s="1" t="s">
        <v>74</v>
      </c>
      <c r="AS531" s="1" t="s">
        <v>74</v>
      </c>
      <c r="AT531" s="1" t="s">
        <v>719</v>
      </c>
      <c r="AU531" s="1">
        <v>2020.0</v>
      </c>
      <c r="AV531" s="1">
        <v>60.0</v>
      </c>
      <c r="AW531" s="1">
        <v>4.0</v>
      </c>
      <c r="AX531" s="1" t="s">
        <v>74</v>
      </c>
      <c r="AY531" s="1" t="s">
        <v>74</v>
      </c>
      <c r="AZ531" s="1" t="s">
        <v>74</v>
      </c>
      <c r="BA531" s="1" t="s">
        <v>74</v>
      </c>
      <c r="BB531" s="1">
        <v>452.0</v>
      </c>
      <c r="BC531" s="1">
        <v>460.0</v>
      </c>
      <c r="BD531" s="1" t="s">
        <v>74</v>
      </c>
      <c r="BE531" s="1" t="s">
        <v>5440</v>
      </c>
      <c r="BF531" s="2" t="str">
        <f>HYPERLINK("http://dx.doi.org/10.1134/S0016793220040131","http://dx.doi.org/10.1134/S0016793220040131")</f>
        <v>http://dx.doi.org/10.1134/S0016793220040131</v>
      </c>
      <c r="BG531" s="1" t="s">
        <v>74</v>
      </c>
      <c r="BH531" s="1" t="s">
        <v>74</v>
      </c>
      <c r="BI531" s="1" t="s">
        <v>74</v>
      </c>
      <c r="BJ531" s="1" t="s">
        <v>74</v>
      </c>
      <c r="BK531" s="1" t="s">
        <v>74</v>
      </c>
      <c r="BL531" s="1" t="s">
        <v>74</v>
      </c>
      <c r="BM531" s="1" t="s">
        <v>74</v>
      </c>
      <c r="BN531" s="1" t="s">
        <v>74</v>
      </c>
      <c r="BO531" s="1" t="s">
        <v>74</v>
      </c>
      <c r="BP531" s="1" t="s">
        <v>74</v>
      </c>
      <c r="BQ531" s="1" t="s">
        <v>74</v>
      </c>
      <c r="BR531" s="1" t="s">
        <v>74</v>
      </c>
      <c r="BS531" s="1" t="s">
        <v>5441</v>
      </c>
      <c r="BT531" s="1" t="str">
        <f>HYPERLINK("https%3A%2F%2Fwww.webofscience.com%2Fwos%2Fwoscc%2Ffull-record%2FWOS:000561760900006","View Full Record in Web of Science")</f>
        <v>View Full Record in Web of Science</v>
      </c>
    </row>
    <row r="532" ht="12.75" customHeight="1">
      <c r="A532" s="1" t="s">
        <v>72</v>
      </c>
      <c r="B532" s="1" t="s">
        <v>5442</v>
      </c>
      <c r="C532" s="1" t="s">
        <v>74</v>
      </c>
      <c r="D532" s="1" t="s">
        <v>74</v>
      </c>
      <c r="E532" s="1" t="s">
        <v>74</v>
      </c>
      <c r="F532" s="1" t="s">
        <v>5443</v>
      </c>
      <c r="G532" s="1" t="s">
        <v>74</v>
      </c>
      <c r="H532" s="1" t="s">
        <v>74</v>
      </c>
      <c r="I532" s="1" t="s">
        <v>5444</v>
      </c>
      <c r="J532" s="1" t="s">
        <v>5445</v>
      </c>
      <c r="K532" s="1" t="s">
        <v>74</v>
      </c>
      <c r="L532" s="1" t="s">
        <v>74</v>
      </c>
      <c r="M532" s="1" t="s">
        <v>74</v>
      </c>
      <c r="N532" s="1" t="s">
        <v>74</v>
      </c>
      <c r="O532" s="1" t="s">
        <v>74</v>
      </c>
      <c r="P532" s="1" t="s">
        <v>74</v>
      </c>
      <c r="Q532" s="1" t="s">
        <v>74</v>
      </c>
      <c r="R532" s="1" t="s">
        <v>74</v>
      </c>
      <c r="S532" s="1" t="s">
        <v>74</v>
      </c>
      <c r="T532" s="1" t="s">
        <v>74</v>
      </c>
      <c r="U532" s="1" t="s">
        <v>74</v>
      </c>
      <c r="V532" s="1" t="s">
        <v>5446</v>
      </c>
      <c r="W532" s="1" t="s">
        <v>74</v>
      </c>
      <c r="X532" s="1" t="s">
        <v>74</v>
      </c>
      <c r="Y532" s="1" t="s">
        <v>74</v>
      </c>
      <c r="Z532" s="1" t="s">
        <v>74</v>
      </c>
      <c r="AA532" s="1" t="s">
        <v>5447</v>
      </c>
      <c r="AB532" s="1" t="s">
        <v>5448</v>
      </c>
      <c r="AC532" s="1" t="s">
        <v>74</v>
      </c>
      <c r="AD532" s="1" t="s">
        <v>74</v>
      </c>
      <c r="AE532" s="1" t="s">
        <v>74</v>
      </c>
      <c r="AF532" s="1" t="s">
        <v>74</v>
      </c>
      <c r="AG532" s="1" t="s">
        <v>74</v>
      </c>
      <c r="AH532" s="1" t="s">
        <v>74</v>
      </c>
      <c r="AI532" s="1" t="s">
        <v>74</v>
      </c>
      <c r="AJ532" s="1" t="s">
        <v>74</v>
      </c>
      <c r="AK532" s="1" t="s">
        <v>74</v>
      </c>
      <c r="AL532" s="1" t="s">
        <v>74</v>
      </c>
      <c r="AM532" s="1" t="s">
        <v>74</v>
      </c>
      <c r="AN532" s="1" t="s">
        <v>74</v>
      </c>
      <c r="AO532" s="1" t="s">
        <v>5449</v>
      </c>
      <c r="AP532" s="1" t="s">
        <v>5450</v>
      </c>
      <c r="AQ532" s="1" t="s">
        <v>74</v>
      </c>
      <c r="AR532" s="1" t="s">
        <v>74</v>
      </c>
      <c r="AS532" s="1" t="s">
        <v>74</v>
      </c>
      <c r="AT532" s="1" t="s">
        <v>398</v>
      </c>
      <c r="AU532" s="1">
        <v>2020.0</v>
      </c>
      <c r="AV532" s="1">
        <v>100.0</v>
      </c>
      <c r="AW532" s="1">
        <v>2.0</v>
      </c>
      <c r="AX532" s="1" t="s">
        <v>74</v>
      </c>
      <c r="AY532" s="1" t="s">
        <v>74</v>
      </c>
      <c r="AZ532" s="1" t="s">
        <v>74</v>
      </c>
      <c r="BA532" s="1" t="s">
        <v>74</v>
      </c>
      <c r="BB532" s="1">
        <v>234.0</v>
      </c>
      <c r="BC532" s="1">
        <v>249.0</v>
      </c>
      <c r="BD532" s="1" t="s">
        <v>74</v>
      </c>
      <c r="BE532" s="1" t="s">
        <v>5451</v>
      </c>
      <c r="BF532" s="2" t="str">
        <f>HYPERLINK("http://dx.doi.org/10.1038/s41374-019-0304-z","http://dx.doi.org/10.1038/s41374-019-0304-z")</f>
        <v>http://dx.doi.org/10.1038/s41374-019-0304-z</v>
      </c>
      <c r="BG532" s="1" t="s">
        <v>74</v>
      </c>
      <c r="BH532" s="1" t="s">
        <v>74</v>
      </c>
      <c r="BI532" s="1" t="s">
        <v>74</v>
      </c>
      <c r="BJ532" s="1" t="s">
        <v>74</v>
      </c>
      <c r="BK532" s="1" t="s">
        <v>74</v>
      </c>
      <c r="BL532" s="1" t="s">
        <v>74</v>
      </c>
      <c r="BM532" s="1" t="s">
        <v>74</v>
      </c>
      <c r="BN532" s="1">
        <v>3.1444399E7</v>
      </c>
      <c r="BO532" s="1" t="s">
        <v>74</v>
      </c>
      <c r="BP532" s="1" t="s">
        <v>74</v>
      </c>
      <c r="BQ532" s="1" t="s">
        <v>74</v>
      </c>
      <c r="BR532" s="1" t="s">
        <v>74</v>
      </c>
      <c r="BS532" s="1" t="s">
        <v>5452</v>
      </c>
      <c r="BT532" s="1" t="str">
        <f>HYPERLINK("https%3A%2F%2Fwww.webofscience.com%2Fwos%2Fwoscc%2Ffull-record%2FWOS:000510902400007","View Full Record in Web of Science")</f>
        <v>View Full Record in Web of Science</v>
      </c>
    </row>
    <row r="533" ht="12.75" customHeight="1">
      <c r="A533" s="1" t="s">
        <v>72</v>
      </c>
      <c r="B533" s="1" t="s">
        <v>5453</v>
      </c>
      <c r="C533" s="1" t="s">
        <v>74</v>
      </c>
      <c r="D533" s="1" t="s">
        <v>74</v>
      </c>
      <c r="E533" s="1" t="s">
        <v>74</v>
      </c>
      <c r="F533" s="1" t="s">
        <v>5454</v>
      </c>
      <c r="G533" s="1" t="s">
        <v>74</v>
      </c>
      <c r="H533" s="1" t="s">
        <v>74</v>
      </c>
      <c r="I533" s="1" t="s">
        <v>5455</v>
      </c>
      <c r="J533" s="1" t="s">
        <v>5456</v>
      </c>
      <c r="K533" s="1" t="s">
        <v>74</v>
      </c>
      <c r="L533" s="1" t="s">
        <v>74</v>
      </c>
      <c r="M533" s="1" t="s">
        <v>74</v>
      </c>
      <c r="N533" s="1" t="s">
        <v>74</v>
      </c>
      <c r="O533" s="1" t="s">
        <v>74</v>
      </c>
      <c r="P533" s="1" t="s">
        <v>74</v>
      </c>
      <c r="Q533" s="1" t="s">
        <v>74</v>
      </c>
      <c r="R533" s="1" t="s">
        <v>74</v>
      </c>
      <c r="S533" s="1" t="s">
        <v>74</v>
      </c>
      <c r="T533" s="1" t="s">
        <v>74</v>
      </c>
      <c r="U533" s="1" t="s">
        <v>74</v>
      </c>
      <c r="V533" s="1" t="s">
        <v>5457</v>
      </c>
      <c r="W533" s="1" t="s">
        <v>74</v>
      </c>
      <c r="X533" s="1" t="s">
        <v>74</v>
      </c>
      <c r="Y533" s="1" t="s">
        <v>74</v>
      </c>
      <c r="Z533" s="1" t="s">
        <v>74</v>
      </c>
      <c r="AA533" s="1" t="s">
        <v>5458</v>
      </c>
      <c r="AB533" s="1" t="s">
        <v>5459</v>
      </c>
      <c r="AC533" s="1" t="s">
        <v>74</v>
      </c>
      <c r="AD533" s="1" t="s">
        <v>74</v>
      </c>
      <c r="AE533" s="1" t="s">
        <v>74</v>
      </c>
      <c r="AF533" s="1" t="s">
        <v>74</v>
      </c>
      <c r="AG533" s="1" t="s">
        <v>74</v>
      </c>
      <c r="AH533" s="1" t="s">
        <v>74</v>
      </c>
      <c r="AI533" s="1" t="s">
        <v>74</v>
      </c>
      <c r="AJ533" s="1" t="s">
        <v>74</v>
      </c>
      <c r="AK533" s="1" t="s">
        <v>74</v>
      </c>
      <c r="AL533" s="1" t="s">
        <v>74</v>
      </c>
      <c r="AM533" s="1" t="s">
        <v>74</v>
      </c>
      <c r="AN533" s="1" t="s">
        <v>74</v>
      </c>
      <c r="AO533" s="1" t="s">
        <v>5460</v>
      </c>
      <c r="AP533" s="1" t="s">
        <v>5461</v>
      </c>
      <c r="AQ533" s="1" t="s">
        <v>74</v>
      </c>
      <c r="AR533" s="1" t="s">
        <v>74</v>
      </c>
      <c r="AS533" s="1" t="s">
        <v>74</v>
      </c>
      <c r="AT533" s="1" t="s">
        <v>719</v>
      </c>
      <c r="AU533" s="1">
        <v>2020.0</v>
      </c>
      <c r="AV533" s="1">
        <v>14.0</v>
      </c>
      <c r="AW533" s="1">
        <v>5.0</v>
      </c>
      <c r="AX533" s="1" t="s">
        <v>74</v>
      </c>
      <c r="AY533" s="1" t="s">
        <v>74</v>
      </c>
      <c r="AZ533" s="1" t="s">
        <v>74</v>
      </c>
      <c r="BA533" s="1" t="s">
        <v>74</v>
      </c>
      <c r="BB533" s="1">
        <v>1017.0</v>
      </c>
      <c r="BC533" s="1">
        <v>1025.0</v>
      </c>
      <c r="BD533" s="1" t="s">
        <v>74</v>
      </c>
      <c r="BE533" s="1" t="s">
        <v>5462</v>
      </c>
      <c r="BF533" s="2" t="str">
        <f>HYPERLINK("http://dx.doi.org/10.1007/s11760-020-01634-2","http://dx.doi.org/10.1007/s11760-020-01634-2")</f>
        <v>http://dx.doi.org/10.1007/s11760-020-01634-2</v>
      </c>
      <c r="BG533" s="1" t="s">
        <v>74</v>
      </c>
      <c r="BH533" s="1" t="s">
        <v>5463</v>
      </c>
      <c r="BI533" s="1" t="s">
        <v>74</v>
      </c>
      <c r="BJ533" s="1" t="s">
        <v>74</v>
      </c>
      <c r="BK533" s="1" t="s">
        <v>74</v>
      </c>
      <c r="BL533" s="1" t="s">
        <v>74</v>
      </c>
      <c r="BM533" s="1" t="s">
        <v>74</v>
      </c>
      <c r="BN533" s="1" t="s">
        <v>74</v>
      </c>
      <c r="BO533" s="1" t="s">
        <v>74</v>
      </c>
      <c r="BP533" s="1" t="s">
        <v>74</v>
      </c>
      <c r="BQ533" s="1" t="s">
        <v>74</v>
      </c>
      <c r="BR533" s="1" t="s">
        <v>74</v>
      </c>
      <c r="BS533" s="1" t="s">
        <v>5464</v>
      </c>
      <c r="BT533" s="1" t="str">
        <f>HYPERLINK("https%3A%2F%2Fwww.webofscience.com%2Fwos%2Fwoscc%2Ffull-record%2FWOS:000510294800002","View Full Record in Web of Science")</f>
        <v>View Full Record in Web of Science</v>
      </c>
    </row>
    <row r="534" ht="12.75" customHeight="1">
      <c r="A534" s="1" t="s">
        <v>72</v>
      </c>
      <c r="B534" s="1" t="s">
        <v>5465</v>
      </c>
      <c r="C534" s="1" t="s">
        <v>74</v>
      </c>
      <c r="D534" s="1" t="s">
        <v>74</v>
      </c>
      <c r="E534" s="1" t="s">
        <v>74</v>
      </c>
      <c r="F534" s="1" t="s">
        <v>5466</v>
      </c>
      <c r="G534" s="1" t="s">
        <v>74</v>
      </c>
      <c r="H534" s="1" t="s">
        <v>74</v>
      </c>
      <c r="I534" s="1" t="s">
        <v>5467</v>
      </c>
      <c r="J534" s="1" t="s">
        <v>3757</v>
      </c>
      <c r="K534" s="1" t="s">
        <v>74</v>
      </c>
      <c r="L534" s="1" t="s">
        <v>74</v>
      </c>
      <c r="M534" s="1" t="s">
        <v>74</v>
      </c>
      <c r="N534" s="1" t="s">
        <v>74</v>
      </c>
      <c r="O534" s="1" t="s">
        <v>74</v>
      </c>
      <c r="P534" s="1" t="s">
        <v>74</v>
      </c>
      <c r="Q534" s="1" t="s">
        <v>74</v>
      </c>
      <c r="R534" s="1" t="s">
        <v>74</v>
      </c>
      <c r="S534" s="1" t="s">
        <v>74</v>
      </c>
      <c r="T534" s="1" t="s">
        <v>74</v>
      </c>
      <c r="U534" s="1" t="s">
        <v>74</v>
      </c>
      <c r="V534" s="1" t="s">
        <v>5468</v>
      </c>
      <c r="W534" s="1" t="s">
        <v>74</v>
      </c>
      <c r="X534" s="1" t="s">
        <v>74</v>
      </c>
      <c r="Y534" s="1" t="s">
        <v>74</v>
      </c>
      <c r="Z534" s="1" t="s">
        <v>74</v>
      </c>
      <c r="AA534" s="1" t="s">
        <v>5469</v>
      </c>
      <c r="AB534" s="1" t="s">
        <v>5470</v>
      </c>
      <c r="AC534" s="1" t="s">
        <v>74</v>
      </c>
      <c r="AD534" s="1" t="s">
        <v>74</v>
      </c>
      <c r="AE534" s="1" t="s">
        <v>74</v>
      </c>
      <c r="AF534" s="1" t="s">
        <v>74</v>
      </c>
      <c r="AG534" s="1" t="s">
        <v>74</v>
      </c>
      <c r="AH534" s="1" t="s">
        <v>74</v>
      </c>
      <c r="AI534" s="1" t="s">
        <v>74</v>
      </c>
      <c r="AJ534" s="1" t="s">
        <v>74</v>
      </c>
      <c r="AK534" s="1" t="s">
        <v>74</v>
      </c>
      <c r="AL534" s="1" t="s">
        <v>74</v>
      </c>
      <c r="AM534" s="1" t="s">
        <v>74</v>
      </c>
      <c r="AN534" s="1" t="s">
        <v>74</v>
      </c>
      <c r="AO534" s="1" t="s">
        <v>74</v>
      </c>
      <c r="AP534" s="1" t="s">
        <v>3761</v>
      </c>
      <c r="AQ534" s="1" t="s">
        <v>74</v>
      </c>
      <c r="AR534" s="1" t="s">
        <v>74</v>
      </c>
      <c r="AS534" s="1" t="s">
        <v>74</v>
      </c>
      <c r="AT534" s="1" t="s">
        <v>250</v>
      </c>
      <c r="AU534" s="1">
        <v>2019.0</v>
      </c>
      <c r="AV534" s="1">
        <v>24.0</v>
      </c>
      <c r="AW534" s="1">
        <v>18.0</v>
      </c>
      <c r="AX534" s="1" t="s">
        <v>74</v>
      </c>
      <c r="AY534" s="1" t="s">
        <v>74</v>
      </c>
      <c r="AZ534" s="1" t="s">
        <v>74</v>
      </c>
      <c r="BA534" s="1" t="s">
        <v>74</v>
      </c>
      <c r="BB534" s="1" t="s">
        <v>74</v>
      </c>
      <c r="BC534" s="1" t="s">
        <v>74</v>
      </c>
      <c r="BD534" s="1">
        <v>3284.0</v>
      </c>
      <c r="BE534" s="1" t="s">
        <v>5471</v>
      </c>
      <c r="BF534" s="2" t="str">
        <f>HYPERLINK("http://dx.doi.org/10.3390/molecules24183284","http://dx.doi.org/10.3390/molecules24183284")</f>
        <v>http://dx.doi.org/10.3390/molecules24183284</v>
      </c>
      <c r="BG534" s="1" t="s">
        <v>74</v>
      </c>
      <c r="BH534" s="1" t="s">
        <v>74</v>
      </c>
      <c r="BI534" s="1" t="s">
        <v>74</v>
      </c>
      <c r="BJ534" s="1" t="s">
        <v>74</v>
      </c>
      <c r="BK534" s="1" t="s">
        <v>74</v>
      </c>
      <c r="BL534" s="1" t="s">
        <v>74</v>
      </c>
      <c r="BM534" s="1" t="s">
        <v>74</v>
      </c>
      <c r="BN534" s="1">
        <v>3.1505873E7</v>
      </c>
      <c r="BO534" s="1" t="s">
        <v>74</v>
      </c>
      <c r="BP534" s="1" t="s">
        <v>74</v>
      </c>
      <c r="BQ534" s="1" t="s">
        <v>74</v>
      </c>
      <c r="BR534" s="1" t="s">
        <v>74</v>
      </c>
      <c r="BS534" s="1" t="s">
        <v>5472</v>
      </c>
      <c r="BT534" s="1" t="str">
        <f>HYPERLINK("https%3A%2F%2Fwww.webofscience.com%2Fwos%2Fwoscc%2Ffull-record%2FWOS:000488830500076","View Full Record in Web of Science")</f>
        <v>View Full Record in Web of Science</v>
      </c>
    </row>
    <row r="535" ht="12.75" customHeight="1">
      <c r="A535" s="1" t="s">
        <v>72</v>
      </c>
      <c r="B535" s="1" t="s">
        <v>5473</v>
      </c>
      <c r="C535" s="1" t="s">
        <v>74</v>
      </c>
      <c r="D535" s="1" t="s">
        <v>74</v>
      </c>
      <c r="E535" s="1" t="s">
        <v>74</v>
      </c>
      <c r="F535" s="1" t="s">
        <v>5474</v>
      </c>
      <c r="G535" s="1" t="s">
        <v>74</v>
      </c>
      <c r="H535" s="1" t="s">
        <v>74</v>
      </c>
      <c r="I535" s="1" t="s">
        <v>5475</v>
      </c>
      <c r="J535" s="1" t="s">
        <v>5476</v>
      </c>
      <c r="K535" s="1" t="s">
        <v>74</v>
      </c>
      <c r="L535" s="1" t="s">
        <v>74</v>
      </c>
      <c r="M535" s="1" t="s">
        <v>74</v>
      </c>
      <c r="N535" s="1" t="s">
        <v>74</v>
      </c>
      <c r="O535" s="1" t="s">
        <v>74</v>
      </c>
      <c r="P535" s="1" t="s">
        <v>74</v>
      </c>
      <c r="Q535" s="1" t="s">
        <v>74</v>
      </c>
      <c r="R535" s="1" t="s">
        <v>74</v>
      </c>
      <c r="S535" s="1" t="s">
        <v>74</v>
      </c>
      <c r="T535" s="1" t="s">
        <v>74</v>
      </c>
      <c r="U535" s="1" t="s">
        <v>74</v>
      </c>
      <c r="V535" s="1" t="s">
        <v>5477</v>
      </c>
      <c r="W535" s="1" t="s">
        <v>74</v>
      </c>
      <c r="X535" s="1" t="s">
        <v>74</v>
      </c>
      <c r="Y535" s="1" t="s">
        <v>74</v>
      </c>
      <c r="Z535" s="1" t="s">
        <v>74</v>
      </c>
      <c r="AA535" s="1" t="s">
        <v>5478</v>
      </c>
      <c r="AB535" s="1" t="s">
        <v>5479</v>
      </c>
      <c r="AC535" s="1" t="s">
        <v>74</v>
      </c>
      <c r="AD535" s="1" t="s">
        <v>74</v>
      </c>
      <c r="AE535" s="1" t="s">
        <v>74</v>
      </c>
      <c r="AF535" s="1" t="s">
        <v>74</v>
      </c>
      <c r="AG535" s="1" t="s">
        <v>74</v>
      </c>
      <c r="AH535" s="1" t="s">
        <v>74</v>
      </c>
      <c r="AI535" s="1" t="s">
        <v>74</v>
      </c>
      <c r="AJ535" s="1" t="s">
        <v>74</v>
      </c>
      <c r="AK535" s="1" t="s">
        <v>74</v>
      </c>
      <c r="AL535" s="1" t="s">
        <v>74</v>
      </c>
      <c r="AM535" s="1" t="s">
        <v>74</v>
      </c>
      <c r="AN535" s="1" t="s">
        <v>74</v>
      </c>
      <c r="AO535" s="1" t="s">
        <v>5480</v>
      </c>
      <c r="AP535" s="1" t="s">
        <v>5481</v>
      </c>
      <c r="AQ535" s="1" t="s">
        <v>74</v>
      </c>
      <c r="AR535" s="1" t="s">
        <v>74</v>
      </c>
      <c r="AS535" s="1" t="s">
        <v>74</v>
      </c>
      <c r="AT535" s="1" t="s">
        <v>96</v>
      </c>
      <c r="AU535" s="1">
        <v>2019.0</v>
      </c>
      <c r="AV535" s="1">
        <v>67.0</v>
      </c>
      <c r="AW535" s="1">
        <v>1.0</v>
      </c>
      <c r="AX535" s="1" t="s">
        <v>74</v>
      </c>
      <c r="AY535" s="1" t="s">
        <v>74</v>
      </c>
      <c r="AZ535" s="1" t="s">
        <v>74</v>
      </c>
      <c r="BA535" s="1" t="s">
        <v>74</v>
      </c>
      <c r="BB535" s="1">
        <v>19.0</v>
      </c>
      <c r="BC535" s="1">
        <v>46.0</v>
      </c>
      <c r="BD535" s="1" t="s">
        <v>74</v>
      </c>
      <c r="BE535" s="1" t="s">
        <v>5482</v>
      </c>
      <c r="BF535" s="2" t="str">
        <f>HYPERLINK("http://dx.doi.org/10.1007/s10441-018-9339-6","http://dx.doi.org/10.1007/s10441-018-9339-6")</f>
        <v>http://dx.doi.org/10.1007/s10441-018-9339-6</v>
      </c>
      <c r="BG535" s="1" t="s">
        <v>74</v>
      </c>
      <c r="BH535" s="1" t="s">
        <v>74</v>
      </c>
      <c r="BI535" s="1" t="s">
        <v>74</v>
      </c>
      <c r="BJ535" s="1" t="s">
        <v>74</v>
      </c>
      <c r="BK535" s="1" t="s">
        <v>74</v>
      </c>
      <c r="BL535" s="1" t="s">
        <v>74</v>
      </c>
      <c r="BM535" s="1" t="s">
        <v>74</v>
      </c>
      <c r="BN535" s="1">
        <v>3.0182354E7</v>
      </c>
      <c r="BO535" s="1" t="s">
        <v>74</v>
      </c>
      <c r="BP535" s="1" t="s">
        <v>74</v>
      </c>
      <c r="BQ535" s="1" t="s">
        <v>74</v>
      </c>
      <c r="BR535" s="1" t="s">
        <v>74</v>
      </c>
      <c r="BS535" s="1" t="s">
        <v>5483</v>
      </c>
      <c r="BT535" s="1" t="str">
        <f>HYPERLINK("https%3A%2F%2Fwww.webofscience.com%2Fwos%2Fwoscc%2Ffull-record%2FWOS:000459140300002","View Full Record in Web of Science")</f>
        <v>View Full Record in Web of Science</v>
      </c>
    </row>
    <row r="536" ht="12.75" customHeight="1">
      <c r="A536" s="1" t="s">
        <v>72</v>
      </c>
      <c r="B536" s="1" t="s">
        <v>5484</v>
      </c>
      <c r="C536" s="1" t="s">
        <v>74</v>
      </c>
      <c r="D536" s="1" t="s">
        <v>74</v>
      </c>
      <c r="E536" s="1" t="s">
        <v>74</v>
      </c>
      <c r="F536" s="1" t="s">
        <v>5485</v>
      </c>
      <c r="G536" s="1" t="s">
        <v>74</v>
      </c>
      <c r="H536" s="1" t="s">
        <v>74</v>
      </c>
      <c r="I536" s="1" t="s">
        <v>5486</v>
      </c>
      <c r="J536" s="1" t="s">
        <v>3995</v>
      </c>
      <c r="K536" s="1" t="s">
        <v>74</v>
      </c>
      <c r="L536" s="1" t="s">
        <v>74</v>
      </c>
      <c r="M536" s="1" t="s">
        <v>74</v>
      </c>
      <c r="N536" s="1" t="s">
        <v>74</v>
      </c>
      <c r="O536" s="1" t="s">
        <v>74</v>
      </c>
      <c r="P536" s="1" t="s">
        <v>74</v>
      </c>
      <c r="Q536" s="1" t="s">
        <v>74</v>
      </c>
      <c r="R536" s="1" t="s">
        <v>74</v>
      </c>
      <c r="S536" s="1" t="s">
        <v>74</v>
      </c>
      <c r="T536" s="1" t="s">
        <v>74</v>
      </c>
      <c r="U536" s="1" t="s">
        <v>74</v>
      </c>
      <c r="V536" s="1" t="s">
        <v>5487</v>
      </c>
      <c r="W536" s="1" t="s">
        <v>74</v>
      </c>
      <c r="X536" s="1" t="s">
        <v>74</v>
      </c>
      <c r="Y536" s="1" t="s">
        <v>74</v>
      </c>
      <c r="Z536" s="1" t="s">
        <v>74</v>
      </c>
      <c r="AA536" s="1" t="s">
        <v>5488</v>
      </c>
      <c r="AB536" s="1" t="s">
        <v>5489</v>
      </c>
      <c r="AC536" s="1" t="s">
        <v>74</v>
      </c>
      <c r="AD536" s="1" t="s">
        <v>74</v>
      </c>
      <c r="AE536" s="1" t="s">
        <v>74</v>
      </c>
      <c r="AF536" s="1" t="s">
        <v>74</v>
      </c>
      <c r="AG536" s="1" t="s">
        <v>74</v>
      </c>
      <c r="AH536" s="1" t="s">
        <v>74</v>
      </c>
      <c r="AI536" s="1" t="s">
        <v>74</v>
      </c>
      <c r="AJ536" s="1" t="s">
        <v>74</v>
      </c>
      <c r="AK536" s="1" t="s">
        <v>74</v>
      </c>
      <c r="AL536" s="1" t="s">
        <v>74</v>
      </c>
      <c r="AM536" s="1" t="s">
        <v>74</v>
      </c>
      <c r="AN536" s="1" t="s">
        <v>74</v>
      </c>
      <c r="AO536" s="1" t="s">
        <v>3999</v>
      </c>
      <c r="AP536" s="1" t="s">
        <v>74</v>
      </c>
      <c r="AQ536" s="1" t="s">
        <v>74</v>
      </c>
      <c r="AR536" s="1" t="s">
        <v>74</v>
      </c>
      <c r="AS536" s="1" t="s">
        <v>74</v>
      </c>
      <c r="AT536" s="1" t="s">
        <v>203</v>
      </c>
      <c r="AU536" s="1">
        <v>2017.0</v>
      </c>
      <c r="AV536" s="1">
        <v>4.0</v>
      </c>
      <c r="AW536" s="1">
        <v>3.0</v>
      </c>
      <c r="AX536" s="1" t="s">
        <v>74</v>
      </c>
      <c r="AY536" s="1" t="s">
        <v>74</v>
      </c>
      <c r="AZ536" s="1" t="s">
        <v>74</v>
      </c>
      <c r="BA536" s="1" t="s">
        <v>74</v>
      </c>
      <c r="BB536" s="1">
        <v>509.0</v>
      </c>
      <c r="BC536" s="1">
        <v>520.0</v>
      </c>
      <c r="BD536" s="1" t="s">
        <v>74</v>
      </c>
      <c r="BE536" s="1" t="s">
        <v>5490</v>
      </c>
      <c r="BF536" s="2" t="str">
        <f>HYPERLINK("http://dx.doi.org/10.1039/c6qi00394j","http://dx.doi.org/10.1039/c6qi00394j")</f>
        <v>http://dx.doi.org/10.1039/c6qi00394j</v>
      </c>
      <c r="BG536" s="1" t="s">
        <v>74</v>
      </c>
      <c r="BH536" s="1" t="s">
        <v>74</v>
      </c>
      <c r="BI536" s="1" t="s">
        <v>74</v>
      </c>
      <c r="BJ536" s="1" t="s">
        <v>74</v>
      </c>
      <c r="BK536" s="1" t="s">
        <v>74</v>
      </c>
      <c r="BL536" s="1" t="s">
        <v>74</v>
      </c>
      <c r="BM536" s="1" t="s">
        <v>74</v>
      </c>
      <c r="BN536" s="1" t="s">
        <v>74</v>
      </c>
      <c r="BO536" s="1" t="s">
        <v>74</v>
      </c>
      <c r="BP536" s="1" t="s">
        <v>74</v>
      </c>
      <c r="BQ536" s="1" t="s">
        <v>74</v>
      </c>
      <c r="BR536" s="1" t="s">
        <v>74</v>
      </c>
      <c r="BS536" s="1" t="s">
        <v>5491</v>
      </c>
      <c r="BT536" s="1" t="str">
        <f>HYPERLINK("https%3A%2F%2Fwww.webofscience.com%2Fwos%2Fwoscc%2Ffull-record%2FWOS:000398182200013","View Full Record in Web of Science")</f>
        <v>View Full Record in Web of Science</v>
      </c>
    </row>
    <row r="537" ht="12.75" customHeight="1">
      <c r="A537" s="1" t="s">
        <v>72</v>
      </c>
      <c r="B537" s="1" t="s">
        <v>5492</v>
      </c>
      <c r="C537" s="1" t="s">
        <v>74</v>
      </c>
      <c r="D537" s="1" t="s">
        <v>74</v>
      </c>
      <c r="E537" s="1" t="s">
        <v>74</v>
      </c>
      <c r="F537" s="1" t="s">
        <v>5493</v>
      </c>
      <c r="G537" s="1" t="s">
        <v>74</v>
      </c>
      <c r="H537" s="1" t="s">
        <v>74</v>
      </c>
      <c r="I537" s="1" t="s">
        <v>5494</v>
      </c>
      <c r="J537" s="1" t="s">
        <v>5495</v>
      </c>
      <c r="K537" s="1" t="s">
        <v>74</v>
      </c>
      <c r="L537" s="1" t="s">
        <v>74</v>
      </c>
      <c r="M537" s="1" t="s">
        <v>74</v>
      </c>
      <c r="N537" s="1" t="s">
        <v>74</v>
      </c>
      <c r="O537" s="1" t="s">
        <v>74</v>
      </c>
      <c r="P537" s="1" t="s">
        <v>74</v>
      </c>
      <c r="Q537" s="1" t="s">
        <v>74</v>
      </c>
      <c r="R537" s="1" t="s">
        <v>74</v>
      </c>
      <c r="S537" s="1" t="s">
        <v>74</v>
      </c>
      <c r="T537" s="1" t="s">
        <v>74</v>
      </c>
      <c r="U537" s="1" t="s">
        <v>74</v>
      </c>
      <c r="V537" s="1" t="s">
        <v>74</v>
      </c>
      <c r="W537" s="1" t="s">
        <v>74</v>
      </c>
      <c r="X537" s="1" t="s">
        <v>74</v>
      </c>
      <c r="Y537" s="1" t="s">
        <v>74</v>
      </c>
      <c r="Z537" s="1" t="s">
        <v>74</v>
      </c>
      <c r="AA537" s="1" t="s">
        <v>5496</v>
      </c>
      <c r="AB537" s="1" t="s">
        <v>5497</v>
      </c>
      <c r="AC537" s="1" t="s">
        <v>74</v>
      </c>
      <c r="AD537" s="1" t="s">
        <v>74</v>
      </c>
      <c r="AE537" s="1" t="s">
        <v>74</v>
      </c>
      <c r="AF537" s="1" t="s">
        <v>74</v>
      </c>
      <c r="AG537" s="1" t="s">
        <v>74</v>
      </c>
      <c r="AH537" s="1" t="s">
        <v>74</v>
      </c>
      <c r="AI537" s="1" t="s">
        <v>74</v>
      </c>
      <c r="AJ537" s="1" t="s">
        <v>74</v>
      </c>
      <c r="AK537" s="1" t="s">
        <v>74</v>
      </c>
      <c r="AL537" s="1" t="s">
        <v>74</v>
      </c>
      <c r="AM537" s="1" t="s">
        <v>74</v>
      </c>
      <c r="AN537" s="1" t="s">
        <v>74</v>
      </c>
      <c r="AO537" s="1" t="s">
        <v>5498</v>
      </c>
      <c r="AP537" s="1" t="s">
        <v>74</v>
      </c>
      <c r="AQ537" s="1" t="s">
        <v>74</v>
      </c>
      <c r="AR537" s="1" t="s">
        <v>74</v>
      </c>
      <c r="AS537" s="1" t="s">
        <v>74</v>
      </c>
      <c r="AT537" s="1" t="s">
        <v>5499</v>
      </c>
      <c r="AU537" s="1">
        <v>2017.0</v>
      </c>
      <c r="AV537" s="1">
        <v>6.0</v>
      </c>
      <c r="AW537" s="1" t="s">
        <v>74</v>
      </c>
      <c r="AX537" s="1" t="s">
        <v>74</v>
      </c>
      <c r="AY537" s="1" t="s">
        <v>74</v>
      </c>
      <c r="AZ537" s="1" t="s">
        <v>74</v>
      </c>
      <c r="BA537" s="1" t="s">
        <v>74</v>
      </c>
      <c r="BB537" s="1" t="s">
        <v>74</v>
      </c>
      <c r="BC537" s="1" t="s">
        <v>74</v>
      </c>
      <c r="BD537" s="1" t="s">
        <v>5500</v>
      </c>
      <c r="BE537" s="1" t="s">
        <v>5501</v>
      </c>
      <c r="BF537" s="2" t="str">
        <f>HYPERLINK("http://dx.doi.org/10.7554/eLife.23804.001","http://dx.doi.org/10.7554/eLife.23804.001")</f>
        <v>http://dx.doi.org/10.7554/eLife.23804.001</v>
      </c>
      <c r="BG537" s="1" t="s">
        <v>74</v>
      </c>
      <c r="BH537" s="1" t="s">
        <v>74</v>
      </c>
      <c r="BI537" s="1" t="s">
        <v>74</v>
      </c>
      <c r="BJ537" s="1" t="s">
        <v>74</v>
      </c>
      <c r="BK537" s="1" t="s">
        <v>74</v>
      </c>
      <c r="BL537" s="1" t="s">
        <v>74</v>
      </c>
      <c r="BM537" s="1" t="s">
        <v>74</v>
      </c>
      <c r="BN537" s="1" t="s">
        <v>74</v>
      </c>
      <c r="BO537" s="1" t="s">
        <v>74</v>
      </c>
      <c r="BP537" s="1" t="s">
        <v>74</v>
      </c>
      <c r="BQ537" s="1" t="s">
        <v>74</v>
      </c>
      <c r="BR537" s="1" t="s">
        <v>74</v>
      </c>
      <c r="BS537" s="1" t="s">
        <v>5502</v>
      </c>
      <c r="BT537" s="1" t="str">
        <f>HYPERLINK("https%3A%2F%2Fwww.webofscience.com%2Fwos%2Fwoscc%2Ffull-record%2FWOS:000395903200001","View Full Record in Web of Science")</f>
        <v>View Full Record in Web of Science</v>
      </c>
    </row>
    <row r="538" ht="12.75" customHeight="1">
      <c r="A538" s="1" t="s">
        <v>72</v>
      </c>
      <c r="B538" s="1" t="s">
        <v>5503</v>
      </c>
      <c r="C538" s="1" t="s">
        <v>74</v>
      </c>
      <c r="D538" s="1" t="s">
        <v>74</v>
      </c>
      <c r="E538" s="1" t="s">
        <v>74</v>
      </c>
      <c r="F538" s="1" t="s">
        <v>5504</v>
      </c>
      <c r="G538" s="1" t="s">
        <v>74</v>
      </c>
      <c r="H538" s="1" t="s">
        <v>74</v>
      </c>
      <c r="I538" s="1" t="s">
        <v>5505</v>
      </c>
      <c r="J538" s="1" t="s">
        <v>5506</v>
      </c>
      <c r="K538" s="1" t="s">
        <v>74</v>
      </c>
      <c r="L538" s="1" t="s">
        <v>74</v>
      </c>
      <c r="M538" s="1" t="s">
        <v>74</v>
      </c>
      <c r="N538" s="1" t="s">
        <v>74</v>
      </c>
      <c r="O538" s="1" t="s">
        <v>74</v>
      </c>
      <c r="P538" s="1" t="s">
        <v>74</v>
      </c>
      <c r="Q538" s="1" t="s">
        <v>74</v>
      </c>
      <c r="R538" s="1" t="s">
        <v>74</v>
      </c>
      <c r="S538" s="1" t="s">
        <v>74</v>
      </c>
      <c r="T538" s="1" t="s">
        <v>74</v>
      </c>
      <c r="U538" s="1" t="s">
        <v>74</v>
      </c>
      <c r="V538" s="1" t="s">
        <v>5507</v>
      </c>
      <c r="W538" s="1" t="s">
        <v>74</v>
      </c>
      <c r="X538" s="1" t="s">
        <v>74</v>
      </c>
      <c r="Y538" s="1" t="s">
        <v>74</v>
      </c>
      <c r="Z538" s="1" t="s">
        <v>74</v>
      </c>
      <c r="AA538" s="1" t="s">
        <v>5508</v>
      </c>
      <c r="AB538" s="1" t="s">
        <v>5509</v>
      </c>
      <c r="AC538" s="1" t="s">
        <v>74</v>
      </c>
      <c r="AD538" s="1" t="s">
        <v>74</v>
      </c>
      <c r="AE538" s="1" t="s">
        <v>74</v>
      </c>
      <c r="AF538" s="1" t="s">
        <v>74</v>
      </c>
      <c r="AG538" s="1" t="s">
        <v>74</v>
      </c>
      <c r="AH538" s="1" t="s">
        <v>74</v>
      </c>
      <c r="AI538" s="1" t="s">
        <v>74</v>
      </c>
      <c r="AJ538" s="1" t="s">
        <v>74</v>
      </c>
      <c r="AK538" s="1" t="s">
        <v>74</v>
      </c>
      <c r="AL538" s="1" t="s">
        <v>74</v>
      </c>
      <c r="AM538" s="1" t="s">
        <v>74</v>
      </c>
      <c r="AN538" s="1" t="s">
        <v>74</v>
      </c>
      <c r="AO538" s="1" t="s">
        <v>5510</v>
      </c>
      <c r="AP538" s="1" t="s">
        <v>5511</v>
      </c>
      <c r="AQ538" s="1" t="s">
        <v>74</v>
      </c>
      <c r="AR538" s="1" t="s">
        <v>74</v>
      </c>
      <c r="AS538" s="1" t="s">
        <v>74</v>
      </c>
      <c r="AT538" s="1" t="s">
        <v>398</v>
      </c>
      <c r="AU538" s="1">
        <v>2017.0</v>
      </c>
      <c r="AV538" s="1">
        <v>189.0</v>
      </c>
      <c r="AW538" s="1">
        <v>2.0</v>
      </c>
      <c r="AX538" s="1" t="s">
        <v>74</v>
      </c>
      <c r="AY538" s="1" t="s">
        <v>74</v>
      </c>
      <c r="AZ538" s="1" t="s">
        <v>74</v>
      </c>
      <c r="BA538" s="1" t="s">
        <v>74</v>
      </c>
      <c r="BB538" s="1" t="s">
        <v>74</v>
      </c>
      <c r="BC538" s="1" t="s">
        <v>74</v>
      </c>
      <c r="BD538" s="1">
        <v>82.0</v>
      </c>
      <c r="BE538" s="1" t="s">
        <v>5512</v>
      </c>
      <c r="BF538" s="2" t="str">
        <f>HYPERLINK("http://dx.doi.org/10.1007/s10661-017-5793-x","http://dx.doi.org/10.1007/s10661-017-5793-x")</f>
        <v>http://dx.doi.org/10.1007/s10661-017-5793-x</v>
      </c>
      <c r="BG538" s="1" t="s">
        <v>74</v>
      </c>
      <c r="BH538" s="1" t="s">
        <v>74</v>
      </c>
      <c r="BI538" s="1" t="s">
        <v>74</v>
      </c>
      <c r="BJ538" s="1" t="s">
        <v>74</v>
      </c>
      <c r="BK538" s="1" t="s">
        <v>74</v>
      </c>
      <c r="BL538" s="1" t="s">
        <v>74</v>
      </c>
      <c r="BM538" s="1" t="s">
        <v>74</v>
      </c>
      <c r="BN538" s="1">
        <v>2.8130763E7</v>
      </c>
      <c r="BO538" s="1" t="s">
        <v>74</v>
      </c>
      <c r="BP538" s="1" t="s">
        <v>74</v>
      </c>
      <c r="BQ538" s="1" t="s">
        <v>74</v>
      </c>
      <c r="BR538" s="1" t="s">
        <v>74</v>
      </c>
      <c r="BS538" s="1" t="s">
        <v>5513</v>
      </c>
      <c r="BT538" s="1" t="str">
        <f>HYPERLINK("https%3A%2F%2Fwww.webofscience.com%2Fwos%2Fwoscc%2Ffull-record%2FWOS:000393645800037","View Full Record in Web of Science")</f>
        <v>View Full Record in Web of Science</v>
      </c>
    </row>
    <row r="539" ht="12.75" customHeight="1">
      <c r="A539" s="1" t="s">
        <v>72</v>
      </c>
      <c r="B539" s="1" t="s">
        <v>5514</v>
      </c>
      <c r="C539" s="1" t="s">
        <v>74</v>
      </c>
      <c r="D539" s="1" t="s">
        <v>74</v>
      </c>
      <c r="E539" s="1" t="s">
        <v>74</v>
      </c>
      <c r="F539" s="1" t="s">
        <v>5515</v>
      </c>
      <c r="G539" s="1" t="s">
        <v>74</v>
      </c>
      <c r="H539" s="1" t="s">
        <v>74</v>
      </c>
      <c r="I539" s="1" t="s">
        <v>5516</v>
      </c>
      <c r="J539" s="1" t="s">
        <v>114</v>
      </c>
      <c r="K539" s="1" t="s">
        <v>74</v>
      </c>
      <c r="L539" s="1" t="s">
        <v>74</v>
      </c>
      <c r="M539" s="1" t="s">
        <v>74</v>
      </c>
      <c r="N539" s="1" t="s">
        <v>74</v>
      </c>
      <c r="O539" s="1" t="s">
        <v>74</v>
      </c>
      <c r="P539" s="1" t="s">
        <v>74</v>
      </c>
      <c r="Q539" s="1" t="s">
        <v>74</v>
      </c>
      <c r="R539" s="1" t="s">
        <v>74</v>
      </c>
      <c r="S539" s="1" t="s">
        <v>74</v>
      </c>
      <c r="T539" s="1" t="s">
        <v>74</v>
      </c>
      <c r="U539" s="1" t="s">
        <v>74</v>
      </c>
      <c r="V539" s="1" t="s">
        <v>5517</v>
      </c>
      <c r="W539" s="1" t="s">
        <v>74</v>
      </c>
      <c r="X539" s="1" t="s">
        <v>74</v>
      </c>
      <c r="Y539" s="1" t="s">
        <v>74</v>
      </c>
      <c r="Z539" s="1" t="s">
        <v>74</v>
      </c>
      <c r="AA539" s="1" t="s">
        <v>5518</v>
      </c>
      <c r="AB539" s="1" t="s">
        <v>5519</v>
      </c>
      <c r="AC539" s="1" t="s">
        <v>74</v>
      </c>
      <c r="AD539" s="1" t="s">
        <v>74</v>
      </c>
      <c r="AE539" s="1" t="s">
        <v>74</v>
      </c>
      <c r="AF539" s="1" t="s">
        <v>74</v>
      </c>
      <c r="AG539" s="1" t="s">
        <v>74</v>
      </c>
      <c r="AH539" s="1" t="s">
        <v>74</v>
      </c>
      <c r="AI539" s="1" t="s">
        <v>74</v>
      </c>
      <c r="AJ539" s="1" t="s">
        <v>74</v>
      </c>
      <c r="AK539" s="1" t="s">
        <v>74</v>
      </c>
      <c r="AL539" s="1" t="s">
        <v>74</v>
      </c>
      <c r="AM539" s="1" t="s">
        <v>74</v>
      </c>
      <c r="AN539" s="1" t="s">
        <v>74</v>
      </c>
      <c r="AO539" s="1" t="s">
        <v>118</v>
      </c>
      <c r="AP539" s="1" t="s">
        <v>119</v>
      </c>
      <c r="AQ539" s="1" t="s">
        <v>74</v>
      </c>
      <c r="AR539" s="1" t="s">
        <v>74</v>
      </c>
      <c r="AS539" s="1" t="s">
        <v>74</v>
      </c>
      <c r="AT539" s="1" t="s">
        <v>5520</v>
      </c>
      <c r="AU539" s="1">
        <v>2016.0</v>
      </c>
      <c r="AV539" s="1">
        <v>18.0</v>
      </c>
      <c r="AW539" s="1">
        <v>42.0</v>
      </c>
      <c r="AX539" s="1" t="s">
        <v>74</v>
      </c>
      <c r="AY539" s="1" t="s">
        <v>74</v>
      </c>
      <c r="AZ539" s="1" t="s">
        <v>74</v>
      </c>
      <c r="BA539" s="1" t="s">
        <v>74</v>
      </c>
      <c r="BB539" s="1">
        <v>29516.0</v>
      </c>
      <c r="BC539" s="1">
        <v>29525.0</v>
      </c>
      <c r="BD539" s="1" t="s">
        <v>74</v>
      </c>
      <c r="BE539" s="1" t="s">
        <v>5521</v>
      </c>
      <c r="BF539" s="2" t="str">
        <f>HYPERLINK("http://dx.doi.org/10.1039/c6cp06156g","http://dx.doi.org/10.1039/c6cp06156g")</f>
        <v>http://dx.doi.org/10.1039/c6cp06156g</v>
      </c>
      <c r="BG539" s="1" t="s">
        <v>74</v>
      </c>
      <c r="BH539" s="1" t="s">
        <v>74</v>
      </c>
      <c r="BI539" s="1" t="s">
        <v>74</v>
      </c>
      <c r="BJ539" s="1" t="s">
        <v>74</v>
      </c>
      <c r="BK539" s="1" t="s">
        <v>74</v>
      </c>
      <c r="BL539" s="1" t="s">
        <v>74</v>
      </c>
      <c r="BM539" s="1" t="s">
        <v>74</v>
      </c>
      <c r="BN539" s="1">
        <v>2.7747348E7</v>
      </c>
      <c r="BO539" s="1" t="s">
        <v>74</v>
      </c>
      <c r="BP539" s="1" t="s">
        <v>74</v>
      </c>
      <c r="BQ539" s="1" t="s">
        <v>74</v>
      </c>
      <c r="BR539" s="1" t="s">
        <v>74</v>
      </c>
      <c r="BS539" s="1" t="s">
        <v>5522</v>
      </c>
      <c r="BT539" s="1" t="str">
        <f>HYPERLINK("https%3A%2F%2Fwww.webofscience.com%2Fwos%2Fwoscc%2Ffull-record%2FWOS:000387024300053","View Full Record in Web of Science")</f>
        <v>View Full Record in Web of Science</v>
      </c>
    </row>
    <row r="540" ht="12.75" customHeight="1">
      <c r="A540" s="1" t="s">
        <v>72</v>
      </c>
      <c r="B540" s="1" t="s">
        <v>5523</v>
      </c>
      <c r="C540" s="1" t="s">
        <v>74</v>
      </c>
      <c r="D540" s="1" t="s">
        <v>74</v>
      </c>
      <c r="E540" s="1" t="s">
        <v>74</v>
      </c>
      <c r="F540" s="1" t="s">
        <v>5524</v>
      </c>
      <c r="G540" s="1" t="s">
        <v>74</v>
      </c>
      <c r="H540" s="1" t="s">
        <v>74</v>
      </c>
      <c r="I540" s="1" t="s">
        <v>5525</v>
      </c>
      <c r="J540" s="1" t="s">
        <v>5526</v>
      </c>
      <c r="K540" s="1" t="s">
        <v>74</v>
      </c>
      <c r="L540" s="1" t="s">
        <v>74</v>
      </c>
      <c r="M540" s="1" t="s">
        <v>74</v>
      </c>
      <c r="N540" s="1" t="s">
        <v>74</v>
      </c>
      <c r="O540" s="1" t="s">
        <v>74</v>
      </c>
      <c r="P540" s="1" t="s">
        <v>74</v>
      </c>
      <c r="Q540" s="1" t="s">
        <v>74</v>
      </c>
      <c r="R540" s="1" t="s">
        <v>74</v>
      </c>
      <c r="S540" s="1" t="s">
        <v>74</v>
      </c>
      <c r="T540" s="1" t="s">
        <v>74</v>
      </c>
      <c r="U540" s="1" t="s">
        <v>74</v>
      </c>
      <c r="V540" s="1" t="s">
        <v>5527</v>
      </c>
      <c r="W540" s="1" t="s">
        <v>74</v>
      </c>
      <c r="X540" s="1" t="s">
        <v>74</v>
      </c>
      <c r="Y540" s="1" t="s">
        <v>74</v>
      </c>
      <c r="Z540" s="1" t="s">
        <v>74</v>
      </c>
      <c r="AA540" s="1" t="s">
        <v>5528</v>
      </c>
      <c r="AB540" s="1" t="s">
        <v>5529</v>
      </c>
      <c r="AC540" s="1" t="s">
        <v>74</v>
      </c>
      <c r="AD540" s="1" t="s">
        <v>74</v>
      </c>
      <c r="AE540" s="1" t="s">
        <v>74</v>
      </c>
      <c r="AF540" s="1" t="s">
        <v>74</v>
      </c>
      <c r="AG540" s="1" t="s">
        <v>74</v>
      </c>
      <c r="AH540" s="1" t="s">
        <v>74</v>
      </c>
      <c r="AI540" s="1" t="s">
        <v>74</v>
      </c>
      <c r="AJ540" s="1" t="s">
        <v>74</v>
      </c>
      <c r="AK540" s="1" t="s">
        <v>74</v>
      </c>
      <c r="AL540" s="1" t="s">
        <v>74</v>
      </c>
      <c r="AM540" s="1" t="s">
        <v>74</v>
      </c>
      <c r="AN540" s="1" t="s">
        <v>74</v>
      </c>
      <c r="AO540" s="1" t="s">
        <v>5530</v>
      </c>
      <c r="AP540" s="1" t="s">
        <v>5531</v>
      </c>
      <c r="AQ540" s="1" t="s">
        <v>74</v>
      </c>
      <c r="AR540" s="1" t="s">
        <v>74</v>
      </c>
      <c r="AS540" s="1" t="s">
        <v>74</v>
      </c>
      <c r="AT540" s="1" t="s">
        <v>74</v>
      </c>
      <c r="AU540" s="1">
        <v>2016.0</v>
      </c>
      <c r="AV540" s="1">
        <v>15.0</v>
      </c>
      <c r="AW540" s="1" t="s">
        <v>74</v>
      </c>
      <c r="AX540" s="1" t="s">
        <v>74</v>
      </c>
      <c r="AY540" s="1" t="s">
        <v>74</v>
      </c>
      <c r="AZ540" s="1" t="s">
        <v>399</v>
      </c>
      <c r="BA540" s="1" t="s">
        <v>74</v>
      </c>
      <c r="BB540" s="1">
        <v>85.0</v>
      </c>
      <c r="BC540" s="1">
        <v>116.0</v>
      </c>
      <c r="BD540" s="1" t="s">
        <v>74</v>
      </c>
      <c r="BE540" s="1" t="s">
        <v>74</v>
      </c>
      <c r="BF540" s="1" t="s">
        <v>74</v>
      </c>
      <c r="BG540" s="1" t="s">
        <v>74</v>
      </c>
      <c r="BH540" s="1" t="s">
        <v>74</v>
      </c>
      <c r="BI540" s="1" t="s">
        <v>74</v>
      </c>
      <c r="BJ540" s="1" t="s">
        <v>74</v>
      </c>
      <c r="BK540" s="1" t="s">
        <v>74</v>
      </c>
      <c r="BL540" s="1" t="s">
        <v>74</v>
      </c>
      <c r="BM540" s="1" t="s">
        <v>74</v>
      </c>
      <c r="BN540" s="1" t="s">
        <v>74</v>
      </c>
      <c r="BO540" s="1" t="s">
        <v>74</v>
      </c>
      <c r="BP540" s="1" t="s">
        <v>74</v>
      </c>
      <c r="BQ540" s="1" t="s">
        <v>74</v>
      </c>
      <c r="BR540" s="1" t="s">
        <v>74</v>
      </c>
      <c r="BS540" s="1" t="s">
        <v>5532</v>
      </c>
      <c r="BT540" s="1" t="str">
        <f>HYPERLINK("https%3A%2F%2Fwww.webofscience.com%2Fwos%2Fwoscc%2Ffull-record%2FWOS:000373212300005","View Full Record in Web of Science")</f>
        <v>View Full Record in Web of Science</v>
      </c>
    </row>
    <row r="541" ht="12.75" customHeight="1">
      <c r="A541" s="1" t="s">
        <v>72</v>
      </c>
      <c r="B541" s="1" t="s">
        <v>5533</v>
      </c>
      <c r="C541" s="1" t="s">
        <v>74</v>
      </c>
      <c r="D541" s="1" t="s">
        <v>74</v>
      </c>
      <c r="E541" s="1" t="s">
        <v>74</v>
      </c>
      <c r="F541" s="1" t="s">
        <v>5534</v>
      </c>
      <c r="G541" s="1" t="s">
        <v>74</v>
      </c>
      <c r="H541" s="1" t="s">
        <v>74</v>
      </c>
      <c r="I541" s="1" t="s">
        <v>5535</v>
      </c>
      <c r="J541" s="1" t="s">
        <v>5536</v>
      </c>
      <c r="K541" s="1" t="s">
        <v>74</v>
      </c>
      <c r="L541" s="1" t="s">
        <v>74</v>
      </c>
      <c r="M541" s="1" t="s">
        <v>74</v>
      </c>
      <c r="N541" s="1" t="s">
        <v>74</v>
      </c>
      <c r="O541" s="1" t="s">
        <v>74</v>
      </c>
      <c r="P541" s="1" t="s">
        <v>74</v>
      </c>
      <c r="Q541" s="1" t="s">
        <v>74</v>
      </c>
      <c r="R541" s="1" t="s">
        <v>74</v>
      </c>
      <c r="S541" s="1" t="s">
        <v>74</v>
      </c>
      <c r="T541" s="1" t="s">
        <v>74</v>
      </c>
      <c r="U541" s="1" t="s">
        <v>74</v>
      </c>
      <c r="V541" s="1" t="s">
        <v>5537</v>
      </c>
      <c r="W541" s="1" t="s">
        <v>74</v>
      </c>
      <c r="X541" s="1" t="s">
        <v>74</v>
      </c>
      <c r="Y541" s="1" t="s">
        <v>74</v>
      </c>
      <c r="Z541" s="1" t="s">
        <v>74</v>
      </c>
      <c r="AA541" s="1" t="s">
        <v>5538</v>
      </c>
      <c r="AB541" s="1" t="s">
        <v>2813</v>
      </c>
      <c r="AC541" s="1" t="s">
        <v>74</v>
      </c>
      <c r="AD541" s="1" t="s">
        <v>74</v>
      </c>
      <c r="AE541" s="1" t="s">
        <v>74</v>
      </c>
      <c r="AF541" s="1" t="s">
        <v>74</v>
      </c>
      <c r="AG541" s="1" t="s">
        <v>74</v>
      </c>
      <c r="AH541" s="1" t="s">
        <v>74</v>
      </c>
      <c r="AI541" s="1" t="s">
        <v>74</v>
      </c>
      <c r="AJ541" s="1" t="s">
        <v>74</v>
      </c>
      <c r="AK541" s="1" t="s">
        <v>74</v>
      </c>
      <c r="AL541" s="1" t="s">
        <v>74</v>
      </c>
      <c r="AM541" s="1" t="s">
        <v>74</v>
      </c>
      <c r="AN541" s="1" t="s">
        <v>74</v>
      </c>
      <c r="AO541" s="1" t="s">
        <v>5539</v>
      </c>
      <c r="AP541" s="1" t="s">
        <v>5540</v>
      </c>
      <c r="AQ541" s="1" t="s">
        <v>74</v>
      </c>
      <c r="AR541" s="1" t="s">
        <v>74</v>
      </c>
      <c r="AS541" s="1" t="s">
        <v>74</v>
      </c>
      <c r="AT541" s="1" t="s">
        <v>96</v>
      </c>
      <c r="AU541" s="1">
        <v>2015.0</v>
      </c>
      <c r="AV541" s="1">
        <v>12.0</v>
      </c>
      <c r="AW541" s="1">
        <v>3.0</v>
      </c>
      <c r="AX541" s="1" t="s">
        <v>74</v>
      </c>
      <c r="AY541" s="1" t="s">
        <v>74</v>
      </c>
      <c r="AZ541" s="1" t="s">
        <v>74</v>
      </c>
      <c r="BA541" s="1" t="s">
        <v>74</v>
      </c>
      <c r="BB541" s="1" t="s">
        <v>74</v>
      </c>
      <c r="BC541" s="1" t="s">
        <v>74</v>
      </c>
      <c r="BD541" s="1">
        <v>1550034.0</v>
      </c>
      <c r="BE541" s="1" t="s">
        <v>5541</v>
      </c>
      <c r="BF541" s="2" t="str">
        <f>HYPERLINK("http://dx.doi.org/10.1142/S0219887815500346","http://dx.doi.org/10.1142/S0219887815500346")</f>
        <v>http://dx.doi.org/10.1142/S0219887815500346</v>
      </c>
      <c r="BG541" s="1" t="s">
        <v>74</v>
      </c>
      <c r="BH541" s="1" t="s">
        <v>74</v>
      </c>
      <c r="BI541" s="1" t="s">
        <v>74</v>
      </c>
      <c r="BJ541" s="1" t="s">
        <v>74</v>
      </c>
      <c r="BK541" s="1" t="s">
        <v>74</v>
      </c>
      <c r="BL541" s="1" t="s">
        <v>74</v>
      </c>
      <c r="BM541" s="1" t="s">
        <v>74</v>
      </c>
      <c r="BN541" s="1" t="s">
        <v>74</v>
      </c>
      <c r="BO541" s="1" t="s">
        <v>74</v>
      </c>
      <c r="BP541" s="1" t="s">
        <v>74</v>
      </c>
      <c r="BQ541" s="1" t="s">
        <v>74</v>
      </c>
      <c r="BR541" s="1" t="s">
        <v>74</v>
      </c>
      <c r="BS541" s="1" t="s">
        <v>5542</v>
      </c>
      <c r="BT541" s="1" t="str">
        <f>HYPERLINK("https%3A%2F%2Fwww.webofscience.com%2Fwos%2Fwoscc%2Ffull-record%2FWOS:000350752900009","View Full Record in Web of Science")</f>
        <v>View Full Record in Web of Science</v>
      </c>
    </row>
    <row r="542" ht="12.75" customHeight="1">
      <c r="A542" s="1" t="s">
        <v>72</v>
      </c>
      <c r="B542" s="1" t="s">
        <v>5543</v>
      </c>
      <c r="C542" s="1" t="s">
        <v>74</v>
      </c>
      <c r="D542" s="1" t="s">
        <v>74</v>
      </c>
      <c r="E542" s="1" t="s">
        <v>74</v>
      </c>
      <c r="F542" s="1" t="s">
        <v>5544</v>
      </c>
      <c r="G542" s="1" t="s">
        <v>74</v>
      </c>
      <c r="H542" s="1" t="s">
        <v>74</v>
      </c>
      <c r="I542" s="1" t="s">
        <v>5545</v>
      </c>
      <c r="J542" s="1" t="s">
        <v>5546</v>
      </c>
      <c r="K542" s="1" t="s">
        <v>74</v>
      </c>
      <c r="L542" s="1" t="s">
        <v>74</v>
      </c>
      <c r="M542" s="1" t="s">
        <v>74</v>
      </c>
      <c r="N542" s="1" t="s">
        <v>74</v>
      </c>
      <c r="O542" s="1" t="s">
        <v>74</v>
      </c>
      <c r="P542" s="1" t="s">
        <v>74</v>
      </c>
      <c r="Q542" s="1" t="s">
        <v>74</v>
      </c>
      <c r="R542" s="1" t="s">
        <v>74</v>
      </c>
      <c r="S542" s="1" t="s">
        <v>74</v>
      </c>
      <c r="T542" s="1" t="s">
        <v>74</v>
      </c>
      <c r="U542" s="1" t="s">
        <v>74</v>
      </c>
      <c r="V542" s="1" t="s">
        <v>5547</v>
      </c>
      <c r="W542" s="1" t="s">
        <v>74</v>
      </c>
      <c r="X542" s="1" t="s">
        <v>74</v>
      </c>
      <c r="Y542" s="1" t="s">
        <v>74</v>
      </c>
      <c r="Z542" s="1" t="s">
        <v>74</v>
      </c>
      <c r="AA542" s="1" t="s">
        <v>5548</v>
      </c>
      <c r="AB542" s="1" t="s">
        <v>5549</v>
      </c>
      <c r="AC542" s="1" t="s">
        <v>74</v>
      </c>
      <c r="AD542" s="1" t="s">
        <v>74</v>
      </c>
      <c r="AE542" s="1" t="s">
        <v>74</v>
      </c>
      <c r="AF542" s="1" t="s">
        <v>74</v>
      </c>
      <c r="AG542" s="1" t="s">
        <v>74</v>
      </c>
      <c r="AH542" s="1" t="s">
        <v>74</v>
      </c>
      <c r="AI542" s="1" t="s">
        <v>74</v>
      </c>
      <c r="AJ542" s="1" t="s">
        <v>74</v>
      </c>
      <c r="AK542" s="1" t="s">
        <v>74</v>
      </c>
      <c r="AL542" s="1" t="s">
        <v>74</v>
      </c>
      <c r="AM542" s="1" t="s">
        <v>74</v>
      </c>
      <c r="AN542" s="1" t="s">
        <v>74</v>
      </c>
      <c r="AO542" s="1" t="s">
        <v>5550</v>
      </c>
      <c r="AP542" s="1" t="s">
        <v>74</v>
      </c>
      <c r="AQ542" s="1" t="s">
        <v>74</v>
      </c>
      <c r="AR542" s="1" t="s">
        <v>74</v>
      </c>
      <c r="AS542" s="1" t="s">
        <v>74</v>
      </c>
      <c r="AT542" s="1" t="s">
        <v>730</v>
      </c>
      <c r="AU542" s="1">
        <v>2012.0</v>
      </c>
      <c r="AV542" s="1">
        <v>218.0</v>
      </c>
      <c r="AW542" s="1">
        <v>22.0</v>
      </c>
      <c r="AX542" s="1" t="s">
        <v>74</v>
      </c>
      <c r="AY542" s="1" t="s">
        <v>74</v>
      </c>
      <c r="AZ542" s="1" t="s">
        <v>74</v>
      </c>
      <c r="BA542" s="1" t="s">
        <v>74</v>
      </c>
      <c r="BB542" s="1">
        <v>11021.0</v>
      </c>
      <c r="BC542" s="1">
        <v>11032.0</v>
      </c>
      <c r="BD542" s="1" t="s">
        <v>74</v>
      </c>
      <c r="BE542" s="1" t="s">
        <v>5551</v>
      </c>
      <c r="BF542" s="2" t="str">
        <f>HYPERLINK("http://dx.doi.org/10.1016/j.amc.2012.04.063","http://dx.doi.org/10.1016/j.amc.2012.04.063")</f>
        <v>http://dx.doi.org/10.1016/j.amc.2012.04.063</v>
      </c>
      <c r="BG542" s="1" t="s">
        <v>74</v>
      </c>
      <c r="BH542" s="1" t="s">
        <v>74</v>
      </c>
      <c r="BI542" s="1" t="s">
        <v>74</v>
      </c>
      <c r="BJ542" s="1" t="s">
        <v>74</v>
      </c>
      <c r="BK542" s="1" t="s">
        <v>74</v>
      </c>
      <c r="BL542" s="1" t="s">
        <v>74</v>
      </c>
      <c r="BM542" s="1" t="s">
        <v>74</v>
      </c>
      <c r="BN542" s="1" t="s">
        <v>74</v>
      </c>
      <c r="BO542" s="1" t="s">
        <v>74</v>
      </c>
      <c r="BP542" s="1" t="s">
        <v>74</v>
      </c>
      <c r="BQ542" s="1" t="s">
        <v>74</v>
      </c>
      <c r="BR542" s="1" t="s">
        <v>74</v>
      </c>
      <c r="BS542" s="1" t="s">
        <v>5552</v>
      </c>
      <c r="BT542" s="1" t="str">
        <f>HYPERLINK("https%3A%2F%2Fwww.webofscience.com%2Fwos%2Fwoscc%2Ffull-record%2FWOS:000305800700022","View Full Record in Web of Science")</f>
        <v>View Full Record in Web of Science</v>
      </c>
    </row>
    <row r="543" ht="12.75" customHeight="1">
      <c r="A543" s="1" t="s">
        <v>72</v>
      </c>
      <c r="B543" s="1" t="s">
        <v>5553</v>
      </c>
      <c r="C543" s="1" t="s">
        <v>74</v>
      </c>
      <c r="D543" s="1" t="s">
        <v>74</v>
      </c>
      <c r="E543" s="1" t="s">
        <v>74</v>
      </c>
      <c r="F543" s="1" t="s">
        <v>5554</v>
      </c>
      <c r="G543" s="1" t="s">
        <v>74</v>
      </c>
      <c r="H543" s="1" t="s">
        <v>74</v>
      </c>
      <c r="I543" s="1" t="s">
        <v>5555</v>
      </c>
      <c r="J543" s="1" t="s">
        <v>5556</v>
      </c>
      <c r="K543" s="1" t="s">
        <v>74</v>
      </c>
      <c r="L543" s="1" t="s">
        <v>74</v>
      </c>
      <c r="M543" s="1" t="s">
        <v>74</v>
      </c>
      <c r="N543" s="1" t="s">
        <v>74</v>
      </c>
      <c r="O543" s="1" t="s">
        <v>74</v>
      </c>
      <c r="P543" s="1" t="s">
        <v>74</v>
      </c>
      <c r="Q543" s="1" t="s">
        <v>74</v>
      </c>
      <c r="R543" s="1" t="s">
        <v>74</v>
      </c>
      <c r="S543" s="1" t="s">
        <v>74</v>
      </c>
      <c r="T543" s="1" t="s">
        <v>74</v>
      </c>
      <c r="U543" s="1" t="s">
        <v>74</v>
      </c>
      <c r="V543" s="1" t="s">
        <v>5557</v>
      </c>
      <c r="W543" s="1" t="s">
        <v>74</v>
      </c>
      <c r="X543" s="1" t="s">
        <v>74</v>
      </c>
      <c r="Y543" s="1" t="s">
        <v>74</v>
      </c>
      <c r="Z543" s="1" t="s">
        <v>74</v>
      </c>
      <c r="AA543" s="1" t="s">
        <v>5558</v>
      </c>
      <c r="AB543" s="1" t="s">
        <v>5559</v>
      </c>
      <c r="AC543" s="1" t="s">
        <v>74</v>
      </c>
      <c r="AD543" s="1" t="s">
        <v>74</v>
      </c>
      <c r="AE543" s="1" t="s">
        <v>74</v>
      </c>
      <c r="AF543" s="1" t="s">
        <v>74</v>
      </c>
      <c r="AG543" s="1" t="s">
        <v>74</v>
      </c>
      <c r="AH543" s="1" t="s">
        <v>74</v>
      </c>
      <c r="AI543" s="1" t="s">
        <v>74</v>
      </c>
      <c r="AJ543" s="1" t="s">
        <v>74</v>
      </c>
      <c r="AK543" s="1" t="s">
        <v>74</v>
      </c>
      <c r="AL543" s="1" t="s">
        <v>74</v>
      </c>
      <c r="AM543" s="1" t="s">
        <v>74</v>
      </c>
      <c r="AN543" s="1" t="s">
        <v>74</v>
      </c>
      <c r="AO543" s="1" t="s">
        <v>5560</v>
      </c>
      <c r="AP543" s="1" t="s">
        <v>74</v>
      </c>
      <c r="AQ543" s="1" t="s">
        <v>74</v>
      </c>
      <c r="AR543" s="1" t="s">
        <v>74</v>
      </c>
      <c r="AS543" s="1" t="s">
        <v>74</v>
      </c>
      <c r="AT543" s="1" t="s">
        <v>96</v>
      </c>
      <c r="AU543" s="1">
        <v>2012.0</v>
      </c>
      <c r="AV543" s="1">
        <v>217.0</v>
      </c>
      <c r="AW543" s="1">
        <v>3.0</v>
      </c>
      <c r="AX543" s="1" t="s">
        <v>74</v>
      </c>
      <c r="AY543" s="1" t="s">
        <v>74</v>
      </c>
      <c r="AZ543" s="1" t="s">
        <v>74</v>
      </c>
      <c r="BA543" s="1" t="s">
        <v>74</v>
      </c>
      <c r="BB543" s="1">
        <v>307.0</v>
      </c>
      <c r="BC543" s="1">
        <v>315.0</v>
      </c>
      <c r="BD543" s="1" t="s">
        <v>74</v>
      </c>
      <c r="BE543" s="1" t="s">
        <v>5561</v>
      </c>
      <c r="BF543" s="2" t="str">
        <f>HYPERLINK("http://dx.doi.org/10.1016/j.imbio.2011.10.006","http://dx.doi.org/10.1016/j.imbio.2011.10.006")</f>
        <v>http://dx.doi.org/10.1016/j.imbio.2011.10.006</v>
      </c>
      <c r="BG543" s="1" t="s">
        <v>74</v>
      </c>
      <c r="BH543" s="1" t="s">
        <v>74</v>
      </c>
      <c r="BI543" s="1" t="s">
        <v>74</v>
      </c>
      <c r="BJ543" s="1" t="s">
        <v>74</v>
      </c>
      <c r="BK543" s="1" t="s">
        <v>74</v>
      </c>
      <c r="BL543" s="1" t="s">
        <v>74</v>
      </c>
      <c r="BM543" s="1" t="s">
        <v>74</v>
      </c>
      <c r="BN543" s="1">
        <v>2.2118797E7</v>
      </c>
      <c r="BO543" s="1" t="s">
        <v>74</v>
      </c>
      <c r="BP543" s="1" t="s">
        <v>74</v>
      </c>
      <c r="BQ543" s="1" t="s">
        <v>74</v>
      </c>
      <c r="BR543" s="1" t="s">
        <v>74</v>
      </c>
      <c r="BS543" s="1" t="s">
        <v>5562</v>
      </c>
      <c r="BT543" s="1" t="str">
        <f>HYPERLINK("https%3A%2F%2Fwww.webofscience.com%2Fwos%2Fwoscc%2Ffull-record%2FWOS:000302109700002","View Full Record in Web of Science")</f>
        <v>View Full Record in Web of Science</v>
      </c>
    </row>
    <row r="544" ht="12.75" customHeight="1">
      <c r="A544" s="1" t="s">
        <v>72</v>
      </c>
      <c r="B544" s="1" t="s">
        <v>5563</v>
      </c>
      <c r="C544" s="1" t="s">
        <v>74</v>
      </c>
      <c r="D544" s="1" t="s">
        <v>74</v>
      </c>
      <c r="E544" s="1" t="s">
        <v>74</v>
      </c>
      <c r="F544" s="1" t="s">
        <v>5564</v>
      </c>
      <c r="G544" s="1" t="s">
        <v>74</v>
      </c>
      <c r="H544" s="1" t="s">
        <v>74</v>
      </c>
      <c r="I544" s="1" t="s">
        <v>5565</v>
      </c>
      <c r="J544" s="1" t="s">
        <v>5566</v>
      </c>
      <c r="K544" s="1" t="s">
        <v>74</v>
      </c>
      <c r="L544" s="1" t="s">
        <v>74</v>
      </c>
      <c r="M544" s="1" t="s">
        <v>74</v>
      </c>
      <c r="N544" s="1" t="s">
        <v>74</v>
      </c>
      <c r="O544" s="1" t="s">
        <v>74</v>
      </c>
      <c r="P544" s="1" t="s">
        <v>74</v>
      </c>
      <c r="Q544" s="1" t="s">
        <v>74</v>
      </c>
      <c r="R544" s="1" t="s">
        <v>74</v>
      </c>
      <c r="S544" s="1" t="s">
        <v>74</v>
      </c>
      <c r="T544" s="1" t="s">
        <v>74</v>
      </c>
      <c r="U544" s="1" t="s">
        <v>74</v>
      </c>
      <c r="V544" s="1" t="s">
        <v>5567</v>
      </c>
      <c r="W544" s="1" t="s">
        <v>74</v>
      </c>
      <c r="X544" s="1" t="s">
        <v>74</v>
      </c>
      <c r="Y544" s="1" t="s">
        <v>74</v>
      </c>
      <c r="Z544" s="1" t="s">
        <v>74</v>
      </c>
      <c r="AA544" s="1" t="s">
        <v>74</v>
      </c>
      <c r="AB544" s="1" t="s">
        <v>5568</v>
      </c>
      <c r="AC544" s="1" t="s">
        <v>74</v>
      </c>
      <c r="AD544" s="1" t="s">
        <v>74</v>
      </c>
      <c r="AE544" s="1" t="s">
        <v>74</v>
      </c>
      <c r="AF544" s="1" t="s">
        <v>74</v>
      </c>
      <c r="AG544" s="1" t="s">
        <v>74</v>
      </c>
      <c r="AH544" s="1" t="s">
        <v>74</v>
      </c>
      <c r="AI544" s="1" t="s">
        <v>74</v>
      </c>
      <c r="AJ544" s="1" t="s">
        <v>74</v>
      </c>
      <c r="AK544" s="1" t="s">
        <v>74</v>
      </c>
      <c r="AL544" s="1" t="s">
        <v>74</v>
      </c>
      <c r="AM544" s="1" t="s">
        <v>74</v>
      </c>
      <c r="AN544" s="1" t="s">
        <v>74</v>
      </c>
      <c r="AO544" s="1" t="s">
        <v>5569</v>
      </c>
      <c r="AP544" s="1" t="s">
        <v>5570</v>
      </c>
      <c r="AQ544" s="1" t="s">
        <v>74</v>
      </c>
      <c r="AR544" s="1" t="s">
        <v>74</v>
      </c>
      <c r="AS544" s="1" t="s">
        <v>74</v>
      </c>
      <c r="AT544" s="1" t="s">
        <v>464</v>
      </c>
      <c r="AU544" s="1">
        <v>2012.0</v>
      </c>
      <c r="AV544" s="1">
        <v>60.0</v>
      </c>
      <c r="AW544" s="1">
        <v>2.0</v>
      </c>
      <c r="AX544" s="1" t="s">
        <v>74</v>
      </c>
      <c r="AY544" s="1" t="s">
        <v>74</v>
      </c>
      <c r="AZ544" s="1" t="s">
        <v>74</v>
      </c>
      <c r="BA544" s="1" t="s">
        <v>74</v>
      </c>
      <c r="BB544" s="1">
        <v>115.0</v>
      </c>
      <c r="BC544" s="1">
        <v>124.0</v>
      </c>
      <c r="BD544" s="1" t="s">
        <v>74</v>
      </c>
      <c r="BE544" s="1" t="s">
        <v>5571</v>
      </c>
      <c r="BF544" s="2" t="str">
        <f>HYPERLINK("http://dx.doi.org/10.1016/j.neuint.2011.11.011","http://dx.doi.org/10.1016/j.neuint.2011.11.011")</f>
        <v>http://dx.doi.org/10.1016/j.neuint.2011.11.011</v>
      </c>
      <c r="BG544" s="1" t="s">
        <v>74</v>
      </c>
      <c r="BH544" s="1" t="s">
        <v>74</v>
      </c>
      <c r="BI544" s="1" t="s">
        <v>74</v>
      </c>
      <c r="BJ544" s="1" t="s">
        <v>74</v>
      </c>
      <c r="BK544" s="1" t="s">
        <v>74</v>
      </c>
      <c r="BL544" s="1" t="s">
        <v>74</v>
      </c>
      <c r="BM544" s="1" t="s">
        <v>74</v>
      </c>
      <c r="BN544" s="1">
        <v>2.212729E7</v>
      </c>
      <c r="BO544" s="1" t="s">
        <v>74</v>
      </c>
      <c r="BP544" s="1" t="s">
        <v>74</v>
      </c>
      <c r="BQ544" s="1" t="s">
        <v>74</v>
      </c>
      <c r="BR544" s="1" t="s">
        <v>74</v>
      </c>
      <c r="BS544" s="1" t="s">
        <v>5572</v>
      </c>
      <c r="BT544" s="1" t="str">
        <f>HYPERLINK("https%3A%2F%2Fwww.webofscience.com%2Fwos%2Fwoscc%2Ffull-record%2FWOS:000300919100003","View Full Record in Web of Science")</f>
        <v>View Full Record in Web of Science</v>
      </c>
    </row>
    <row r="545" ht="12.75" customHeight="1">
      <c r="A545" s="1" t="s">
        <v>72</v>
      </c>
      <c r="B545" s="1" t="s">
        <v>5573</v>
      </c>
      <c r="C545" s="1" t="s">
        <v>74</v>
      </c>
      <c r="D545" s="1" t="s">
        <v>74</v>
      </c>
      <c r="E545" s="1" t="s">
        <v>74</v>
      </c>
      <c r="F545" s="1" t="s">
        <v>5574</v>
      </c>
      <c r="G545" s="1" t="s">
        <v>74</v>
      </c>
      <c r="H545" s="1" t="s">
        <v>74</v>
      </c>
      <c r="I545" s="1" t="s">
        <v>5575</v>
      </c>
      <c r="J545" s="1" t="s">
        <v>5576</v>
      </c>
      <c r="K545" s="1" t="s">
        <v>74</v>
      </c>
      <c r="L545" s="1" t="s">
        <v>74</v>
      </c>
      <c r="M545" s="1" t="s">
        <v>74</v>
      </c>
      <c r="N545" s="1" t="s">
        <v>74</v>
      </c>
      <c r="O545" s="1" t="s">
        <v>74</v>
      </c>
      <c r="P545" s="1" t="s">
        <v>74</v>
      </c>
      <c r="Q545" s="1" t="s">
        <v>74</v>
      </c>
      <c r="R545" s="1" t="s">
        <v>74</v>
      </c>
      <c r="S545" s="1" t="s">
        <v>74</v>
      </c>
      <c r="T545" s="1" t="s">
        <v>74</v>
      </c>
      <c r="U545" s="1" t="s">
        <v>74</v>
      </c>
      <c r="V545" s="1" t="s">
        <v>5577</v>
      </c>
      <c r="W545" s="1" t="s">
        <v>74</v>
      </c>
      <c r="X545" s="1" t="s">
        <v>74</v>
      </c>
      <c r="Y545" s="1" t="s">
        <v>74</v>
      </c>
      <c r="Z545" s="1" t="s">
        <v>74</v>
      </c>
      <c r="AA545" s="1" t="s">
        <v>5578</v>
      </c>
      <c r="AB545" s="1" t="s">
        <v>5579</v>
      </c>
      <c r="AC545" s="1" t="s">
        <v>74</v>
      </c>
      <c r="AD545" s="1" t="s">
        <v>74</v>
      </c>
      <c r="AE545" s="1" t="s">
        <v>74</v>
      </c>
      <c r="AF545" s="1" t="s">
        <v>74</v>
      </c>
      <c r="AG545" s="1" t="s">
        <v>74</v>
      </c>
      <c r="AH545" s="1" t="s">
        <v>74</v>
      </c>
      <c r="AI545" s="1" t="s">
        <v>74</v>
      </c>
      <c r="AJ545" s="1" t="s">
        <v>74</v>
      </c>
      <c r="AK545" s="1" t="s">
        <v>74</v>
      </c>
      <c r="AL545" s="1" t="s">
        <v>74</v>
      </c>
      <c r="AM545" s="1" t="s">
        <v>74</v>
      </c>
      <c r="AN545" s="1" t="s">
        <v>74</v>
      </c>
      <c r="AO545" s="1" t="s">
        <v>5580</v>
      </c>
      <c r="AP545" s="1" t="s">
        <v>5581</v>
      </c>
      <c r="AQ545" s="1" t="s">
        <v>74</v>
      </c>
      <c r="AR545" s="1" t="s">
        <v>74</v>
      </c>
      <c r="AS545" s="1" t="s">
        <v>74</v>
      </c>
      <c r="AT545" s="1" t="s">
        <v>2156</v>
      </c>
      <c r="AU545" s="1">
        <v>2011.0</v>
      </c>
      <c r="AV545" s="1">
        <v>302.0</v>
      </c>
      <c r="AW545" s="1" t="s">
        <v>822</v>
      </c>
      <c r="AX545" s="1" t="s">
        <v>74</v>
      </c>
      <c r="AY545" s="1" t="s">
        <v>74</v>
      </c>
      <c r="AZ545" s="1" t="s">
        <v>74</v>
      </c>
      <c r="BA545" s="1" t="s">
        <v>74</v>
      </c>
      <c r="BB545" s="1">
        <v>299.0</v>
      </c>
      <c r="BC545" s="1">
        <v>313.0</v>
      </c>
      <c r="BD545" s="1" t="s">
        <v>74</v>
      </c>
      <c r="BE545" s="1" t="s">
        <v>5582</v>
      </c>
      <c r="BF545" s="2" t="str">
        <f>HYPERLINK("http://dx.doi.org/10.1016/j.epsl.2010.12.019","http://dx.doi.org/10.1016/j.epsl.2010.12.019")</f>
        <v>http://dx.doi.org/10.1016/j.epsl.2010.12.019</v>
      </c>
      <c r="BG545" s="1" t="s">
        <v>74</v>
      </c>
      <c r="BH545" s="1" t="s">
        <v>74</v>
      </c>
      <c r="BI545" s="1" t="s">
        <v>74</v>
      </c>
      <c r="BJ545" s="1" t="s">
        <v>74</v>
      </c>
      <c r="BK545" s="1" t="s">
        <v>74</v>
      </c>
      <c r="BL545" s="1" t="s">
        <v>74</v>
      </c>
      <c r="BM545" s="1" t="s">
        <v>74</v>
      </c>
      <c r="BN545" s="1" t="s">
        <v>74</v>
      </c>
      <c r="BO545" s="1" t="s">
        <v>74</v>
      </c>
      <c r="BP545" s="1" t="s">
        <v>74</v>
      </c>
      <c r="BQ545" s="1" t="s">
        <v>74</v>
      </c>
      <c r="BR545" s="1" t="s">
        <v>74</v>
      </c>
      <c r="BS545" s="1" t="s">
        <v>5583</v>
      </c>
      <c r="BT545" s="1" t="str">
        <f>HYPERLINK("https%3A%2F%2Fwww.webofscience.com%2Fwos%2Fwoscc%2Ffull-record%2FWOS:000287614900005","View Full Record in Web of Science")</f>
        <v>View Full Record in Web of Science</v>
      </c>
    </row>
    <row r="546" ht="12.75" customHeight="1">
      <c r="A546" s="1" t="s">
        <v>72</v>
      </c>
      <c r="B546" s="1" t="s">
        <v>5584</v>
      </c>
      <c r="C546" s="1" t="s">
        <v>74</v>
      </c>
      <c r="D546" s="1" t="s">
        <v>74</v>
      </c>
      <c r="E546" s="1" t="s">
        <v>74</v>
      </c>
      <c r="F546" s="1" t="s">
        <v>5585</v>
      </c>
      <c r="G546" s="1" t="s">
        <v>74</v>
      </c>
      <c r="H546" s="1" t="s">
        <v>74</v>
      </c>
      <c r="I546" s="1" t="s">
        <v>5586</v>
      </c>
      <c r="J546" s="1" t="s">
        <v>5587</v>
      </c>
      <c r="K546" s="1" t="s">
        <v>74</v>
      </c>
      <c r="L546" s="1" t="s">
        <v>74</v>
      </c>
      <c r="M546" s="1" t="s">
        <v>74</v>
      </c>
      <c r="N546" s="1" t="s">
        <v>74</v>
      </c>
      <c r="O546" s="1" t="s">
        <v>74</v>
      </c>
      <c r="P546" s="1" t="s">
        <v>74</v>
      </c>
      <c r="Q546" s="1" t="s">
        <v>74</v>
      </c>
      <c r="R546" s="1" t="s">
        <v>74</v>
      </c>
      <c r="S546" s="1" t="s">
        <v>74</v>
      </c>
      <c r="T546" s="1" t="s">
        <v>74</v>
      </c>
      <c r="U546" s="1" t="s">
        <v>74</v>
      </c>
      <c r="V546" s="1" t="s">
        <v>5588</v>
      </c>
      <c r="W546" s="1" t="s">
        <v>74</v>
      </c>
      <c r="X546" s="1" t="s">
        <v>74</v>
      </c>
      <c r="Y546" s="1" t="s">
        <v>74</v>
      </c>
      <c r="Z546" s="1" t="s">
        <v>74</v>
      </c>
      <c r="AA546" s="1" t="s">
        <v>5589</v>
      </c>
      <c r="AB546" s="1" t="s">
        <v>5590</v>
      </c>
      <c r="AC546" s="1" t="s">
        <v>74</v>
      </c>
      <c r="AD546" s="1" t="s">
        <v>74</v>
      </c>
      <c r="AE546" s="1" t="s">
        <v>74</v>
      </c>
      <c r="AF546" s="1" t="s">
        <v>74</v>
      </c>
      <c r="AG546" s="1" t="s">
        <v>74</v>
      </c>
      <c r="AH546" s="1" t="s">
        <v>74</v>
      </c>
      <c r="AI546" s="1" t="s">
        <v>74</v>
      </c>
      <c r="AJ546" s="1" t="s">
        <v>74</v>
      </c>
      <c r="AK546" s="1" t="s">
        <v>74</v>
      </c>
      <c r="AL546" s="1" t="s">
        <v>74</v>
      </c>
      <c r="AM546" s="1" t="s">
        <v>74</v>
      </c>
      <c r="AN546" s="1" t="s">
        <v>74</v>
      </c>
      <c r="AO546" s="1" t="s">
        <v>5591</v>
      </c>
      <c r="AP546" s="1" t="s">
        <v>5592</v>
      </c>
      <c r="AQ546" s="1" t="s">
        <v>74</v>
      </c>
      <c r="AR546" s="1" t="s">
        <v>74</v>
      </c>
      <c r="AS546" s="1" t="s">
        <v>74</v>
      </c>
      <c r="AT546" s="1" t="s">
        <v>559</v>
      </c>
      <c r="AU546" s="1">
        <v>2007.0</v>
      </c>
      <c r="AV546" s="1">
        <v>189.0</v>
      </c>
      <c r="AW546" s="1">
        <v>24.0</v>
      </c>
      <c r="AX546" s="1" t="s">
        <v>74</v>
      </c>
      <c r="AY546" s="1" t="s">
        <v>74</v>
      </c>
      <c r="AZ546" s="1" t="s">
        <v>74</v>
      </c>
      <c r="BA546" s="1" t="s">
        <v>74</v>
      </c>
      <c r="BB546" s="1">
        <v>8953.0</v>
      </c>
      <c r="BC546" s="1">
        <v>8960.0</v>
      </c>
      <c r="BD546" s="1" t="s">
        <v>74</v>
      </c>
      <c r="BE546" s="1" t="s">
        <v>5593</v>
      </c>
      <c r="BF546" s="2" t="str">
        <f>HYPERLINK("http://dx.doi.org/10.1128/JB.01252-07","http://dx.doi.org/10.1128/JB.01252-07")</f>
        <v>http://dx.doi.org/10.1128/JB.01252-07</v>
      </c>
      <c r="BG546" s="1" t="s">
        <v>74</v>
      </c>
      <c r="BH546" s="1" t="s">
        <v>74</v>
      </c>
      <c r="BI546" s="1" t="s">
        <v>74</v>
      </c>
      <c r="BJ546" s="1" t="s">
        <v>74</v>
      </c>
      <c r="BK546" s="1" t="s">
        <v>74</v>
      </c>
      <c r="BL546" s="1" t="s">
        <v>74</v>
      </c>
      <c r="BM546" s="1" t="s">
        <v>74</v>
      </c>
      <c r="BN546" s="1">
        <v>1.7951385E7</v>
      </c>
      <c r="BO546" s="1" t="s">
        <v>74</v>
      </c>
      <c r="BP546" s="1" t="s">
        <v>74</v>
      </c>
      <c r="BQ546" s="1" t="s">
        <v>74</v>
      </c>
      <c r="BR546" s="1" t="s">
        <v>74</v>
      </c>
      <c r="BS546" s="1" t="s">
        <v>5594</v>
      </c>
      <c r="BT546" s="1" t="str">
        <f>HYPERLINK("https%3A%2F%2Fwww.webofscience.com%2Fwos%2Fwoscc%2Ffull-record%2FWOS:000251992800021","View Full Record in Web of Science")</f>
        <v>View Full Record in Web of Science</v>
      </c>
    </row>
    <row r="547" ht="12.75" customHeight="1">
      <c r="A547" s="1" t="s">
        <v>72</v>
      </c>
      <c r="B547" s="1" t="s">
        <v>5595</v>
      </c>
      <c r="C547" s="1" t="s">
        <v>74</v>
      </c>
      <c r="D547" s="1" t="s">
        <v>74</v>
      </c>
      <c r="E547" s="1" t="s">
        <v>74</v>
      </c>
      <c r="F547" s="1" t="s">
        <v>5596</v>
      </c>
      <c r="G547" s="1" t="s">
        <v>74</v>
      </c>
      <c r="H547" s="1" t="s">
        <v>74</v>
      </c>
      <c r="I547" s="1" t="s">
        <v>5597</v>
      </c>
      <c r="J547" s="1" t="s">
        <v>3464</v>
      </c>
      <c r="K547" s="1" t="s">
        <v>74</v>
      </c>
      <c r="L547" s="1" t="s">
        <v>74</v>
      </c>
      <c r="M547" s="1" t="s">
        <v>74</v>
      </c>
      <c r="N547" s="1" t="s">
        <v>74</v>
      </c>
      <c r="O547" s="1" t="s">
        <v>74</v>
      </c>
      <c r="P547" s="1" t="s">
        <v>74</v>
      </c>
      <c r="Q547" s="1" t="s">
        <v>74</v>
      </c>
      <c r="R547" s="1" t="s">
        <v>74</v>
      </c>
      <c r="S547" s="1" t="s">
        <v>74</v>
      </c>
      <c r="T547" s="1" t="s">
        <v>74</v>
      </c>
      <c r="U547" s="1" t="s">
        <v>74</v>
      </c>
      <c r="V547" s="1" t="s">
        <v>5598</v>
      </c>
      <c r="W547" s="1" t="s">
        <v>74</v>
      </c>
      <c r="X547" s="1" t="s">
        <v>74</v>
      </c>
      <c r="Y547" s="1" t="s">
        <v>74</v>
      </c>
      <c r="Z547" s="1" t="s">
        <v>74</v>
      </c>
      <c r="AA547" s="1" t="s">
        <v>5599</v>
      </c>
      <c r="AB547" s="1" t="s">
        <v>5600</v>
      </c>
      <c r="AC547" s="1" t="s">
        <v>74</v>
      </c>
      <c r="AD547" s="1" t="s">
        <v>74</v>
      </c>
      <c r="AE547" s="1" t="s">
        <v>74</v>
      </c>
      <c r="AF547" s="1" t="s">
        <v>74</v>
      </c>
      <c r="AG547" s="1" t="s">
        <v>74</v>
      </c>
      <c r="AH547" s="1" t="s">
        <v>74</v>
      </c>
      <c r="AI547" s="1" t="s">
        <v>74</v>
      </c>
      <c r="AJ547" s="1" t="s">
        <v>74</v>
      </c>
      <c r="AK547" s="1" t="s">
        <v>74</v>
      </c>
      <c r="AL547" s="1" t="s">
        <v>74</v>
      </c>
      <c r="AM547" s="1" t="s">
        <v>74</v>
      </c>
      <c r="AN547" s="1" t="s">
        <v>74</v>
      </c>
      <c r="AO547" s="1" t="s">
        <v>3467</v>
      </c>
      <c r="AP547" s="1" t="s">
        <v>74</v>
      </c>
      <c r="AQ547" s="1" t="s">
        <v>74</v>
      </c>
      <c r="AR547" s="1" t="s">
        <v>74</v>
      </c>
      <c r="AS547" s="1" t="s">
        <v>74</v>
      </c>
      <c r="AT547" s="1" t="s">
        <v>74</v>
      </c>
      <c r="AU547" s="1">
        <v>2006.0</v>
      </c>
      <c r="AV547" s="1">
        <v>37.0</v>
      </c>
      <c r="AW547" s="1" t="s">
        <v>5601</v>
      </c>
      <c r="AX547" s="1" t="s">
        <v>74</v>
      </c>
      <c r="AY547" s="1" t="s">
        <v>74</v>
      </c>
      <c r="AZ547" s="1" t="s">
        <v>74</v>
      </c>
      <c r="BA547" s="1" t="s">
        <v>74</v>
      </c>
      <c r="BB547" s="1">
        <v>2911.0</v>
      </c>
      <c r="BC547" s="1">
        <v>2925.0</v>
      </c>
      <c r="BD547" s="1" t="s">
        <v>74</v>
      </c>
      <c r="BE547" s="1" t="s">
        <v>5602</v>
      </c>
      <c r="BF547" s="2" t="str">
        <f>HYPERLINK("http://dx.doi.org/10.1080/00103620600833017","http://dx.doi.org/10.1080/00103620600833017")</f>
        <v>http://dx.doi.org/10.1080/00103620600833017</v>
      </c>
      <c r="BG547" s="1" t="s">
        <v>74</v>
      </c>
      <c r="BH547" s="1" t="s">
        <v>74</v>
      </c>
      <c r="BI547" s="1" t="s">
        <v>74</v>
      </c>
      <c r="BJ547" s="1" t="s">
        <v>74</v>
      </c>
      <c r="BK547" s="1" t="s">
        <v>74</v>
      </c>
      <c r="BL547" s="1" t="s">
        <v>74</v>
      </c>
      <c r="BM547" s="1" t="s">
        <v>74</v>
      </c>
      <c r="BN547" s="1" t="s">
        <v>74</v>
      </c>
      <c r="BO547" s="1" t="s">
        <v>74</v>
      </c>
      <c r="BP547" s="1" t="s">
        <v>74</v>
      </c>
      <c r="BQ547" s="1" t="s">
        <v>74</v>
      </c>
      <c r="BR547" s="1" t="s">
        <v>74</v>
      </c>
      <c r="BS547" s="1" t="s">
        <v>5603</v>
      </c>
      <c r="BT547" s="1" t="str">
        <f>HYPERLINK("https%3A%2F%2Fwww.webofscience.com%2Fwos%2Fwoscc%2Ffull-record%2FWOS:000241183900065","View Full Record in Web of Science")</f>
        <v>View Full Record in Web of Science</v>
      </c>
    </row>
    <row r="548" ht="12.75" customHeight="1">
      <c r="A548" s="1" t="s">
        <v>72</v>
      </c>
      <c r="B548" s="1" t="s">
        <v>5604</v>
      </c>
      <c r="C548" s="1" t="s">
        <v>74</v>
      </c>
      <c r="D548" s="1" t="s">
        <v>74</v>
      </c>
      <c r="E548" s="1" t="s">
        <v>74</v>
      </c>
      <c r="F548" s="1" t="s">
        <v>5605</v>
      </c>
      <c r="G548" s="1" t="s">
        <v>74</v>
      </c>
      <c r="H548" s="1" t="s">
        <v>74</v>
      </c>
      <c r="I548" s="1" t="s">
        <v>5606</v>
      </c>
      <c r="J548" s="1" t="s">
        <v>5607</v>
      </c>
      <c r="K548" s="1" t="s">
        <v>74</v>
      </c>
      <c r="L548" s="1" t="s">
        <v>74</v>
      </c>
      <c r="M548" s="1" t="s">
        <v>74</v>
      </c>
      <c r="N548" s="1" t="s">
        <v>74</v>
      </c>
      <c r="O548" s="1" t="s">
        <v>74</v>
      </c>
      <c r="P548" s="1" t="s">
        <v>74</v>
      </c>
      <c r="Q548" s="1" t="s">
        <v>74</v>
      </c>
      <c r="R548" s="1" t="s">
        <v>74</v>
      </c>
      <c r="S548" s="1" t="s">
        <v>74</v>
      </c>
      <c r="T548" s="1" t="s">
        <v>74</v>
      </c>
      <c r="U548" s="1" t="s">
        <v>74</v>
      </c>
      <c r="V548" s="1" t="s">
        <v>5608</v>
      </c>
      <c r="W548" s="1" t="s">
        <v>74</v>
      </c>
      <c r="X548" s="1" t="s">
        <v>74</v>
      </c>
      <c r="Y548" s="1" t="s">
        <v>74</v>
      </c>
      <c r="Z548" s="1" t="s">
        <v>74</v>
      </c>
      <c r="AA548" s="1" t="s">
        <v>74</v>
      </c>
      <c r="AB548" s="1" t="s">
        <v>5609</v>
      </c>
      <c r="AC548" s="1" t="s">
        <v>74</v>
      </c>
      <c r="AD548" s="1" t="s">
        <v>74</v>
      </c>
      <c r="AE548" s="1" t="s">
        <v>74</v>
      </c>
      <c r="AF548" s="1" t="s">
        <v>74</v>
      </c>
      <c r="AG548" s="1" t="s">
        <v>74</v>
      </c>
      <c r="AH548" s="1" t="s">
        <v>74</v>
      </c>
      <c r="AI548" s="1" t="s">
        <v>74</v>
      </c>
      <c r="AJ548" s="1" t="s">
        <v>74</v>
      </c>
      <c r="AK548" s="1" t="s">
        <v>74</v>
      </c>
      <c r="AL548" s="1" t="s">
        <v>74</v>
      </c>
      <c r="AM548" s="1" t="s">
        <v>74</v>
      </c>
      <c r="AN548" s="1" t="s">
        <v>74</v>
      </c>
      <c r="AO548" s="1" t="s">
        <v>5610</v>
      </c>
      <c r="AP548" s="1" t="s">
        <v>5611</v>
      </c>
      <c r="AQ548" s="1" t="s">
        <v>74</v>
      </c>
      <c r="AR548" s="1" t="s">
        <v>74</v>
      </c>
      <c r="AS548" s="1" t="s">
        <v>74</v>
      </c>
      <c r="AT548" s="1" t="s">
        <v>250</v>
      </c>
      <c r="AU548" s="1">
        <v>2024.0</v>
      </c>
      <c r="AV548" s="1">
        <v>301.0</v>
      </c>
      <c r="AW548" s="1">
        <v>1510.0</v>
      </c>
      <c r="AX548" s="1" t="s">
        <v>74</v>
      </c>
      <c r="AY548" s="1" t="s">
        <v>74</v>
      </c>
      <c r="AZ548" s="1" t="s">
        <v>74</v>
      </c>
      <c r="BA548" s="1" t="s">
        <v>74</v>
      </c>
      <c r="BB548" s="1" t="s">
        <v>74</v>
      </c>
      <c r="BC548" s="1" t="s">
        <v>74</v>
      </c>
      <c r="BD548" s="1">
        <v>1510.0</v>
      </c>
      <c r="BE548" s="1" t="s">
        <v>5612</v>
      </c>
      <c r="BF548" s="2" t="str">
        <f>HYPERLINK("http://dx.doi.org/10.1090/memo/1510","http://dx.doi.org/10.1090/memo/1510")</f>
        <v>http://dx.doi.org/10.1090/memo/1510</v>
      </c>
      <c r="BG548" s="1" t="s">
        <v>74</v>
      </c>
      <c r="BH548" s="1" t="s">
        <v>74</v>
      </c>
      <c r="BI548" s="1" t="s">
        <v>74</v>
      </c>
      <c r="BJ548" s="1" t="s">
        <v>74</v>
      </c>
      <c r="BK548" s="1" t="s">
        <v>74</v>
      </c>
      <c r="BL548" s="1" t="s">
        <v>74</v>
      </c>
      <c r="BM548" s="1" t="s">
        <v>74</v>
      </c>
      <c r="BN548" s="1" t="s">
        <v>74</v>
      </c>
      <c r="BO548" s="1" t="s">
        <v>74</v>
      </c>
      <c r="BP548" s="1" t="s">
        <v>74</v>
      </c>
      <c r="BQ548" s="1" t="s">
        <v>74</v>
      </c>
      <c r="BR548" s="1" t="s">
        <v>74</v>
      </c>
      <c r="BS548" s="1" t="s">
        <v>5613</v>
      </c>
      <c r="BT548" s="1" t="str">
        <f>HYPERLINK("https%3A%2F%2Fwww.webofscience.com%2Fwos%2Fwoscc%2Ffull-record%2FWOS:001397782300001","View Full Record in Web of Science")</f>
        <v>View Full Record in Web of Science</v>
      </c>
    </row>
    <row r="549" ht="12.75" customHeight="1">
      <c r="A549" s="1" t="s">
        <v>72</v>
      </c>
      <c r="B549" s="1" t="s">
        <v>5614</v>
      </c>
      <c r="C549" s="1" t="s">
        <v>74</v>
      </c>
      <c r="D549" s="1" t="s">
        <v>74</v>
      </c>
      <c r="E549" s="1" t="s">
        <v>74</v>
      </c>
      <c r="F549" s="1" t="s">
        <v>5615</v>
      </c>
      <c r="G549" s="1" t="s">
        <v>74</v>
      </c>
      <c r="H549" s="1" t="s">
        <v>74</v>
      </c>
      <c r="I549" s="1" t="s">
        <v>5616</v>
      </c>
      <c r="J549" s="1" t="s">
        <v>5617</v>
      </c>
      <c r="K549" s="1" t="s">
        <v>74</v>
      </c>
      <c r="L549" s="1" t="s">
        <v>74</v>
      </c>
      <c r="M549" s="1" t="s">
        <v>74</v>
      </c>
      <c r="N549" s="1" t="s">
        <v>74</v>
      </c>
      <c r="O549" s="1" t="s">
        <v>74</v>
      </c>
      <c r="P549" s="1" t="s">
        <v>74</v>
      </c>
      <c r="Q549" s="1" t="s">
        <v>74</v>
      </c>
      <c r="R549" s="1" t="s">
        <v>74</v>
      </c>
      <c r="S549" s="1" t="s">
        <v>74</v>
      </c>
      <c r="T549" s="1" t="s">
        <v>74</v>
      </c>
      <c r="U549" s="1" t="s">
        <v>74</v>
      </c>
      <c r="V549" s="1" t="s">
        <v>5618</v>
      </c>
      <c r="W549" s="1" t="s">
        <v>74</v>
      </c>
      <c r="X549" s="1" t="s">
        <v>74</v>
      </c>
      <c r="Y549" s="1" t="s">
        <v>74</v>
      </c>
      <c r="Z549" s="1" t="s">
        <v>74</v>
      </c>
      <c r="AA549" s="1" t="s">
        <v>5619</v>
      </c>
      <c r="AB549" s="1" t="s">
        <v>5620</v>
      </c>
      <c r="AC549" s="1" t="s">
        <v>74</v>
      </c>
      <c r="AD549" s="1" t="s">
        <v>74</v>
      </c>
      <c r="AE549" s="1" t="s">
        <v>74</v>
      </c>
      <c r="AF549" s="1" t="s">
        <v>74</v>
      </c>
      <c r="AG549" s="1" t="s">
        <v>74</v>
      </c>
      <c r="AH549" s="1" t="s">
        <v>74</v>
      </c>
      <c r="AI549" s="1" t="s">
        <v>74</v>
      </c>
      <c r="AJ549" s="1" t="s">
        <v>74</v>
      </c>
      <c r="AK549" s="1" t="s">
        <v>74</v>
      </c>
      <c r="AL549" s="1" t="s">
        <v>74</v>
      </c>
      <c r="AM549" s="1" t="s">
        <v>74</v>
      </c>
      <c r="AN549" s="1" t="s">
        <v>74</v>
      </c>
      <c r="AO549" s="1" t="s">
        <v>74</v>
      </c>
      <c r="AP549" s="1" t="s">
        <v>5621</v>
      </c>
      <c r="AQ549" s="1" t="s">
        <v>74</v>
      </c>
      <c r="AR549" s="1" t="s">
        <v>74</v>
      </c>
      <c r="AS549" s="1" t="s">
        <v>74</v>
      </c>
      <c r="AT549" s="1" t="s">
        <v>155</v>
      </c>
      <c r="AU549" s="1">
        <v>2024.0</v>
      </c>
      <c r="AV549" s="1">
        <v>4.0</v>
      </c>
      <c r="AW549" s="1">
        <v>1.0</v>
      </c>
      <c r="AX549" s="1" t="s">
        <v>74</v>
      </c>
      <c r="AY549" s="1" t="s">
        <v>74</v>
      </c>
      <c r="AZ549" s="1" t="s">
        <v>74</v>
      </c>
      <c r="BA549" s="1" t="s">
        <v>74</v>
      </c>
      <c r="BB549" s="1" t="s">
        <v>74</v>
      </c>
      <c r="BC549" s="1" t="s">
        <v>74</v>
      </c>
      <c r="BD549" s="1">
        <v>100072.0</v>
      </c>
      <c r="BE549" s="1" t="s">
        <v>5622</v>
      </c>
      <c r="BF549" s="2" t="str">
        <f>HYPERLINK("http://dx.doi.org/10.1016/j.jil.2023.100072","http://dx.doi.org/10.1016/j.jil.2023.100072")</f>
        <v>http://dx.doi.org/10.1016/j.jil.2023.100072</v>
      </c>
      <c r="BG549" s="1" t="s">
        <v>74</v>
      </c>
      <c r="BH549" s="1" t="s">
        <v>74</v>
      </c>
      <c r="BI549" s="1" t="s">
        <v>74</v>
      </c>
      <c r="BJ549" s="1" t="s">
        <v>74</v>
      </c>
      <c r="BK549" s="1" t="s">
        <v>74</v>
      </c>
      <c r="BL549" s="1" t="s">
        <v>74</v>
      </c>
      <c r="BM549" s="1" t="s">
        <v>74</v>
      </c>
      <c r="BN549" s="1" t="s">
        <v>74</v>
      </c>
      <c r="BO549" s="1" t="s">
        <v>74</v>
      </c>
      <c r="BP549" s="1" t="s">
        <v>74</v>
      </c>
      <c r="BQ549" s="1" t="s">
        <v>74</v>
      </c>
      <c r="BR549" s="1" t="s">
        <v>74</v>
      </c>
      <c r="BS549" s="1" t="s">
        <v>5623</v>
      </c>
      <c r="BT549" s="1" t="str">
        <f>HYPERLINK("https%3A%2F%2Fwww.webofscience.com%2Fwos%2Fwoscc%2Ffull-record%2FWOS:001468485200006","View Full Record in Web of Science")</f>
        <v>View Full Record in Web of Science</v>
      </c>
    </row>
    <row r="550" ht="12.75" customHeight="1">
      <c r="A550" s="1" t="s">
        <v>72</v>
      </c>
      <c r="B550" s="1" t="s">
        <v>5624</v>
      </c>
      <c r="C550" s="1" t="s">
        <v>74</v>
      </c>
      <c r="D550" s="1" t="s">
        <v>74</v>
      </c>
      <c r="E550" s="1" t="s">
        <v>74</v>
      </c>
      <c r="F550" s="1" t="s">
        <v>5625</v>
      </c>
      <c r="G550" s="1" t="s">
        <v>74</v>
      </c>
      <c r="H550" s="1" t="s">
        <v>74</v>
      </c>
      <c r="I550" s="1" t="s">
        <v>5626</v>
      </c>
      <c r="J550" s="1" t="s">
        <v>3125</v>
      </c>
      <c r="K550" s="1" t="s">
        <v>74</v>
      </c>
      <c r="L550" s="1" t="s">
        <v>74</v>
      </c>
      <c r="M550" s="1" t="s">
        <v>74</v>
      </c>
      <c r="N550" s="1" t="s">
        <v>74</v>
      </c>
      <c r="O550" s="1" t="s">
        <v>74</v>
      </c>
      <c r="P550" s="1" t="s">
        <v>74</v>
      </c>
      <c r="Q550" s="1" t="s">
        <v>74</v>
      </c>
      <c r="R550" s="1" t="s">
        <v>74</v>
      </c>
      <c r="S550" s="1" t="s">
        <v>74</v>
      </c>
      <c r="T550" s="1" t="s">
        <v>74</v>
      </c>
      <c r="U550" s="1" t="s">
        <v>74</v>
      </c>
      <c r="V550" s="1" t="s">
        <v>5627</v>
      </c>
      <c r="W550" s="1" t="s">
        <v>74</v>
      </c>
      <c r="X550" s="1" t="s">
        <v>74</v>
      </c>
      <c r="Y550" s="1" t="s">
        <v>74</v>
      </c>
      <c r="Z550" s="1" t="s">
        <v>74</v>
      </c>
      <c r="AA550" s="1" t="s">
        <v>5628</v>
      </c>
      <c r="AB550" s="1" t="s">
        <v>5629</v>
      </c>
      <c r="AC550" s="1" t="s">
        <v>74</v>
      </c>
      <c r="AD550" s="1" t="s">
        <v>74</v>
      </c>
      <c r="AE550" s="1" t="s">
        <v>74</v>
      </c>
      <c r="AF550" s="1" t="s">
        <v>74</v>
      </c>
      <c r="AG550" s="1" t="s">
        <v>74</v>
      </c>
      <c r="AH550" s="1" t="s">
        <v>74</v>
      </c>
      <c r="AI550" s="1" t="s">
        <v>74</v>
      </c>
      <c r="AJ550" s="1" t="s">
        <v>74</v>
      </c>
      <c r="AK550" s="1" t="s">
        <v>74</v>
      </c>
      <c r="AL550" s="1" t="s">
        <v>74</v>
      </c>
      <c r="AM550" s="1" t="s">
        <v>74</v>
      </c>
      <c r="AN550" s="1" t="s">
        <v>74</v>
      </c>
      <c r="AO550" s="1" t="s">
        <v>3129</v>
      </c>
      <c r="AP550" s="1" t="s">
        <v>3130</v>
      </c>
      <c r="AQ550" s="1" t="s">
        <v>74</v>
      </c>
      <c r="AR550" s="1" t="s">
        <v>74</v>
      </c>
      <c r="AS550" s="1" t="s">
        <v>74</v>
      </c>
      <c r="AT550" s="1" t="s">
        <v>96</v>
      </c>
      <c r="AU550" s="1">
        <v>2024.0</v>
      </c>
      <c r="AV550" s="1">
        <v>462.0</v>
      </c>
      <c r="AW550" s="1" t="s">
        <v>74</v>
      </c>
      <c r="AX550" s="1" t="s">
        <v>74</v>
      </c>
      <c r="AY550" s="1" t="s">
        <v>74</v>
      </c>
      <c r="AZ550" s="1" t="s">
        <v>74</v>
      </c>
      <c r="BA550" s="1" t="s">
        <v>74</v>
      </c>
      <c r="BB550" s="1" t="s">
        <v>74</v>
      </c>
      <c r="BC550" s="1" t="s">
        <v>74</v>
      </c>
      <c r="BD550" s="1">
        <v>169614.0</v>
      </c>
      <c r="BE550" s="1" t="s">
        <v>5630</v>
      </c>
      <c r="BF550" s="2" t="str">
        <f>HYPERLINK("http://dx.doi.org/10.1016/j.aop.2024.169614","http://dx.doi.org/10.1016/j.aop.2024.169614")</f>
        <v>http://dx.doi.org/10.1016/j.aop.2024.169614</v>
      </c>
      <c r="BG550" s="1" t="s">
        <v>74</v>
      </c>
      <c r="BH550" s="1" t="s">
        <v>2792</v>
      </c>
      <c r="BI550" s="1" t="s">
        <v>74</v>
      </c>
      <c r="BJ550" s="1" t="s">
        <v>74</v>
      </c>
      <c r="BK550" s="1" t="s">
        <v>74</v>
      </c>
      <c r="BL550" s="1" t="s">
        <v>74</v>
      </c>
      <c r="BM550" s="1" t="s">
        <v>74</v>
      </c>
      <c r="BN550" s="1" t="s">
        <v>74</v>
      </c>
      <c r="BO550" s="1" t="s">
        <v>74</v>
      </c>
      <c r="BP550" s="1" t="s">
        <v>74</v>
      </c>
      <c r="BQ550" s="1" t="s">
        <v>74</v>
      </c>
      <c r="BR550" s="1" t="s">
        <v>74</v>
      </c>
      <c r="BS550" s="1" t="s">
        <v>5631</v>
      </c>
      <c r="BT550" s="1" t="str">
        <f>HYPERLINK("https%3A%2F%2Fwww.webofscience.com%2Fwos%2Fwoscc%2Ffull-record%2FWOS:001175405900001","View Full Record in Web of Science")</f>
        <v>View Full Record in Web of Science</v>
      </c>
    </row>
    <row r="551" ht="12.75" customHeight="1">
      <c r="A551" s="1" t="s">
        <v>72</v>
      </c>
      <c r="B551" s="1" t="s">
        <v>5632</v>
      </c>
      <c r="C551" s="1" t="s">
        <v>74</v>
      </c>
      <c r="D551" s="1" t="s">
        <v>74</v>
      </c>
      <c r="E551" s="1" t="s">
        <v>74</v>
      </c>
      <c r="F551" s="1" t="s">
        <v>5633</v>
      </c>
      <c r="G551" s="1" t="s">
        <v>74</v>
      </c>
      <c r="H551" s="1" t="s">
        <v>74</v>
      </c>
      <c r="I551" s="1" t="s">
        <v>5634</v>
      </c>
      <c r="J551" s="1" t="s">
        <v>5635</v>
      </c>
      <c r="K551" s="1" t="s">
        <v>74</v>
      </c>
      <c r="L551" s="1" t="s">
        <v>74</v>
      </c>
      <c r="M551" s="1" t="s">
        <v>74</v>
      </c>
      <c r="N551" s="1" t="s">
        <v>74</v>
      </c>
      <c r="O551" s="1" t="s">
        <v>74</v>
      </c>
      <c r="P551" s="1" t="s">
        <v>74</v>
      </c>
      <c r="Q551" s="1" t="s">
        <v>74</v>
      </c>
      <c r="R551" s="1" t="s">
        <v>74</v>
      </c>
      <c r="S551" s="1" t="s">
        <v>74</v>
      </c>
      <c r="T551" s="1" t="s">
        <v>74</v>
      </c>
      <c r="U551" s="1" t="s">
        <v>74</v>
      </c>
      <c r="V551" s="1" t="s">
        <v>5636</v>
      </c>
      <c r="W551" s="1" t="s">
        <v>74</v>
      </c>
      <c r="X551" s="1" t="s">
        <v>74</v>
      </c>
      <c r="Y551" s="1" t="s">
        <v>74</v>
      </c>
      <c r="Z551" s="1" t="s">
        <v>74</v>
      </c>
      <c r="AA551" s="1" t="s">
        <v>5637</v>
      </c>
      <c r="AB551" s="1" t="s">
        <v>5638</v>
      </c>
      <c r="AC551" s="1" t="s">
        <v>74</v>
      </c>
      <c r="AD551" s="1" t="s">
        <v>74</v>
      </c>
      <c r="AE551" s="1" t="s">
        <v>74</v>
      </c>
      <c r="AF551" s="1" t="s">
        <v>74</v>
      </c>
      <c r="AG551" s="1" t="s">
        <v>74</v>
      </c>
      <c r="AH551" s="1" t="s">
        <v>74</v>
      </c>
      <c r="AI551" s="1" t="s">
        <v>74</v>
      </c>
      <c r="AJ551" s="1" t="s">
        <v>74</v>
      </c>
      <c r="AK551" s="1" t="s">
        <v>74</v>
      </c>
      <c r="AL551" s="1" t="s">
        <v>74</v>
      </c>
      <c r="AM551" s="1" t="s">
        <v>74</v>
      </c>
      <c r="AN551" s="1" t="s">
        <v>74</v>
      </c>
      <c r="AO551" s="1" t="s">
        <v>5639</v>
      </c>
      <c r="AP551" s="1" t="s">
        <v>74</v>
      </c>
      <c r="AQ551" s="1" t="s">
        <v>74</v>
      </c>
      <c r="AR551" s="1" t="s">
        <v>74</v>
      </c>
      <c r="AS551" s="1" t="s">
        <v>74</v>
      </c>
      <c r="AT551" s="1" t="s">
        <v>411</v>
      </c>
      <c r="AU551" s="1">
        <v>2023.0</v>
      </c>
      <c r="AV551" s="1">
        <v>54.0</v>
      </c>
      <c r="AW551" s="1" t="s">
        <v>74</v>
      </c>
      <c r="AX551" s="1" t="s">
        <v>74</v>
      </c>
      <c r="AY551" s="1" t="s">
        <v>74</v>
      </c>
      <c r="AZ551" s="1" t="s">
        <v>74</v>
      </c>
      <c r="BA551" s="1" t="s">
        <v>74</v>
      </c>
      <c r="BB551" s="1" t="s">
        <v>74</v>
      </c>
      <c r="BC551" s="1" t="s">
        <v>74</v>
      </c>
      <c r="BD551" s="1">
        <v>107082.0</v>
      </c>
      <c r="BE551" s="1" t="s">
        <v>5640</v>
      </c>
      <c r="BF551" s="2" t="str">
        <f>HYPERLINK("http://dx.doi.org/10.1016/j.rinp.2023.107082","http://dx.doi.org/10.1016/j.rinp.2023.107082")</f>
        <v>http://dx.doi.org/10.1016/j.rinp.2023.107082</v>
      </c>
      <c r="BG551" s="1" t="s">
        <v>74</v>
      </c>
      <c r="BH551" s="1" t="s">
        <v>414</v>
      </c>
      <c r="BI551" s="1" t="s">
        <v>74</v>
      </c>
      <c r="BJ551" s="1" t="s">
        <v>74</v>
      </c>
      <c r="BK551" s="1" t="s">
        <v>74</v>
      </c>
      <c r="BL551" s="1" t="s">
        <v>74</v>
      </c>
      <c r="BM551" s="1" t="s">
        <v>74</v>
      </c>
      <c r="BN551" s="1" t="s">
        <v>74</v>
      </c>
      <c r="BO551" s="1" t="s">
        <v>74</v>
      </c>
      <c r="BP551" s="1" t="s">
        <v>74</v>
      </c>
      <c r="BQ551" s="1" t="s">
        <v>74</v>
      </c>
      <c r="BR551" s="1" t="s">
        <v>74</v>
      </c>
      <c r="BS551" s="1" t="s">
        <v>5641</v>
      </c>
      <c r="BT551" s="1" t="str">
        <f>HYPERLINK("https%3A%2F%2Fwww.webofscience.com%2Fwos%2Fwoscc%2Ffull-record%2FWOS:001102895300001","View Full Record in Web of Science")</f>
        <v>View Full Record in Web of Science</v>
      </c>
    </row>
    <row r="552" ht="12.75" customHeight="1">
      <c r="A552" s="1" t="s">
        <v>72</v>
      </c>
      <c r="B552" s="1" t="s">
        <v>5642</v>
      </c>
      <c r="C552" s="1" t="s">
        <v>74</v>
      </c>
      <c r="D552" s="1" t="s">
        <v>74</v>
      </c>
      <c r="E552" s="1" t="s">
        <v>74</v>
      </c>
      <c r="F552" s="1" t="s">
        <v>5643</v>
      </c>
      <c r="G552" s="1" t="s">
        <v>74</v>
      </c>
      <c r="H552" s="1" t="s">
        <v>74</v>
      </c>
      <c r="I552" s="1" t="s">
        <v>5644</v>
      </c>
      <c r="J552" s="1" t="s">
        <v>3860</v>
      </c>
      <c r="K552" s="1" t="s">
        <v>74</v>
      </c>
      <c r="L552" s="1" t="s">
        <v>74</v>
      </c>
      <c r="M552" s="1" t="s">
        <v>74</v>
      </c>
      <c r="N552" s="1" t="s">
        <v>74</v>
      </c>
      <c r="O552" s="1" t="s">
        <v>74</v>
      </c>
      <c r="P552" s="1" t="s">
        <v>74</v>
      </c>
      <c r="Q552" s="1" t="s">
        <v>74</v>
      </c>
      <c r="R552" s="1" t="s">
        <v>74</v>
      </c>
      <c r="S552" s="1" t="s">
        <v>74</v>
      </c>
      <c r="T552" s="1" t="s">
        <v>74</v>
      </c>
      <c r="U552" s="1" t="s">
        <v>74</v>
      </c>
      <c r="V552" s="1" t="s">
        <v>5645</v>
      </c>
      <c r="W552" s="1" t="s">
        <v>74</v>
      </c>
      <c r="X552" s="1" t="s">
        <v>74</v>
      </c>
      <c r="Y552" s="1" t="s">
        <v>74</v>
      </c>
      <c r="Z552" s="1" t="s">
        <v>74</v>
      </c>
      <c r="AA552" s="1" t="s">
        <v>5646</v>
      </c>
      <c r="AB552" s="1" t="s">
        <v>5647</v>
      </c>
      <c r="AC552" s="1" t="s">
        <v>74</v>
      </c>
      <c r="AD552" s="1" t="s">
        <v>74</v>
      </c>
      <c r="AE552" s="1" t="s">
        <v>74</v>
      </c>
      <c r="AF552" s="1" t="s">
        <v>74</v>
      </c>
      <c r="AG552" s="1" t="s">
        <v>74</v>
      </c>
      <c r="AH552" s="1" t="s">
        <v>74</v>
      </c>
      <c r="AI552" s="1" t="s">
        <v>74</v>
      </c>
      <c r="AJ552" s="1" t="s">
        <v>74</v>
      </c>
      <c r="AK552" s="1" t="s">
        <v>74</v>
      </c>
      <c r="AL552" s="1" t="s">
        <v>74</v>
      </c>
      <c r="AM552" s="1" t="s">
        <v>74</v>
      </c>
      <c r="AN552" s="1" t="s">
        <v>74</v>
      </c>
      <c r="AO552" s="1" t="s">
        <v>74</v>
      </c>
      <c r="AP552" s="1" t="s">
        <v>3864</v>
      </c>
      <c r="AQ552" s="1" t="s">
        <v>74</v>
      </c>
      <c r="AR552" s="1" t="s">
        <v>74</v>
      </c>
      <c r="AS552" s="1" t="s">
        <v>74</v>
      </c>
      <c r="AT552" s="1" t="s">
        <v>316</v>
      </c>
      <c r="AU552" s="1">
        <v>2023.0</v>
      </c>
      <c r="AV552" s="1">
        <v>15.0</v>
      </c>
      <c r="AW552" s="1">
        <v>19.0</v>
      </c>
      <c r="AX552" s="1" t="s">
        <v>74</v>
      </c>
      <c r="AY552" s="1" t="s">
        <v>74</v>
      </c>
      <c r="AZ552" s="1" t="s">
        <v>74</v>
      </c>
      <c r="BA552" s="1" t="s">
        <v>74</v>
      </c>
      <c r="BB552" s="1" t="s">
        <v>74</v>
      </c>
      <c r="BC552" s="1" t="s">
        <v>74</v>
      </c>
      <c r="BD552" s="1">
        <v>14306.0</v>
      </c>
      <c r="BE552" s="1" t="s">
        <v>5648</v>
      </c>
      <c r="BF552" s="2" t="str">
        <f>HYPERLINK("http://dx.doi.org/10.3390/su151914306","http://dx.doi.org/10.3390/su151914306")</f>
        <v>http://dx.doi.org/10.3390/su151914306</v>
      </c>
      <c r="BG552" s="1" t="s">
        <v>74</v>
      </c>
      <c r="BH552" s="1" t="s">
        <v>74</v>
      </c>
      <c r="BI552" s="1" t="s">
        <v>74</v>
      </c>
      <c r="BJ552" s="1" t="s">
        <v>74</v>
      </c>
      <c r="BK552" s="1" t="s">
        <v>74</v>
      </c>
      <c r="BL552" s="1" t="s">
        <v>74</v>
      </c>
      <c r="BM552" s="1" t="s">
        <v>74</v>
      </c>
      <c r="BN552" s="1" t="s">
        <v>74</v>
      </c>
      <c r="BO552" s="1" t="s">
        <v>74</v>
      </c>
      <c r="BP552" s="1" t="s">
        <v>74</v>
      </c>
      <c r="BQ552" s="1" t="s">
        <v>74</v>
      </c>
      <c r="BR552" s="1" t="s">
        <v>74</v>
      </c>
      <c r="BS552" s="1" t="s">
        <v>5649</v>
      </c>
      <c r="BT552" s="1" t="str">
        <f>HYPERLINK("https%3A%2F%2Fwww.webofscience.com%2Fwos%2Fwoscc%2Ffull-record%2FWOS:001081820300001","View Full Record in Web of Science")</f>
        <v>View Full Record in Web of Science</v>
      </c>
    </row>
    <row r="553" ht="12.75" customHeight="1">
      <c r="A553" s="1" t="s">
        <v>72</v>
      </c>
      <c r="B553" s="1" t="s">
        <v>5650</v>
      </c>
      <c r="C553" s="1" t="s">
        <v>74</v>
      </c>
      <c r="D553" s="1" t="s">
        <v>74</v>
      </c>
      <c r="E553" s="1" t="s">
        <v>74</v>
      </c>
      <c r="F553" s="1" t="s">
        <v>5651</v>
      </c>
      <c r="G553" s="1" t="s">
        <v>74</v>
      </c>
      <c r="H553" s="1" t="s">
        <v>74</v>
      </c>
      <c r="I553" s="1" t="s">
        <v>5652</v>
      </c>
      <c r="J553" s="1" t="s">
        <v>3514</v>
      </c>
      <c r="K553" s="1" t="s">
        <v>74</v>
      </c>
      <c r="L553" s="1" t="s">
        <v>74</v>
      </c>
      <c r="M553" s="1" t="s">
        <v>74</v>
      </c>
      <c r="N553" s="1" t="s">
        <v>74</v>
      </c>
      <c r="O553" s="1" t="s">
        <v>74</v>
      </c>
      <c r="P553" s="1" t="s">
        <v>74</v>
      </c>
      <c r="Q553" s="1" t="s">
        <v>74</v>
      </c>
      <c r="R553" s="1" t="s">
        <v>74</v>
      </c>
      <c r="S553" s="1" t="s">
        <v>74</v>
      </c>
      <c r="T553" s="1" t="s">
        <v>74</v>
      </c>
      <c r="U553" s="1" t="s">
        <v>74</v>
      </c>
      <c r="V553" s="1" t="s">
        <v>5653</v>
      </c>
      <c r="W553" s="1" t="s">
        <v>74</v>
      </c>
      <c r="X553" s="1" t="s">
        <v>74</v>
      </c>
      <c r="Y553" s="1" t="s">
        <v>74</v>
      </c>
      <c r="Z553" s="1" t="s">
        <v>74</v>
      </c>
      <c r="AA553" s="1" t="s">
        <v>5654</v>
      </c>
      <c r="AB553" s="1" t="s">
        <v>5655</v>
      </c>
      <c r="AC553" s="1" t="s">
        <v>74</v>
      </c>
      <c r="AD553" s="1" t="s">
        <v>74</v>
      </c>
      <c r="AE553" s="1" t="s">
        <v>74</v>
      </c>
      <c r="AF553" s="1" t="s">
        <v>74</v>
      </c>
      <c r="AG553" s="1" t="s">
        <v>74</v>
      </c>
      <c r="AH553" s="1" t="s">
        <v>74</v>
      </c>
      <c r="AI553" s="1" t="s">
        <v>74</v>
      </c>
      <c r="AJ553" s="1" t="s">
        <v>74</v>
      </c>
      <c r="AK553" s="1" t="s">
        <v>74</v>
      </c>
      <c r="AL553" s="1" t="s">
        <v>74</v>
      </c>
      <c r="AM553" s="1" t="s">
        <v>74</v>
      </c>
      <c r="AN553" s="1" t="s">
        <v>74</v>
      </c>
      <c r="AO553" s="1" t="s">
        <v>74</v>
      </c>
      <c r="AP553" s="1" t="s">
        <v>3518</v>
      </c>
      <c r="AQ553" s="1" t="s">
        <v>74</v>
      </c>
      <c r="AR553" s="1" t="s">
        <v>74</v>
      </c>
      <c r="AS553" s="1" t="s">
        <v>74</v>
      </c>
      <c r="AT553" s="1" t="s">
        <v>719</v>
      </c>
      <c r="AU553" s="1">
        <v>2023.0</v>
      </c>
      <c r="AV553" s="1">
        <v>11.0</v>
      </c>
      <c r="AW553" s="1">
        <v>7.0</v>
      </c>
      <c r="AX553" s="1" t="s">
        <v>74</v>
      </c>
      <c r="AY553" s="1" t="s">
        <v>74</v>
      </c>
      <c r="AZ553" s="1" t="s">
        <v>74</v>
      </c>
      <c r="BA553" s="1" t="s">
        <v>74</v>
      </c>
      <c r="BB553" s="1" t="s">
        <v>74</v>
      </c>
      <c r="BC553" s="1" t="s">
        <v>74</v>
      </c>
      <c r="BD553" s="1">
        <v>1635.0</v>
      </c>
      <c r="BE553" s="1" t="s">
        <v>5656</v>
      </c>
      <c r="BF553" s="2" t="str">
        <f>HYPERLINK("http://dx.doi.org/10.3390/microorganisms11071635","http://dx.doi.org/10.3390/microorganisms11071635")</f>
        <v>http://dx.doi.org/10.3390/microorganisms11071635</v>
      </c>
      <c r="BG553" s="1" t="s">
        <v>74</v>
      </c>
      <c r="BH553" s="1" t="s">
        <v>74</v>
      </c>
      <c r="BI553" s="1" t="s">
        <v>74</v>
      </c>
      <c r="BJ553" s="1" t="s">
        <v>74</v>
      </c>
      <c r="BK553" s="1" t="s">
        <v>74</v>
      </c>
      <c r="BL553" s="1" t="s">
        <v>74</v>
      </c>
      <c r="BM553" s="1" t="s">
        <v>74</v>
      </c>
      <c r="BN553" s="1">
        <v>3.7512807E7</v>
      </c>
      <c r="BO553" s="1" t="s">
        <v>74</v>
      </c>
      <c r="BP553" s="1" t="s">
        <v>74</v>
      </c>
      <c r="BQ553" s="1" t="s">
        <v>74</v>
      </c>
      <c r="BR553" s="1" t="s">
        <v>74</v>
      </c>
      <c r="BS553" s="1" t="s">
        <v>5657</v>
      </c>
      <c r="BT553" s="1" t="str">
        <f>HYPERLINK("https%3A%2F%2Fwww.webofscience.com%2Fwos%2Fwoscc%2Ffull-record%2FWOS:001036351300001","View Full Record in Web of Science")</f>
        <v>View Full Record in Web of Science</v>
      </c>
    </row>
    <row r="554" ht="12.75" customHeight="1">
      <c r="A554" s="1" t="s">
        <v>72</v>
      </c>
      <c r="B554" s="1" t="s">
        <v>5658</v>
      </c>
      <c r="C554" s="1" t="s">
        <v>74</v>
      </c>
      <c r="D554" s="1" t="s">
        <v>74</v>
      </c>
      <c r="E554" s="1" t="s">
        <v>74</v>
      </c>
      <c r="F554" s="1" t="s">
        <v>5659</v>
      </c>
      <c r="G554" s="1" t="s">
        <v>74</v>
      </c>
      <c r="H554" s="1" t="s">
        <v>74</v>
      </c>
      <c r="I554" s="1" t="s">
        <v>5660</v>
      </c>
      <c r="J554" s="1" t="s">
        <v>3309</v>
      </c>
      <c r="K554" s="1" t="s">
        <v>74</v>
      </c>
      <c r="L554" s="1" t="s">
        <v>74</v>
      </c>
      <c r="M554" s="1" t="s">
        <v>74</v>
      </c>
      <c r="N554" s="1" t="s">
        <v>74</v>
      </c>
      <c r="O554" s="1" t="s">
        <v>74</v>
      </c>
      <c r="P554" s="1" t="s">
        <v>74</v>
      </c>
      <c r="Q554" s="1" t="s">
        <v>74</v>
      </c>
      <c r="R554" s="1" t="s">
        <v>74</v>
      </c>
      <c r="S554" s="1" t="s">
        <v>74</v>
      </c>
      <c r="T554" s="1" t="s">
        <v>74</v>
      </c>
      <c r="U554" s="1" t="s">
        <v>74</v>
      </c>
      <c r="V554" s="1" t="s">
        <v>5661</v>
      </c>
      <c r="W554" s="1" t="s">
        <v>74</v>
      </c>
      <c r="X554" s="1" t="s">
        <v>74</v>
      </c>
      <c r="Y554" s="1" t="s">
        <v>74</v>
      </c>
      <c r="Z554" s="1" t="s">
        <v>74</v>
      </c>
      <c r="AA554" s="1" t="s">
        <v>5662</v>
      </c>
      <c r="AB554" s="1" t="s">
        <v>5663</v>
      </c>
      <c r="AC554" s="1" t="s">
        <v>74</v>
      </c>
      <c r="AD554" s="1" t="s">
        <v>74</v>
      </c>
      <c r="AE554" s="1" t="s">
        <v>74</v>
      </c>
      <c r="AF554" s="1" t="s">
        <v>74</v>
      </c>
      <c r="AG554" s="1" t="s">
        <v>74</v>
      </c>
      <c r="AH554" s="1" t="s">
        <v>74</v>
      </c>
      <c r="AI554" s="1" t="s">
        <v>74</v>
      </c>
      <c r="AJ554" s="1" t="s">
        <v>74</v>
      </c>
      <c r="AK554" s="1" t="s">
        <v>74</v>
      </c>
      <c r="AL554" s="1" t="s">
        <v>74</v>
      </c>
      <c r="AM554" s="1" t="s">
        <v>74</v>
      </c>
      <c r="AN554" s="1" t="s">
        <v>74</v>
      </c>
      <c r="AO554" s="1" t="s">
        <v>74</v>
      </c>
      <c r="AP554" s="1" t="s">
        <v>3313</v>
      </c>
      <c r="AQ554" s="1" t="s">
        <v>74</v>
      </c>
      <c r="AR554" s="1" t="s">
        <v>74</v>
      </c>
      <c r="AS554" s="1" t="s">
        <v>74</v>
      </c>
      <c r="AT554" s="1" t="s">
        <v>155</v>
      </c>
      <c r="AU554" s="1">
        <v>2022.0</v>
      </c>
      <c r="AV554" s="1">
        <v>14.0</v>
      </c>
      <c r="AW554" s="1">
        <v>11.0</v>
      </c>
      <c r="AX554" s="1" t="s">
        <v>74</v>
      </c>
      <c r="AY554" s="1" t="s">
        <v>74</v>
      </c>
      <c r="AZ554" s="1" t="s">
        <v>74</v>
      </c>
      <c r="BA554" s="1" t="s">
        <v>74</v>
      </c>
      <c r="BB554" s="1" t="s">
        <v>74</v>
      </c>
      <c r="BC554" s="1" t="s">
        <v>74</v>
      </c>
      <c r="BD554" s="1">
        <v>1754.0</v>
      </c>
      <c r="BE554" s="1" t="s">
        <v>5664</v>
      </c>
      <c r="BF554" s="2" t="str">
        <f>HYPERLINK("http://dx.doi.org/10.3390/w14111754","http://dx.doi.org/10.3390/w14111754")</f>
        <v>http://dx.doi.org/10.3390/w14111754</v>
      </c>
      <c r="BG554" s="1" t="s">
        <v>74</v>
      </c>
      <c r="BH554" s="1" t="s">
        <v>74</v>
      </c>
      <c r="BI554" s="1" t="s">
        <v>74</v>
      </c>
      <c r="BJ554" s="1" t="s">
        <v>74</v>
      </c>
      <c r="BK554" s="1" t="s">
        <v>74</v>
      </c>
      <c r="BL554" s="1" t="s">
        <v>74</v>
      </c>
      <c r="BM554" s="1" t="s">
        <v>74</v>
      </c>
      <c r="BN554" s="1" t="s">
        <v>74</v>
      </c>
      <c r="BO554" s="1" t="s">
        <v>74</v>
      </c>
      <c r="BP554" s="1" t="s">
        <v>74</v>
      </c>
      <c r="BQ554" s="1" t="s">
        <v>74</v>
      </c>
      <c r="BR554" s="1" t="s">
        <v>74</v>
      </c>
      <c r="BS554" s="1" t="s">
        <v>5665</v>
      </c>
      <c r="BT554" s="1" t="str">
        <f>HYPERLINK("https%3A%2F%2Fwww.webofscience.com%2Fwos%2Fwoscc%2Ffull-record%2FWOS:000809132000001","View Full Record in Web of Science")</f>
        <v>View Full Record in Web of Science</v>
      </c>
    </row>
    <row r="555" ht="12.75" customHeight="1">
      <c r="A555" s="1" t="s">
        <v>72</v>
      </c>
      <c r="B555" s="1" t="s">
        <v>5666</v>
      </c>
      <c r="C555" s="1" t="s">
        <v>74</v>
      </c>
      <c r="D555" s="1" t="s">
        <v>74</v>
      </c>
      <c r="E555" s="1" t="s">
        <v>74</v>
      </c>
      <c r="F555" s="1" t="s">
        <v>5667</v>
      </c>
      <c r="G555" s="1" t="s">
        <v>74</v>
      </c>
      <c r="H555" s="1" t="s">
        <v>74</v>
      </c>
      <c r="I555" s="1" t="s">
        <v>5668</v>
      </c>
      <c r="J555" s="1" t="s">
        <v>383</v>
      </c>
      <c r="K555" s="1" t="s">
        <v>74</v>
      </c>
      <c r="L555" s="1" t="s">
        <v>74</v>
      </c>
      <c r="M555" s="1" t="s">
        <v>74</v>
      </c>
      <c r="N555" s="1" t="s">
        <v>74</v>
      </c>
      <c r="O555" s="1" t="s">
        <v>74</v>
      </c>
      <c r="P555" s="1" t="s">
        <v>74</v>
      </c>
      <c r="Q555" s="1" t="s">
        <v>74</v>
      </c>
      <c r="R555" s="1" t="s">
        <v>74</v>
      </c>
      <c r="S555" s="1" t="s">
        <v>74</v>
      </c>
      <c r="T555" s="1" t="s">
        <v>74</v>
      </c>
      <c r="U555" s="1" t="s">
        <v>74</v>
      </c>
      <c r="V555" s="1" t="s">
        <v>5669</v>
      </c>
      <c r="W555" s="1" t="s">
        <v>74</v>
      </c>
      <c r="X555" s="1" t="s">
        <v>74</v>
      </c>
      <c r="Y555" s="1" t="s">
        <v>74</v>
      </c>
      <c r="Z555" s="1" t="s">
        <v>74</v>
      </c>
      <c r="AA555" s="1" t="s">
        <v>5670</v>
      </c>
      <c r="AB555" s="1" t="s">
        <v>5671</v>
      </c>
      <c r="AC555" s="1" t="s">
        <v>74</v>
      </c>
      <c r="AD555" s="1" t="s">
        <v>74</v>
      </c>
      <c r="AE555" s="1" t="s">
        <v>74</v>
      </c>
      <c r="AF555" s="1" t="s">
        <v>74</v>
      </c>
      <c r="AG555" s="1" t="s">
        <v>74</v>
      </c>
      <c r="AH555" s="1" t="s">
        <v>74</v>
      </c>
      <c r="AI555" s="1" t="s">
        <v>74</v>
      </c>
      <c r="AJ555" s="1" t="s">
        <v>74</v>
      </c>
      <c r="AK555" s="1" t="s">
        <v>74</v>
      </c>
      <c r="AL555" s="1" t="s">
        <v>74</v>
      </c>
      <c r="AM555" s="1" t="s">
        <v>74</v>
      </c>
      <c r="AN555" s="1" t="s">
        <v>74</v>
      </c>
      <c r="AO555" s="1" t="s">
        <v>387</v>
      </c>
      <c r="AP555" s="1" t="s">
        <v>74</v>
      </c>
      <c r="AQ555" s="1" t="s">
        <v>74</v>
      </c>
      <c r="AR555" s="1" t="s">
        <v>74</v>
      </c>
      <c r="AS555" s="1" t="s">
        <v>74</v>
      </c>
      <c r="AT555" s="1" t="s">
        <v>5672</v>
      </c>
      <c r="AU555" s="1">
        <v>2021.0</v>
      </c>
      <c r="AV555" s="1">
        <v>11.0</v>
      </c>
      <c r="AW555" s="1">
        <v>1.0</v>
      </c>
      <c r="AX555" s="1" t="s">
        <v>74</v>
      </c>
      <c r="AY555" s="1" t="s">
        <v>74</v>
      </c>
      <c r="AZ555" s="1" t="s">
        <v>74</v>
      </c>
      <c r="BA555" s="1" t="s">
        <v>74</v>
      </c>
      <c r="BB555" s="1" t="s">
        <v>74</v>
      </c>
      <c r="BC555" s="1" t="s">
        <v>74</v>
      </c>
      <c r="BD555" s="1">
        <v>18118.0</v>
      </c>
      <c r="BE555" s="1" t="s">
        <v>5673</v>
      </c>
      <c r="BF555" s="2" t="str">
        <f>HYPERLINK("http://dx.doi.org/10.1038/s41598-021-97671-z","http://dx.doi.org/10.1038/s41598-021-97671-z")</f>
        <v>http://dx.doi.org/10.1038/s41598-021-97671-z</v>
      </c>
      <c r="BG555" s="1" t="s">
        <v>74</v>
      </c>
      <c r="BH555" s="1" t="s">
        <v>74</v>
      </c>
      <c r="BI555" s="1" t="s">
        <v>74</v>
      </c>
      <c r="BJ555" s="1" t="s">
        <v>74</v>
      </c>
      <c r="BK555" s="1" t="s">
        <v>74</v>
      </c>
      <c r="BL555" s="1" t="s">
        <v>74</v>
      </c>
      <c r="BM555" s="1" t="s">
        <v>74</v>
      </c>
      <c r="BN555" s="1">
        <v>3.4518611E7</v>
      </c>
      <c r="BO555" s="1" t="s">
        <v>74</v>
      </c>
      <c r="BP555" s="1" t="s">
        <v>74</v>
      </c>
      <c r="BQ555" s="1" t="s">
        <v>74</v>
      </c>
      <c r="BR555" s="1" t="s">
        <v>74</v>
      </c>
      <c r="BS555" s="1" t="s">
        <v>5674</v>
      </c>
      <c r="BT555" s="1" t="str">
        <f>HYPERLINK("https%3A%2F%2Fwww.webofscience.com%2Fwos%2Fwoscc%2Ffull-record%2FWOS:000699966800035","View Full Record in Web of Science")</f>
        <v>View Full Record in Web of Science</v>
      </c>
    </row>
    <row r="556" ht="12.75" customHeight="1">
      <c r="A556" s="1" t="s">
        <v>72</v>
      </c>
      <c r="B556" s="1" t="s">
        <v>5675</v>
      </c>
      <c r="C556" s="1" t="s">
        <v>74</v>
      </c>
      <c r="D556" s="1" t="s">
        <v>74</v>
      </c>
      <c r="E556" s="1" t="s">
        <v>74</v>
      </c>
      <c r="F556" s="1" t="s">
        <v>5676</v>
      </c>
      <c r="G556" s="1" t="s">
        <v>74</v>
      </c>
      <c r="H556" s="1" t="s">
        <v>74</v>
      </c>
      <c r="I556" s="1" t="s">
        <v>5677</v>
      </c>
      <c r="J556" s="1" t="s">
        <v>5678</v>
      </c>
      <c r="K556" s="1" t="s">
        <v>74</v>
      </c>
      <c r="L556" s="1" t="s">
        <v>74</v>
      </c>
      <c r="M556" s="1" t="s">
        <v>74</v>
      </c>
      <c r="N556" s="1" t="s">
        <v>74</v>
      </c>
      <c r="O556" s="1" t="s">
        <v>74</v>
      </c>
      <c r="P556" s="1" t="s">
        <v>74</v>
      </c>
      <c r="Q556" s="1" t="s">
        <v>74</v>
      </c>
      <c r="R556" s="1" t="s">
        <v>74</v>
      </c>
      <c r="S556" s="1" t="s">
        <v>74</v>
      </c>
      <c r="T556" s="1" t="s">
        <v>74</v>
      </c>
      <c r="U556" s="1" t="s">
        <v>74</v>
      </c>
      <c r="V556" s="1" t="s">
        <v>5679</v>
      </c>
      <c r="W556" s="1" t="s">
        <v>74</v>
      </c>
      <c r="X556" s="1" t="s">
        <v>74</v>
      </c>
      <c r="Y556" s="1" t="s">
        <v>74</v>
      </c>
      <c r="Z556" s="1" t="s">
        <v>74</v>
      </c>
      <c r="AA556" s="1" t="s">
        <v>5680</v>
      </c>
      <c r="AB556" s="1" t="s">
        <v>5681</v>
      </c>
      <c r="AC556" s="1" t="s">
        <v>74</v>
      </c>
      <c r="AD556" s="1" t="s">
        <v>74</v>
      </c>
      <c r="AE556" s="1" t="s">
        <v>74</v>
      </c>
      <c r="AF556" s="1" t="s">
        <v>74</v>
      </c>
      <c r="AG556" s="1" t="s">
        <v>74</v>
      </c>
      <c r="AH556" s="1" t="s">
        <v>74</v>
      </c>
      <c r="AI556" s="1" t="s">
        <v>74</v>
      </c>
      <c r="AJ556" s="1" t="s">
        <v>74</v>
      </c>
      <c r="AK556" s="1" t="s">
        <v>74</v>
      </c>
      <c r="AL556" s="1" t="s">
        <v>74</v>
      </c>
      <c r="AM556" s="1" t="s">
        <v>74</v>
      </c>
      <c r="AN556" s="1" t="s">
        <v>74</v>
      </c>
      <c r="AO556" s="1" t="s">
        <v>74</v>
      </c>
      <c r="AP556" s="1" t="s">
        <v>5682</v>
      </c>
      <c r="AQ556" s="1" t="s">
        <v>74</v>
      </c>
      <c r="AR556" s="1" t="s">
        <v>74</v>
      </c>
      <c r="AS556" s="1" t="s">
        <v>74</v>
      </c>
      <c r="AT556" s="1" t="s">
        <v>438</v>
      </c>
      <c r="AU556" s="1">
        <v>2021.0</v>
      </c>
      <c r="AV556" s="1">
        <v>10.0</v>
      </c>
      <c r="AW556" s="1">
        <v>4.0</v>
      </c>
      <c r="AX556" s="1" t="s">
        <v>74</v>
      </c>
      <c r="AY556" s="1" t="s">
        <v>74</v>
      </c>
      <c r="AZ556" s="1" t="s">
        <v>74</v>
      </c>
      <c r="BA556" s="1" t="s">
        <v>74</v>
      </c>
      <c r="BB556" s="1" t="s">
        <v>74</v>
      </c>
      <c r="BC556" s="1" t="s">
        <v>74</v>
      </c>
      <c r="BD556" s="1">
        <v>324.0</v>
      </c>
      <c r="BE556" s="1" t="s">
        <v>5683</v>
      </c>
      <c r="BF556" s="2" t="str">
        <f>HYPERLINK("http://dx.doi.org/10.3390/biology10040324","http://dx.doi.org/10.3390/biology10040324")</f>
        <v>http://dx.doi.org/10.3390/biology10040324</v>
      </c>
      <c r="BG556" s="1" t="s">
        <v>74</v>
      </c>
      <c r="BH556" s="1" t="s">
        <v>74</v>
      </c>
      <c r="BI556" s="1" t="s">
        <v>74</v>
      </c>
      <c r="BJ556" s="1" t="s">
        <v>74</v>
      </c>
      <c r="BK556" s="1" t="s">
        <v>74</v>
      </c>
      <c r="BL556" s="1" t="s">
        <v>74</v>
      </c>
      <c r="BM556" s="1" t="s">
        <v>74</v>
      </c>
      <c r="BN556" s="1">
        <v>3.3924548E7</v>
      </c>
      <c r="BO556" s="1" t="s">
        <v>74</v>
      </c>
      <c r="BP556" s="1" t="s">
        <v>74</v>
      </c>
      <c r="BQ556" s="1" t="s">
        <v>74</v>
      </c>
      <c r="BR556" s="1" t="s">
        <v>74</v>
      </c>
      <c r="BS556" s="1" t="s">
        <v>5684</v>
      </c>
      <c r="BT556" s="1" t="str">
        <f>HYPERLINK("https%3A%2F%2Fwww.webofscience.com%2Fwos%2Fwoscc%2Ffull-record%2FWOS:000642737100001","View Full Record in Web of Science")</f>
        <v>View Full Record in Web of Science</v>
      </c>
    </row>
    <row r="557" ht="12.75" customHeight="1">
      <c r="A557" s="1" t="s">
        <v>72</v>
      </c>
      <c r="B557" s="1" t="s">
        <v>5685</v>
      </c>
      <c r="C557" s="1" t="s">
        <v>74</v>
      </c>
      <c r="D557" s="1" t="s">
        <v>74</v>
      </c>
      <c r="E557" s="1" t="s">
        <v>74</v>
      </c>
      <c r="F557" s="1" t="s">
        <v>5686</v>
      </c>
      <c r="G557" s="1" t="s">
        <v>74</v>
      </c>
      <c r="H557" s="1" t="s">
        <v>74</v>
      </c>
      <c r="I557" s="1" t="s">
        <v>5687</v>
      </c>
      <c r="J557" s="1" t="s">
        <v>174</v>
      </c>
      <c r="K557" s="1" t="s">
        <v>74</v>
      </c>
      <c r="L557" s="1" t="s">
        <v>74</v>
      </c>
      <c r="M557" s="1" t="s">
        <v>74</v>
      </c>
      <c r="N557" s="1" t="s">
        <v>74</v>
      </c>
      <c r="O557" s="1" t="s">
        <v>74</v>
      </c>
      <c r="P557" s="1" t="s">
        <v>74</v>
      </c>
      <c r="Q557" s="1" t="s">
        <v>74</v>
      </c>
      <c r="R557" s="1" t="s">
        <v>74</v>
      </c>
      <c r="S557" s="1" t="s">
        <v>74</v>
      </c>
      <c r="T557" s="1" t="s">
        <v>74</v>
      </c>
      <c r="U557" s="1" t="s">
        <v>74</v>
      </c>
      <c r="V557" s="1" t="s">
        <v>5688</v>
      </c>
      <c r="W557" s="1" t="s">
        <v>74</v>
      </c>
      <c r="X557" s="1" t="s">
        <v>74</v>
      </c>
      <c r="Y557" s="1" t="s">
        <v>74</v>
      </c>
      <c r="Z557" s="1" t="s">
        <v>74</v>
      </c>
      <c r="AA557" s="1" t="s">
        <v>5689</v>
      </c>
      <c r="AB557" s="1" t="s">
        <v>5690</v>
      </c>
      <c r="AC557" s="1" t="s">
        <v>74</v>
      </c>
      <c r="AD557" s="1" t="s">
        <v>74</v>
      </c>
      <c r="AE557" s="1" t="s">
        <v>74</v>
      </c>
      <c r="AF557" s="1" t="s">
        <v>74</v>
      </c>
      <c r="AG557" s="1" t="s">
        <v>74</v>
      </c>
      <c r="AH557" s="1" t="s">
        <v>74</v>
      </c>
      <c r="AI557" s="1" t="s">
        <v>74</v>
      </c>
      <c r="AJ557" s="1" t="s">
        <v>74</v>
      </c>
      <c r="AK557" s="1" t="s">
        <v>74</v>
      </c>
      <c r="AL557" s="1" t="s">
        <v>74</v>
      </c>
      <c r="AM557" s="1" t="s">
        <v>74</v>
      </c>
      <c r="AN557" s="1" t="s">
        <v>74</v>
      </c>
      <c r="AO557" s="1" t="s">
        <v>178</v>
      </c>
      <c r="AP557" s="1" t="s">
        <v>74</v>
      </c>
      <c r="AQ557" s="1" t="s">
        <v>74</v>
      </c>
      <c r="AR557" s="1" t="s">
        <v>74</v>
      </c>
      <c r="AS557" s="1" t="s">
        <v>74</v>
      </c>
      <c r="AT557" s="1" t="s">
        <v>5691</v>
      </c>
      <c r="AU557" s="1">
        <v>2020.0</v>
      </c>
      <c r="AV557" s="1">
        <v>15.0</v>
      </c>
      <c r="AW557" s="1">
        <v>9.0</v>
      </c>
      <c r="AX557" s="1" t="s">
        <v>74</v>
      </c>
      <c r="AY557" s="1" t="s">
        <v>74</v>
      </c>
      <c r="AZ557" s="1" t="s">
        <v>74</v>
      </c>
      <c r="BA557" s="1" t="s">
        <v>74</v>
      </c>
      <c r="BB557" s="1" t="s">
        <v>74</v>
      </c>
      <c r="BC557" s="1" t="s">
        <v>74</v>
      </c>
      <c r="BD557" s="1" t="s">
        <v>5692</v>
      </c>
      <c r="BE557" s="1" t="s">
        <v>5693</v>
      </c>
      <c r="BF557" s="2" t="str">
        <f>HYPERLINK("http://dx.doi.org/10.1371/journal.pone.0238767","http://dx.doi.org/10.1371/journal.pone.0238767")</f>
        <v>http://dx.doi.org/10.1371/journal.pone.0238767</v>
      </c>
      <c r="BG557" s="1" t="s">
        <v>74</v>
      </c>
      <c r="BH557" s="1" t="s">
        <v>74</v>
      </c>
      <c r="BI557" s="1" t="s">
        <v>74</v>
      </c>
      <c r="BJ557" s="1" t="s">
        <v>74</v>
      </c>
      <c r="BK557" s="1" t="s">
        <v>74</v>
      </c>
      <c r="BL557" s="1" t="s">
        <v>74</v>
      </c>
      <c r="BM557" s="1" t="s">
        <v>74</v>
      </c>
      <c r="BN557" s="1">
        <v>3.2898173E7</v>
      </c>
      <c r="BO557" s="1" t="s">
        <v>74</v>
      </c>
      <c r="BP557" s="1" t="s">
        <v>74</v>
      </c>
      <c r="BQ557" s="1" t="s">
        <v>74</v>
      </c>
      <c r="BR557" s="1" t="s">
        <v>74</v>
      </c>
      <c r="BS557" s="1" t="s">
        <v>5694</v>
      </c>
      <c r="BT557" s="1" t="str">
        <f>HYPERLINK("https%3A%2F%2Fwww.webofscience.com%2Fwos%2Fwoscc%2Ffull-record%2FWOS:000570962500037","View Full Record in Web of Science")</f>
        <v>View Full Record in Web of Science</v>
      </c>
    </row>
    <row r="558" ht="12.75" customHeight="1">
      <c r="A558" s="1" t="s">
        <v>72</v>
      </c>
      <c r="B558" s="1" t="s">
        <v>5695</v>
      </c>
      <c r="C558" s="1" t="s">
        <v>74</v>
      </c>
      <c r="D558" s="1" t="s">
        <v>74</v>
      </c>
      <c r="E558" s="1" t="s">
        <v>74</v>
      </c>
      <c r="F558" s="1" t="s">
        <v>5696</v>
      </c>
      <c r="G558" s="1" t="s">
        <v>74</v>
      </c>
      <c r="H558" s="1" t="s">
        <v>74</v>
      </c>
      <c r="I558" s="1" t="s">
        <v>5697</v>
      </c>
      <c r="J558" s="1" t="s">
        <v>582</v>
      </c>
      <c r="K558" s="1" t="s">
        <v>74</v>
      </c>
      <c r="L558" s="1" t="s">
        <v>74</v>
      </c>
      <c r="M558" s="1" t="s">
        <v>74</v>
      </c>
      <c r="N558" s="1" t="s">
        <v>74</v>
      </c>
      <c r="O558" s="1" t="s">
        <v>74</v>
      </c>
      <c r="P558" s="1" t="s">
        <v>74</v>
      </c>
      <c r="Q558" s="1" t="s">
        <v>74</v>
      </c>
      <c r="R558" s="1" t="s">
        <v>74</v>
      </c>
      <c r="S558" s="1" t="s">
        <v>74</v>
      </c>
      <c r="T558" s="1" t="s">
        <v>74</v>
      </c>
      <c r="U558" s="1" t="s">
        <v>74</v>
      </c>
      <c r="V558" s="1" t="s">
        <v>5698</v>
      </c>
      <c r="W558" s="1" t="s">
        <v>74</v>
      </c>
      <c r="X558" s="1" t="s">
        <v>74</v>
      </c>
      <c r="Y558" s="1" t="s">
        <v>74</v>
      </c>
      <c r="Z558" s="1" t="s">
        <v>74</v>
      </c>
      <c r="AA558" s="1" t="s">
        <v>5699</v>
      </c>
      <c r="AB558" s="1" t="s">
        <v>5700</v>
      </c>
      <c r="AC558" s="1" t="s">
        <v>74</v>
      </c>
      <c r="AD558" s="1" t="s">
        <v>74</v>
      </c>
      <c r="AE558" s="1" t="s">
        <v>74</v>
      </c>
      <c r="AF558" s="1" t="s">
        <v>74</v>
      </c>
      <c r="AG558" s="1" t="s">
        <v>74</v>
      </c>
      <c r="AH558" s="1" t="s">
        <v>74</v>
      </c>
      <c r="AI558" s="1" t="s">
        <v>74</v>
      </c>
      <c r="AJ558" s="1" t="s">
        <v>74</v>
      </c>
      <c r="AK558" s="1" t="s">
        <v>74</v>
      </c>
      <c r="AL558" s="1" t="s">
        <v>74</v>
      </c>
      <c r="AM558" s="1" t="s">
        <v>74</v>
      </c>
      <c r="AN558" s="1" t="s">
        <v>74</v>
      </c>
      <c r="AO558" s="1" t="s">
        <v>586</v>
      </c>
      <c r="AP558" s="1" t="s">
        <v>587</v>
      </c>
      <c r="AQ558" s="1" t="s">
        <v>74</v>
      </c>
      <c r="AR558" s="1" t="s">
        <v>74</v>
      </c>
      <c r="AS558" s="1" t="s">
        <v>74</v>
      </c>
      <c r="AT558" s="1" t="s">
        <v>2660</v>
      </c>
      <c r="AU558" s="1">
        <v>2020.0</v>
      </c>
      <c r="AV558" s="1">
        <v>101.0</v>
      </c>
      <c r="AW558" s="1">
        <v>18.0</v>
      </c>
      <c r="AX558" s="1" t="s">
        <v>74</v>
      </c>
      <c r="AY558" s="1" t="s">
        <v>74</v>
      </c>
      <c r="AZ558" s="1" t="s">
        <v>74</v>
      </c>
      <c r="BA558" s="1" t="s">
        <v>74</v>
      </c>
      <c r="BB558" s="1" t="s">
        <v>74</v>
      </c>
      <c r="BC558" s="1" t="s">
        <v>74</v>
      </c>
      <c r="BD558" s="1">
        <v>184418.0</v>
      </c>
      <c r="BE558" s="1" t="s">
        <v>5701</v>
      </c>
      <c r="BF558" s="2" t="str">
        <f>HYPERLINK("http://dx.doi.org/10.1103/PhysRevB.101.184418","http://dx.doi.org/10.1103/PhysRevB.101.184418")</f>
        <v>http://dx.doi.org/10.1103/PhysRevB.101.184418</v>
      </c>
      <c r="BG558" s="1" t="s">
        <v>74</v>
      </c>
      <c r="BH558" s="1" t="s">
        <v>74</v>
      </c>
      <c r="BI558" s="1" t="s">
        <v>74</v>
      </c>
      <c r="BJ558" s="1" t="s">
        <v>74</v>
      </c>
      <c r="BK558" s="1" t="s">
        <v>74</v>
      </c>
      <c r="BL558" s="1" t="s">
        <v>74</v>
      </c>
      <c r="BM558" s="1" t="s">
        <v>74</v>
      </c>
      <c r="BN558" s="1" t="s">
        <v>74</v>
      </c>
      <c r="BO558" s="1" t="s">
        <v>74</v>
      </c>
      <c r="BP558" s="1" t="s">
        <v>74</v>
      </c>
      <c r="BQ558" s="1" t="s">
        <v>74</v>
      </c>
      <c r="BR558" s="1" t="s">
        <v>74</v>
      </c>
      <c r="BS558" s="1" t="s">
        <v>5702</v>
      </c>
      <c r="BT558" s="1" t="str">
        <f>HYPERLINK("https%3A%2F%2Fwww.webofscience.com%2Fwos%2Fwoscc%2Ffull-record%2FWOS:000533494600006","View Full Record in Web of Science")</f>
        <v>View Full Record in Web of Science</v>
      </c>
    </row>
    <row r="559" ht="12.75" customHeight="1">
      <c r="A559" s="1" t="s">
        <v>72</v>
      </c>
      <c r="B559" s="1" t="s">
        <v>5703</v>
      </c>
      <c r="C559" s="1" t="s">
        <v>74</v>
      </c>
      <c r="D559" s="1" t="s">
        <v>74</v>
      </c>
      <c r="E559" s="1" t="s">
        <v>74</v>
      </c>
      <c r="F559" s="1" t="s">
        <v>5704</v>
      </c>
      <c r="G559" s="1" t="s">
        <v>74</v>
      </c>
      <c r="H559" s="1" t="s">
        <v>74</v>
      </c>
      <c r="I559" s="1" t="s">
        <v>5705</v>
      </c>
      <c r="J559" s="1" t="s">
        <v>2916</v>
      </c>
      <c r="K559" s="1" t="s">
        <v>74</v>
      </c>
      <c r="L559" s="1" t="s">
        <v>74</v>
      </c>
      <c r="M559" s="1" t="s">
        <v>74</v>
      </c>
      <c r="N559" s="1" t="s">
        <v>74</v>
      </c>
      <c r="O559" s="1" t="s">
        <v>74</v>
      </c>
      <c r="P559" s="1" t="s">
        <v>74</v>
      </c>
      <c r="Q559" s="1" t="s">
        <v>74</v>
      </c>
      <c r="R559" s="1" t="s">
        <v>74</v>
      </c>
      <c r="S559" s="1" t="s">
        <v>74</v>
      </c>
      <c r="T559" s="1" t="s">
        <v>74</v>
      </c>
      <c r="U559" s="1" t="s">
        <v>74</v>
      </c>
      <c r="V559" s="1" t="s">
        <v>5706</v>
      </c>
      <c r="W559" s="1" t="s">
        <v>74</v>
      </c>
      <c r="X559" s="1" t="s">
        <v>74</v>
      </c>
      <c r="Y559" s="1" t="s">
        <v>74</v>
      </c>
      <c r="Z559" s="1" t="s">
        <v>74</v>
      </c>
      <c r="AA559" s="1" t="s">
        <v>5707</v>
      </c>
      <c r="AB559" s="1" t="s">
        <v>5708</v>
      </c>
      <c r="AC559" s="1" t="s">
        <v>74</v>
      </c>
      <c r="AD559" s="1" t="s">
        <v>74</v>
      </c>
      <c r="AE559" s="1" t="s">
        <v>74</v>
      </c>
      <c r="AF559" s="1" t="s">
        <v>74</v>
      </c>
      <c r="AG559" s="1" t="s">
        <v>74</v>
      </c>
      <c r="AH559" s="1" t="s">
        <v>74</v>
      </c>
      <c r="AI559" s="1" t="s">
        <v>74</v>
      </c>
      <c r="AJ559" s="1" t="s">
        <v>74</v>
      </c>
      <c r="AK559" s="1" t="s">
        <v>74</v>
      </c>
      <c r="AL559" s="1" t="s">
        <v>74</v>
      </c>
      <c r="AM559" s="1" t="s">
        <v>74</v>
      </c>
      <c r="AN559" s="1" t="s">
        <v>74</v>
      </c>
      <c r="AO559" s="1" t="s">
        <v>2920</v>
      </c>
      <c r="AP559" s="1" t="s">
        <v>74</v>
      </c>
      <c r="AQ559" s="1" t="s">
        <v>74</v>
      </c>
      <c r="AR559" s="1" t="s">
        <v>74</v>
      </c>
      <c r="AS559" s="1" t="s">
        <v>74</v>
      </c>
      <c r="AT559" s="1" t="s">
        <v>411</v>
      </c>
      <c r="AU559" s="1">
        <v>2019.0</v>
      </c>
      <c r="AV559" s="1">
        <v>18.0</v>
      </c>
      <c r="AW559" s="1">
        <v>6.0</v>
      </c>
      <c r="AX559" s="1" t="s">
        <v>74</v>
      </c>
      <c r="AY559" s="1" t="s">
        <v>74</v>
      </c>
      <c r="AZ559" s="1" t="s">
        <v>74</v>
      </c>
      <c r="BA559" s="1" t="s">
        <v>74</v>
      </c>
      <c r="BB559" s="1">
        <v>577.0</v>
      </c>
      <c r="BC559" s="1">
        <v>585.0</v>
      </c>
      <c r="BD559" s="1" t="s">
        <v>74</v>
      </c>
      <c r="BE559" s="1" t="s">
        <v>5709</v>
      </c>
      <c r="BF559" s="2" t="str">
        <f>HYPERLINK("http://dx.doi.org/10.35588/blacpma.19.18.6.40","http://dx.doi.org/10.35588/blacpma.19.18.6.40")</f>
        <v>http://dx.doi.org/10.35588/blacpma.19.18.6.40</v>
      </c>
      <c r="BG559" s="1" t="s">
        <v>74</v>
      </c>
      <c r="BH559" s="1" t="s">
        <v>74</v>
      </c>
      <c r="BI559" s="1" t="s">
        <v>74</v>
      </c>
      <c r="BJ559" s="1" t="s">
        <v>74</v>
      </c>
      <c r="BK559" s="1" t="s">
        <v>74</v>
      </c>
      <c r="BL559" s="1" t="s">
        <v>74</v>
      </c>
      <c r="BM559" s="1" t="s">
        <v>74</v>
      </c>
      <c r="BN559" s="1" t="s">
        <v>74</v>
      </c>
      <c r="BO559" s="1" t="s">
        <v>74</v>
      </c>
      <c r="BP559" s="1" t="s">
        <v>74</v>
      </c>
      <c r="BQ559" s="1" t="s">
        <v>74</v>
      </c>
      <c r="BR559" s="1" t="s">
        <v>74</v>
      </c>
      <c r="BS559" s="1" t="s">
        <v>5710</v>
      </c>
      <c r="BT559" s="1" t="str">
        <f>HYPERLINK("https%3A%2F%2Fwww.webofscience.com%2Fwos%2Fwoscc%2Ffull-record%2FWOS:000496943400005","View Full Record in Web of Science")</f>
        <v>View Full Record in Web of Science</v>
      </c>
    </row>
    <row r="560" ht="12.75" customHeight="1">
      <c r="A560" s="1" t="s">
        <v>72</v>
      </c>
      <c r="B560" s="1" t="s">
        <v>5711</v>
      </c>
      <c r="C560" s="1" t="s">
        <v>74</v>
      </c>
      <c r="D560" s="1" t="s">
        <v>74</v>
      </c>
      <c r="E560" s="1" t="s">
        <v>74</v>
      </c>
      <c r="F560" s="1" t="s">
        <v>5712</v>
      </c>
      <c r="G560" s="1" t="s">
        <v>74</v>
      </c>
      <c r="H560" s="1" t="s">
        <v>74</v>
      </c>
      <c r="I560" s="1" t="s">
        <v>5713</v>
      </c>
      <c r="J560" s="1" t="s">
        <v>1590</v>
      </c>
      <c r="K560" s="1" t="s">
        <v>74</v>
      </c>
      <c r="L560" s="1" t="s">
        <v>74</v>
      </c>
      <c r="M560" s="1" t="s">
        <v>74</v>
      </c>
      <c r="N560" s="1" t="s">
        <v>74</v>
      </c>
      <c r="O560" s="1" t="s">
        <v>74</v>
      </c>
      <c r="P560" s="1" t="s">
        <v>74</v>
      </c>
      <c r="Q560" s="1" t="s">
        <v>74</v>
      </c>
      <c r="R560" s="1" t="s">
        <v>74</v>
      </c>
      <c r="S560" s="1" t="s">
        <v>74</v>
      </c>
      <c r="T560" s="1" t="s">
        <v>74</v>
      </c>
      <c r="U560" s="1" t="s">
        <v>74</v>
      </c>
      <c r="V560" s="1" t="s">
        <v>5714</v>
      </c>
      <c r="W560" s="1" t="s">
        <v>74</v>
      </c>
      <c r="X560" s="1" t="s">
        <v>74</v>
      </c>
      <c r="Y560" s="1" t="s">
        <v>74</v>
      </c>
      <c r="Z560" s="1" t="s">
        <v>74</v>
      </c>
      <c r="AA560" s="1" t="s">
        <v>5715</v>
      </c>
      <c r="AB560" s="1" t="s">
        <v>5716</v>
      </c>
      <c r="AC560" s="1" t="s">
        <v>74</v>
      </c>
      <c r="AD560" s="1" t="s">
        <v>74</v>
      </c>
      <c r="AE560" s="1" t="s">
        <v>74</v>
      </c>
      <c r="AF560" s="1" t="s">
        <v>74</v>
      </c>
      <c r="AG560" s="1" t="s">
        <v>74</v>
      </c>
      <c r="AH560" s="1" t="s">
        <v>74</v>
      </c>
      <c r="AI560" s="1" t="s">
        <v>74</v>
      </c>
      <c r="AJ560" s="1" t="s">
        <v>74</v>
      </c>
      <c r="AK560" s="1" t="s">
        <v>74</v>
      </c>
      <c r="AL560" s="1" t="s">
        <v>74</v>
      </c>
      <c r="AM560" s="1" t="s">
        <v>74</v>
      </c>
      <c r="AN560" s="1" t="s">
        <v>74</v>
      </c>
      <c r="AO560" s="1" t="s">
        <v>1594</v>
      </c>
      <c r="AP560" s="1" t="s">
        <v>1595</v>
      </c>
      <c r="AQ560" s="1" t="s">
        <v>74</v>
      </c>
      <c r="AR560" s="1" t="s">
        <v>74</v>
      </c>
      <c r="AS560" s="1" t="s">
        <v>74</v>
      </c>
      <c r="AT560" s="1" t="s">
        <v>5717</v>
      </c>
      <c r="AU560" s="1">
        <v>2018.0</v>
      </c>
      <c r="AV560" s="1">
        <v>98.0</v>
      </c>
      <c r="AW560" s="1">
        <v>4.0</v>
      </c>
      <c r="AX560" s="1" t="s">
        <v>74</v>
      </c>
      <c r="AY560" s="1" t="s">
        <v>74</v>
      </c>
      <c r="AZ560" s="1" t="s">
        <v>74</v>
      </c>
      <c r="BA560" s="1" t="s">
        <v>74</v>
      </c>
      <c r="BB560" s="1" t="s">
        <v>74</v>
      </c>
      <c r="BC560" s="1" t="s">
        <v>74</v>
      </c>
      <c r="BD560" s="1">
        <v>42315.0</v>
      </c>
      <c r="BE560" s="1" t="s">
        <v>5718</v>
      </c>
      <c r="BF560" s="2" t="str">
        <f>HYPERLINK("http://dx.doi.org/10.1103/PhysRevA.98.042315","http://dx.doi.org/10.1103/PhysRevA.98.042315")</f>
        <v>http://dx.doi.org/10.1103/PhysRevA.98.042315</v>
      </c>
      <c r="BG560" s="1" t="s">
        <v>74</v>
      </c>
      <c r="BH560" s="1" t="s">
        <v>74</v>
      </c>
      <c r="BI560" s="1" t="s">
        <v>74</v>
      </c>
      <c r="BJ560" s="1" t="s">
        <v>74</v>
      </c>
      <c r="BK560" s="1" t="s">
        <v>74</v>
      </c>
      <c r="BL560" s="1" t="s">
        <v>74</v>
      </c>
      <c r="BM560" s="1" t="s">
        <v>74</v>
      </c>
      <c r="BN560" s="1" t="s">
        <v>74</v>
      </c>
      <c r="BO560" s="1" t="s">
        <v>74</v>
      </c>
      <c r="BP560" s="1" t="s">
        <v>74</v>
      </c>
      <c r="BQ560" s="1" t="s">
        <v>74</v>
      </c>
      <c r="BR560" s="1" t="s">
        <v>74</v>
      </c>
      <c r="BS560" s="1" t="s">
        <v>5719</v>
      </c>
      <c r="BT560" s="1" t="str">
        <f>HYPERLINK("https%3A%2F%2Fwww.webofscience.com%2Fwos%2Fwoscc%2Ffull-record%2FWOS:000447085700002","View Full Record in Web of Science")</f>
        <v>View Full Record in Web of Science</v>
      </c>
    </row>
    <row r="561" ht="12.75" customHeight="1">
      <c r="A561" s="1" t="s">
        <v>72</v>
      </c>
      <c r="B561" s="1" t="s">
        <v>3654</v>
      </c>
      <c r="C561" s="1" t="s">
        <v>74</v>
      </c>
      <c r="D561" s="1" t="s">
        <v>74</v>
      </c>
      <c r="E561" s="1" t="s">
        <v>74</v>
      </c>
      <c r="F561" s="1" t="s">
        <v>3655</v>
      </c>
      <c r="G561" s="1" t="s">
        <v>74</v>
      </c>
      <c r="H561" s="1" t="s">
        <v>74</v>
      </c>
      <c r="I561" s="1" t="s">
        <v>5720</v>
      </c>
      <c r="J561" s="1" t="s">
        <v>3657</v>
      </c>
      <c r="K561" s="1" t="s">
        <v>74</v>
      </c>
      <c r="L561" s="1" t="s">
        <v>74</v>
      </c>
      <c r="M561" s="1" t="s">
        <v>74</v>
      </c>
      <c r="N561" s="1" t="s">
        <v>74</v>
      </c>
      <c r="O561" s="1" t="s">
        <v>74</v>
      </c>
      <c r="P561" s="1" t="s">
        <v>74</v>
      </c>
      <c r="Q561" s="1" t="s">
        <v>74</v>
      </c>
      <c r="R561" s="1" t="s">
        <v>74</v>
      </c>
      <c r="S561" s="1" t="s">
        <v>74</v>
      </c>
      <c r="T561" s="1" t="s">
        <v>74</v>
      </c>
      <c r="U561" s="1" t="s">
        <v>74</v>
      </c>
      <c r="V561" s="1" t="s">
        <v>74</v>
      </c>
      <c r="W561" s="1" t="s">
        <v>74</v>
      </c>
      <c r="X561" s="1" t="s">
        <v>74</v>
      </c>
      <c r="Y561" s="1" t="s">
        <v>74</v>
      </c>
      <c r="Z561" s="1" t="s">
        <v>74</v>
      </c>
      <c r="AA561" s="1" t="s">
        <v>5721</v>
      </c>
      <c r="AB561" s="1" t="s">
        <v>5722</v>
      </c>
      <c r="AC561" s="1" t="s">
        <v>74</v>
      </c>
      <c r="AD561" s="1" t="s">
        <v>74</v>
      </c>
      <c r="AE561" s="1" t="s">
        <v>74</v>
      </c>
      <c r="AF561" s="1" t="s">
        <v>74</v>
      </c>
      <c r="AG561" s="1" t="s">
        <v>74</v>
      </c>
      <c r="AH561" s="1" t="s">
        <v>74</v>
      </c>
      <c r="AI561" s="1" t="s">
        <v>74</v>
      </c>
      <c r="AJ561" s="1" t="s">
        <v>74</v>
      </c>
      <c r="AK561" s="1" t="s">
        <v>74</v>
      </c>
      <c r="AL561" s="1" t="s">
        <v>74</v>
      </c>
      <c r="AM561" s="1" t="s">
        <v>74</v>
      </c>
      <c r="AN561" s="1" t="s">
        <v>74</v>
      </c>
      <c r="AO561" s="1" t="s">
        <v>3661</v>
      </c>
      <c r="AP561" s="1" t="s">
        <v>74</v>
      </c>
      <c r="AQ561" s="1" t="s">
        <v>74</v>
      </c>
      <c r="AR561" s="1" t="s">
        <v>74</v>
      </c>
      <c r="AS561" s="1" t="s">
        <v>74</v>
      </c>
      <c r="AT561" s="1" t="s">
        <v>2360</v>
      </c>
      <c r="AU561" s="1">
        <v>2015.0</v>
      </c>
      <c r="AV561" s="1">
        <v>67.0</v>
      </c>
      <c r="AW561" s="1" t="s">
        <v>74</v>
      </c>
      <c r="AX561" s="1" t="s">
        <v>74</v>
      </c>
      <c r="AY561" s="1" t="s">
        <v>74</v>
      </c>
      <c r="AZ561" s="1" t="s">
        <v>74</v>
      </c>
      <c r="BA561" s="1" t="s">
        <v>74</v>
      </c>
      <c r="BB561" s="1" t="s">
        <v>74</v>
      </c>
      <c r="BC561" s="1" t="s">
        <v>74</v>
      </c>
      <c r="BD561" s="1">
        <v>188.0</v>
      </c>
      <c r="BE561" s="1" t="s">
        <v>5723</v>
      </c>
      <c r="BF561" s="2" t="str">
        <f>HYPERLINK("http://dx.doi.org/10.1186/s40623-015-0353-5","http://dx.doi.org/10.1186/s40623-015-0353-5")</f>
        <v>http://dx.doi.org/10.1186/s40623-015-0353-5</v>
      </c>
      <c r="BG561" s="1" t="s">
        <v>74</v>
      </c>
      <c r="BH561" s="1" t="s">
        <v>74</v>
      </c>
      <c r="BI561" s="1" t="s">
        <v>74</v>
      </c>
      <c r="BJ561" s="1" t="s">
        <v>74</v>
      </c>
      <c r="BK561" s="1" t="s">
        <v>74</v>
      </c>
      <c r="BL561" s="1" t="s">
        <v>74</v>
      </c>
      <c r="BM561" s="1" t="s">
        <v>74</v>
      </c>
      <c r="BN561" s="1" t="s">
        <v>74</v>
      </c>
      <c r="BO561" s="1" t="s">
        <v>74</v>
      </c>
      <c r="BP561" s="1" t="s">
        <v>74</v>
      </c>
      <c r="BQ561" s="1" t="s">
        <v>74</v>
      </c>
      <c r="BR561" s="1" t="s">
        <v>74</v>
      </c>
      <c r="BS561" s="1" t="s">
        <v>5724</v>
      </c>
      <c r="BT561" s="1" t="str">
        <f>HYPERLINK("https%3A%2F%2Fwww.webofscience.com%2Fwos%2Fwoscc%2Ffull-record%2FWOS:000365430100001","View Full Record in Web of Science")</f>
        <v>View Full Record in Web of Science</v>
      </c>
    </row>
    <row r="562" ht="12.75" customHeight="1">
      <c r="A562" s="1" t="s">
        <v>72</v>
      </c>
      <c r="B562" s="1" t="s">
        <v>5725</v>
      </c>
      <c r="C562" s="1" t="s">
        <v>74</v>
      </c>
      <c r="D562" s="1" t="s">
        <v>74</v>
      </c>
      <c r="E562" s="1" t="s">
        <v>74</v>
      </c>
      <c r="F562" s="1" t="s">
        <v>5726</v>
      </c>
      <c r="G562" s="1" t="s">
        <v>74</v>
      </c>
      <c r="H562" s="1" t="s">
        <v>74</v>
      </c>
      <c r="I562" s="1" t="s">
        <v>5727</v>
      </c>
      <c r="J562" s="1" t="s">
        <v>5728</v>
      </c>
      <c r="K562" s="1" t="s">
        <v>74</v>
      </c>
      <c r="L562" s="1" t="s">
        <v>74</v>
      </c>
      <c r="M562" s="1" t="s">
        <v>74</v>
      </c>
      <c r="N562" s="1" t="s">
        <v>74</v>
      </c>
      <c r="O562" s="1" t="s">
        <v>74</v>
      </c>
      <c r="P562" s="1" t="s">
        <v>74</v>
      </c>
      <c r="Q562" s="1" t="s">
        <v>74</v>
      </c>
      <c r="R562" s="1" t="s">
        <v>74</v>
      </c>
      <c r="S562" s="1" t="s">
        <v>74</v>
      </c>
      <c r="T562" s="1" t="s">
        <v>74</v>
      </c>
      <c r="U562" s="1" t="s">
        <v>74</v>
      </c>
      <c r="V562" s="1" t="s">
        <v>5729</v>
      </c>
      <c r="W562" s="1" t="s">
        <v>74</v>
      </c>
      <c r="X562" s="1" t="s">
        <v>74</v>
      </c>
      <c r="Y562" s="1" t="s">
        <v>74</v>
      </c>
      <c r="Z562" s="1" t="s">
        <v>74</v>
      </c>
      <c r="AA562" s="1" t="s">
        <v>5730</v>
      </c>
      <c r="AB562" s="1" t="s">
        <v>5731</v>
      </c>
      <c r="AC562" s="1" t="s">
        <v>74</v>
      </c>
      <c r="AD562" s="1" t="s">
        <v>74</v>
      </c>
      <c r="AE562" s="1" t="s">
        <v>74</v>
      </c>
      <c r="AF562" s="1" t="s">
        <v>74</v>
      </c>
      <c r="AG562" s="1" t="s">
        <v>74</v>
      </c>
      <c r="AH562" s="1" t="s">
        <v>74</v>
      </c>
      <c r="AI562" s="1" t="s">
        <v>74</v>
      </c>
      <c r="AJ562" s="1" t="s">
        <v>74</v>
      </c>
      <c r="AK562" s="1" t="s">
        <v>74</v>
      </c>
      <c r="AL562" s="1" t="s">
        <v>74</v>
      </c>
      <c r="AM562" s="1" t="s">
        <v>74</v>
      </c>
      <c r="AN562" s="1" t="s">
        <v>74</v>
      </c>
      <c r="AO562" s="1" t="s">
        <v>5732</v>
      </c>
      <c r="AP562" s="1" t="s">
        <v>5733</v>
      </c>
      <c r="AQ562" s="1" t="s">
        <v>74</v>
      </c>
      <c r="AR562" s="1" t="s">
        <v>74</v>
      </c>
      <c r="AS562" s="1" t="s">
        <v>74</v>
      </c>
      <c r="AT562" s="1" t="s">
        <v>411</v>
      </c>
      <c r="AU562" s="1">
        <v>2014.0</v>
      </c>
      <c r="AV562" s="1">
        <v>59.0</v>
      </c>
      <c r="AW562" s="1" t="s">
        <v>74</v>
      </c>
      <c r="AX562" s="1" t="s">
        <v>74</v>
      </c>
      <c r="AY562" s="1" t="s">
        <v>74</v>
      </c>
      <c r="AZ562" s="1" t="s">
        <v>74</v>
      </c>
      <c r="BA562" s="1" t="s">
        <v>74</v>
      </c>
      <c r="BB562" s="1">
        <v>341.0</v>
      </c>
      <c r="BC562" s="1">
        <v>348.0</v>
      </c>
      <c r="BD562" s="1" t="s">
        <v>74</v>
      </c>
      <c r="BE562" s="1" t="s">
        <v>5734</v>
      </c>
      <c r="BF562" s="2" t="str">
        <f>HYPERLINK("http://dx.doi.org/10.1016/j.materresbull.2014.07.045","http://dx.doi.org/10.1016/j.materresbull.2014.07.045")</f>
        <v>http://dx.doi.org/10.1016/j.materresbull.2014.07.045</v>
      </c>
      <c r="BG562" s="1" t="s">
        <v>74</v>
      </c>
      <c r="BH562" s="1" t="s">
        <v>74</v>
      </c>
      <c r="BI562" s="1" t="s">
        <v>74</v>
      </c>
      <c r="BJ562" s="1" t="s">
        <v>74</v>
      </c>
      <c r="BK562" s="1" t="s">
        <v>74</v>
      </c>
      <c r="BL562" s="1" t="s">
        <v>74</v>
      </c>
      <c r="BM562" s="1" t="s">
        <v>74</v>
      </c>
      <c r="BN562" s="1" t="s">
        <v>74</v>
      </c>
      <c r="BO562" s="1" t="s">
        <v>74</v>
      </c>
      <c r="BP562" s="1" t="s">
        <v>74</v>
      </c>
      <c r="BQ562" s="1" t="s">
        <v>74</v>
      </c>
      <c r="BR562" s="1" t="s">
        <v>74</v>
      </c>
      <c r="BS562" s="1" t="s">
        <v>5735</v>
      </c>
      <c r="BT562" s="1" t="str">
        <f>HYPERLINK("https%3A%2F%2Fwww.webofscience.com%2Fwos%2Fwoscc%2Ffull-record%2FWOS:000342956000054","View Full Record in Web of Science")</f>
        <v>View Full Record in Web of Science</v>
      </c>
    </row>
    <row r="563" ht="12.75" customHeight="1">
      <c r="A563" s="1" t="s">
        <v>72</v>
      </c>
      <c r="B563" s="1" t="s">
        <v>5736</v>
      </c>
      <c r="C563" s="1" t="s">
        <v>74</v>
      </c>
      <c r="D563" s="1" t="s">
        <v>74</v>
      </c>
      <c r="E563" s="1" t="s">
        <v>74</v>
      </c>
      <c r="F563" s="1" t="s">
        <v>5737</v>
      </c>
      <c r="G563" s="1" t="s">
        <v>74</v>
      </c>
      <c r="H563" s="1" t="s">
        <v>74</v>
      </c>
      <c r="I563" s="1" t="s">
        <v>5738</v>
      </c>
      <c r="J563" s="1" t="s">
        <v>2726</v>
      </c>
      <c r="K563" s="1" t="s">
        <v>74</v>
      </c>
      <c r="L563" s="1" t="s">
        <v>74</v>
      </c>
      <c r="M563" s="1" t="s">
        <v>74</v>
      </c>
      <c r="N563" s="1" t="s">
        <v>74</v>
      </c>
      <c r="O563" s="1" t="s">
        <v>74</v>
      </c>
      <c r="P563" s="1" t="s">
        <v>74</v>
      </c>
      <c r="Q563" s="1" t="s">
        <v>74</v>
      </c>
      <c r="R563" s="1" t="s">
        <v>74</v>
      </c>
      <c r="S563" s="1" t="s">
        <v>74</v>
      </c>
      <c r="T563" s="1" t="s">
        <v>74</v>
      </c>
      <c r="U563" s="1" t="s">
        <v>74</v>
      </c>
      <c r="V563" s="1" t="s">
        <v>5739</v>
      </c>
      <c r="W563" s="1" t="s">
        <v>74</v>
      </c>
      <c r="X563" s="1" t="s">
        <v>74</v>
      </c>
      <c r="Y563" s="1" t="s">
        <v>74</v>
      </c>
      <c r="Z563" s="1" t="s">
        <v>74</v>
      </c>
      <c r="AA563" s="1" t="s">
        <v>5740</v>
      </c>
      <c r="AB563" s="1" t="s">
        <v>5741</v>
      </c>
      <c r="AC563" s="1" t="s">
        <v>74</v>
      </c>
      <c r="AD563" s="1" t="s">
        <v>74</v>
      </c>
      <c r="AE563" s="1" t="s">
        <v>74</v>
      </c>
      <c r="AF563" s="1" t="s">
        <v>74</v>
      </c>
      <c r="AG563" s="1" t="s">
        <v>74</v>
      </c>
      <c r="AH563" s="1" t="s">
        <v>74</v>
      </c>
      <c r="AI563" s="1" t="s">
        <v>74</v>
      </c>
      <c r="AJ563" s="1" t="s">
        <v>74</v>
      </c>
      <c r="AK563" s="1" t="s">
        <v>74</v>
      </c>
      <c r="AL563" s="1" t="s">
        <v>74</v>
      </c>
      <c r="AM563" s="1" t="s">
        <v>74</v>
      </c>
      <c r="AN563" s="1" t="s">
        <v>74</v>
      </c>
      <c r="AO563" s="1" t="s">
        <v>2730</v>
      </c>
      <c r="AP563" s="1" t="s">
        <v>2731</v>
      </c>
      <c r="AQ563" s="1" t="s">
        <v>74</v>
      </c>
      <c r="AR563" s="1" t="s">
        <v>74</v>
      </c>
      <c r="AS563" s="1" t="s">
        <v>74</v>
      </c>
      <c r="AT563" s="1" t="s">
        <v>1141</v>
      </c>
      <c r="AU563" s="1">
        <v>2012.0</v>
      </c>
      <c r="AV563" s="1">
        <v>102.0</v>
      </c>
      <c r="AW563" s="1" t="s">
        <v>74</v>
      </c>
      <c r="AX563" s="1" t="s">
        <v>74</v>
      </c>
      <c r="AY563" s="1" t="s">
        <v>74</v>
      </c>
      <c r="AZ563" s="1" t="s">
        <v>74</v>
      </c>
      <c r="BA563" s="1" t="s">
        <v>74</v>
      </c>
      <c r="BB563" s="1">
        <v>124.0</v>
      </c>
      <c r="BC563" s="1">
        <v>129.0</v>
      </c>
      <c r="BD563" s="1" t="s">
        <v>74</v>
      </c>
      <c r="BE563" s="1" t="s">
        <v>5742</v>
      </c>
      <c r="BF563" s="2" t="str">
        <f>HYPERLINK("http://dx.doi.org/10.1016/j.minpro.2011.11.008","http://dx.doi.org/10.1016/j.minpro.2011.11.008")</f>
        <v>http://dx.doi.org/10.1016/j.minpro.2011.11.008</v>
      </c>
      <c r="BG563" s="1" t="s">
        <v>74</v>
      </c>
      <c r="BH563" s="1" t="s">
        <v>74</v>
      </c>
      <c r="BI563" s="1" t="s">
        <v>74</v>
      </c>
      <c r="BJ563" s="1" t="s">
        <v>74</v>
      </c>
      <c r="BK563" s="1" t="s">
        <v>74</v>
      </c>
      <c r="BL563" s="1" t="s">
        <v>74</v>
      </c>
      <c r="BM563" s="1" t="s">
        <v>74</v>
      </c>
      <c r="BN563" s="1" t="s">
        <v>74</v>
      </c>
      <c r="BO563" s="1" t="s">
        <v>74</v>
      </c>
      <c r="BP563" s="1" t="s">
        <v>74</v>
      </c>
      <c r="BQ563" s="1" t="s">
        <v>74</v>
      </c>
      <c r="BR563" s="1" t="s">
        <v>74</v>
      </c>
      <c r="BS563" s="1" t="s">
        <v>5743</v>
      </c>
      <c r="BT563" s="1" t="str">
        <f>HYPERLINK("https%3A%2F%2Fwww.webofscience.com%2Fwos%2Fwoscc%2Ffull-record%2FWOS:000300811800017","View Full Record in Web of Science")</f>
        <v>View Full Record in Web of Science</v>
      </c>
    </row>
    <row r="564" ht="12.75" customHeight="1">
      <c r="A564" s="1" t="s">
        <v>72</v>
      </c>
      <c r="B564" s="1" t="s">
        <v>5744</v>
      </c>
      <c r="C564" s="1" t="s">
        <v>74</v>
      </c>
      <c r="D564" s="1" t="s">
        <v>74</v>
      </c>
      <c r="E564" s="1" t="s">
        <v>74</v>
      </c>
      <c r="F564" s="1" t="s">
        <v>5745</v>
      </c>
      <c r="G564" s="1" t="s">
        <v>74</v>
      </c>
      <c r="H564" s="1" t="s">
        <v>74</v>
      </c>
      <c r="I564" s="1" t="s">
        <v>5746</v>
      </c>
      <c r="J564" s="1" t="s">
        <v>5747</v>
      </c>
      <c r="K564" s="1" t="s">
        <v>74</v>
      </c>
      <c r="L564" s="1" t="s">
        <v>74</v>
      </c>
      <c r="M564" s="1" t="s">
        <v>74</v>
      </c>
      <c r="N564" s="1" t="s">
        <v>74</v>
      </c>
      <c r="O564" s="1" t="s">
        <v>74</v>
      </c>
      <c r="P564" s="1" t="s">
        <v>74</v>
      </c>
      <c r="Q564" s="1" t="s">
        <v>74</v>
      </c>
      <c r="R564" s="1" t="s">
        <v>74</v>
      </c>
      <c r="S564" s="1" t="s">
        <v>74</v>
      </c>
      <c r="T564" s="1" t="s">
        <v>74</v>
      </c>
      <c r="U564" s="1" t="s">
        <v>74</v>
      </c>
      <c r="V564" s="1" t="s">
        <v>5748</v>
      </c>
      <c r="W564" s="1" t="s">
        <v>74</v>
      </c>
      <c r="X564" s="1" t="s">
        <v>74</v>
      </c>
      <c r="Y564" s="1" t="s">
        <v>74</v>
      </c>
      <c r="Z564" s="1" t="s">
        <v>74</v>
      </c>
      <c r="AA564" s="1" t="s">
        <v>5749</v>
      </c>
      <c r="AB564" s="1" t="s">
        <v>5750</v>
      </c>
      <c r="AC564" s="1" t="s">
        <v>74</v>
      </c>
      <c r="AD564" s="1" t="s">
        <v>74</v>
      </c>
      <c r="AE564" s="1" t="s">
        <v>74</v>
      </c>
      <c r="AF564" s="1" t="s">
        <v>74</v>
      </c>
      <c r="AG564" s="1" t="s">
        <v>74</v>
      </c>
      <c r="AH564" s="1" t="s">
        <v>74</v>
      </c>
      <c r="AI564" s="1" t="s">
        <v>74</v>
      </c>
      <c r="AJ564" s="1" t="s">
        <v>74</v>
      </c>
      <c r="AK564" s="1" t="s">
        <v>74</v>
      </c>
      <c r="AL564" s="1" t="s">
        <v>74</v>
      </c>
      <c r="AM564" s="1" t="s">
        <v>74</v>
      </c>
      <c r="AN564" s="1" t="s">
        <v>74</v>
      </c>
      <c r="AO564" s="1" t="s">
        <v>5751</v>
      </c>
      <c r="AP564" s="1" t="s">
        <v>5752</v>
      </c>
      <c r="AQ564" s="1" t="s">
        <v>74</v>
      </c>
      <c r="AR564" s="1" t="s">
        <v>74</v>
      </c>
      <c r="AS564" s="1" t="s">
        <v>74</v>
      </c>
      <c r="AT564" s="1" t="s">
        <v>559</v>
      </c>
      <c r="AU564" s="1">
        <v>2011.0</v>
      </c>
      <c r="AV564" s="1">
        <v>13.0</v>
      </c>
      <c r="AW564" s="1">
        <v>12.0</v>
      </c>
      <c r="AX564" s="1" t="s">
        <v>74</v>
      </c>
      <c r="AY564" s="1" t="s">
        <v>74</v>
      </c>
      <c r="AZ564" s="1" t="s">
        <v>74</v>
      </c>
      <c r="BA564" s="1" t="s">
        <v>74</v>
      </c>
      <c r="BB564" s="1">
        <v>6545.0</v>
      </c>
      <c r="BC564" s="1">
        <v>6553.0</v>
      </c>
      <c r="BD564" s="1" t="s">
        <v>74</v>
      </c>
      <c r="BE564" s="1" t="s">
        <v>5753</v>
      </c>
      <c r="BF564" s="2" t="str">
        <f>HYPERLINK("http://dx.doi.org/10.1007/s11051-011-0559-9","http://dx.doi.org/10.1007/s11051-011-0559-9")</f>
        <v>http://dx.doi.org/10.1007/s11051-011-0559-9</v>
      </c>
      <c r="BG564" s="1" t="s">
        <v>74</v>
      </c>
      <c r="BH564" s="1" t="s">
        <v>74</v>
      </c>
      <c r="BI564" s="1" t="s">
        <v>74</v>
      </c>
      <c r="BJ564" s="1" t="s">
        <v>74</v>
      </c>
      <c r="BK564" s="1" t="s">
        <v>74</v>
      </c>
      <c r="BL564" s="1" t="s">
        <v>74</v>
      </c>
      <c r="BM564" s="1" t="s">
        <v>74</v>
      </c>
      <c r="BN564" s="1" t="s">
        <v>74</v>
      </c>
      <c r="BO564" s="1" t="s">
        <v>74</v>
      </c>
      <c r="BP564" s="1" t="s">
        <v>74</v>
      </c>
      <c r="BQ564" s="1" t="s">
        <v>74</v>
      </c>
      <c r="BR564" s="1" t="s">
        <v>74</v>
      </c>
      <c r="BS564" s="1" t="s">
        <v>5754</v>
      </c>
      <c r="BT564" s="1" t="str">
        <f>HYPERLINK("https%3A%2F%2Fwww.webofscience.com%2Fwos%2Fwoscc%2Ffull-record%2FWOS:000298056100031","View Full Record in Web of Science")</f>
        <v>View Full Record in Web of Science</v>
      </c>
    </row>
    <row r="565" ht="12.75" customHeight="1">
      <c r="A565" s="1" t="s">
        <v>72</v>
      </c>
      <c r="B565" s="1" t="s">
        <v>5755</v>
      </c>
      <c r="C565" s="1" t="s">
        <v>74</v>
      </c>
      <c r="D565" s="1" t="s">
        <v>74</v>
      </c>
      <c r="E565" s="1" t="s">
        <v>74</v>
      </c>
      <c r="F565" s="1" t="s">
        <v>5756</v>
      </c>
      <c r="G565" s="1" t="s">
        <v>74</v>
      </c>
      <c r="H565" s="1" t="s">
        <v>74</v>
      </c>
      <c r="I565" s="1" t="s">
        <v>5757</v>
      </c>
      <c r="J565" s="1" t="s">
        <v>2980</v>
      </c>
      <c r="K565" s="1" t="s">
        <v>74</v>
      </c>
      <c r="L565" s="1" t="s">
        <v>74</v>
      </c>
      <c r="M565" s="1" t="s">
        <v>74</v>
      </c>
      <c r="N565" s="1" t="s">
        <v>74</v>
      </c>
      <c r="O565" s="1" t="s">
        <v>74</v>
      </c>
      <c r="P565" s="1" t="s">
        <v>74</v>
      </c>
      <c r="Q565" s="1" t="s">
        <v>74</v>
      </c>
      <c r="R565" s="1" t="s">
        <v>74</v>
      </c>
      <c r="S565" s="1" t="s">
        <v>74</v>
      </c>
      <c r="T565" s="1" t="s">
        <v>74</v>
      </c>
      <c r="U565" s="1" t="s">
        <v>74</v>
      </c>
      <c r="V565" s="1" t="s">
        <v>5758</v>
      </c>
      <c r="W565" s="1" t="s">
        <v>74</v>
      </c>
      <c r="X565" s="1" t="s">
        <v>74</v>
      </c>
      <c r="Y565" s="1" t="s">
        <v>74</v>
      </c>
      <c r="Z565" s="1" t="s">
        <v>74</v>
      </c>
      <c r="AA565" s="1" t="s">
        <v>5759</v>
      </c>
      <c r="AB565" s="1" t="s">
        <v>5760</v>
      </c>
      <c r="AC565" s="1" t="s">
        <v>74</v>
      </c>
      <c r="AD565" s="1" t="s">
        <v>74</v>
      </c>
      <c r="AE565" s="1" t="s">
        <v>74</v>
      </c>
      <c r="AF565" s="1" t="s">
        <v>74</v>
      </c>
      <c r="AG565" s="1" t="s">
        <v>74</v>
      </c>
      <c r="AH565" s="1" t="s">
        <v>74</v>
      </c>
      <c r="AI565" s="1" t="s">
        <v>74</v>
      </c>
      <c r="AJ565" s="1" t="s">
        <v>74</v>
      </c>
      <c r="AK565" s="1" t="s">
        <v>74</v>
      </c>
      <c r="AL565" s="1" t="s">
        <v>74</v>
      </c>
      <c r="AM565" s="1" t="s">
        <v>74</v>
      </c>
      <c r="AN565" s="1" t="s">
        <v>74</v>
      </c>
      <c r="AO565" s="1" t="s">
        <v>2984</v>
      </c>
      <c r="AP565" s="1" t="s">
        <v>2985</v>
      </c>
      <c r="AQ565" s="1" t="s">
        <v>74</v>
      </c>
      <c r="AR565" s="1" t="s">
        <v>74</v>
      </c>
      <c r="AS565" s="1" t="s">
        <v>74</v>
      </c>
      <c r="AT565" s="1" t="s">
        <v>155</v>
      </c>
      <c r="AU565" s="1">
        <v>2009.0</v>
      </c>
      <c r="AV565" s="1">
        <v>44.0</v>
      </c>
      <c r="AW565" s="1">
        <v>7.0</v>
      </c>
      <c r="AX565" s="1" t="s">
        <v>74</v>
      </c>
      <c r="AY565" s="1" t="s">
        <v>74</v>
      </c>
      <c r="AZ565" s="1" t="s">
        <v>74</v>
      </c>
      <c r="BA565" s="1" t="s">
        <v>74</v>
      </c>
      <c r="BB565" s="1">
        <v>673.0</v>
      </c>
      <c r="BC565" s="1">
        <v>681.0</v>
      </c>
      <c r="BD565" s="1" t="s">
        <v>74</v>
      </c>
      <c r="BE565" s="1" t="s">
        <v>5761</v>
      </c>
      <c r="BF565" s="2" t="str">
        <f>HYPERLINK("http://dx.doi.org/10.1080/10934520902847794","http://dx.doi.org/10.1080/10934520902847794")</f>
        <v>http://dx.doi.org/10.1080/10934520902847794</v>
      </c>
      <c r="BG565" s="1" t="s">
        <v>74</v>
      </c>
      <c r="BH565" s="1" t="s">
        <v>74</v>
      </c>
      <c r="BI565" s="1" t="s">
        <v>74</v>
      </c>
      <c r="BJ565" s="1" t="s">
        <v>74</v>
      </c>
      <c r="BK565" s="1" t="s">
        <v>74</v>
      </c>
      <c r="BL565" s="1" t="s">
        <v>74</v>
      </c>
      <c r="BM565" s="1" t="s">
        <v>74</v>
      </c>
      <c r="BN565" s="1">
        <v>1.9412849E7</v>
      </c>
      <c r="BO565" s="1" t="s">
        <v>74</v>
      </c>
      <c r="BP565" s="1" t="s">
        <v>74</v>
      </c>
      <c r="BQ565" s="1" t="s">
        <v>74</v>
      </c>
      <c r="BR565" s="1" t="s">
        <v>74</v>
      </c>
      <c r="BS565" s="1" t="s">
        <v>5762</v>
      </c>
      <c r="BT565" s="1" t="str">
        <f>HYPERLINK("https%3A%2F%2Fwww.webofscience.com%2Fwos%2Fwoscc%2Ffull-record%2FWOS:000268249000006","View Full Record in Web of Science")</f>
        <v>View Full Record in Web of Science</v>
      </c>
    </row>
    <row r="566" ht="12.75" customHeight="1">
      <c r="A566" s="1" t="s">
        <v>72</v>
      </c>
      <c r="B566" s="1" t="s">
        <v>5763</v>
      </c>
      <c r="C566" s="1" t="s">
        <v>74</v>
      </c>
      <c r="D566" s="1" t="s">
        <v>74</v>
      </c>
      <c r="E566" s="1" t="s">
        <v>74</v>
      </c>
      <c r="F566" s="1" t="s">
        <v>5764</v>
      </c>
      <c r="G566" s="1" t="s">
        <v>74</v>
      </c>
      <c r="H566" s="1" t="s">
        <v>74</v>
      </c>
      <c r="I566" s="1" t="s">
        <v>5765</v>
      </c>
      <c r="J566" s="1" t="s">
        <v>5766</v>
      </c>
      <c r="K566" s="1" t="s">
        <v>74</v>
      </c>
      <c r="L566" s="1" t="s">
        <v>74</v>
      </c>
      <c r="M566" s="1" t="s">
        <v>74</v>
      </c>
      <c r="N566" s="1" t="s">
        <v>74</v>
      </c>
      <c r="O566" s="1" t="s">
        <v>74</v>
      </c>
      <c r="P566" s="1" t="s">
        <v>74</v>
      </c>
      <c r="Q566" s="1" t="s">
        <v>74</v>
      </c>
      <c r="R566" s="1" t="s">
        <v>74</v>
      </c>
      <c r="S566" s="1" t="s">
        <v>74</v>
      </c>
      <c r="T566" s="1" t="s">
        <v>74</v>
      </c>
      <c r="U566" s="1" t="s">
        <v>74</v>
      </c>
      <c r="V566" s="1" t="s">
        <v>5767</v>
      </c>
      <c r="W566" s="1" t="s">
        <v>74</v>
      </c>
      <c r="X566" s="1" t="s">
        <v>74</v>
      </c>
      <c r="Y566" s="1" t="s">
        <v>74</v>
      </c>
      <c r="Z566" s="1" t="s">
        <v>74</v>
      </c>
      <c r="AA566" s="1" t="s">
        <v>5768</v>
      </c>
      <c r="AB566" s="1" t="s">
        <v>5769</v>
      </c>
      <c r="AC566" s="1" t="s">
        <v>74</v>
      </c>
      <c r="AD566" s="1" t="s">
        <v>74</v>
      </c>
      <c r="AE566" s="1" t="s">
        <v>74</v>
      </c>
      <c r="AF566" s="1" t="s">
        <v>74</v>
      </c>
      <c r="AG566" s="1" t="s">
        <v>74</v>
      </c>
      <c r="AH566" s="1" t="s">
        <v>74</v>
      </c>
      <c r="AI566" s="1" t="s">
        <v>74</v>
      </c>
      <c r="AJ566" s="1" t="s">
        <v>74</v>
      </c>
      <c r="AK566" s="1" t="s">
        <v>74</v>
      </c>
      <c r="AL566" s="1" t="s">
        <v>74</v>
      </c>
      <c r="AM566" s="1" t="s">
        <v>74</v>
      </c>
      <c r="AN566" s="1" t="s">
        <v>74</v>
      </c>
      <c r="AO566" s="1" t="s">
        <v>5770</v>
      </c>
      <c r="AP566" s="1" t="s">
        <v>5771</v>
      </c>
      <c r="AQ566" s="1" t="s">
        <v>74</v>
      </c>
      <c r="AR566" s="1" t="s">
        <v>74</v>
      </c>
      <c r="AS566" s="1" t="s">
        <v>74</v>
      </c>
      <c r="AT566" s="1" t="s">
        <v>316</v>
      </c>
      <c r="AU566" s="1">
        <v>2008.0</v>
      </c>
      <c r="AV566" s="1">
        <v>44.0</v>
      </c>
      <c r="AW566" s="1">
        <v>5.0</v>
      </c>
      <c r="AX566" s="1" t="s">
        <v>74</v>
      </c>
      <c r="AY566" s="1" t="s">
        <v>74</v>
      </c>
      <c r="AZ566" s="1" t="s">
        <v>74</v>
      </c>
      <c r="BA566" s="1" t="s">
        <v>74</v>
      </c>
      <c r="BB566" s="1">
        <v>1315.0</v>
      </c>
      <c r="BC566" s="1">
        <v>1321.0</v>
      </c>
      <c r="BD566" s="1" t="s">
        <v>74</v>
      </c>
      <c r="BE566" s="1" t="s">
        <v>5772</v>
      </c>
      <c r="BF566" s="2" t="str">
        <f>HYPERLINK("http://dx.doi.org/10.1111/j.1529-8817.2008.00575.x","http://dx.doi.org/10.1111/j.1529-8817.2008.00575.x")</f>
        <v>http://dx.doi.org/10.1111/j.1529-8817.2008.00575.x</v>
      </c>
      <c r="BG566" s="1" t="s">
        <v>74</v>
      </c>
      <c r="BH566" s="1" t="s">
        <v>74</v>
      </c>
      <c r="BI566" s="1" t="s">
        <v>74</v>
      </c>
      <c r="BJ566" s="1" t="s">
        <v>74</v>
      </c>
      <c r="BK566" s="1" t="s">
        <v>74</v>
      </c>
      <c r="BL566" s="1" t="s">
        <v>74</v>
      </c>
      <c r="BM566" s="1" t="s">
        <v>74</v>
      </c>
      <c r="BN566" s="1">
        <v>2.7041728E7</v>
      </c>
      <c r="BO566" s="1" t="s">
        <v>74</v>
      </c>
      <c r="BP566" s="1" t="s">
        <v>74</v>
      </c>
      <c r="BQ566" s="1" t="s">
        <v>74</v>
      </c>
      <c r="BR566" s="1" t="s">
        <v>74</v>
      </c>
      <c r="BS566" s="1" t="s">
        <v>5773</v>
      </c>
      <c r="BT566" s="1" t="str">
        <f>HYPERLINK("https%3A%2F%2Fwww.webofscience.com%2Fwos%2Fwoscc%2Ffull-record%2FWOS:000259866800023","View Full Record in Web of Science")</f>
        <v>View Full Record in Web of Science</v>
      </c>
    </row>
    <row r="567" ht="12.75" customHeight="1">
      <c r="A567" s="1" t="s">
        <v>72</v>
      </c>
      <c r="B567" s="1" t="s">
        <v>1012</v>
      </c>
      <c r="C567" s="1" t="s">
        <v>74</v>
      </c>
      <c r="D567" s="1" t="s">
        <v>74</v>
      </c>
      <c r="E567" s="1" t="s">
        <v>74</v>
      </c>
      <c r="F567" s="1" t="s">
        <v>1013</v>
      </c>
      <c r="G567" s="1" t="s">
        <v>74</v>
      </c>
      <c r="H567" s="1" t="s">
        <v>74</v>
      </c>
      <c r="I567" s="1" t="s">
        <v>5774</v>
      </c>
      <c r="J567" s="1" t="s">
        <v>2747</v>
      </c>
      <c r="K567" s="1" t="s">
        <v>74</v>
      </c>
      <c r="L567" s="1" t="s">
        <v>74</v>
      </c>
      <c r="M567" s="1" t="s">
        <v>74</v>
      </c>
      <c r="N567" s="1" t="s">
        <v>74</v>
      </c>
      <c r="O567" s="1" t="s">
        <v>74</v>
      </c>
      <c r="P567" s="1" t="s">
        <v>74</v>
      </c>
      <c r="Q567" s="1" t="s">
        <v>74</v>
      </c>
      <c r="R567" s="1" t="s">
        <v>74</v>
      </c>
      <c r="S567" s="1" t="s">
        <v>74</v>
      </c>
      <c r="T567" s="1" t="s">
        <v>74</v>
      </c>
      <c r="U567" s="1" t="s">
        <v>74</v>
      </c>
      <c r="V567" s="1" t="s">
        <v>5775</v>
      </c>
      <c r="W567" s="1" t="s">
        <v>74</v>
      </c>
      <c r="X567" s="1" t="s">
        <v>74</v>
      </c>
      <c r="Y567" s="1" t="s">
        <v>74</v>
      </c>
      <c r="Z567" s="1" t="s">
        <v>74</v>
      </c>
      <c r="AA567" s="1" t="s">
        <v>1017</v>
      </c>
      <c r="AB567" s="1" t="s">
        <v>1018</v>
      </c>
      <c r="AC567" s="1" t="s">
        <v>74</v>
      </c>
      <c r="AD567" s="1" t="s">
        <v>74</v>
      </c>
      <c r="AE567" s="1" t="s">
        <v>74</v>
      </c>
      <c r="AF567" s="1" t="s">
        <v>74</v>
      </c>
      <c r="AG567" s="1" t="s">
        <v>74</v>
      </c>
      <c r="AH567" s="1" t="s">
        <v>74</v>
      </c>
      <c r="AI567" s="1" t="s">
        <v>74</v>
      </c>
      <c r="AJ567" s="1" t="s">
        <v>74</v>
      </c>
      <c r="AK567" s="1" t="s">
        <v>74</v>
      </c>
      <c r="AL567" s="1" t="s">
        <v>74</v>
      </c>
      <c r="AM567" s="1" t="s">
        <v>74</v>
      </c>
      <c r="AN567" s="1" t="s">
        <v>74</v>
      </c>
      <c r="AO567" s="1" t="s">
        <v>2749</v>
      </c>
      <c r="AP567" s="1" t="s">
        <v>74</v>
      </c>
      <c r="AQ567" s="1" t="s">
        <v>74</v>
      </c>
      <c r="AR567" s="1" t="s">
        <v>74</v>
      </c>
      <c r="AS567" s="1" t="s">
        <v>74</v>
      </c>
      <c r="AT567" s="1" t="s">
        <v>83</v>
      </c>
      <c r="AU567" s="1">
        <v>2008.0</v>
      </c>
      <c r="AV567" s="1">
        <v>19.0</v>
      </c>
      <c r="AW567" s="1">
        <v>2.0</v>
      </c>
      <c r="AX567" s="1" t="s">
        <v>74</v>
      </c>
      <c r="AY567" s="1" t="s">
        <v>74</v>
      </c>
      <c r="AZ567" s="1" t="s">
        <v>74</v>
      </c>
      <c r="BA567" s="1" t="s">
        <v>74</v>
      </c>
      <c r="BB567" s="1">
        <v>21.0</v>
      </c>
      <c r="BC567" s="1" t="s">
        <v>661</v>
      </c>
      <c r="BD567" s="1" t="s">
        <v>74</v>
      </c>
      <c r="BE567" s="1" t="s">
        <v>74</v>
      </c>
      <c r="BF567" s="1" t="s">
        <v>74</v>
      </c>
      <c r="BG567" s="1" t="s">
        <v>74</v>
      </c>
      <c r="BH567" s="1" t="s">
        <v>74</v>
      </c>
      <c r="BI567" s="1" t="s">
        <v>74</v>
      </c>
      <c r="BJ567" s="1" t="s">
        <v>74</v>
      </c>
      <c r="BK567" s="1" t="s">
        <v>74</v>
      </c>
      <c r="BL567" s="1" t="s">
        <v>74</v>
      </c>
      <c r="BM567" s="1" t="s">
        <v>74</v>
      </c>
      <c r="BN567" s="1" t="s">
        <v>74</v>
      </c>
      <c r="BO567" s="1" t="s">
        <v>74</v>
      </c>
      <c r="BP567" s="1" t="s">
        <v>74</v>
      </c>
      <c r="BQ567" s="1" t="s">
        <v>74</v>
      </c>
      <c r="BR567" s="1" t="s">
        <v>74</v>
      </c>
      <c r="BS567" s="1" t="s">
        <v>5776</v>
      </c>
      <c r="BT567" s="1" t="str">
        <f>HYPERLINK("https%3A%2F%2Fwww.webofscience.com%2Fwos%2Fwoscc%2Ffull-record%2FWOS:000256440000004","View Full Record in Web of Science")</f>
        <v>View Full Record in Web of Science</v>
      </c>
    </row>
    <row r="568" ht="12.75" customHeight="1">
      <c r="A568" s="1" t="s">
        <v>72</v>
      </c>
      <c r="B568" s="1" t="s">
        <v>5777</v>
      </c>
      <c r="C568" s="1" t="s">
        <v>74</v>
      </c>
      <c r="D568" s="1" t="s">
        <v>74</v>
      </c>
      <c r="E568" s="1" t="s">
        <v>74</v>
      </c>
      <c r="F568" s="1" t="s">
        <v>5778</v>
      </c>
      <c r="G568" s="1" t="s">
        <v>74</v>
      </c>
      <c r="H568" s="1" t="s">
        <v>74</v>
      </c>
      <c r="I568" s="1" t="s">
        <v>5779</v>
      </c>
      <c r="J568" s="1" t="s">
        <v>5780</v>
      </c>
      <c r="K568" s="1" t="s">
        <v>74</v>
      </c>
      <c r="L568" s="1" t="s">
        <v>74</v>
      </c>
      <c r="M568" s="1" t="s">
        <v>74</v>
      </c>
      <c r="N568" s="1" t="s">
        <v>74</v>
      </c>
      <c r="O568" s="1" t="s">
        <v>74</v>
      </c>
      <c r="P568" s="1" t="s">
        <v>74</v>
      </c>
      <c r="Q568" s="1" t="s">
        <v>74</v>
      </c>
      <c r="R568" s="1" t="s">
        <v>74</v>
      </c>
      <c r="S568" s="1" t="s">
        <v>74</v>
      </c>
      <c r="T568" s="1" t="s">
        <v>74</v>
      </c>
      <c r="U568" s="1" t="s">
        <v>74</v>
      </c>
      <c r="V568" s="1" t="s">
        <v>5781</v>
      </c>
      <c r="W568" s="1" t="s">
        <v>74</v>
      </c>
      <c r="X568" s="1" t="s">
        <v>74</v>
      </c>
      <c r="Y568" s="1" t="s">
        <v>74</v>
      </c>
      <c r="Z568" s="1" t="s">
        <v>74</v>
      </c>
      <c r="AA568" s="1" t="s">
        <v>74</v>
      </c>
      <c r="AB568" s="1" t="s">
        <v>5782</v>
      </c>
      <c r="AC568" s="1" t="s">
        <v>74</v>
      </c>
      <c r="AD568" s="1" t="s">
        <v>74</v>
      </c>
      <c r="AE568" s="1" t="s">
        <v>74</v>
      </c>
      <c r="AF568" s="1" t="s">
        <v>74</v>
      </c>
      <c r="AG568" s="1" t="s">
        <v>74</v>
      </c>
      <c r="AH568" s="1" t="s">
        <v>74</v>
      </c>
      <c r="AI568" s="1" t="s">
        <v>74</v>
      </c>
      <c r="AJ568" s="1" t="s">
        <v>74</v>
      </c>
      <c r="AK568" s="1" t="s">
        <v>74</v>
      </c>
      <c r="AL568" s="1" t="s">
        <v>74</v>
      </c>
      <c r="AM568" s="1" t="s">
        <v>74</v>
      </c>
      <c r="AN568" s="1" t="s">
        <v>74</v>
      </c>
      <c r="AO568" s="1" t="s">
        <v>5783</v>
      </c>
      <c r="AP568" s="1" t="s">
        <v>74</v>
      </c>
      <c r="AQ568" s="1" t="s">
        <v>74</v>
      </c>
      <c r="AR568" s="1" t="s">
        <v>74</v>
      </c>
      <c r="AS568" s="1" t="s">
        <v>74</v>
      </c>
      <c r="AT568" s="1" t="s">
        <v>129</v>
      </c>
      <c r="AU568" s="1">
        <v>2008.0</v>
      </c>
      <c r="AV568" s="1">
        <v>30.0</v>
      </c>
      <c r="AW568" s="1">
        <v>1.0</v>
      </c>
      <c r="AX568" s="1" t="s">
        <v>74</v>
      </c>
      <c r="AY568" s="1" t="s">
        <v>74</v>
      </c>
      <c r="AZ568" s="1" t="s">
        <v>74</v>
      </c>
      <c r="BA568" s="1" t="s">
        <v>74</v>
      </c>
      <c r="BB568" s="1">
        <v>19.0</v>
      </c>
      <c r="BC568" s="1">
        <v>32.0</v>
      </c>
      <c r="BD568" s="1" t="s">
        <v>74</v>
      </c>
      <c r="BE568" s="1" t="s">
        <v>5784</v>
      </c>
      <c r="BF568" s="2" t="str">
        <f>HYPERLINK("http://dx.doi.org/10.1016/j.jpolmod.2007.09.001","http://dx.doi.org/10.1016/j.jpolmod.2007.09.001")</f>
        <v>http://dx.doi.org/10.1016/j.jpolmod.2007.09.001</v>
      </c>
      <c r="BG568" s="1" t="s">
        <v>74</v>
      </c>
      <c r="BH568" s="1" t="s">
        <v>74</v>
      </c>
      <c r="BI568" s="1" t="s">
        <v>74</v>
      </c>
      <c r="BJ568" s="1" t="s">
        <v>74</v>
      </c>
      <c r="BK568" s="1" t="s">
        <v>74</v>
      </c>
      <c r="BL568" s="1" t="s">
        <v>74</v>
      </c>
      <c r="BM568" s="1" t="s">
        <v>74</v>
      </c>
      <c r="BN568" s="1" t="s">
        <v>74</v>
      </c>
      <c r="BO568" s="1" t="s">
        <v>74</v>
      </c>
      <c r="BP568" s="1" t="s">
        <v>74</v>
      </c>
      <c r="BQ568" s="1" t="s">
        <v>74</v>
      </c>
      <c r="BR568" s="1" t="s">
        <v>74</v>
      </c>
      <c r="BS568" s="1" t="s">
        <v>5785</v>
      </c>
      <c r="BT568" s="1" t="str">
        <f>HYPERLINK("https%3A%2F%2Fwww.webofscience.com%2Fwos%2Fwoscc%2Ffull-record%2FWOS:000252783800002","View Full Record in Web of Science")</f>
        <v>View Full Record in Web of Science</v>
      </c>
    </row>
    <row r="569" ht="12.75" customHeight="1">
      <c r="A569" s="1" t="s">
        <v>72</v>
      </c>
      <c r="B569" s="1" t="s">
        <v>5786</v>
      </c>
      <c r="C569" s="1" t="s">
        <v>74</v>
      </c>
      <c r="D569" s="1" t="s">
        <v>74</v>
      </c>
      <c r="E569" s="1" t="s">
        <v>74</v>
      </c>
      <c r="F569" s="1" t="s">
        <v>5787</v>
      </c>
      <c r="G569" s="1" t="s">
        <v>74</v>
      </c>
      <c r="H569" s="1" t="s">
        <v>74</v>
      </c>
      <c r="I569" s="1" t="s">
        <v>5788</v>
      </c>
      <c r="J569" s="1" t="s">
        <v>5789</v>
      </c>
      <c r="K569" s="1" t="s">
        <v>74</v>
      </c>
      <c r="L569" s="1" t="s">
        <v>74</v>
      </c>
      <c r="M569" s="1" t="s">
        <v>74</v>
      </c>
      <c r="N569" s="1" t="s">
        <v>74</v>
      </c>
      <c r="O569" s="1" t="s">
        <v>74</v>
      </c>
      <c r="P569" s="1" t="s">
        <v>74</v>
      </c>
      <c r="Q569" s="1" t="s">
        <v>74</v>
      </c>
      <c r="R569" s="1" t="s">
        <v>74</v>
      </c>
      <c r="S569" s="1" t="s">
        <v>74</v>
      </c>
      <c r="T569" s="1" t="s">
        <v>74</v>
      </c>
      <c r="U569" s="1" t="s">
        <v>74</v>
      </c>
      <c r="V569" s="1" t="s">
        <v>5790</v>
      </c>
      <c r="W569" s="1" t="s">
        <v>74</v>
      </c>
      <c r="X569" s="1" t="s">
        <v>74</v>
      </c>
      <c r="Y569" s="1" t="s">
        <v>74</v>
      </c>
      <c r="Z569" s="1" t="s">
        <v>74</v>
      </c>
      <c r="AA569" s="1" t="s">
        <v>74</v>
      </c>
      <c r="AB569" s="1" t="s">
        <v>5791</v>
      </c>
      <c r="AC569" s="1" t="s">
        <v>74</v>
      </c>
      <c r="AD569" s="1" t="s">
        <v>74</v>
      </c>
      <c r="AE569" s="1" t="s">
        <v>74</v>
      </c>
      <c r="AF569" s="1" t="s">
        <v>74</v>
      </c>
      <c r="AG569" s="1" t="s">
        <v>74</v>
      </c>
      <c r="AH569" s="1" t="s">
        <v>74</v>
      </c>
      <c r="AI569" s="1" t="s">
        <v>74</v>
      </c>
      <c r="AJ569" s="1" t="s">
        <v>74</v>
      </c>
      <c r="AK569" s="1" t="s">
        <v>74</v>
      </c>
      <c r="AL569" s="1" t="s">
        <v>74</v>
      </c>
      <c r="AM569" s="1" t="s">
        <v>74</v>
      </c>
      <c r="AN569" s="1" t="s">
        <v>74</v>
      </c>
      <c r="AO569" s="1" t="s">
        <v>5792</v>
      </c>
      <c r="AP569" s="1" t="s">
        <v>5793</v>
      </c>
      <c r="AQ569" s="1" t="s">
        <v>74</v>
      </c>
      <c r="AR569" s="1" t="s">
        <v>74</v>
      </c>
      <c r="AS569" s="1" t="s">
        <v>74</v>
      </c>
      <c r="AT569" s="1" t="s">
        <v>215</v>
      </c>
      <c r="AU569" s="1">
        <v>2007.0</v>
      </c>
      <c r="AV569" s="1">
        <v>26.0</v>
      </c>
      <c r="AW569" s="1">
        <v>2.0</v>
      </c>
      <c r="AX569" s="1" t="s">
        <v>74</v>
      </c>
      <c r="AY569" s="1" t="s">
        <v>74</v>
      </c>
      <c r="AZ569" s="1" t="s">
        <v>74</v>
      </c>
      <c r="BA569" s="1" t="s">
        <v>74</v>
      </c>
      <c r="BB569" s="1">
        <v>272.0</v>
      </c>
      <c r="BC569" s="1">
        <v>280.0</v>
      </c>
      <c r="BD569" s="1" t="s">
        <v>74</v>
      </c>
      <c r="BE569" s="1" t="s">
        <v>5794</v>
      </c>
      <c r="BF569" s="2" t="str">
        <f>HYPERLINK("http://dx.doi.org/10.1021/om0604775","http://dx.doi.org/10.1021/om0604775")</f>
        <v>http://dx.doi.org/10.1021/om0604775</v>
      </c>
      <c r="BG569" s="1" t="s">
        <v>74</v>
      </c>
      <c r="BH569" s="1" t="s">
        <v>74</v>
      </c>
      <c r="BI569" s="1" t="s">
        <v>74</v>
      </c>
      <c r="BJ569" s="1" t="s">
        <v>74</v>
      </c>
      <c r="BK569" s="1" t="s">
        <v>74</v>
      </c>
      <c r="BL569" s="1" t="s">
        <v>74</v>
      </c>
      <c r="BM569" s="1" t="s">
        <v>74</v>
      </c>
      <c r="BN569" s="1" t="s">
        <v>74</v>
      </c>
      <c r="BO569" s="1" t="s">
        <v>74</v>
      </c>
      <c r="BP569" s="1" t="s">
        <v>74</v>
      </c>
      <c r="BQ569" s="1" t="s">
        <v>74</v>
      </c>
      <c r="BR569" s="1" t="s">
        <v>74</v>
      </c>
      <c r="BS569" s="1" t="s">
        <v>5795</v>
      </c>
      <c r="BT569" s="1" t="str">
        <f>HYPERLINK("https%3A%2F%2Fwww.webofscience.com%2Fwos%2Fwoscc%2Ffull-record%2FWOS:000243339300005","View Full Record in Web of Science")</f>
        <v>View Full Record in Web of Science</v>
      </c>
    </row>
    <row r="570" ht="12.75" customHeight="1">
      <c r="A570" s="1" t="s">
        <v>647</v>
      </c>
      <c r="B570" s="1" t="s">
        <v>5796</v>
      </c>
      <c r="C570" s="1" t="s">
        <v>74</v>
      </c>
      <c r="D570" s="1" t="s">
        <v>5797</v>
      </c>
      <c r="E570" s="1" t="s">
        <v>74</v>
      </c>
      <c r="F570" s="1" t="s">
        <v>5798</v>
      </c>
      <c r="G570" s="1" t="s">
        <v>74</v>
      </c>
      <c r="H570" s="1" t="s">
        <v>74</v>
      </c>
      <c r="I570" s="1" t="s">
        <v>5799</v>
      </c>
      <c r="J570" s="1" t="s">
        <v>5800</v>
      </c>
      <c r="K570" s="1" t="s">
        <v>74</v>
      </c>
      <c r="L570" s="1" t="s">
        <v>74</v>
      </c>
      <c r="M570" s="1" t="s">
        <v>74</v>
      </c>
      <c r="N570" s="1" t="s">
        <v>74</v>
      </c>
      <c r="O570" s="1" t="s">
        <v>5801</v>
      </c>
      <c r="P570" s="1" t="s">
        <v>5802</v>
      </c>
      <c r="Q570" s="1" t="s">
        <v>5803</v>
      </c>
      <c r="R570" s="1" t="s">
        <v>5804</v>
      </c>
      <c r="S570" s="1" t="s">
        <v>74</v>
      </c>
      <c r="T570" s="1" t="s">
        <v>74</v>
      </c>
      <c r="U570" s="1" t="s">
        <v>74</v>
      </c>
      <c r="V570" s="1" t="s">
        <v>5805</v>
      </c>
      <c r="W570" s="1" t="s">
        <v>74</v>
      </c>
      <c r="X570" s="1" t="s">
        <v>74</v>
      </c>
      <c r="Y570" s="1" t="s">
        <v>74</v>
      </c>
      <c r="Z570" s="1" t="s">
        <v>74</v>
      </c>
      <c r="AA570" s="1" t="s">
        <v>5806</v>
      </c>
      <c r="AB570" s="1" t="s">
        <v>5807</v>
      </c>
      <c r="AC570" s="1" t="s">
        <v>74</v>
      </c>
      <c r="AD570" s="1" t="s">
        <v>74</v>
      </c>
      <c r="AE570" s="1" t="s">
        <v>74</v>
      </c>
      <c r="AF570" s="1" t="s">
        <v>74</v>
      </c>
      <c r="AG570" s="1" t="s">
        <v>74</v>
      </c>
      <c r="AH570" s="1" t="s">
        <v>74</v>
      </c>
      <c r="AI570" s="1" t="s">
        <v>74</v>
      </c>
      <c r="AJ570" s="1" t="s">
        <v>74</v>
      </c>
      <c r="AK570" s="1" t="s">
        <v>74</v>
      </c>
      <c r="AL570" s="1" t="s">
        <v>74</v>
      </c>
      <c r="AM570" s="1" t="s">
        <v>74</v>
      </c>
      <c r="AN570" s="1" t="s">
        <v>74</v>
      </c>
      <c r="AO570" s="1" t="s">
        <v>74</v>
      </c>
      <c r="AP570" s="1" t="s">
        <v>74</v>
      </c>
      <c r="AQ570" s="1" t="s">
        <v>74</v>
      </c>
      <c r="AR570" s="1" t="s">
        <v>74</v>
      </c>
      <c r="AS570" s="1" t="s">
        <v>74</v>
      </c>
      <c r="AT570" s="1" t="s">
        <v>74</v>
      </c>
      <c r="AU570" s="1">
        <v>2007.0</v>
      </c>
      <c r="AV570" s="1" t="s">
        <v>74</v>
      </c>
      <c r="AW570" s="1" t="s">
        <v>74</v>
      </c>
      <c r="AX570" s="1" t="s">
        <v>74</v>
      </c>
      <c r="AY570" s="1" t="s">
        <v>74</v>
      </c>
      <c r="AZ570" s="1" t="s">
        <v>74</v>
      </c>
      <c r="BA570" s="1" t="s">
        <v>74</v>
      </c>
      <c r="BB570" s="1">
        <v>243.0</v>
      </c>
      <c r="BC570" s="1" t="s">
        <v>661</v>
      </c>
      <c r="BD570" s="1" t="s">
        <v>74</v>
      </c>
      <c r="BE570" s="1" t="s">
        <v>5808</v>
      </c>
      <c r="BF570" s="2" t="str">
        <f>HYPERLINK("http://dx.doi.org/10.1109/ICTON.2007.4296194","http://dx.doi.org/10.1109/ICTON.2007.4296194")</f>
        <v>http://dx.doi.org/10.1109/ICTON.2007.4296194</v>
      </c>
      <c r="BG570" s="1" t="s">
        <v>74</v>
      </c>
      <c r="BH570" s="1" t="s">
        <v>74</v>
      </c>
      <c r="BI570" s="1" t="s">
        <v>74</v>
      </c>
      <c r="BJ570" s="1" t="s">
        <v>74</v>
      </c>
      <c r="BK570" s="1" t="s">
        <v>74</v>
      </c>
      <c r="BL570" s="1" t="s">
        <v>74</v>
      </c>
      <c r="BM570" s="1" t="s">
        <v>74</v>
      </c>
      <c r="BN570" s="1" t="s">
        <v>74</v>
      </c>
      <c r="BO570" s="1" t="s">
        <v>74</v>
      </c>
      <c r="BP570" s="1" t="s">
        <v>74</v>
      </c>
      <c r="BQ570" s="1" t="s">
        <v>74</v>
      </c>
      <c r="BR570" s="1" t="s">
        <v>74</v>
      </c>
      <c r="BS570" s="1" t="s">
        <v>5809</v>
      </c>
      <c r="BT570" s="1" t="str">
        <f>HYPERLINK("https%3A%2F%2Fwww.webofscience.com%2Fwos%2Fwoscc%2Ffull-record%2FWOS:000250511200073","View Full Record in Web of Science")</f>
        <v>View Full Record in Web of Science</v>
      </c>
    </row>
    <row r="571" ht="12.75" customHeight="1">
      <c r="A571" s="1" t="s">
        <v>72</v>
      </c>
      <c r="B571" s="1" t="s">
        <v>5810</v>
      </c>
      <c r="C571" s="1" t="s">
        <v>74</v>
      </c>
      <c r="D571" s="1" t="s">
        <v>74</v>
      </c>
      <c r="E571" s="1" t="s">
        <v>74</v>
      </c>
      <c r="F571" s="1" t="s">
        <v>5810</v>
      </c>
      <c r="G571" s="1" t="s">
        <v>74</v>
      </c>
      <c r="H571" s="1" t="s">
        <v>74</v>
      </c>
      <c r="I571" s="1" t="s">
        <v>5811</v>
      </c>
      <c r="J571" s="1" t="s">
        <v>1817</v>
      </c>
      <c r="K571" s="1" t="s">
        <v>74</v>
      </c>
      <c r="L571" s="1" t="s">
        <v>74</v>
      </c>
      <c r="M571" s="1" t="s">
        <v>74</v>
      </c>
      <c r="N571" s="1" t="s">
        <v>74</v>
      </c>
      <c r="O571" s="1" t="s">
        <v>74</v>
      </c>
      <c r="P571" s="1" t="s">
        <v>74</v>
      </c>
      <c r="Q571" s="1" t="s">
        <v>74</v>
      </c>
      <c r="R571" s="1" t="s">
        <v>74</v>
      </c>
      <c r="S571" s="1" t="s">
        <v>74</v>
      </c>
      <c r="T571" s="1" t="s">
        <v>74</v>
      </c>
      <c r="U571" s="1" t="s">
        <v>74</v>
      </c>
      <c r="V571" s="1" t="s">
        <v>5812</v>
      </c>
      <c r="W571" s="1" t="s">
        <v>74</v>
      </c>
      <c r="X571" s="1" t="s">
        <v>74</v>
      </c>
      <c r="Y571" s="1" t="s">
        <v>74</v>
      </c>
      <c r="Z571" s="1" t="s">
        <v>74</v>
      </c>
      <c r="AA571" s="1" t="s">
        <v>5813</v>
      </c>
      <c r="AB571" s="1" t="s">
        <v>5814</v>
      </c>
      <c r="AC571" s="1" t="s">
        <v>74</v>
      </c>
      <c r="AD571" s="1" t="s">
        <v>74</v>
      </c>
      <c r="AE571" s="1" t="s">
        <v>74</v>
      </c>
      <c r="AF571" s="1" t="s">
        <v>74</v>
      </c>
      <c r="AG571" s="1" t="s">
        <v>74</v>
      </c>
      <c r="AH571" s="1" t="s">
        <v>74</v>
      </c>
      <c r="AI571" s="1" t="s">
        <v>74</v>
      </c>
      <c r="AJ571" s="1" t="s">
        <v>74</v>
      </c>
      <c r="AK571" s="1" t="s">
        <v>74</v>
      </c>
      <c r="AL571" s="1" t="s">
        <v>74</v>
      </c>
      <c r="AM571" s="1" t="s">
        <v>74</v>
      </c>
      <c r="AN571" s="1" t="s">
        <v>74</v>
      </c>
      <c r="AO571" s="1" t="s">
        <v>1820</v>
      </c>
      <c r="AP571" s="1" t="s">
        <v>5815</v>
      </c>
      <c r="AQ571" s="1" t="s">
        <v>74</v>
      </c>
      <c r="AR571" s="1" t="s">
        <v>74</v>
      </c>
      <c r="AS571" s="1" t="s">
        <v>74</v>
      </c>
      <c r="AT571" s="1" t="s">
        <v>5816</v>
      </c>
      <c r="AU571" s="1">
        <v>2005.0</v>
      </c>
      <c r="AV571" s="1">
        <v>229.0</v>
      </c>
      <c r="AW571" s="1" t="s">
        <v>238</v>
      </c>
      <c r="AX571" s="1" t="s">
        <v>74</v>
      </c>
      <c r="AY571" s="1" t="s">
        <v>74</v>
      </c>
      <c r="AZ571" s="1" t="s">
        <v>74</v>
      </c>
      <c r="BA571" s="1" t="s">
        <v>74</v>
      </c>
      <c r="BB571" s="1">
        <v>249.0</v>
      </c>
      <c r="BC571" s="1">
        <v>257.0</v>
      </c>
      <c r="BD571" s="1" t="s">
        <v>74</v>
      </c>
      <c r="BE571" s="1" t="s">
        <v>5817</v>
      </c>
      <c r="BF571" s="2" t="str">
        <f>HYPERLINK("http://dx.doi.org/10.1016/j.molcata.2004.11.026","http://dx.doi.org/10.1016/j.molcata.2004.11.026")</f>
        <v>http://dx.doi.org/10.1016/j.molcata.2004.11.026</v>
      </c>
      <c r="BG571" s="1" t="s">
        <v>74</v>
      </c>
      <c r="BH571" s="1" t="s">
        <v>74</v>
      </c>
      <c r="BI571" s="1" t="s">
        <v>74</v>
      </c>
      <c r="BJ571" s="1" t="s">
        <v>74</v>
      </c>
      <c r="BK571" s="1" t="s">
        <v>74</v>
      </c>
      <c r="BL571" s="1" t="s">
        <v>74</v>
      </c>
      <c r="BM571" s="1" t="s">
        <v>74</v>
      </c>
      <c r="BN571" s="1" t="s">
        <v>74</v>
      </c>
      <c r="BO571" s="1" t="s">
        <v>74</v>
      </c>
      <c r="BP571" s="1" t="s">
        <v>74</v>
      </c>
      <c r="BQ571" s="1" t="s">
        <v>74</v>
      </c>
      <c r="BR571" s="1" t="s">
        <v>74</v>
      </c>
      <c r="BS571" s="1" t="s">
        <v>5818</v>
      </c>
      <c r="BT571" s="1" t="str">
        <f>HYPERLINK("https%3A%2F%2Fwww.webofscience.com%2Fwos%2Fwoscc%2Ffull-record%2FWOS:000227266100035","View Full Record in Web of Science")</f>
        <v>View Full Record in Web of Science</v>
      </c>
    </row>
    <row r="572" ht="12.75" customHeight="1">
      <c r="A572" s="1" t="s">
        <v>72</v>
      </c>
      <c r="B572" s="1" t="s">
        <v>5819</v>
      </c>
      <c r="C572" s="1" t="s">
        <v>74</v>
      </c>
      <c r="D572" s="1" t="s">
        <v>74</v>
      </c>
      <c r="E572" s="1" t="s">
        <v>74</v>
      </c>
      <c r="F572" s="1" t="s">
        <v>5819</v>
      </c>
      <c r="G572" s="1" t="s">
        <v>74</v>
      </c>
      <c r="H572" s="1" t="s">
        <v>74</v>
      </c>
      <c r="I572" s="1" t="s">
        <v>5820</v>
      </c>
      <c r="J572" s="1" t="s">
        <v>5821</v>
      </c>
      <c r="K572" s="1" t="s">
        <v>74</v>
      </c>
      <c r="L572" s="1" t="s">
        <v>74</v>
      </c>
      <c r="M572" s="1" t="s">
        <v>74</v>
      </c>
      <c r="N572" s="1" t="s">
        <v>74</v>
      </c>
      <c r="O572" s="1" t="s">
        <v>74</v>
      </c>
      <c r="P572" s="1" t="s">
        <v>74</v>
      </c>
      <c r="Q572" s="1" t="s">
        <v>74</v>
      </c>
      <c r="R572" s="1" t="s">
        <v>74</v>
      </c>
      <c r="S572" s="1" t="s">
        <v>74</v>
      </c>
      <c r="T572" s="1" t="s">
        <v>74</v>
      </c>
      <c r="U572" s="1" t="s">
        <v>74</v>
      </c>
      <c r="V572" s="1" t="s">
        <v>5822</v>
      </c>
      <c r="W572" s="1" t="s">
        <v>74</v>
      </c>
      <c r="X572" s="1" t="s">
        <v>74</v>
      </c>
      <c r="Y572" s="1" t="s">
        <v>74</v>
      </c>
      <c r="Z572" s="1" t="s">
        <v>74</v>
      </c>
      <c r="AA572" s="1" t="s">
        <v>74</v>
      </c>
      <c r="AB572" s="1" t="s">
        <v>74</v>
      </c>
      <c r="AC572" s="1" t="s">
        <v>74</v>
      </c>
      <c r="AD572" s="1" t="s">
        <v>74</v>
      </c>
      <c r="AE572" s="1" t="s">
        <v>74</v>
      </c>
      <c r="AF572" s="1" t="s">
        <v>74</v>
      </c>
      <c r="AG572" s="1" t="s">
        <v>74</v>
      </c>
      <c r="AH572" s="1" t="s">
        <v>74</v>
      </c>
      <c r="AI572" s="1" t="s">
        <v>74</v>
      </c>
      <c r="AJ572" s="1" t="s">
        <v>74</v>
      </c>
      <c r="AK572" s="1" t="s">
        <v>74</v>
      </c>
      <c r="AL572" s="1" t="s">
        <v>74</v>
      </c>
      <c r="AM572" s="1" t="s">
        <v>74</v>
      </c>
      <c r="AN572" s="1" t="s">
        <v>74</v>
      </c>
      <c r="AO572" s="1" t="s">
        <v>5823</v>
      </c>
      <c r="AP572" s="1" t="s">
        <v>74</v>
      </c>
      <c r="AQ572" s="1" t="s">
        <v>74</v>
      </c>
      <c r="AR572" s="1" t="s">
        <v>74</v>
      </c>
      <c r="AS572" s="1" t="s">
        <v>74</v>
      </c>
      <c r="AT572" s="1" t="s">
        <v>316</v>
      </c>
      <c r="AU572" s="1">
        <v>2002.0</v>
      </c>
      <c r="AV572" s="1">
        <v>42.0</v>
      </c>
      <c r="AW572" s="1">
        <v>4.0</v>
      </c>
      <c r="AX572" s="1" t="s">
        <v>74</v>
      </c>
      <c r="AY572" s="1" t="s">
        <v>74</v>
      </c>
      <c r="AZ572" s="1" t="s">
        <v>74</v>
      </c>
      <c r="BA572" s="1" t="s">
        <v>74</v>
      </c>
      <c r="BB572" s="1">
        <v>325.0</v>
      </c>
      <c r="BC572" s="1">
        <v>348.0</v>
      </c>
      <c r="BD572" s="1" t="s">
        <v>74</v>
      </c>
      <c r="BE572" s="1" t="s">
        <v>5824</v>
      </c>
      <c r="BF572" s="2" t="str">
        <f>HYPERLINK("http://dx.doi.org/10.1080/10407790190053978","http://dx.doi.org/10.1080/10407790190053978")</f>
        <v>http://dx.doi.org/10.1080/10407790190053978</v>
      </c>
      <c r="BG572" s="1" t="s">
        <v>74</v>
      </c>
      <c r="BH572" s="1" t="s">
        <v>74</v>
      </c>
      <c r="BI572" s="1" t="s">
        <v>74</v>
      </c>
      <c r="BJ572" s="1" t="s">
        <v>74</v>
      </c>
      <c r="BK572" s="1" t="s">
        <v>74</v>
      </c>
      <c r="BL572" s="1" t="s">
        <v>74</v>
      </c>
      <c r="BM572" s="1" t="s">
        <v>74</v>
      </c>
      <c r="BN572" s="1" t="s">
        <v>74</v>
      </c>
      <c r="BO572" s="1" t="s">
        <v>74</v>
      </c>
      <c r="BP572" s="1" t="s">
        <v>74</v>
      </c>
      <c r="BQ572" s="1" t="s">
        <v>74</v>
      </c>
      <c r="BR572" s="1" t="s">
        <v>74</v>
      </c>
      <c r="BS572" s="1" t="s">
        <v>5825</v>
      </c>
      <c r="BT572" s="1" t="str">
        <f>HYPERLINK("https%3A%2F%2Fwww.webofscience.com%2Fwos%2Fwoscc%2Ffull-record%2FWOS:000178512400003","View Full Record in Web of Science")</f>
        <v>View Full Record in Web of Science</v>
      </c>
    </row>
    <row r="573" ht="12.75" customHeight="1">
      <c r="A573" s="1" t="s">
        <v>72</v>
      </c>
      <c r="B573" s="1" t="s">
        <v>5826</v>
      </c>
      <c r="C573" s="1" t="s">
        <v>74</v>
      </c>
      <c r="D573" s="1" t="s">
        <v>74</v>
      </c>
      <c r="E573" s="1" t="s">
        <v>74</v>
      </c>
      <c r="F573" s="1" t="s">
        <v>5826</v>
      </c>
      <c r="G573" s="1" t="s">
        <v>74</v>
      </c>
      <c r="H573" s="1" t="s">
        <v>74</v>
      </c>
      <c r="I573" s="1" t="s">
        <v>5827</v>
      </c>
      <c r="J573" s="1" t="s">
        <v>2207</v>
      </c>
      <c r="K573" s="1" t="s">
        <v>74</v>
      </c>
      <c r="L573" s="1" t="s">
        <v>74</v>
      </c>
      <c r="M573" s="1" t="s">
        <v>74</v>
      </c>
      <c r="N573" s="1" t="s">
        <v>74</v>
      </c>
      <c r="O573" s="1" t="s">
        <v>5828</v>
      </c>
      <c r="P573" s="1" t="s">
        <v>5829</v>
      </c>
      <c r="Q573" s="1" t="s">
        <v>5830</v>
      </c>
      <c r="R573" s="1" t="s">
        <v>74</v>
      </c>
      <c r="S573" s="1" t="s">
        <v>74</v>
      </c>
      <c r="T573" s="1" t="s">
        <v>74</v>
      </c>
      <c r="U573" s="1" t="s">
        <v>74</v>
      </c>
      <c r="V573" s="1" t="s">
        <v>5831</v>
      </c>
      <c r="W573" s="1" t="s">
        <v>74</v>
      </c>
      <c r="X573" s="1" t="s">
        <v>74</v>
      </c>
      <c r="Y573" s="1" t="s">
        <v>74</v>
      </c>
      <c r="Z573" s="1" t="s">
        <v>74</v>
      </c>
      <c r="AA573" s="1" t="s">
        <v>5832</v>
      </c>
      <c r="AB573" s="1" t="s">
        <v>5833</v>
      </c>
      <c r="AC573" s="1" t="s">
        <v>74</v>
      </c>
      <c r="AD573" s="1" t="s">
        <v>74</v>
      </c>
      <c r="AE573" s="1" t="s">
        <v>74</v>
      </c>
      <c r="AF573" s="1" t="s">
        <v>74</v>
      </c>
      <c r="AG573" s="1" t="s">
        <v>74</v>
      </c>
      <c r="AH573" s="1" t="s">
        <v>74</v>
      </c>
      <c r="AI573" s="1" t="s">
        <v>74</v>
      </c>
      <c r="AJ573" s="1" t="s">
        <v>74</v>
      </c>
      <c r="AK573" s="1" t="s">
        <v>74</v>
      </c>
      <c r="AL573" s="1" t="s">
        <v>74</v>
      </c>
      <c r="AM573" s="1" t="s">
        <v>74</v>
      </c>
      <c r="AN573" s="1" t="s">
        <v>74</v>
      </c>
      <c r="AO573" s="1" t="s">
        <v>2211</v>
      </c>
      <c r="AP573" s="1" t="s">
        <v>2212</v>
      </c>
      <c r="AQ573" s="1" t="s">
        <v>74</v>
      </c>
      <c r="AR573" s="1" t="s">
        <v>74</v>
      </c>
      <c r="AS573" s="1" t="s">
        <v>74</v>
      </c>
      <c r="AT573" s="1" t="s">
        <v>259</v>
      </c>
      <c r="AU573" s="1">
        <v>2002.0</v>
      </c>
      <c r="AV573" s="1">
        <v>249.0</v>
      </c>
      <c r="AW573" s="1" t="s">
        <v>238</v>
      </c>
      <c r="AX573" s="1" t="s">
        <v>74</v>
      </c>
      <c r="AY573" s="1" t="s">
        <v>74</v>
      </c>
      <c r="AZ573" s="1" t="s">
        <v>74</v>
      </c>
      <c r="BA573" s="1" t="s">
        <v>74</v>
      </c>
      <c r="BB573" s="1">
        <v>60.0</v>
      </c>
      <c r="BC573" s="1">
        <v>72.0</v>
      </c>
      <c r="BD573" s="1" t="s">
        <v>5834</v>
      </c>
      <c r="BE573" s="1" t="s">
        <v>5835</v>
      </c>
      <c r="BF573" s="2" t="str">
        <f>HYPERLINK("http://dx.doi.org/10.1016/S0304-8853(02)00504-8","http://dx.doi.org/10.1016/S0304-8853(02)00504-8")</f>
        <v>http://dx.doi.org/10.1016/S0304-8853(02)00504-8</v>
      </c>
      <c r="BG573" s="1" t="s">
        <v>74</v>
      </c>
      <c r="BH573" s="1" t="s">
        <v>74</v>
      </c>
      <c r="BI573" s="1" t="s">
        <v>74</v>
      </c>
      <c r="BJ573" s="1" t="s">
        <v>74</v>
      </c>
      <c r="BK573" s="1" t="s">
        <v>74</v>
      </c>
      <c r="BL573" s="1" t="s">
        <v>74</v>
      </c>
      <c r="BM573" s="1" t="s">
        <v>74</v>
      </c>
      <c r="BN573" s="1" t="s">
        <v>74</v>
      </c>
      <c r="BO573" s="1" t="s">
        <v>74</v>
      </c>
      <c r="BP573" s="1" t="s">
        <v>74</v>
      </c>
      <c r="BQ573" s="1" t="s">
        <v>74</v>
      </c>
      <c r="BR573" s="1" t="s">
        <v>74</v>
      </c>
      <c r="BS573" s="1" t="s">
        <v>5836</v>
      </c>
      <c r="BT573" s="1" t="str">
        <f>HYPERLINK("https%3A%2F%2Fwww.webofscience.com%2Fwos%2Fwoscc%2Ffull-record%2FWOS:000179113100012","View Full Record in Web of Science")</f>
        <v>View Full Record in Web of Science</v>
      </c>
    </row>
    <row r="574" ht="12.75" customHeight="1">
      <c r="A574" s="1" t="s">
        <v>72</v>
      </c>
      <c r="B574" s="1" t="s">
        <v>5837</v>
      </c>
      <c r="C574" s="1" t="s">
        <v>74</v>
      </c>
      <c r="D574" s="1" t="s">
        <v>74</v>
      </c>
      <c r="E574" s="1" t="s">
        <v>74</v>
      </c>
      <c r="F574" s="1" t="s">
        <v>5837</v>
      </c>
      <c r="G574" s="1" t="s">
        <v>74</v>
      </c>
      <c r="H574" s="1" t="s">
        <v>74</v>
      </c>
      <c r="I574" s="1" t="s">
        <v>5838</v>
      </c>
      <c r="J574" s="1" t="s">
        <v>776</v>
      </c>
      <c r="K574" s="1" t="s">
        <v>74</v>
      </c>
      <c r="L574" s="1" t="s">
        <v>74</v>
      </c>
      <c r="M574" s="1" t="s">
        <v>74</v>
      </c>
      <c r="N574" s="1" t="s">
        <v>74</v>
      </c>
      <c r="O574" s="1" t="s">
        <v>74</v>
      </c>
      <c r="P574" s="1" t="s">
        <v>74</v>
      </c>
      <c r="Q574" s="1" t="s">
        <v>74</v>
      </c>
      <c r="R574" s="1" t="s">
        <v>74</v>
      </c>
      <c r="S574" s="1" t="s">
        <v>74</v>
      </c>
      <c r="T574" s="1" t="s">
        <v>74</v>
      </c>
      <c r="U574" s="1" t="s">
        <v>74</v>
      </c>
      <c r="V574" s="1" t="s">
        <v>5839</v>
      </c>
      <c r="W574" s="1" t="s">
        <v>74</v>
      </c>
      <c r="X574" s="1" t="s">
        <v>74</v>
      </c>
      <c r="Y574" s="1" t="s">
        <v>74</v>
      </c>
      <c r="Z574" s="1" t="s">
        <v>74</v>
      </c>
      <c r="AA574" s="1" t="s">
        <v>5840</v>
      </c>
      <c r="AB574" s="1" t="s">
        <v>5841</v>
      </c>
      <c r="AC574" s="1" t="s">
        <v>74</v>
      </c>
      <c r="AD574" s="1" t="s">
        <v>74</v>
      </c>
      <c r="AE574" s="1" t="s">
        <v>74</v>
      </c>
      <c r="AF574" s="1" t="s">
        <v>74</v>
      </c>
      <c r="AG574" s="1" t="s">
        <v>74</v>
      </c>
      <c r="AH574" s="1" t="s">
        <v>74</v>
      </c>
      <c r="AI574" s="1" t="s">
        <v>74</v>
      </c>
      <c r="AJ574" s="1" t="s">
        <v>74</v>
      </c>
      <c r="AK574" s="1" t="s">
        <v>74</v>
      </c>
      <c r="AL574" s="1" t="s">
        <v>74</v>
      </c>
      <c r="AM574" s="1" t="s">
        <v>74</v>
      </c>
      <c r="AN574" s="1" t="s">
        <v>74</v>
      </c>
      <c r="AO574" s="1" t="s">
        <v>780</v>
      </c>
      <c r="AP574" s="1" t="s">
        <v>74</v>
      </c>
      <c r="AQ574" s="1" t="s">
        <v>74</v>
      </c>
      <c r="AR574" s="1" t="s">
        <v>74</v>
      </c>
      <c r="AS574" s="1" t="s">
        <v>74</v>
      </c>
      <c r="AT574" s="1" t="s">
        <v>316</v>
      </c>
      <c r="AU574" s="1">
        <v>2001.0</v>
      </c>
      <c r="AV574" s="1">
        <v>39.0</v>
      </c>
      <c r="AW574" s="1">
        <v>10.0</v>
      </c>
      <c r="AX574" s="1" t="s">
        <v>74</v>
      </c>
      <c r="AY574" s="1" t="s">
        <v>74</v>
      </c>
      <c r="AZ574" s="1" t="s">
        <v>74</v>
      </c>
      <c r="BA574" s="1" t="s">
        <v>74</v>
      </c>
      <c r="BB574" s="1">
        <v>1547.0</v>
      </c>
      <c r="BC574" s="1">
        <v>1560.0</v>
      </c>
      <c r="BD574" s="1" t="s">
        <v>74</v>
      </c>
      <c r="BE574" s="1" t="s">
        <v>5842</v>
      </c>
      <c r="BF574" s="2" t="str">
        <f>HYPERLINK("http://dx.doi.org/10.1016/S0041-0101(01)00127-1","http://dx.doi.org/10.1016/S0041-0101(01)00127-1")</f>
        <v>http://dx.doi.org/10.1016/S0041-0101(01)00127-1</v>
      </c>
      <c r="BG574" s="1" t="s">
        <v>74</v>
      </c>
      <c r="BH574" s="1" t="s">
        <v>74</v>
      </c>
      <c r="BI574" s="1" t="s">
        <v>74</v>
      </c>
      <c r="BJ574" s="1" t="s">
        <v>74</v>
      </c>
      <c r="BK574" s="1" t="s">
        <v>74</v>
      </c>
      <c r="BL574" s="1" t="s">
        <v>74</v>
      </c>
      <c r="BM574" s="1" t="s">
        <v>74</v>
      </c>
      <c r="BN574" s="1">
        <v>1.1478962E7</v>
      </c>
      <c r="BO574" s="1" t="s">
        <v>74</v>
      </c>
      <c r="BP574" s="1" t="s">
        <v>74</v>
      </c>
      <c r="BQ574" s="1" t="s">
        <v>74</v>
      </c>
      <c r="BR574" s="1" t="s">
        <v>74</v>
      </c>
      <c r="BS574" s="1" t="s">
        <v>5843</v>
      </c>
      <c r="BT574" s="1" t="str">
        <f>HYPERLINK("https%3A%2F%2Fwww.webofscience.com%2Fwos%2Fwoscc%2Ffull-record%2FWOS:000170547900012","View Full Record in Web of Science")</f>
        <v>View Full Record in Web of Science</v>
      </c>
    </row>
    <row r="575" ht="12.75" customHeight="1">
      <c r="A575" s="1" t="s">
        <v>72</v>
      </c>
      <c r="B575" s="1" t="s">
        <v>5844</v>
      </c>
      <c r="C575" s="1" t="s">
        <v>74</v>
      </c>
      <c r="D575" s="1" t="s">
        <v>74</v>
      </c>
      <c r="E575" s="1" t="s">
        <v>74</v>
      </c>
      <c r="F575" s="1" t="s">
        <v>5844</v>
      </c>
      <c r="G575" s="1" t="s">
        <v>74</v>
      </c>
      <c r="H575" s="1" t="s">
        <v>74</v>
      </c>
      <c r="I575" s="1" t="s">
        <v>5845</v>
      </c>
      <c r="J575" s="1" t="s">
        <v>5846</v>
      </c>
      <c r="K575" s="1" t="s">
        <v>74</v>
      </c>
      <c r="L575" s="1" t="s">
        <v>74</v>
      </c>
      <c r="M575" s="1" t="s">
        <v>74</v>
      </c>
      <c r="N575" s="1" t="s">
        <v>74</v>
      </c>
      <c r="O575" s="1" t="s">
        <v>74</v>
      </c>
      <c r="P575" s="1" t="s">
        <v>74</v>
      </c>
      <c r="Q575" s="1" t="s">
        <v>74</v>
      </c>
      <c r="R575" s="1" t="s">
        <v>74</v>
      </c>
      <c r="S575" s="1" t="s">
        <v>74</v>
      </c>
      <c r="T575" s="1" t="s">
        <v>74</v>
      </c>
      <c r="U575" s="1" t="s">
        <v>74</v>
      </c>
      <c r="V575" s="1" t="s">
        <v>5847</v>
      </c>
      <c r="W575" s="1" t="s">
        <v>74</v>
      </c>
      <c r="X575" s="1" t="s">
        <v>74</v>
      </c>
      <c r="Y575" s="1" t="s">
        <v>74</v>
      </c>
      <c r="Z575" s="1" t="s">
        <v>74</v>
      </c>
      <c r="AA575" s="1" t="s">
        <v>5848</v>
      </c>
      <c r="AB575" s="1" t="s">
        <v>5849</v>
      </c>
      <c r="AC575" s="1" t="s">
        <v>74</v>
      </c>
      <c r="AD575" s="1" t="s">
        <v>74</v>
      </c>
      <c r="AE575" s="1" t="s">
        <v>74</v>
      </c>
      <c r="AF575" s="1" t="s">
        <v>74</v>
      </c>
      <c r="AG575" s="1" t="s">
        <v>74</v>
      </c>
      <c r="AH575" s="1" t="s">
        <v>74</v>
      </c>
      <c r="AI575" s="1" t="s">
        <v>74</v>
      </c>
      <c r="AJ575" s="1" t="s">
        <v>74</v>
      </c>
      <c r="AK575" s="1" t="s">
        <v>74</v>
      </c>
      <c r="AL575" s="1" t="s">
        <v>74</v>
      </c>
      <c r="AM575" s="1" t="s">
        <v>74</v>
      </c>
      <c r="AN575" s="1" t="s">
        <v>74</v>
      </c>
      <c r="AO575" s="1" t="s">
        <v>5850</v>
      </c>
      <c r="AP575" s="1" t="s">
        <v>74</v>
      </c>
      <c r="AQ575" s="1" t="s">
        <v>74</v>
      </c>
      <c r="AR575" s="1" t="s">
        <v>74</v>
      </c>
      <c r="AS575" s="1" t="s">
        <v>74</v>
      </c>
      <c r="AT575" s="1" t="s">
        <v>5851</v>
      </c>
      <c r="AU575" s="1">
        <v>2000.0</v>
      </c>
      <c r="AV575" s="1">
        <v>85.0</v>
      </c>
      <c r="AW575" s="1">
        <v>22.0</v>
      </c>
      <c r="AX575" s="1" t="s">
        <v>74</v>
      </c>
      <c r="AY575" s="1" t="s">
        <v>74</v>
      </c>
      <c r="AZ575" s="1" t="s">
        <v>74</v>
      </c>
      <c r="BA575" s="1" t="s">
        <v>74</v>
      </c>
      <c r="BB575" s="1">
        <v>4731.0</v>
      </c>
      <c r="BC575" s="1">
        <v>4734.0</v>
      </c>
      <c r="BD575" s="1" t="s">
        <v>74</v>
      </c>
      <c r="BE575" s="1" t="s">
        <v>5852</v>
      </c>
      <c r="BF575" s="2" t="str">
        <f>HYPERLINK("http://dx.doi.org/10.1103/PhysRevLett.85.4731","http://dx.doi.org/10.1103/PhysRevLett.85.4731")</f>
        <v>http://dx.doi.org/10.1103/PhysRevLett.85.4731</v>
      </c>
      <c r="BG575" s="1" t="s">
        <v>74</v>
      </c>
      <c r="BH575" s="1" t="s">
        <v>74</v>
      </c>
      <c r="BI575" s="1" t="s">
        <v>74</v>
      </c>
      <c r="BJ575" s="1" t="s">
        <v>74</v>
      </c>
      <c r="BK575" s="1" t="s">
        <v>74</v>
      </c>
      <c r="BL575" s="1" t="s">
        <v>74</v>
      </c>
      <c r="BM575" s="1" t="s">
        <v>74</v>
      </c>
      <c r="BN575" s="1">
        <v>1.1082638E7</v>
      </c>
      <c r="BO575" s="1" t="s">
        <v>74</v>
      </c>
      <c r="BP575" s="1" t="s">
        <v>74</v>
      </c>
      <c r="BQ575" s="1" t="s">
        <v>74</v>
      </c>
      <c r="BR575" s="1" t="s">
        <v>74</v>
      </c>
      <c r="BS575" s="1" t="s">
        <v>5853</v>
      </c>
      <c r="BT575" s="1" t="str">
        <f>HYPERLINK("https%3A%2F%2Fwww.webofscience.com%2Fwos%2Fwoscc%2Ffull-record%2FWOS:000165556600022","View Full Record in Web of Science")</f>
        <v>View Full Record in Web of Science</v>
      </c>
    </row>
    <row r="576" ht="12.75" customHeight="1">
      <c r="A576" s="1" t="s">
        <v>72</v>
      </c>
      <c r="B576" s="1" t="s">
        <v>5854</v>
      </c>
      <c r="C576" s="1" t="s">
        <v>74</v>
      </c>
      <c r="D576" s="1" t="s">
        <v>74</v>
      </c>
      <c r="E576" s="1" t="s">
        <v>74</v>
      </c>
      <c r="F576" s="1" t="s">
        <v>5855</v>
      </c>
      <c r="G576" s="1" t="s">
        <v>74</v>
      </c>
      <c r="H576" s="1" t="s">
        <v>74</v>
      </c>
      <c r="I576" s="1" t="s">
        <v>5856</v>
      </c>
      <c r="J576" s="1" t="s">
        <v>5857</v>
      </c>
      <c r="K576" s="1" t="s">
        <v>74</v>
      </c>
      <c r="L576" s="1" t="s">
        <v>74</v>
      </c>
      <c r="M576" s="1" t="s">
        <v>74</v>
      </c>
      <c r="N576" s="1" t="s">
        <v>74</v>
      </c>
      <c r="O576" s="1" t="s">
        <v>74</v>
      </c>
      <c r="P576" s="1" t="s">
        <v>74</v>
      </c>
      <c r="Q576" s="1" t="s">
        <v>74</v>
      </c>
      <c r="R576" s="1" t="s">
        <v>74</v>
      </c>
      <c r="S576" s="1" t="s">
        <v>74</v>
      </c>
      <c r="T576" s="1" t="s">
        <v>74</v>
      </c>
      <c r="U576" s="1" t="s">
        <v>74</v>
      </c>
      <c r="V576" s="1" t="s">
        <v>5858</v>
      </c>
      <c r="W576" s="1" t="s">
        <v>74</v>
      </c>
      <c r="X576" s="1" t="s">
        <v>74</v>
      </c>
      <c r="Y576" s="1" t="s">
        <v>74</v>
      </c>
      <c r="Z576" s="1" t="s">
        <v>74</v>
      </c>
      <c r="AA576" s="1" t="s">
        <v>5859</v>
      </c>
      <c r="AB576" s="1" t="s">
        <v>5860</v>
      </c>
      <c r="AC576" s="1" t="s">
        <v>74</v>
      </c>
      <c r="AD576" s="1" t="s">
        <v>74</v>
      </c>
      <c r="AE576" s="1" t="s">
        <v>74</v>
      </c>
      <c r="AF576" s="1" t="s">
        <v>74</v>
      </c>
      <c r="AG576" s="1" t="s">
        <v>74</v>
      </c>
      <c r="AH576" s="1" t="s">
        <v>74</v>
      </c>
      <c r="AI576" s="1" t="s">
        <v>74</v>
      </c>
      <c r="AJ576" s="1" t="s">
        <v>74</v>
      </c>
      <c r="AK576" s="1" t="s">
        <v>74</v>
      </c>
      <c r="AL576" s="1" t="s">
        <v>74</v>
      </c>
      <c r="AM576" s="1" t="s">
        <v>74</v>
      </c>
      <c r="AN576" s="1" t="s">
        <v>74</v>
      </c>
      <c r="AO576" s="1" t="s">
        <v>5861</v>
      </c>
      <c r="AP576" s="1" t="s">
        <v>5862</v>
      </c>
      <c r="AQ576" s="1" t="s">
        <v>74</v>
      </c>
      <c r="AR576" s="1" t="s">
        <v>74</v>
      </c>
      <c r="AS576" s="1" t="s">
        <v>74</v>
      </c>
      <c r="AT576" s="1" t="s">
        <v>5863</v>
      </c>
      <c r="AU576" s="1">
        <v>2024.0</v>
      </c>
      <c r="AV576" s="1">
        <v>16.0</v>
      </c>
      <c r="AW576" s="1">
        <v>36.0</v>
      </c>
      <c r="AX576" s="1" t="s">
        <v>74</v>
      </c>
      <c r="AY576" s="1" t="s">
        <v>74</v>
      </c>
      <c r="AZ576" s="1" t="s">
        <v>74</v>
      </c>
      <c r="BA576" s="1" t="s">
        <v>74</v>
      </c>
      <c r="BB576" s="1">
        <v>16844.0</v>
      </c>
      <c r="BC576" s="1">
        <v>16851.0</v>
      </c>
      <c r="BD576" s="1" t="s">
        <v>74</v>
      </c>
      <c r="BE576" s="1" t="s">
        <v>5864</v>
      </c>
      <c r="BF576" s="2" t="str">
        <f>HYPERLINK("http://dx.doi.org/10.1039/d4nr01068j","http://dx.doi.org/10.1039/d4nr01068j")</f>
        <v>http://dx.doi.org/10.1039/d4nr01068j</v>
      </c>
      <c r="BG576" s="1" t="s">
        <v>74</v>
      </c>
      <c r="BH576" s="1" t="s">
        <v>5865</v>
      </c>
      <c r="BI576" s="1" t="s">
        <v>74</v>
      </c>
      <c r="BJ576" s="1" t="s">
        <v>74</v>
      </c>
      <c r="BK576" s="1" t="s">
        <v>74</v>
      </c>
      <c r="BL576" s="1" t="s">
        <v>74</v>
      </c>
      <c r="BM576" s="1" t="s">
        <v>74</v>
      </c>
      <c r="BN576" s="1">
        <v>3.9190501E7</v>
      </c>
      <c r="BO576" s="1" t="s">
        <v>74</v>
      </c>
      <c r="BP576" s="1" t="s">
        <v>74</v>
      </c>
      <c r="BQ576" s="1" t="s">
        <v>74</v>
      </c>
      <c r="BR576" s="1" t="s">
        <v>74</v>
      </c>
      <c r="BS576" s="1" t="s">
        <v>5866</v>
      </c>
      <c r="BT576" s="1" t="str">
        <f>HYPERLINK("https%3A%2F%2Fwww.webofscience.com%2Fwos%2Fwoscc%2Ffull-record%2FWOS:001298422100001","View Full Record in Web of Science")</f>
        <v>View Full Record in Web of Science</v>
      </c>
    </row>
    <row r="577" ht="12.75" customHeight="1">
      <c r="A577" s="1" t="s">
        <v>72</v>
      </c>
      <c r="B577" s="1" t="s">
        <v>5867</v>
      </c>
      <c r="C577" s="1" t="s">
        <v>74</v>
      </c>
      <c r="D577" s="1" t="s">
        <v>74</v>
      </c>
      <c r="E577" s="1" t="s">
        <v>74</v>
      </c>
      <c r="F577" s="1" t="s">
        <v>5868</v>
      </c>
      <c r="G577" s="1" t="s">
        <v>74</v>
      </c>
      <c r="H577" s="1" t="s">
        <v>74</v>
      </c>
      <c r="I577" s="1" t="s">
        <v>5869</v>
      </c>
      <c r="J577" s="1" t="s">
        <v>864</v>
      </c>
      <c r="K577" s="1" t="s">
        <v>74</v>
      </c>
      <c r="L577" s="1" t="s">
        <v>74</v>
      </c>
      <c r="M577" s="1" t="s">
        <v>74</v>
      </c>
      <c r="N577" s="1" t="s">
        <v>74</v>
      </c>
      <c r="O577" s="1" t="s">
        <v>74</v>
      </c>
      <c r="P577" s="1" t="s">
        <v>74</v>
      </c>
      <c r="Q577" s="1" t="s">
        <v>74</v>
      </c>
      <c r="R577" s="1" t="s">
        <v>74</v>
      </c>
      <c r="S577" s="1" t="s">
        <v>74</v>
      </c>
      <c r="T577" s="1" t="s">
        <v>74</v>
      </c>
      <c r="U577" s="1" t="s">
        <v>74</v>
      </c>
      <c r="V577" s="1" t="s">
        <v>5870</v>
      </c>
      <c r="W577" s="1" t="s">
        <v>74</v>
      </c>
      <c r="X577" s="1" t="s">
        <v>74</v>
      </c>
      <c r="Y577" s="1" t="s">
        <v>74</v>
      </c>
      <c r="Z577" s="1" t="s">
        <v>74</v>
      </c>
      <c r="AA577" s="1" t="s">
        <v>5871</v>
      </c>
      <c r="AB577" s="1" t="s">
        <v>5872</v>
      </c>
      <c r="AC577" s="1" t="s">
        <v>74</v>
      </c>
      <c r="AD577" s="1" t="s">
        <v>74</v>
      </c>
      <c r="AE577" s="1" t="s">
        <v>74</v>
      </c>
      <c r="AF577" s="1" t="s">
        <v>74</v>
      </c>
      <c r="AG577" s="1" t="s">
        <v>74</v>
      </c>
      <c r="AH577" s="1" t="s">
        <v>74</v>
      </c>
      <c r="AI577" s="1" t="s">
        <v>74</v>
      </c>
      <c r="AJ577" s="1" t="s">
        <v>74</v>
      </c>
      <c r="AK577" s="1" t="s">
        <v>74</v>
      </c>
      <c r="AL577" s="1" t="s">
        <v>74</v>
      </c>
      <c r="AM577" s="1" t="s">
        <v>74</v>
      </c>
      <c r="AN577" s="1" t="s">
        <v>74</v>
      </c>
      <c r="AO577" s="1" t="s">
        <v>1906</v>
      </c>
      <c r="AP577" s="1" t="s">
        <v>868</v>
      </c>
      <c r="AQ577" s="1" t="s">
        <v>74</v>
      </c>
      <c r="AR577" s="1" t="s">
        <v>74</v>
      </c>
      <c r="AS577" s="1" t="s">
        <v>74</v>
      </c>
      <c r="AT577" s="1" t="s">
        <v>719</v>
      </c>
      <c r="AU577" s="1">
        <v>2024.0</v>
      </c>
      <c r="AV577" s="1">
        <v>25.0</v>
      </c>
      <c r="AW577" s="1">
        <v>13.0</v>
      </c>
      <c r="AX577" s="1" t="s">
        <v>74</v>
      </c>
      <c r="AY577" s="1" t="s">
        <v>74</v>
      </c>
      <c r="AZ577" s="1" t="s">
        <v>74</v>
      </c>
      <c r="BA577" s="1" t="s">
        <v>74</v>
      </c>
      <c r="BB577" s="1" t="s">
        <v>74</v>
      </c>
      <c r="BC577" s="1" t="s">
        <v>74</v>
      </c>
      <c r="BD577" s="1">
        <v>6843.0</v>
      </c>
      <c r="BE577" s="1" t="s">
        <v>5873</v>
      </c>
      <c r="BF577" s="2" t="str">
        <f>HYPERLINK("http://dx.doi.org/10.3390/ijms25136843","http://dx.doi.org/10.3390/ijms25136843")</f>
        <v>http://dx.doi.org/10.3390/ijms25136843</v>
      </c>
      <c r="BG577" s="1" t="s">
        <v>74</v>
      </c>
      <c r="BH577" s="1" t="s">
        <v>74</v>
      </c>
      <c r="BI577" s="1" t="s">
        <v>74</v>
      </c>
      <c r="BJ577" s="1" t="s">
        <v>74</v>
      </c>
      <c r="BK577" s="1" t="s">
        <v>74</v>
      </c>
      <c r="BL577" s="1" t="s">
        <v>74</v>
      </c>
      <c r="BM577" s="1" t="s">
        <v>74</v>
      </c>
      <c r="BN577" s="1">
        <v>3.8999953E7</v>
      </c>
      <c r="BO577" s="1" t="s">
        <v>74</v>
      </c>
      <c r="BP577" s="1" t="s">
        <v>74</v>
      </c>
      <c r="BQ577" s="1" t="s">
        <v>74</v>
      </c>
      <c r="BR577" s="1" t="s">
        <v>74</v>
      </c>
      <c r="BS577" s="1" t="s">
        <v>5874</v>
      </c>
      <c r="BT577" s="1" t="str">
        <f>HYPERLINK("https%3A%2F%2Fwww.webofscience.com%2Fwos%2Fwoscc%2Ffull-record%2FWOS:001268051200001","View Full Record in Web of Science")</f>
        <v>View Full Record in Web of Science</v>
      </c>
    </row>
    <row r="578" ht="12.75" customHeight="1">
      <c r="A578" s="1" t="s">
        <v>72</v>
      </c>
      <c r="B578" s="1" t="s">
        <v>5875</v>
      </c>
      <c r="C578" s="1" t="s">
        <v>74</v>
      </c>
      <c r="D578" s="1" t="s">
        <v>74</v>
      </c>
      <c r="E578" s="1" t="s">
        <v>74</v>
      </c>
      <c r="F578" s="1" t="s">
        <v>5876</v>
      </c>
      <c r="G578" s="1" t="s">
        <v>74</v>
      </c>
      <c r="H578" s="1" t="s">
        <v>74</v>
      </c>
      <c r="I578" s="1" t="s">
        <v>5877</v>
      </c>
      <c r="J578" s="1" t="s">
        <v>4551</v>
      </c>
      <c r="K578" s="1" t="s">
        <v>74</v>
      </c>
      <c r="L578" s="1" t="s">
        <v>74</v>
      </c>
      <c r="M578" s="1" t="s">
        <v>74</v>
      </c>
      <c r="N578" s="1" t="s">
        <v>74</v>
      </c>
      <c r="O578" s="1" t="s">
        <v>74</v>
      </c>
      <c r="P578" s="1" t="s">
        <v>74</v>
      </c>
      <c r="Q578" s="1" t="s">
        <v>74</v>
      </c>
      <c r="R578" s="1" t="s">
        <v>74</v>
      </c>
      <c r="S578" s="1" t="s">
        <v>74</v>
      </c>
      <c r="T578" s="1" t="s">
        <v>74</v>
      </c>
      <c r="U578" s="1" t="s">
        <v>74</v>
      </c>
      <c r="V578" s="1" t="s">
        <v>5878</v>
      </c>
      <c r="W578" s="1" t="s">
        <v>74</v>
      </c>
      <c r="X578" s="1" t="s">
        <v>74</v>
      </c>
      <c r="Y578" s="1" t="s">
        <v>74</v>
      </c>
      <c r="Z578" s="1" t="s">
        <v>74</v>
      </c>
      <c r="AA578" s="1" t="s">
        <v>5879</v>
      </c>
      <c r="AB578" s="1" t="s">
        <v>5880</v>
      </c>
      <c r="AC578" s="1" t="s">
        <v>74</v>
      </c>
      <c r="AD578" s="1" t="s">
        <v>74</v>
      </c>
      <c r="AE578" s="1" t="s">
        <v>74</v>
      </c>
      <c r="AF578" s="1" t="s">
        <v>74</v>
      </c>
      <c r="AG578" s="1" t="s">
        <v>74</v>
      </c>
      <c r="AH578" s="1" t="s">
        <v>74</v>
      </c>
      <c r="AI578" s="1" t="s">
        <v>74</v>
      </c>
      <c r="AJ578" s="1" t="s">
        <v>74</v>
      </c>
      <c r="AK578" s="1" t="s">
        <v>74</v>
      </c>
      <c r="AL578" s="1" t="s">
        <v>74</v>
      </c>
      <c r="AM578" s="1" t="s">
        <v>74</v>
      </c>
      <c r="AN578" s="1" t="s">
        <v>74</v>
      </c>
      <c r="AO578" s="1" t="s">
        <v>74</v>
      </c>
      <c r="AP578" s="1" t="s">
        <v>4555</v>
      </c>
      <c r="AQ578" s="1" t="s">
        <v>74</v>
      </c>
      <c r="AR578" s="1" t="s">
        <v>74</v>
      </c>
      <c r="AS578" s="1" t="s">
        <v>74</v>
      </c>
      <c r="AT578" s="1" t="s">
        <v>398</v>
      </c>
      <c r="AU578" s="1">
        <v>2024.0</v>
      </c>
      <c r="AV578" s="1">
        <v>13.0</v>
      </c>
      <c r="AW578" s="1">
        <v>3.0</v>
      </c>
      <c r="AX578" s="1" t="s">
        <v>74</v>
      </c>
      <c r="AY578" s="1" t="s">
        <v>74</v>
      </c>
      <c r="AZ578" s="1" t="s">
        <v>74</v>
      </c>
      <c r="BA578" s="1" t="s">
        <v>74</v>
      </c>
      <c r="BB578" s="1" t="s">
        <v>74</v>
      </c>
      <c r="BC578" s="1" t="s">
        <v>74</v>
      </c>
      <c r="BD578" s="1">
        <v>373.0</v>
      </c>
      <c r="BE578" s="1" t="s">
        <v>5881</v>
      </c>
      <c r="BF578" s="2" t="str">
        <f>HYPERLINK("http://dx.doi.org/10.3390/foods13030373","http://dx.doi.org/10.3390/foods13030373")</f>
        <v>http://dx.doi.org/10.3390/foods13030373</v>
      </c>
      <c r="BG578" s="1" t="s">
        <v>74</v>
      </c>
      <c r="BH578" s="1" t="s">
        <v>74</v>
      </c>
      <c r="BI578" s="1" t="s">
        <v>74</v>
      </c>
      <c r="BJ578" s="1" t="s">
        <v>74</v>
      </c>
      <c r="BK578" s="1" t="s">
        <v>74</v>
      </c>
      <c r="BL578" s="1" t="s">
        <v>74</v>
      </c>
      <c r="BM578" s="1" t="s">
        <v>74</v>
      </c>
      <c r="BN578" s="1">
        <v>3.8338509E7</v>
      </c>
      <c r="BO578" s="1" t="s">
        <v>74</v>
      </c>
      <c r="BP578" s="1" t="s">
        <v>74</v>
      </c>
      <c r="BQ578" s="1" t="s">
        <v>74</v>
      </c>
      <c r="BR578" s="1" t="s">
        <v>74</v>
      </c>
      <c r="BS578" s="1" t="s">
        <v>5882</v>
      </c>
      <c r="BT578" s="1" t="str">
        <f>HYPERLINK("https%3A%2F%2Fwww.webofscience.com%2Fwos%2Fwoscc%2Ffull-record%2FWOS:001161100500001","View Full Record in Web of Science")</f>
        <v>View Full Record in Web of Science</v>
      </c>
    </row>
    <row r="579" ht="12.75" customHeight="1">
      <c r="A579" s="1" t="s">
        <v>72</v>
      </c>
      <c r="B579" s="1" t="s">
        <v>5883</v>
      </c>
      <c r="C579" s="1" t="s">
        <v>74</v>
      </c>
      <c r="D579" s="1" t="s">
        <v>74</v>
      </c>
      <c r="E579" s="1" t="s">
        <v>74</v>
      </c>
      <c r="F579" s="1" t="s">
        <v>5884</v>
      </c>
      <c r="G579" s="1" t="s">
        <v>74</v>
      </c>
      <c r="H579" s="1" t="s">
        <v>74</v>
      </c>
      <c r="I579" s="1" t="s">
        <v>5885</v>
      </c>
      <c r="J579" s="1" t="s">
        <v>5886</v>
      </c>
      <c r="K579" s="1" t="s">
        <v>74</v>
      </c>
      <c r="L579" s="1" t="s">
        <v>74</v>
      </c>
      <c r="M579" s="1" t="s">
        <v>74</v>
      </c>
      <c r="N579" s="1" t="s">
        <v>74</v>
      </c>
      <c r="O579" s="1" t="s">
        <v>74</v>
      </c>
      <c r="P579" s="1" t="s">
        <v>74</v>
      </c>
      <c r="Q579" s="1" t="s">
        <v>74</v>
      </c>
      <c r="R579" s="1" t="s">
        <v>74</v>
      </c>
      <c r="S579" s="1" t="s">
        <v>74</v>
      </c>
      <c r="T579" s="1" t="s">
        <v>74</v>
      </c>
      <c r="U579" s="1" t="s">
        <v>74</v>
      </c>
      <c r="V579" s="1" t="s">
        <v>5887</v>
      </c>
      <c r="W579" s="1" t="s">
        <v>74</v>
      </c>
      <c r="X579" s="1" t="s">
        <v>74</v>
      </c>
      <c r="Y579" s="1" t="s">
        <v>74</v>
      </c>
      <c r="Z579" s="1" t="s">
        <v>74</v>
      </c>
      <c r="AA579" s="1" t="s">
        <v>5888</v>
      </c>
      <c r="AB579" s="1" t="s">
        <v>5889</v>
      </c>
      <c r="AC579" s="1" t="s">
        <v>74</v>
      </c>
      <c r="AD579" s="1" t="s">
        <v>74</v>
      </c>
      <c r="AE579" s="1" t="s">
        <v>74</v>
      </c>
      <c r="AF579" s="1" t="s">
        <v>74</v>
      </c>
      <c r="AG579" s="1" t="s">
        <v>74</v>
      </c>
      <c r="AH579" s="1" t="s">
        <v>74</v>
      </c>
      <c r="AI579" s="1" t="s">
        <v>74</v>
      </c>
      <c r="AJ579" s="1" t="s">
        <v>74</v>
      </c>
      <c r="AK579" s="1" t="s">
        <v>74</v>
      </c>
      <c r="AL579" s="1" t="s">
        <v>74</v>
      </c>
      <c r="AM579" s="1" t="s">
        <v>74</v>
      </c>
      <c r="AN579" s="1" t="s">
        <v>74</v>
      </c>
      <c r="AO579" s="1" t="s">
        <v>74</v>
      </c>
      <c r="AP579" s="1" t="s">
        <v>5890</v>
      </c>
      <c r="AQ579" s="1" t="s">
        <v>74</v>
      </c>
      <c r="AR579" s="1" t="s">
        <v>74</v>
      </c>
      <c r="AS579" s="1" t="s">
        <v>74</v>
      </c>
      <c r="AT579" s="1" t="s">
        <v>559</v>
      </c>
      <c r="AU579" s="1">
        <v>2023.0</v>
      </c>
      <c r="AV579" s="1">
        <v>11.0</v>
      </c>
      <c r="AW579" s="1">
        <v>12.0</v>
      </c>
      <c r="AX579" s="1" t="s">
        <v>74</v>
      </c>
      <c r="AY579" s="1" t="s">
        <v>74</v>
      </c>
      <c r="AZ579" s="1" t="s">
        <v>74</v>
      </c>
      <c r="BA579" s="1" t="s">
        <v>74</v>
      </c>
      <c r="BB579" s="1" t="s">
        <v>74</v>
      </c>
      <c r="BC579" s="1" t="s">
        <v>74</v>
      </c>
      <c r="BD579" s="1">
        <v>3286.0</v>
      </c>
      <c r="BE579" s="1" t="s">
        <v>5891</v>
      </c>
      <c r="BF579" s="2" t="str">
        <f>HYPERLINK("http://dx.doi.org/10.3390/biomedicines11123286","http://dx.doi.org/10.3390/biomedicines11123286")</f>
        <v>http://dx.doi.org/10.3390/biomedicines11123286</v>
      </c>
      <c r="BG579" s="1" t="s">
        <v>74</v>
      </c>
      <c r="BH579" s="1" t="s">
        <v>74</v>
      </c>
      <c r="BI579" s="1" t="s">
        <v>74</v>
      </c>
      <c r="BJ579" s="1" t="s">
        <v>74</v>
      </c>
      <c r="BK579" s="1" t="s">
        <v>74</v>
      </c>
      <c r="BL579" s="1" t="s">
        <v>74</v>
      </c>
      <c r="BM579" s="1" t="s">
        <v>74</v>
      </c>
      <c r="BN579" s="1">
        <v>3.8137506E7</v>
      </c>
      <c r="BO579" s="1" t="s">
        <v>74</v>
      </c>
      <c r="BP579" s="1" t="s">
        <v>74</v>
      </c>
      <c r="BQ579" s="1" t="s">
        <v>74</v>
      </c>
      <c r="BR579" s="1" t="s">
        <v>74</v>
      </c>
      <c r="BS579" s="1" t="s">
        <v>5892</v>
      </c>
      <c r="BT579" s="1" t="str">
        <f>HYPERLINK("https%3A%2F%2Fwww.webofscience.com%2Fwos%2Fwoscc%2Ffull-record%2FWOS:001130649900001","View Full Record in Web of Science")</f>
        <v>View Full Record in Web of Science</v>
      </c>
    </row>
    <row r="580" ht="12.75" customHeight="1">
      <c r="A580" s="1" t="s">
        <v>72</v>
      </c>
      <c r="B580" s="1" t="s">
        <v>5893</v>
      </c>
      <c r="C580" s="1" t="s">
        <v>74</v>
      </c>
      <c r="D580" s="1" t="s">
        <v>74</v>
      </c>
      <c r="E580" s="1" t="s">
        <v>74</v>
      </c>
      <c r="F580" s="1" t="s">
        <v>5894</v>
      </c>
      <c r="G580" s="1" t="s">
        <v>74</v>
      </c>
      <c r="H580" s="1" t="s">
        <v>74</v>
      </c>
      <c r="I580" s="1" t="s">
        <v>5895</v>
      </c>
      <c r="J580" s="1" t="s">
        <v>2184</v>
      </c>
      <c r="K580" s="1" t="s">
        <v>74</v>
      </c>
      <c r="L580" s="1" t="s">
        <v>74</v>
      </c>
      <c r="M580" s="1" t="s">
        <v>74</v>
      </c>
      <c r="N580" s="1" t="s">
        <v>74</v>
      </c>
      <c r="O580" s="1" t="s">
        <v>74</v>
      </c>
      <c r="P580" s="1" t="s">
        <v>74</v>
      </c>
      <c r="Q580" s="1" t="s">
        <v>74</v>
      </c>
      <c r="R580" s="1" t="s">
        <v>74</v>
      </c>
      <c r="S580" s="1" t="s">
        <v>74</v>
      </c>
      <c r="T580" s="1" t="s">
        <v>74</v>
      </c>
      <c r="U580" s="1" t="s">
        <v>74</v>
      </c>
      <c r="V580" s="1" t="s">
        <v>5896</v>
      </c>
      <c r="W580" s="1" t="s">
        <v>74</v>
      </c>
      <c r="X580" s="1" t="s">
        <v>74</v>
      </c>
      <c r="Y580" s="1" t="s">
        <v>74</v>
      </c>
      <c r="Z580" s="1" t="s">
        <v>74</v>
      </c>
      <c r="AA580" s="1" t="s">
        <v>5897</v>
      </c>
      <c r="AB580" s="1" t="s">
        <v>5898</v>
      </c>
      <c r="AC580" s="1" t="s">
        <v>74</v>
      </c>
      <c r="AD580" s="1" t="s">
        <v>74</v>
      </c>
      <c r="AE580" s="1" t="s">
        <v>74</v>
      </c>
      <c r="AF580" s="1" t="s">
        <v>74</v>
      </c>
      <c r="AG580" s="1" t="s">
        <v>74</v>
      </c>
      <c r="AH580" s="1" t="s">
        <v>74</v>
      </c>
      <c r="AI580" s="1" t="s">
        <v>74</v>
      </c>
      <c r="AJ580" s="1" t="s">
        <v>74</v>
      </c>
      <c r="AK580" s="1" t="s">
        <v>74</v>
      </c>
      <c r="AL580" s="1" t="s">
        <v>74</v>
      </c>
      <c r="AM580" s="1" t="s">
        <v>74</v>
      </c>
      <c r="AN580" s="1" t="s">
        <v>74</v>
      </c>
      <c r="AO580" s="1" t="s">
        <v>74</v>
      </c>
      <c r="AP580" s="1" t="s">
        <v>2188</v>
      </c>
      <c r="AQ580" s="1" t="s">
        <v>74</v>
      </c>
      <c r="AR580" s="1" t="s">
        <v>74</v>
      </c>
      <c r="AS580" s="1" t="s">
        <v>74</v>
      </c>
      <c r="AT580" s="1" t="s">
        <v>4358</v>
      </c>
      <c r="AU580" s="1">
        <v>2023.0</v>
      </c>
      <c r="AV580" s="1">
        <v>14.0</v>
      </c>
      <c r="AW580" s="1" t="s">
        <v>74</v>
      </c>
      <c r="AX580" s="1" t="s">
        <v>74</v>
      </c>
      <c r="AY580" s="1" t="s">
        <v>74</v>
      </c>
      <c r="AZ580" s="1" t="s">
        <v>74</v>
      </c>
      <c r="BA580" s="1" t="s">
        <v>74</v>
      </c>
      <c r="BB580" s="1" t="s">
        <v>74</v>
      </c>
      <c r="BC580" s="1" t="s">
        <v>74</v>
      </c>
      <c r="BD580" s="1">
        <v>1072793.0</v>
      </c>
      <c r="BE580" s="1" t="s">
        <v>5899</v>
      </c>
      <c r="BF580" s="2" t="str">
        <f>HYPERLINK("http://dx.doi.org/10.3389/fmicb.2023.1072793","http://dx.doi.org/10.3389/fmicb.2023.1072793")</f>
        <v>http://dx.doi.org/10.3389/fmicb.2023.1072793</v>
      </c>
      <c r="BG580" s="1" t="s">
        <v>74</v>
      </c>
      <c r="BH580" s="1" t="s">
        <v>74</v>
      </c>
      <c r="BI580" s="1" t="s">
        <v>74</v>
      </c>
      <c r="BJ580" s="1" t="s">
        <v>74</v>
      </c>
      <c r="BK580" s="1" t="s">
        <v>74</v>
      </c>
      <c r="BL580" s="1" t="s">
        <v>74</v>
      </c>
      <c r="BM580" s="1" t="s">
        <v>74</v>
      </c>
      <c r="BN580" s="1">
        <v>3.7007466E7</v>
      </c>
      <c r="BO580" s="1" t="s">
        <v>74</v>
      </c>
      <c r="BP580" s="1" t="s">
        <v>74</v>
      </c>
      <c r="BQ580" s="1" t="s">
        <v>74</v>
      </c>
      <c r="BR580" s="1" t="s">
        <v>74</v>
      </c>
      <c r="BS580" s="1" t="s">
        <v>5900</v>
      </c>
      <c r="BT580" s="1" t="str">
        <f>HYPERLINK("https%3A%2F%2Fwww.webofscience.com%2Fwos%2Fwoscc%2Ffull-record%2FWOS:000961219900001","View Full Record in Web of Science")</f>
        <v>View Full Record in Web of Science</v>
      </c>
    </row>
    <row r="581" ht="12.75" customHeight="1">
      <c r="A581" s="1" t="s">
        <v>72</v>
      </c>
      <c r="B581" s="1" t="s">
        <v>5901</v>
      </c>
      <c r="C581" s="1" t="s">
        <v>74</v>
      </c>
      <c r="D581" s="1" t="s">
        <v>74</v>
      </c>
      <c r="E581" s="1" t="s">
        <v>74</v>
      </c>
      <c r="F581" s="1" t="s">
        <v>5902</v>
      </c>
      <c r="G581" s="1" t="s">
        <v>74</v>
      </c>
      <c r="H581" s="1" t="s">
        <v>74</v>
      </c>
      <c r="I581" s="1" t="s">
        <v>5903</v>
      </c>
      <c r="J581" s="1" t="s">
        <v>5904</v>
      </c>
      <c r="K581" s="1" t="s">
        <v>74</v>
      </c>
      <c r="L581" s="1" t="s">
        <v>74</v>
      </c>
      <c r="M581" s="1" t="s">
        <v>74</v>
      </c>
      <c r="N581" s="1" t="s">
        <v>74</v>
      </c>
      <c r="O581" s="1" t="s">
        <v>74</v>
      </c>
      <c r="P581" s="1" t="s">
        <v>74</v>
      </c>
      <c r="Q581" s="1" t="s">
        <v>74</v>
      </c>
      <c r="R581" s="1" t="s">
        <v>74</v>
      </c>
      <c r="S581" s="1" t="s">
        <v>74</v>
      </c>
      <c r="T581" s="1" t="s">
        <v>74</v>
      </c>
      <c r="U581" s="1" t="s">
        <v>74</v>
      </c>
      <c r="V581" s="1" t="s">
        <v>74</v>
      </c>
      <c r="W581" s="1" t="s">
        <v>74</v>
      </c>
      <c r="X581" s="1" t="s">
        <v>74</v>
      </c>
      <c r="Y581" s="1" t="s">
        <v>74</v>
      </c>
      <c r="Z581" s="1" t="s">
        <v>74</v>
      </c>
      <c r="AA581" s="1" t="s">
        <v>5905</v>
      </c>
      <c r="AB581" s="1" t="s">
        <v>5906</v>
      </c>
      <c r="AC581" s="1" t="s">
        <v>74</v>
      </c>
      <c r="AD581" s="1" t="s">
        <v>74</v>
      </c>
      <c r="AE581" s="1" t="s">
        <v>74</v>
      </c>
      <c r="AF581" s="1" t="s">
        <v>74</v>
      </c>
      <c r="AG581" s="1" t="s">
        <v>74</v>
      </c>
      <c r="AH581" s="1" t="s">
        <v>74</v>
      </c>
      <c r="AI581" s="1" t="s">
        <v>74</v>
      </c>
      <c r="AJ581" s="1" t="s">
        <v>74</v>
      </c>
      <c r="AK581" s="1" t="s">
        <v>74</v>
      </c>
      <c r="AL581" s="1" t="s">
        <v>74</v>
      </c>
      <c r="AM581" s="1" t="s">
        <v>74</v>
      </c>
      <c r="AN581" s="1" t="s">
        <v>74</v>
      </c>
      <c r="AO581" s="1" t="s">
        <v>5907</v>
      </c>
      <c r="AP581" s="1" t="s">
        <v>5908</v>
      </c>
      <c r="AQ581" s="1" t="s">
        <v>74</v>
      </c>
      <c r="AR581" s="1" t="s">
        <v>74</v>
      </c>
      <c r="AS581" s="1" t="s">
        <v>74</v>
      </c>
      <c r="AT581" s="1" t="s">
        <v>250</v>
      </c>
      <c r="AU581" s="1">
        <v>2022.0</v>
      </c>
      <c r="AV581" s="1">
        <v>56.0</v>
      </c>
      <c r="AW581" s="1">
        <v>5.0</v>
      </c>
      <c r="AX581" s="1" t="s">
        <v>74</v>
      </c>
      <c r="AY581" s="1" t="s">
        <v>74</v>
      </c>
      <c r="AZ581" s="1" t="s">
        <v>74</v>
      </c>
      <c r="BA581" s="1" t="s">
        <v>74</v>
      </c>
      <c r="BB581" s="1">
        <v>653.0</v>
      </c>
      <c r="BC581" s="1">
        <v>653.0</v>
      </c>
      <c r="BD581" s="1" t="s">
        <v>5909</v>
      </c>
      <c r="BE581" s="1" t="s">
        <v>5910</v>
      </c>
      <c r="BF581" s="2" t="str">
        <f>HYPERLINK("http://dx.doi.org/10.1017/S0030605322000801","http://dx.doi.org/10.1017/S0030605322000801")</f>
        <v>http://dx.doi.org/10.1017/S0030605322000801</v>
      </c>
      <c r="BG581" s="1" t="s">
        <v>74</v>
      </c>
      <c r="BH581" s="1" t="s">
        <v>74</v>
      </c>
      <c r="BI581" s="1" t="s">
        <v>74</v>
      </c>
      <c r="BJ581" s="1" t="s">
        <v>74</v>
      </c>
      <c r="BK581" s="1" t="s">
        <v>74</v>
      </c>
      <c r="BL581" s="1" t="s">
        <v>74</v>
      </c>
      <c r="BM581" s="1" t="s">
        <v>74</v>
      </c>
      <c r="BN581" s="1" t="s">
        <v>74</v>
      </c>
      <c r="BO581" s="1" t="s">
        <v>74</v>
      </c>
      <c r="BP581" s="1" t="s">
        <v>74</v>
      </c>
      <c r="BQ581" s="1" t="s">
        <v>74</v>
      </c>
      <c r="BR581" s="1" t="s">
        <v>74</v>
      </c>
      <c r="BS581" s="1" t="s">
        <v>5911</v>
      </c>
      <c r="BT581" s="1" t="str">
        <f>HYPERLINK("https%3A%2F%2Fwww.webofscience.com%2Fwos%2Fwoscc%2Ffull-record%2FWOS:000847361700012","View Full Record in Web of Science")</f>
        <v>View Full Record in Web of Science</v>
      </c>
    </row>
    <row r="582" ht="12.75" customHeight="1">
      <c r="A582" s="1" t="s">
        <v>72</v>
      </c>
      <c r="B582" s="1" t="s">
        <v>5912</v>
      </c>
      <c r="C582" s="1" t="s">
        <v>74</v>
      </c>
      <c r="D582" s="1" t="s">
        <v>74</v>
      </c>
      <c r="E582" s="1" t="s">
        <v>74</v>
      </c>
      <c r="F582" s="1" t="s">
        <v>5913</v>
      </c>
      <c r="G582" s="1" t="s">
        <v>74</v>
      </c>
      <c r="H582" s="1" t="s">
        <v>74</v>
      </c>
      <c r="I582" s="1" t="s">
        <v>5914</v>
      </c>
      <c r="J582" s="1" t="s">
        <v>3416</v>
      </c>
      <c r="K582" s="1" t="s">
        <v>74</v>
      </c>
      <c r="L582" s="1" t="s">
        <v>74</v>
      </c>
      <c r="M582" s="1" t="s">
        <v>74</v>
      </c>
      <c r="N582" s="1" t="s">
        <v>74</v>
      </c>
      <c r="O582" s="1" t="s">
        <v>74</v>
      </c>
      <c r="P582" s="1" t="s">
        <v>74</v>
      </c>
      <c r="Q582" s="1" t="s">
        <v>74</v>
      </c>
      <c r="R582" s="1" t="s">
        <v>74</v>
      </c>
      <c r="S582" s="1" t="s">
        <v>74</v>
      </c>
      <c r="T582" s="1" t="s">
        <v>74</v>
      </c>
      <c r="U582" s="1" t="s">
        <v>74</v>
      </c>
      <c r="V582" s="1" t="s">
        <v>5915</v>
      </c>
      <c r="W582" s="1" t="s">
        <v>74</v>
      </c>
      <c r="X582" s="1" t="s">
        <v>74</v>
      </c>
      <c r="Y582" s="1" t="s">
        <v>74</v>
      </c>
      <c r="Z582" s="1" t="s">
        <v>74</v>
      </c>
      <c r="AA582" s="1" t="s">
        <v>5916</v>
      </c>
      <c r="AB582" s="1" t="s">
        <v>5917</v>
      </c>
      <c r="AC582" s="1" t="s">
        <v>74</v>
      </c>
      <c r="AD582" s="1" t="s">
        <v>74</v>
      </c>
      <c r="AE582" s="1" t="s">
        <v>74</v>
      </c>
      <c r="AF582" s="1" t="s">
        <v>74</v>
      </c>
      <c r="AG582" s="1" t="s">
        <v>74</v>
      </c>
      <c r="AH582" s="1" t="s">
        <v>74</v>
      </c>
      <c r="AI582" s="1" t="s">
        <v>74</v>
      </c>
      <c r="AJ582" s="1" t="s">
        <v>74</v>
      </c>
      <c r="AK582" s="1" t="s">
        <v>74</v>
      </c>
      <c r="AL582" s="1" t="s">
        <v>74</v>
      </c>
      <c r="AM582" s="1" t="s">
        <v>74</v>
      </c>
      <c r="AN582" s="1" t="s">
        <v>74</v>
      </c>
      <c r="AO582" s="1" t="s">
        <v>5918</v>
      </c>
      <c r="AP582" s="1" t="s">
        <v>3420</v>
      </c>
      <c r="AQ582" s="1" t="s">
        <v>74</v>
      </c>
      <c r="AR582" s="1" t="s">
        <v>74</v>
      </c>
      <c r="AS582" s="1" t="s">
        <v>74</v>
      </c>
      <c r="AT582" s="1" t="s">
        <v>398</v>
      </c>
      <c r="AU582" s="1">
        <v>2021.0</v>
      </c>
      <c r="AV582" s="1">
        <v>9.0</v>
      </c>
      <c r="AW582" s="1">
        <v>1.0</v>
      </c>
      <c r="AX582" s="1" t="s">
        <v>74</v>
      </c>
      <c r="AY582" s="1" t="s">
        <v>74</v>
      </c>
      <c r="AZ582" s="1" t="s">
        <v>74</v>
      </c>
      <c r="BA582" s="1" t="s">
        <v>74</v>
      </c>
      <c r="BB582" s="1" t="s">
        <v>74</v>
      </c>
      <c r="BC582" s="1" t="s">
        <v>74</v>
      </c>
      <c r="BD582" s="1">
        <v>104922.0</v>
      </c>
      <c r="BE582" s="1" t="s">
        <v>5919</v>
      </c>
      <c r="BF582" s="2" t="str">
        <f>HYPERLINK("http://dx.doi.org/10.1016/j.jece.2020.104922","http://dx.doi.org/10.1016/j.jece.2020.104922")</f>
        <v>http://dx.doi.org/10.1016/j.jece.2020.104922</v>
      </c>
      <c r="BG582" s="1" t="s">
        <v>74</v>
      </c>
      <c r="BH582" s="1" t="s">
        <v>74</v>
      </c>
      <c r="BI582" s="1" t="s">
        <v>74</v>
      </c>
      <c r="BJ582" s="1" t="s">
        <v>74</v>
      </c>
      <c r="BK582" s="1" t="s">
        <v>74</v>
      </c>
      <c r="BL582" s="1" t="s">
        <v>74</v>
      </c>
      <c r="BM582" s="1" t="s">
        <v>74</v>
      </c>
      <c r="BN582" s="1" t="s">
        <v>74</v>
      </c>
      <c r="BO582" s="1" t="s">
        <v>74</v>
      </c>
      <c r="BP582" s="1" t="s">
        <v>74</v>
      </c>
      <c r="BQ582" s="1" t="s">
        <v>74</v>
      </c>
      <c r="BR582" s="1" t="s">
        <v>74</v>
      </c>
      <c r="BS582" s="1" t="s">
        <v>5920</v>
      </c>
      <c r="BT582" s="1" t="str">
        <f>HYPERLINK("https%3A%2F%2Fwww.webofscience.com%2Fwos%2Fwoscc%2Ffull-record%2FWOS:000615230700006","View Full Record in Web of Science")</f>
        <v>View Full Record in Web of Science</v>
      </c>
    </row>
    <row r="583" ht="12.75" customHeight="1">
      <c r="A583" s="1" t="s">
        <v>72</v>
      </c>
      <c r="B583" s="1" t="s">
        <v>5921</v>
      </c>
      <c r="C583" s="1" t="s">
        <v>74</v>
      </c>
      <c r="D583" s="1" t="s">
        <v>74</v>
      </c>
      <c r="E583" s="1" t="s">
        <v>74</v>
      </c>
      <c r="F583" s="1" t="s">
        <v>5922</v>
      </c>
      <c r="G583" s="1" t="s">
        <v>74</v>
      </c>
      <c r="H583" s="1" t="s">
        <v>74</v>
      </c>
      <c r="I583" s="1" t="s">
        <v>5923</v>
      </c>
      <c r="J583" s="1" t="s">
        <v>5924</v>
      </c>
      <c r="K583" s="1" t="s">
        <v>74</v>
      </c>
      <c r="L583" s="1" t="s">
        <v>74</v>
      </c>
      <c r="M583" s="1" t="s">
        <v>74</v>
      </c>
      <c r="N583" s="1" t="s">
        <v>74</v>
      </c>
      <c r="O583" s="1" t="s">
        <v>74</v>
      </c>
      <c r="P583" s="1" t="s">
        <v>74</v>
      </c>
      <c r="Q583" s="1" t="s">
        <v>74</v>
      </c>
      <c r="R583" s="1" t="s">
        <v>74</v>
      </c>
      <c r="S583" s="1" t="s">
        <v>74</v>
      </c>
      <c r="T583" s="1" t="s">
        <v>74</v>
      </c>
      <c r="U583" s="1" t="s">
        <v>74</v>
      </c>
      <c r="V583" s="1" t="s">
        <v>5925</v>
      </c>
      <c r="W583" s="1" t="s">
        <v>74</v>
      </c>
      <c r="X583" s="1" t="s">
        <v>74</v>
      </c>
      <c r="Y583" s="1" t="s">
        <v>74</v>
      </c>
      <c r="Z583" s="1" t="s">
        <v>74</v>
      </c>
      <c r="AA583" s="1" t="s">
        <v>5926</v>
      </c>
      <c r="AB583" s="1" t="s">
        <v>5927</v>
      </c>
      <c r="AC583" s="1" t="s">
        <v>74</v>
      </c>
      <c r="AD583" s="1" t="s">
        <v>74</v>
      </c>
      <c r="AE583" s="1" t="s">
        <v>74</v>
      </c>
      <c r="AF583" s="1" t="s">
        <v>74</v>
      </c>
      <c r="AG583" s="1" t="s">
        <v>74</v>
      </c>
      <c r="AH583" s="1" t="s">
        <v>74</v>
      </c>
      <c r="AI583" s="1" t="s">
        <v>74</v>
      </c>
      <c r="AJ583" s="1" t="s">
        <v>74</v>
      </c>
      <c r="AK583" s="1" t="s">
        <v>74</v>
      </c>
      <c r="AL583" s="1" t="s">
        <v>74</v>
      </c>
      <c r="AM583" s="1" t="s">
        <v>74</v>
      </c>
      <c r="AN583" s="1" t="s">
        <v>74</v>
      </c>
      <c r="AO583" s="1" t="s">
        <v>74</v>
      </c>
      <c r="AP583" s="1" t="s">
        <v>5928</v>
      </c>
      <c r="AQ583" s="1" t="s">
        <v>74</v>
      </c>
      <c r="AR583" s="1" t="s">
        <v>74</v>
      </c>
      <c r="AS583" s="1" t="s">
        <v>74</v>
      </c>
      <c r="AT583" s="1" t="s">
        <v>5929</v>
      </c>
      <c r="AU583" s="1">
        <v>2021.0</v>
      </c>
      <c r="AV583" s="1">
        <v>18.0</v>
      </c>
      <c r="AW583" s="1">
        <v>1.0</v>
      </c>
      <c r="AX583" s="1" t="s">
        <v>74</v>
      </c>
      <c r="AY583" s="1" t="s">
        <v>74</v>
      </c>
      <c r="AZ583" s="1" t="s">
        <v>74</v>
      </c>
      <c r="BA583" s="1" t="s">
        <v>74</v>
      </c>
      <c r="BB583" s="1" t="s">
        <v>74</v>
      </c>
      <c r="BC583" s="1" t="s">
        <v>74</v>
      </c>
      <c r="BD583" s="1">
        <v>15.0</v>
      </c>
      <c r="BE583" s="1" t="s">
        <v>5930</v>
      </c>
      <c r="BF583" s="2" t="str">
        <f>HYPERLINK("http://dx.doi.org/10.1186/s12986-021-00544-5","http://dx.doi.org/10.1186/s12986-021-00544-5")</f>
        <v>http://dx.doi.org/10.1186/s12986-021-00544-5</v>
      </c>
      <c r="BG583" s="1" t="s">
        <v>74</v>
      </c>
      <c r="BH583" s="1" t="s">
        <v>74</v>
      </c>
      <c r="BI583" s="1" t="s">
        <v>74</v>
      </c>
      <c r="BJ583" s="1" t="s">
        <v>74</v>
      </c>
      <c r="BK583" s="1" t="s">
        <v>74</v>
      </c>
      <c r="BL583" s="1" t="s">
        <v>74</v>
      </c>
      <c r="BM583" s="1" t="s">
        <v>74</v>
      </c>
      <c r="BN583" s="1">
        <v>3.3485363E7</v>
      </c>
      <c r="BO583" s="1" t="s">
        <v>74</v>
      </c>
      <c r="BP583" s="1" t="s">
        <v>74</v>
      </c>
      <c r="BQ583" s="1" t="s">
        <v>74</v>
      </c>
      <c r="BR583" s="1" t="s">
        <v>74</v>
      </c>
      <c r="BS583" s="1" t="s">
        <v>5931</v>
      </c>
      <c r="BT583" s="1" t="str">
        <f>HYPERLINK("https%3A%2F%2Fwww.webofscience.com%2Fwos%2Fwoscc%2Ffull-record%2FWOS:000610531400001","View Full Record in Web of Science")</f>
        <v>View Full Record in Web of Science</v>
      </c>
    </row>
    <row r="584" ht="12.75" customHeight="1">
      <c r="A584" s="1" t="s">
        <v>72</v>
      </c>
      <c r="B584" s="1" t="s">
        <v>5932</v>
      </c>
      <c r="C584" s="1" t="s">
        <v>74</v>
      </c>
      <c r="D584" s="1" t="s">
        <v>74</v>
      </c>
      <c r="E584" s="1" t="s">
        <v>74</v>
      </c>
      <c r="F584" s="1" t="s">
        <v>5933</v>
      </c>
      <c r="G584" s="1" t="s">
        <v>74</v>
      </c>
      <c r="H584" s="1" t="s">
        <v>74</v>
      </c>
      <c r="I584" s="1" t="s">
        <v>5934</v>
      </c>
      <c r="J584" s="1" t="s">
        <v>480</v>
      </c>
      <c r="K584" s="1" t="s">
        <v>74</v>
      </c>
      <c r="L584" s="1" t="s">
        <v>74</v>
      </c>
      <c r="M584" s="1" t="s">
        <v>74</v>
      </c>
      <c r="N584" s="1" t="s">
        <v>74</v>
      </c>
      <c r="O584" s="1" t="s">
        <v>74</v>
      </c>
      <c r="P584" s="1" t="s">
        <v>74</v>
      </c>
      <c r="Q584" s="1" t="s">
        <v>74</v>
      </c>
      <c r="R584" s="1" t="s">
        <v>74</v>
      </c>
      <c r="S584" s="1" t="s">
        <v>74</v>
      </c>
      <c r="T584" s="1" t="s">
        <v>74</v>
      </c>
      <c r="U584" s="1" t="s">
        <v>74</v>
      </c>
      <c r="V584" s="1" t="s">
        <v>5935</v>
      </c>
      <c r="W584" s="1" t="s">
        <v>74</v>
      </c>
      <c r="X584" s="1" t="s">
        <v>74</v>
      </c>
      <c r="Y584" s="1" t="s">
        <v>74</v>
      </c>
      <c r="Z584" s="1" t="s">
        <v>74</v>
      </c>
      <c r="AA584" s="1" t="s">
        <v>5936</v>
      </c>
      <c r="AB584" s="1" t="s">
        <v>5937</v>
      </c>
      <c r="AC584" s="1" t="s">
        <v>74</v>
      </c>
      <c r="AD584" s="1" t="s">
        <v>74</v>
      </c>
      <c r="AE584" s="1" t="s">
        <v>74</v>
      </c>
      <c r="AF584" s="1" t="s">
        <v>74</v>
      </c>
      <c r="AG584" s="1" t="s">
        <v>74</v>
      </c>
      <c r="AH584" s="1" t="s">
        <v>74</v>
      </c>
      <c r="AI584" s="1" t="s">
        <v>74</v>
      </c>
      <c r="AJ584" s="1" t="s">
        <v>74</v>
      </c>
      <c r="AK584" s="1" t="s">
        <v>74</v>
      </c>
      <c r="AL584" s="1" t="s">
        <v>74</v>
      </c>
      <c r="AM584" s="1" t="s">
        <v>74</v>
      </c>
      <c r="AN584" s="1" t="s">
        <v>74</v>
      </c>
      <c r="AO584" s="1" t="s">
        <v>484</v>
      </c>
      <c r="AP584" s="1" t="s">
        <v>485</v>
      </c>
      <c r="AQ584" s="1" t="s">
        <v>74</v>
      </c>
      <c r="AR584" s="1" t="s">
        <v>74</v>
      </c>
      <c r="AS584" s="1" t="s">
        <v>74</v>
      </c>
      <c r="AT584" s="1" t="s">
        <v>250</v>
      </c>
      <c r="AU584" s="1">
        <v>2020.0</v>
      </c>
      <c r="AV584" s="1">
        <v>118.0</v>
      </c>
      <c r="AW584" s="1" t="s">
        <v>74</v>
      </c>
      <c r="AX584" s="1" t="s">
        <v>74</v>
      </c>
      <c r="AY584" s="1" t="s">
        <v>74</v>
      </c>
      <c r="AZ584" s="1" t="s">
        <v>74</v>
      </c>
      <c r="BA584" s="1" t="s">
        <v>74</v>
      </c>
      <c r="BB584" s="1" t="s">
        <v>74</v>
      </c>
      <c r="BC584" s="1" t="s">
        <v>74</v>
      </c>
      <c r="BD584" s="1">
        <v>106784.0</v>
      </c>
      <c r="BE584" s="1" t="s">
        <v>5938</v>
      </c>
      <c r="BF584" s="2" t="str">
        <f>HYPERLINK("http://dx.doi.org/10.1016/j.elecom.2020.106784","http://dx.doi.org/10.1016/j.elecom.2020.106784")</f>
        <v>http://dx.doi.org/10.1016/j.elecom.2020.106784</v>
      </c>
      <c r="BG584" s="1" t="s">
        <v>74</v>
      </c>
      <c r="BH584" s="1" t="s">
        <v>74</v>
      </c>
      <c r="BI584" s="1" t="s">
        <v>74</v>
      </c>
      <c r="BJ584" s="1" t="s">
        <v>74</v>
      </c>
      <c r="BK584" s="1" t="s">
        <v>74</v>
      </c>
      <c r="BL584" s="1" t="s">
        <v>74</v>
      </c>
      <c r="BM584" s="1" t="s">
        <v>74</v>
      </c>
      <c r="BN584" s="1" t="s">
        <v>74</v>
      </c>
      <c r="BO584" s="1" t="s">
        <v>74</v>
      </c>
      <c r="BP584" s="1" t="s">
        <v>74</v>
      </c>
      <c r="BQ584" s="1" t="s">
        <v>74</v>
      </c>
      <c r="BR584" s="1" t="s">
        <v>74</v>
      </c>
      <c r="BS584" s="1" t="s">
        <v>5939</v>
      </c>
      <c r="BT584" s="1" t="str">
        <f>HYPERLINK("https%3A%2F%2Fwww.webofscience.com%2Fwos%2Fwoscc%2Ffull-record%2FWOS:000567801100006","View Full Record in Web of Science")</f>
        <v>View Full Record in Web of Science</v>
      </c>
    </row>
    <row r="585" ht="12.75" customHeight="1">
      <c r="A585" s="1" t="s">
        <v>72</v>
      </c>
      <c r="B585" s="1" t="s">
        <v>5940</v>
      </c>
      <c r="C585" s="1" t="s">
        <v>74</v>
      </c>
      <c r="D585" s="1" t="s">
        <v>74</v>
      </c>
      <c r="E585" s="1" t="s">
        <v>74</v>
      </c>
      <c r="F585" s="1" t="s">
        <v>5941</v>
      </c>
      <c r="G585" s="1" t="s">
        <v>74</v>
      </c>
      <c r="H585" s="1" t="s">
        <v>74</v>
      </c>
      <c r="I585" s="1" t="s">
        <v>5942</v>
      </c>
      <c r="J585" s="1" t="s">
        <v>5943</v>
      </c>
      <c r="K585" s="1" t="s">
        <v>74</v>
      </c>
      <c r="L585" s="1" t="s">
        <v>74</v>
      </c>
      <c r="M585" s="1" t="s">
        <v>74</v>
      </c>
      <c r="N585" s="1" t="s">
        <v>74</v>
      </c>
      <c r="O585" s="1" t="s">
        <v>74</v>
      </c>
      <c r="P585" s="1" t="s">
        <v>74</v>
      </c>
      <c r="Q585" s="1" t="s">
        <v>74</v>
      </c>
      <c r="R585" s="1" t="s">
        <v>74</v>
      </c>
      <c r="S585" s="1" t="s">
        <v>74</v>
      </c>
      <c r="T585" s="1" t="s">
        <v>74</v>
      </c>
      <c r="U585" s="1" t="s">
        <v>74</v>
      </c>
      <c r="V585" s="1" t="s">
        <v>5944</v>
      </c>
      <c r="W585" s="1" t="s">
        <v>74</v>
      </c>
      <c r="X585" s="1" t="s">
        <v>74</v>
      </c>
      <c r="Y585" s="1" t="s">
        <v>74</v>
      </c>
      <c r="Z585" s="1" t="s">
        <v>74</v>
      </c>
      <c r="AA585" s="1" t="s">
        <v>5945</v>
      </c>
      <c r="AB585" s="1" t="s">
        <v>5946</v>
      </c>
      <c r="AC585" s="1" t="s">
        <v>74</v>
      </c>
      <c r="AD585" s="1" t="s">
        <v>74</v>
      </c>
      <c r="AE585" s="1" t="s">
        <v>74</v>
      </c>
      <c r="AF585" s="1" t="s">
        <v>74</v>
      </c>
      <c r="AG585" s="1" t="s">
        <v>74</v>
      </c>
      <c r="AH585" s="1" t="s">
        <v>74</v>
      </c>
      <c r="AI585" s="1" t="s">
        <v>74</v>
      </c>
      <c r="AJ585" s="1" t="s">
        <v>74</v>
      </c>
      <c r="AK585" s="1" t="s">
        <v>74</v>
      </c>
      <c r="AL585" s="1" t="s">
        <v>74</v>
      </c>
      <c r="AM585" s="1" t="s">
        <v>74</v>
      </c>
      <c r="AN585" s="1" t="s">
        <v>74</v>
      </c>
      <c r="AO585" s="1" t="s">
        <v>5947</v>
      </c>
      <c r="AP585" s="1" t="s">
        <v>5948</v>
      </c>
      <c r="AQ585" s="1" t="s">
        <v>74</v>
      </c>
      <c r="AR585" s="1" t="s">
        <v>74</v>
      </c>
      <c r="AS585" s="1" t="s">
        <v>74</v>
      </c>
      <c r="AT585" s="1" t="s">
        <v>5949</v>
      </c>
      <c r="AU585" s="1">
        <v>2019.0</v>
      </c>
      <c r="AV585" s="1">
        <v>363.0</v>
      </c>
      <c r="AW585" s="1" t="s">
        <v>74</v>
      </c>
      <c r="AX585" s="1" t="s">
        <v>74</v>
      </c>
      <c r="AY585" s="1" t="s">
        <v>74</v>
      </c>
      <c r="AZ585" s="1" t="s">
        <v>74</v>
      </c>
      <c r="BA585" s="1" t="s">
        <v>74</v>
      </c>
      <c r="BB585" s="1">
        <v>182.0</v>
      </c>
      <c r="BC585" s="1">
        <v>190.0</v>
      </c>
      <c r="BD585" s="1" t="s">
        <v>74</v>
      </c>
      <c r="BE585" s="1" t="s">
        <v>5950</v>
      </c>
      <c r="BF585" s="2" t="str">
        <f>HYPERLINK("http://dx.doi.org/10.1016/j.bbr.2019.02.001","http://dx.doi.org/10.1016/j.bbr.2019.02.001")</f>
        <v>http://dx.doi.org/10.1016/j.bbr.2019.02.001</v>
      </c>
      <c r="BG585" s="1" t="s">
        <v>74</v>
      </c>
      <c r="BH585" s="1" t="s">
        <v>74</v>
      </c>
      <c r="BI585" s="1" t="s">
        <v>74</v>
      </c>
      <c r="BJ585" s="1" t="s">
        <v>74</v>
      </c>
      <c r="BK585" s="1" t="s">
        <v>74</v>
      </c>
      <c r="BL585" s="1" t="s">
        <v>74</v>
      </c>
      <c r="BM585" s="1" t="s">
        <v>74</v>
      </c>
      <c r="BN585" s="1">
        <v>3.0721762E7</v>
      </c>
      <c r="BO585" s="1" t="s">
        <v>74</v>
      </c>
      <c r="BP585" s="1" t="s">
        <v>74</v>
      </c>
      <c r="BQ585" s="1" t="s">
        <v>74</v>
      </c>
      <c r="BR585" s="1" t="s">
        <v>74</v>
      </c>
      <c r="BS585" s="1" t="s">
        <v>5951</v>
      </c>
      <c r="BT585" s="1" t="str">
        <f>HYPERLINK("https%3A%2F%2Fwww.webofscience.com%2Fwos%2Fwoscc%2Ffull-record%2FWOS:000460822600023","View Full Record in Web of Science")</f>
        <v>View Full Record in Web of Science</v>
      </c>
    </row>
    <row r="586" ht="12.75" customHeight="1">
      <c r="A586" s="1" t="s">
        <v>72</v>
      </c>
      <c r="B586" s="1" t="s">
        <v>5952</v>
      </c>
      <c r="C586" s="1" t="s">
        <v>74</v>
      </c>
      <c r="D586" s="1" t="s">
        <v>74</v>
      </c>
      <c r="E586" s="1" t="s">
        <v>74</v>
      </c>
      <c r="F586" s="1" t="s">
        <v>5953</v>
      </c>
      <c r="G586" s="1" t="s">
        <v>74</v>
      </c>
      <c r="H586" s="1" t="s">
        <v>74</v>
      </c>
      <c r="I586" s="1" t="s">
        <v>5954</v>
      </c>
      <c r="J586" s="1" t="s">
        <v>5955</v>
      </c>
      <c r="K586" s="1" t="s">
        <v>74</v>
      </c>
      <c r="L586" s="1" t="s">
        <v>74</v>
      </c>
      <c r="M586" s="1" t="s">
        <v>74</v>
      </c>
      <c r="N586" s="1" t="s">
        <v>74</v>
      </c>
      <c r="O586" s="1" t="s">
        <v>74</v>
      </c>
      <c r="P586" s="1" t="s">
        <v>74</v>
      </c>
      <c r="Q586" s="1" t="s">
        <v>74</v>
      </c>
      <c r="R586" s="1" t="s">
        <v>74</v>
      </c>
      <c r="S586" s="1" t="s">
        <v>74</v>
      </c>
      <c r="T586" s="1" t="s">
        <v>74</v>
      </c>
      <c r="U586" s="1" t="s">
        <v>74</v>
      </c>
      <c r="V586" s="1" t="s">
        <v>5956</v>
      </c>
      <c r="W586" s="1" t="s">
        <v>74</v>
      </c>
      <c r="X586" s="1" t="s">
        <v>74</v>
      </c>
      <c r="Y586" s="1" t="s">
        <v>74</v>
      </c>
      <c r="Z586" s="1" t="s">
        <v>74</v>
      </c>
      <c r="AA586" s="1" t="s">
        <v>5957</v>
      </c>
      <c r="AB586" s="1" t="s">
        <v>5958</v>
      </c>
      <c r="AC586" s="1" t="s">
        <v>74</v>
      </c>
      <c r="AD586" s="1" t="s">
        <v>74</v>
      </c>
      <c r="AE586" s="1" t="s">
        <v>74</v>
      </c>
      <c r="AF586" s="1" t="s">
        <v>74</v>
      </c>
      <c r="AG586" s="1" t="s">
        <v>74</v>
      </c>
      <c r="AH586" s="1" t="s">
        <v>74</v>
      </c>
      <c r="AI586" s="1" t="s">
        <v>74</v>
      </c>
      <c r="AJ586" s="1" t="s">
        <v>74</v>
      </c>
      <c r="AK586" s="1" t="s">
        <v>74</v>
      </c>
      <c r="AL586" s="1" t="s">
        <v>74</v>
      </c>
      <c r="AM586" s="1" t="s">
        <v>74</v>
      </c>
      <c r="AN586" s="1" t="s">
        <v>74</v>
      </c>
      <c r="AO586" s="1" t="s">
        <v>5959</v>
      </c>
      <c r="AP586" s="1" t="s">
        <v>5960</v>
      </c>
      <c r="AQ586" s="1" t="s">
        <v>74</v>
      </c>
      <c r="AR586" s="1" t="s">
        <v>74</v>
      </c>
      <c r="AS586" s="1" t="s">
        <v>74</v>
      </c>
      <c r="AT586" s="1" t="s">
        <v>438</v>
      </c>
      <c r="AU586" s="1">
        <v>2018.0</v>
      </c>
      <c r="AV586" s="1">
        <v>13.0</v>
      </c>
      <c r="AW586" s="1">
        <v>4.0</v>
      </c>
      <c r="AX586" s="1" t="s">
        <v>74</v>
      </c>
      <c r="AY586" s="1" t="s">
        <v>74</v>
      </c>
      <c r="AZ586" s="1" t="s">
        <v>74</v>
      </c>
      <c r="BA586" s="1" t="s">
        <v>74</v>
      </c>
      <c r="BB586" s="1">
        <v>584.0</v>
      </c>
      <c r="BC586" s="1">
        <v>590.0</v>
      </c>
      <c r="BD586" s="1" t="s">
        <v>74</v>
      </c>
      <c r="BE586" s="1" t="s">
        <v>5961</v>
      </c>
      <c r="BF586" s="2" t="str">
        <f>HYPERLINK("http://dx.doi.org/10.4103/1673-5374.230270","http://dx.doi.org/10.4103/1673-5374.230270")</f>
        <v>http://dx.doi.org/10.4103/1673-5374.230270</v>
      </c>
      <c r="BG586" s="1" t="s">
        <v>74</v>
      </c>
      <c r="BH586" s="1" t="s">
        <v>74</v>
      </c>
      <c r="BI586" s="1" t="s">
        <v>74</v>
      </c>
      <c r="BJ586" s="1" t="s">
        <v>74</v>
      </c>
      <c r="BK586" s="1" t="s">
        <v>74</v>
      </c>
      <c r="BL586" s="1" t="s">
        <v>74</v>
      </c>
      <c r="BM586" s="1" t="s">
        <v>74</v>
      </c>
      <c r="BN586" s="1">
        <v>2.9722299E7</v>
      </c>
      <c r="BO586" s="1" t="s">
        <v>74</v>
      </c>
      <c r="BP586" s="1" t="s">
        <v>74</v>
      </c>
      <c r="BQ586" s="1" t="s">
        <v>74</v>
      </c>
      <c r="BR586" s="1" t="s">
        <v>74</v>
      </c>
      <c r="BS586" s="1" t="s">
        <v>5962</v>
      </c>
      <c r="BT586" s="1" t="str">
        <f>HYPERLINK("https%3A%2F%2Fwww.webofscience.com%2Fwos%2Fwoscc%2Ffull-record%2FWOS:000431370200002","View Full Record in Web of Science")</f>
        <v>View Full Record in Web of Science</v>
      </c>
    </row>
    <row r="587" ht="12.75" customHeight="1">
      <c r="A587" s="1" t="s">
        <v>647</v>
      </c>
      <c r="B587" s="1" t="s">
        <v>5963</v>
      </c>
      <c r="C587" s="1" t="s">
        <v>74</v>
      </c>
      <c r="D587" s="1" t="s">
        <v>5964</v>
      </c>
      <c r="E587" s="1" t="s">
        <v>74</v>
      </c>
      <c r="F587" s="1" t="s">
        <v>5965</v>
      </c>
      <c r="G587" s="1" t="s">
        <v>74</v>
      </c>
      <c r="H587" s="1" t="s">
        <v>74</v>
      </c>
      <c r="I587" s="1" t="s">
        <v>5966</v>
      </c>
      <c r="J587" s="1" t="s">
        <v>5967</v>
      </c>
      <c r="K587" s="1" t="s">
        <v>74</v>
      </c>
      <c r="L587" s="1" t="s">
        <v>74</v>
      </c>
      <c r="M587" s="1" t="s">
        <v>74</v>
      </c>
      <c r="N587" s="1" t="s">
        <v>74</v>
      </c>
      <c r="O587" s="1" t="s">
        <v>1150</v>
      </c>
      <c r="P587" s="1" t="s">
        <v>5968</v>
      </c>
      <c r="Q587" s="1" t="s">
        <v>5969</v>
      </c>
      <c r="R587" s="1" t="s">
        <v>5970</v>
      </c>
      <c r="S587" s="1" t="s">
        <v>74</v>
      </c>
      <c r="T587" s="1" t="s">
        <v>74</v>
      </c>
      <c r="U587" s="1" t="s">
        <v>74</v>
      </c>
      <c r="V587" s="1" t="s">
        <v>5971</v>
      </c>
      <c r="W587" s="1" t="s">
        <v>74</v>
      </c>
      <c r="X587" s="1" t="s">
        <v>74</v>
      </c>
      <c r="Y587" s="1" t="s">
        <v>74</v>
      </c>
      <c r="Z587" s="1" t="s">
        <v>74</v>
      </c>
      <c r="AA587" s="1" t="s">
        <v>5972</v>
      </c>
      <c r="AB587" s="1" t="s">
        <v>5973</v>
      </c>
      <c r="AC587" s="1" t="s">
        <v>74</v>
      </c>
      <c r="AD587" s="1" t="s">
        <v>74</v>
      </c>
      <c r="AE587" s="1" t="s">
        <v>74</v>
      </c>
      <c r="AF587" s="1" t="s">
        <v>74</v>
      </c>
      <c r="AG587" s="1" t="s">
        <v>74</v>
      </c>
      <c r="AH587" s="1" t="s">
        <v>74</v>
      </c>
      <c r="AI587" s="1" t="s">
        <v>74</v>
      </c>
      <c r="AJ587" s="1" t="s">
        <v>74</v>
      </c>
      <c r="AK587" s="1" t="s">
        <v>74</v>
      </c>
      <c r="AL587" s="1" t="s">
        <v>74</v>
      </c>
      <c r="AM587" s="1" t="s">
        <v>74</v>
      </c>
      <c r="AN587" s="1" t="s">
        <v>74</v>
      </c>
      <c r="AO587" s="1" t="s">
        <v>74</v>
      </c>
      <c r="AP587" s="1" t="s">
        <v>74</v>
      </c>
      <c r="AQ587" s="1" t="s">
        <v>5974</v>
      </c>
      <c r="AR587" s="1" t="s">
        <v>74</v>
      </c>
      <c r="AS587" s="1" t="s">
        <v>74</v>
      </c>
      <c r="AT587" s="1" t="s">
        <v>74</v>
      </c>
      <c r="AU587" s="1">
        <v>2018.0</v>
      </c>
      <c r="AV587" s="1" t="s">
        <v>74</v>
      </c>
      <c r="AW587" s="1" t="s">
        <v>74</v>
      </c>
      <c r="AX587" s="1" t="s">
        <v>74</v>
      </c>
      <c r="AY587" s="1" t="s">
        <v>74</v>
      </c>
      <c r="AZ587" s="1" t="s">
        <v>74</v>
      </c>
      <c r="BA587" s="1" t="s">
        <v>74</v>
      </c>
      <c r="BB587" s="1" t="s">
        <v>74</v>
      </c>
      <c r="BC587" s="1" t="s">
        <v>74</v>
      </c>
      <c r="BD587" s="1" t="s">
        <v>74</v>
      </c>
      <c r="BE587" s="1" t="s">
        <v>74</v>
      </c>
      <c r="BF587" s="1" t="s">
        <v>74</v>
      </c>
      <c r="BG587" s="1" t="s">
        <v>74</v>
      </c>
      <c r="BH587" s="1" t="s">
        <v>74</v>
      </c>
      <c r="BI587" s="1" t="s">
        <v>74</v>
      </c>
      <c r="BJ587" s="1" t="s">
        <v>74</v>
      </c>
      <c r="BK587" s="1" t="s">
        <v>74</v>
      </c>
      <c r="BL587" s="1" t="s">
        <v>74</v>
      </c>
      <c r="BM587" s="1" t="s">
        <v>74</v>
      </c>
      <c r="BN587" s="1" t="s">
        <v>74</v>
      </c>
      <c r="BO587" s="1" t="s">
        <v>74</v>
      </c>
      <c r="BP587" s="1" t="s">
        <v>74</v>
      </c>
      <c r="BQ587" s="1" t="s">
        <v>74</v>
      </c>
      <c r="BR587" s="1" t="s">
        <v>74</v>
      </c>
      <c r="BS587" s="1" t="s">
        <v>5975</v>
      </c>
      <c r="BT587" s="1" t="str">
        <f>HYPERLINK("https%3A%2F%2Fwww.webofscience.com%2Fwos%2Fwoscc%2Ffull-record%2FWOS:000454766500001","View Full Record in Web of Science")</f>
        <v>View Full Record in Web of Science</v>
      </c>
    </row>
    <row r="588" ht="12.75" customHeight="1">
      <c r="A588" s="1" t="s">
        <v>72</v>
      </c>
      <c r="B588" s="1" t="s">
        <v>5976</v>
      </c>
      <c r="C588" s="1" t="s">
        <v>74</v>
      </c>
      <c r="D588" s="1" t="s">
        <v>74</v>
      </c>
      <c r="E588" s="1" t="s">
        <v>74</v>
      </c>
      <c r="F588" s="1" t="s">
        <v>5977</v>
      </c>
      <c r="G588" s="1" t="s">
        <v>74</v>
      </c>
      <c r="H588" s="1" t="s">
        <v>74</v>
      </c>
      <c r="I588" s="1" t="s">
        <v>5978</v>
      </c>
      <c r="J588" s="1" t="s">
        <v>5979</v>
      </c>
      <c r="K588" s="1" t="s">
        <v>74</v>
      </c>
      <c r="L588" s="1" t="s">
        <v>74</v>
      </c>
      <c r="M588" s="1" t="s">
        <v>74</v>
      </c>
      <c r="N588" s="1" t="s">
        <v>74</v>
      </c>
      <c r="O588" s="1" t="s">
        <v>74</v>
      </c>
      <c r="P588" s="1" t="s">
        <v>74</v>
      </c>
      <c r="Q588" s="1" t="s">
        <v>74</v>
      </c>
      <c r="R588" s="1" t="s">
        <v>74</v>
      </c>
      <c r="S588" s="1" t="s">
        <v>74</v>
      </c>
      <c r="T588" s="1" t="s">
        <v>74</v>
      </c>
      <c r="U588" s="1" t="s">
        <v>74</v>
      </c>
      <c r="V588" s="1" t="s">
        <v>5980</v>
      </c>
      <c r="W588" s="1" t="s">
        <v>74</v>
      </c>
      <c r="X588" s="1" t="s">
        <v>74</v>
      </c>
      <c r="Y588" s="1" t="s">
        <v>74</v>
      </c>
      <c r="Z588" s="1" t="s">
        <v>74</v>
      </c>
      <c r="AA588" s="1" t="s">
        <v>5981</v>
      </c>
      <c r="AB588" s="1" t="s">
        <v>5982</v>
      </c>
      <c r="AC588" s="1" t="s">
        <v>74</v>
      </c>
      <c r="AD588" s="1" t="s">
        <v>74</v>
      </c>
      <c r="AE588" s="1" t="s">
        <v>74</v>
      </c>
      <c r="AF588" s="1" t="s">
        <v>74</v>
      </c>
      <c r="AG588" s="1" t="s">
        <v>74</v>
      </c>
      <c r="AH588" s="1" t="s">
        <v>74</v>
      </c>
      <c r="AI588" s="1" t="s">
        <v>74</v>
      </c>
      <c r="AJ588" s="1" t="s">
        <v>74</v>
      </c>
      <c r="AK588" s="1" t="s">
        <v>74</v>
      </c>
      <c r="AL588" s="1" t="s">
        <v>74</v>
      </c>
      <c r="AM588" s="1" t="s">
        <v>74</v>
      </c>
      <c r="AN588" s="1" t="s">
        <v>74</v>
      </c>
      <c r="AO588" s="1" t="s">
        <v>5983</v>
      </c>
      <c r="AP588" s="1" t="s">
        <v>5984</v>
      </c>
      <c r="AQ588" s="1" t="s">
        <v>74</v>
      </c>
      <c r="AR588" s="1" t="s">
        <v>74</v>
      </c>
      <c r="AS588" s="1" t="s">
        <v>74</v>
      </c>
      <c r="AT588" s="1" t="s">
        <v>398</v>
      </c>
      <c r="AU588" s="1">
        <v>2016.0</v>
      </c>
      <c r="AV588" s="1">
        <v>28.0</v>
      </c>
      <c r="AW588" s="1">
        <v>1.0</v>
      </c>
      <c r="AX588" s="1" t="s">
        <v>74</v>
      </c>
      <c r="AY588" s="1" t="s">
        <v>74</v>
      </c>
      <c r="AZ588" s="1" t="s">
        <v>74</v>
      </c>
      <c r="BA588" s="1" t="s">
        <v>74</v>
      </c>
      <c r="BB588" s="1">
        <v>59.0</v>
      </c>
      <c r="BC588" s="1">
        <v>65.0</v>
      </c>
      <c r="BD588" s="1" t="s">
        <v>74</v>
      </c>
      <c r="BE588" s="1" t="s">
        <v>5985</v>
      </c>
      <c r="BF588" s="2" t="str">
        <f>HYPERLINK("http://dx.doi.org/10.7334/psicothema2015.100","http://dx.doi.org/10.7334/psicothema2015.100")</f>
        <v>http://dx.doi.org/10.7334/psicothema2015.100</v>
      </c>
      <c r="BG588" s="1" t="s">
        <v>74</v>
      </c>
      <c r="BH588" s="1" t="s">
        <v>74</v>
      </c>
      <c r="BI588" s="1" t="s">
        <v>74</v>
      </c>
      <c r="BJ588" s="1" t="s">
        <v>74</v>
      </c>
      <c r="BK588" s="1" t="s">
        <v>74</v>
      </c>
      <c r="BL588" s="1" t="s">
        <v>74</v>
      </c>
      <c r="BM588" s="1" t="s">
        <v>74</v>
      </c>
      <c r="BN588" s="1">
        <v>2.6820425E7</v>
      </c>
      <c r="BO588" s="1" t="s">
        <v>74</v>
      </c>
      <c r="BP588" s="1" t="s">
        <v>74</v>
      </c>
      <c r="BQ588" s="1" t="s">
        <v>74</v>
      </c>
      <c r="BR588" s="1" t="s">
        <v>74</v>
      </c>
      <c r="BS588" s="1" t="s">
        <v>5986</v>
      </c>
      <c r="BT588" s="1" t="str">
        <f>HYPERLINK("https%3A%2F%2Fwww.webofscience.com%2Fwos%2Fwoscc%2Ffull-record%2FWOS:000368312800009","View Full Record in Web of Science")</f>
        <v>View Full Record in Web of Science</v>
      </c>
    </row>
    <row r="589" ht="12.75" customHeight="1">
      <c r="A589" s="1" t="s">
        <v>72</v>
      </c>
      <c r="B589" s="1" t="s">
        <v>5987</v>
      </c>
      <c r="C589" s="1" t="s">
        <v>74</v>
      </c>
      <c r="D589" s="1" t="s">
        <v>74</v>
      </c>
      <c r="E589" s="1" t="s">
        <v>74</v>
      </c>
      <c r="F589" s="1" t="s">
        <v>5988</v>
      </c>
      <c r="G589" s="1" t="s">
        <v>74</v>
      </c>
      <c r="H589" s="1" t="s">
        <v>5989</v>
      </c>
      <c r="I589" s="1" t="s">
        <v>5990</v>
      </c>
      <c r="J589" s="1" t="s">
        <v>5991</v>
      </c>
      <c r="K589" s="1" t="s">
        <v>74</v>
      </c>
      <c r="L589" s="1" t="s">
        <v>74</v>
      </c>
      <c r="M589" s="1" t="s">
        <v>74</v>
      </c>
      <c r="N589" s="1" t="s">
        <v>74</v>
      </c>
      <c r="O589" s="1" t="s">
        <v>74</v>
      </c>
      <c r="P589" s="1" t="s">
        <v>74</v>
      </c>
      <c r="Q589" s="1" t="s">
        <v>74</v>
      </c>
      <c r="R589" s="1" t="s">
        <v>74</v>
      </c>
      <c r="S589" s="1" t="s">
        <v>74</v>
      </c>
      <c r="T589" s="1" t="s">
        <v>74</v>
      </c>
      <c r="U589" s="1" t="s">
        <v>74</v>
      </c>
      <c r="V589" s="1" t="s">
        <v>5992</v>
      </c>
      <c r="W589" s="1" t="s">
        <v>74</v>
      </c>
      <c r="X589" s="1" t="s">
        <v>74</v>
      </c>
      <c r="Y589" s="1" t="s">
        <v>74</v>
      </c>
      <c r="Z589" s="1" t="s">
        <v>74</v>
      </c>
      <c r="AA589" s="1" t="s">
        <v>5993</v>
      </c>
      <c r="AB589" s="1" t="s">
        <v>5994</v>
      </c>
      <c r="AC589" s="1" t="s">
        <v>74</v>
      </c>
      <c r="AD589" s="1" t="s">
        <v>74</v>
      </c>
      <c r="AE589" s="1" t="s">
        <v>74</v>
      </c>
      <c r="AF589" s="1" t="s">
        <v>74</v>
      </c>
      <c r="AG589" s="1" t="s">
        <v>74</v>
      </c>
      <c r="AH589" s="1" t="s">
        <v>74</v>
      </c>
      <c r="AI589" s="1" t="s">
        <v>74</v>
      </c>
      <c r="AJ589" s="1" t="s">
        <v>74</v>
      </c>
      <c r="AK589" s="1" t="s">
        <v>74</v>
      </c>
      <c r="AL589" s="1" t="s">
        <v>74</v>
      </c>
      <c r="AM589" s="1" t="s">
        <v>74</v>
      </c>
      <c r="AN589" s="1" t="s">
        <v>74</v>
      </c>
      <c r="AO589" s="1" t="s">
        <v>74</v>
      </c>
      <c r="AP589" s="1" t="s">
        <v>5995</v>
      </c>
      <c r="AQ589" s="1" t="s">
        <v>74</v>
      </c>
      <c r="AR589" s="1" t="s">
        <v>74</v>
      </c>
      <c r="AS589" s="1" t="s">
        <v>74</v>
      </c>
      <c r="AT589" s="1" t="s">
        <v>4045</v>
      </c>
      <c r="AU589" s="1">
        <v>2015.0</v>
      </c>
      <c r="AV589" s="1">
        <v>12.0</v>
      </c>
      <c r="AW589" s="1" t="s">
        <v>74</v>
      </c>
      <c r="AX589" s="1" t="s">
        <v>74</v>
      </c>
      <c r="AY589" s="1" t="s">
        <v>74</v>
      </c>
      <c r="AZ589" s="1" t="s">
        <v>74</v>
      </c>
      <c r="BA589" s="1" t="s">
        <v>74</v>
      </c>
      <c r="BB589" s="1" t="s">
        <v>74</v>
      </c>
      <c r="BC589" s="1" t="s">
        <v>74</v>
      </c>
      <c r="BD589" s="1">
        <v>78.0</v>
      </c>
      <c r="BE589" s="1" t="s">
        <v>5996</v>
      </c>
      <c r="BF589" s="2" t="str">
        <f>HYPERLINK("http://dx.doi.org/10.1186/s12966-015-0244-y","http://dx.doi.org/10.1186/s12966-015-0244-y")</f>
        <v>http://dx.doi.org/10.1186/s12966-015-0244-y</v>
      </c>
      <c r="BG589" s="1" t="s">
        <v>74</v>
      </c>
      <c r="BH589" s="1" t="s">
        <v>74</v>
      </c>
      <c r="BI589" s="1" t="s">
        <v>74</v>
      </c>
      <c r="BJ589" s="1" t="s">
        <v>74</v>
      </c>
      <c r="BK589" s="1" t="s">
        <v>74</v>
      </c>
      <c r="BL589" s="1" t="s">
        <v>74</v>
      </c>
      <c r="BM589" s="1" t="s">
        <v>74</v>
      </c>
      <c r="BN589" s="1">
        <v>2.6437664E7</v>
      </c>
      <c r="BO589" s="1" t="s">
        <v>74</v>
      </c>
      <c r="BP589" s="1" t="s">
        <v>74</v>
      </c>
      <c r="BQ589" s="1" t="s">
        <v>74</v>
      </c>
      <c r="BR589" s="1" t="s">
        <v>74</v>
      </c>
      <c r="BS589" s="1" t="s">
        <v>5997</v>
      </c>
      <c r="BT589" s="1" t="str">
        <f>HYPERLINK("https%3A%2F%2Fwww.webofscience.com%2Fwos%2Fwoscc%2Ffull-record%2FWOS:000362817000001","View Full Record in Web of Science")</f>
        <v>View Full Record in Web of Science</v>
      </c>
    </row>
    <row r="590" ht="12.75" customHeight="1">
      <c r="A590" s="1" t="s">
        <v>72</v>
      </c>
      <c r="B590" s="1" t="s">
        <v>5998</v>
      </c>
      <c r="C590" s="1" t="s">
        <v>74</v>
      </c>
      <c r="D590" s="1" t="s">
        <v>74</v>
      </c>
      <c r="E590" s="1" t="s">
        <v>74</v>
      </c>
      <c r="F590" s="1" t="s">
        <v>5999</v>
      </c>
      <c r="G590" s="1" t="s">
        <v>74</v>
      </c>
      <c r="H590" s="1" t="s">
        <v>74</v>
      </c>
      <c r="I590" s="1" t="s">
        <v>6000</v>
      </c>
      <c r="J590" s="1" t="s">
        <v>1734</v>
      </c>
      <c r="K590" s="1" t="s">
        <v>74</v>
      </c>
      <c r="L590" s="1" t="s">
        <v>74</v>
      </c>
      <c r="M590" s="1" t="s">
        <v>74</v>
      </c>
      <c r="N590" s="1" t="s">
        <v>74</v>
      </c>
      <c r="O590" s="1" t="s">
        <v>74</v>
      </c>
      <c r="P590" s="1" t="s">
        <v>74</v>
      </c>
      <c r="Q590" s="1" t="s">
        <v>74</v>
      </c>
      <c r="R590" s="1" t="s">
        <v>74</v>
      </c>
      <c r="S590" s="1" t="s">
        <v>74</v>
      </c>
      <c r="T590" s="1" t="s">
        <v>74</v>
      </c>
      <c r="U590" s="1" t="s">
        <v>74</v>
      </c>
      <c r="V590" s="1" t="s">
        <v>6001</v>
      </c>
      <c r="W590" s="1" t="s">
        <v>74</v>
      </c>
      <c r="X590" s="1" t="s">
        <v>74</v>
      </c>
      <c r="Y590" s="1" t="s">
        <v>74</v>
      </c>
      <c r="Z590" s="1" t="s">
        <v>74</v>
      </c>
      <c r="AA590" s="1" t="s">
        <v>6002</v>
      </c>
      <c r="AB590" s="1" t="s">
        <v>6003</v>
      </c>
      <c r="AC590" s="1" t="s">
        <v>74</v>
      </c>
      <c r="AD590" s="1" t="s">
        <v>74</v>
      </c>
      <c r="AE590" s="1" t="s">
        <v>74</v>
      </c>
      <c r="AF590" s="1" t="s">
        <v>74</v>
      </c>
      <c r="AG590" s="1" t="s">
        <v>74</v>
      </c>
      <c r="AH590" s="1" t="s">
        <v>74</v>
      </c>
      <c r="AI590" s="1" t="s">
        <v>74</v>
      </c>
      <c r="AJ590" s="1" t="s">
        <v>74</v>
      </c>
      <c r="AK590" s="1" t="s">
        <v>74</v>
      </c>
      <c r="AL590" s="1" t="s">
        <v>74</v>
      </c>
      <c r="AM590" s="1" t="s">
        <v>74</v>
      </c>
      <c r="AN590" s="1" t="s">
        <v>74</v>
      </c>
      <c r="AO590" s="1" t="s">
        <v>1737</v>
      </c>
      <c r="AP590" s="1" t="s">
        <v>1738</v>
      </c>
      <c r="AQ590" s="1" t="s">
        <v>74</v>
      </c>
      <c r="AR590" s="1" t="s">
        <v>74</v>
      </c>
      <c r="AS590" s="1" t="s">
        <v>74</v>
      </c>
      <c r="AT590" s="1" t="s">
        <v>411</v>
      </c>
      <c r="AU590" s="1">
        <v>2014.0</v>
      </c>
      <c r="AV590" s="1">
        <v>142.0</v>
      </c>
      <c r="AW590" s="1">
        <v>11.0</v>
      </c>
      <c r="AX590" s="1" t="s">
        <v>74</v>
      </c>
      <c r="AY590" s="1" t="s">
        <v>74</v>
      </c>
      <c r="AZ590" s="1" t="s">
        <v>74</v>
      </c>
      <c r="BA590" s="1" t="s">
        <v>74</v>
      </c>
      <c r="BB590" s="1">
        <v>1415.0</v>
      </c>
      <c r="BC590" s="1">
        <v>1421.0</v>
      </c>
      <c r="BD590" s="1" t="s">
        <v>74</v>
      </c>
      <c r="BE590" s="1" t="s">
        <v>6004</v>
      </c>
      <c r="BF590" s="2" t="str">
        <f>HYPERLINK("http://dx.doi.org/10.4067/S0034-98872014001100008","http://dx.doi.org/10.4067/S0034-98872014001100008")</f>
        <v>http://dx.doi.org/10.4067/S0034-98872014001100008</v>
      </c>
      <c r="BG590" s="1" t="s">
        <v>74</v>
      </c>
      <c r="BH590" s="1" t="s">
        <v>74</v>
      </c>
      <c r="BI590" s="1" t="s">
        <v>74</v>
      </c>
      <c r="BJ590" s="1" t="s">
        <v>74</v>
      </c>
      <c r="BK590" s="1" t="s">
        <v>74</v>
      </c>
      <c r="BL590" s="1" t="s">
        <v>74</v>
      </c>
      <c r="BM590" s="1" t="s">
        <v>74</v>
      </c>
      <c r="BN590" s="1">
        <v>2.5694287E7</v>
      </c>
      <c r="BO590" s="1" t="s">
        <v>74</v>
      </c>
      <c r="BP590" s="1" t="s">
        <v>74</v>
      </c>
      <c r="BQ590" s="1" t="s">
        <v>74</v>
      </c>
      <c r="BR590" s="1" t="s">
        <v>74</v>
      </c>
      <c r="BS590" s="1" t="s">
        <v>6005</v>
      </c>
      <c r="BT590" s="1" t="str">
        <f>HYPERLINK("https%3A%2F%2Fwww.webofscience.com%2Fwos%2Fwoscc%2Ffull-record%2FWOS:000346454400008","View Full Record in Web of Science")</f>
        <v>View Full Record in Web of Science</v>
      </c>
    </row>
    <row r="591" ht="12.75" customHeight="1">
      <c r="A591" s="1" t="s">
        <v>72</v>
      </c>
      <c r="B591" s="1" t="s">
        <v>6006</v>
      </c>
      <c r="C591" s="1" t="s">
        <v>74</v>
      </c>
      <c r="D591" s="1" t="s">
        <v>74</v>
      </c>
      <c r="E591" s="1" t="s">
        <v>74</v>
      </c>
      <c r="F591" s="1" t="s">
        <v>6007</v>
      </c>
      <c r="G591" s="1" t="s">
        <v>74</v>
      </c>
      <c r="H591" s="1" t="s">
        <v>74</v>
      </c>
      <c r="I591" s="1" t="s">
        <v>6008</v>
      </c>
      <c r="J591" s="1" t="s">
        <v>6009</v>
      </c>
      <c r="K591" s="1" t="s">
        <v>74</v>
      </c>
      <c r="L591" s="1" t="s">
        <v>74</v>
      </c>
      <c r="M591" s="1" t="s">
        <v>74</v>
      </c>
      <c r="N591" s="1" t="s">
        <v>74</v>
      </c>
      <c r="O591" s="1" t="s">
        <v>74</v>
      </c>
      <c r="P591" s="1" t="s">
        <v>74</v>
      </c>
      <c r="Q591" s="1" t="s">
        <v>74</v>
      </c>
      <c r="R591" s="1" t="s">
        <v>74</v>
      </c>
      <c r="S591" s="1" t="s">
        <v>74</v>
      </c>
      <c r="T591" s="1" t="s">
        <v>74</v>
      </c>
      <c r="U591" s="1" t="s">
        <v>74</v>
      </c>
      <c r="V591" s="1" t="s">
        <v>6010</v>
      </c>
      <c r="W591" s="1" t="s">
        <v>74</v>
      </c>
      <c r="X591" s="1" t="s">
        <v>74</v>
      </c>
      <c r="Y591" s="1" t="s">
        <v>74</v>
      </c>
      <c r="Z591" s="1" t="s">
        <v>74</v>
      </c>
      <c r="AA591" s="1" t="s">
        <v>6011</v>
      </c>
      <c r="AB591" s="1" t="s">
        <v>6012</v>
      </c>
      <c r="AC591" s="1" t="s">
        <v>74</v>
      </c>
      <c r="AD591" s="1" t="s">
        <v>74</v>
      </c>
      <c r="AE591" s="1" t="s">
        <v>74</v>
      </c>
      <c r="AF591" s="1" t="s">
        <v>74</v>
      </c>
      <c r="AG591" s="1" t="s">
        <v>74</v>
      </c>
      <c r="AH591" s="1" t="s">
        <v>74</v>
      </c>
      <c r="AI591" s="1" t="s">
        <v>74</v>
      </c>
      <c r="AJ591" s="1" t="s">
        <v>74</v>
      </c>
      <c r="AK591" s="1" t="s">
        <v>74</v>
      </c>
      <c r="AL591" s="1" t="s">
        <v>74</v>
      </c>
      <c r="AM591" s="1" t="s">
        <v>74</v>
      </c>
      <c r="AN591" s="1" t="s">
        <v>74</v>
      </c>
      <c r="AO591" s="1" t="s">
        <v>6013</v>
      </c>
      <c r="AP591" s="1" t="s">
        <v>74</v>
      </c>
      <c r="AQ591" s="1" t="s">
        <v>74</v>
      </c>
      <c r="AR591" s="1" t="s">
        <v>74</v>
      </c>
      <c r="AS591" s="1" t="s">
        <v>74</v>
      </c>
      <c r="AT591" s="1" t="s">
        <v>559</v>
      </c>
      <c r="AU591" s="1">
        <v>2011.0</v>
      </c>
      <c r="AV591" s="1">
        <v>152.0</v>
      </c>
      <c r="AW591" s="1">
        <v>12.0</v>
      </c>
      <c r="AX591" s="1" t="s">
        <v>74</v>
      </c>
      <c r="AY591" s="1" t="s">
        <v>74</v>
      </c>
      <c r="AZ591" s="1" t="s">
        <v>74</v>
      </c>
      <c r="BA591" s="1" t="s">
        <v>74</v>
      </c>
      <c r="BB591" s="1">
        <v>5041.0</v>
      </c>
      <c r="BC591" s="1">
        <v>5052.0</v>
      </c>
      <c r="BD591" s="1" t="s">
        <v>74</v>
      </c>
      <c r="BE591" s="1" t="s">
        <v>6014</v>
      </c>
      <c r="BF591" s="2" t="str">
        <f>HYPERLINK("http://dx.doi.org/10.1210/en.2011-1273","http://dx.doi.org/10.1210/en.2011-1273")</f>
        <v>http://dx.doi.org/10.1210/en.2011-1273</v>
      </c>
      <c r="BG591" s="1" t="s">
        <v>74</v>
      </c>
      <c r="BH591" s="1" t="s">
        <v>74</v>
      </c>
      <c r="BI591" s="1" t="s">
        <v>74</v>
      </c>
      <c r="BJ591" s="1" t="s">
        <v>74</v>
      </c>
      <c r="BK591" s="1" t="s">
        <v>74</v>
      </c>
      <c r="BL591" s="1" t="s">
        <v>74</v>
      </c>
      <c r="BM591" s="1" t="s">
        <v>74</v>
      </c>
      <c r="BN591" s="1">
        <v>2.1971156E7</v>
      </c>
      <c r="BO591" s="1" t="s">
        <v>74</v>
      </c>
      <c r="BP591" s="1" t="s">
        <v>74</v>
      </c>
      <c r="BQ591" s="1" t="s">
        <v>74</v>
      </c>
      <c r="BR591" s="1" t="s">
        <v>74</v>
      </c>
      <c r="BS591" s="1" t="s">
        <v>6015</v>
      </c>
      <c r="BT591" s="1" t="str">
        <f>HYPERLINK("https%3A%2F%2Fwww.webofscience.com%2Fwos%2Fwoscc%2Ffull-record%2FWOS:000297376500056","View Full Record in Web of Science")</f>
        <v>View Full Record in Web of Science</v>
      </c>
    </row>
    <row r="592" ht="12.75" customHeight="1">
      <c r="A592" s="1" t="s">
        <v>72</v>
      </c>
      <c r="B592" s="1" t="s">
        <v>6016</v>
      </c>
      <c r="C592" s="1" t="s">
        <v>74</v>
      </c>
      <c r="D592" s="1" t="s">
        <v>74</v>
      </c>
      <c r="E592" s="1" t="s">
        <v>74</v>
      </c>
      <c r="F592" s="1" t="s">
        <v>6017</v>
      </c>
      <c r="G592" s="1" t="s">
        <v>74</v>
      </c>
      <c r="H592" s="1" t="s">
        <v>74</v>
      </c>
      <c r="I592" s="1" t="s">
        <v>6018</v>
      </c>
      <c r="J592" s="1" t="s">
        <v>6019</v>
      </c>
      <c r="K592" s="1" t="s">
        <v>74</v>
      </c>
      <c r="L592" s="1" t="s">
        <v>74</v>
      </c>
      <c r="M592" s="1" t="s">
        <v>74</v>
      </c>
      <c r="N592" s="1" t="s">
        <v>74</v>
      </c>
      <c r="O592" s="1" t="s">
        <v>74</v>
      </c>
      <c r="P592" s="1" t="s">
        <v>74</v>
      </c>
      <c r="Q592" s="1" t="s">
        <v>74</v>
      </c>
      <c r="R592" s="1" t="s">
        <v>74</v>
      </c>
      <c r="S592" s="1" t="s">
        <v>74</v>
      </c>
      <c r="T592" s="1" t="s">
        <v>74</v>
      </c>
      <c r="U592" s="1" t="s">
        <v>74</v>
      </c>
      <c r="V592" s="1" t="s">
        <v>6020</v>
      </c>
      <c r="W592" s="1" t="s">
        <v>74</v>
      </c>
      <c r="X592" s="1" t="s">
        <v>74</v>
      </c>
      <c r="Y592" s="1" t="s">
        <v>74</v>
      </c>
      <c r="Z592" s="1" t="s">
        <v>74</v>
      </c>
      <c r="AA592" s="1" t="s">
        <v>996</v>
      </c>
      <c r="AB592" s="1" t="s">
        <v>6021</v>
      </c>
      <c r="AC592" s="1" t="s">
        <v>74</v>
      </c>
      <c r="AD592" s="1" t="s">
        <v>74</v>
      </c>
      <c r="AE592" s="1" t="s">
        <v>74</v>
      </c>
      <c r="AF592" s="1" t="s">
        <v>74</v>
      </c>
      <c r="AG592" s="1" t="s">
        <v>74</v>
      </c>
      <c r="AH592" s="1" t="s">
        <v>74</v>
      </c>
      <c r="AI592" s="1" t="s">
        <v>74</v>
      </c>
      <c r="AJ592" s="1" t="s">
        <v>74</v>
      </c>
      <c r="AK592" s="1" t="s">
        <v>74</v>
      </c>
      <c r="AL592" s="1" t="s">
        <v>74</v>
      </c>
      <c r="AM592" s="1" t="s">
        <v>74</v>
      </c>
      <c r="AN592" s="1" t="s">
        <v>74</v>
      </c>
      <c r="AO592" s="1" t="s">
        <v>6022</v>
      </c>
      <c r="AP592" s="1" t="s">
        <v>6023</v>
      </c>
      <c r="AQ592" s="1" t="s">
        <v>74</v>
      </c>
      <c r="AR592" s="1" t="s">
        <v>74</v>
      </c>
      <c r="AS592" s="1" t="s">
        <v>74</v>
      </c>
      <c r="AT592" s="1" t="s">
        <v>327</v>
      </c>
      <c r="AU592" s="1">
        <v>2011.0</v>
      </c>
      <c r="AV592" s="1">
        <v>128.0</v>
      </c>
      <c r="AW592" s="1">
        <v>3.0</v>
      </c>
      <c r="AX592" s="1" t="s">
        <v>74</v>
      </c>
      <c r="AY592" s="1" t="s">
        <v>74</v>
      </c>
      <c r="AZ592" s="1" t="s">
        <v>74</v>
      </c>
      <c r="BA592" s="1" t="s">
        <v>74</v>
      </c>
      <c r="BB592" s="1">
        <v>539.0</v>
      </c>
      <c r="BC592" s="1">
        <v>542.0</v>
      </c>
      <c r="BD592" s="1" t="s">
        <v>74</v>
      </c>
      <c r="BE592" s="1" t="s">
        <v>6024</v>
      </c>
      <c r="BF592" s="2" t="str">
        <f>HYPERLINK("http://dx.doi.org/10.1016/j.matchemphys.2011.03.047","http://dx.doi.org/10.1016/j.matchemphys.2011.03.047")</f>
        <v>http://dx.doi.org/10.1016/j.matchemphys.2011.03.047</v>
      </c>
      <c r="BG592" s="1" t="s">
        <v>74</v>
      </c>
      <c r="BH592" s="1" t="s">
        <v>74</v>
      </c>
      <c r="BI592" s="1" t="s">
        <v>74</v>
      </c>
      <c r="BJ592" s="1" t="s">
        <v>74</v>
      </c>
      <c r="BK592" s="1" t="s">
        <v>74</v>
      </c>
      <c r="BL592" s="1" t="s">
        <v>74</v>
      </c>
      <c r="BM592" s="1" t="s">
        <v>74</v>
      </c>
      <c r="BN592" s="1" t="s">
        <v>74</v>
      </c>
      <c r="BO592" s="1" t="s">
        <v>74</v>
      </c>
      <c r="BP592" s="1" t="s">
        <v>74</v>
      </c>
      <c r="BQ592" s="1" t="s">
        <v>74</v>
      </c>
      <c r="BR592" s="1" t="s">
        <v>74</v>
      </c>
      <c r="BS592" s="1" t="s">
        <v>6025</v>
      </c>
      <c r="BT592" s="1" t="str">
        <f>HYPERLINK("https%3A%2F%2Fwww.webofscience.com%2Fwos%2Fwoscc%2Ffull-record%2FWOS:000292230800037","View Full Record in Web of Science")</f>
        <v>View Full Record in Web of Science</v>
      </c>
    </row>
    <row r="593" ht="12.75" customHeight="1">
      <c r="A593" s="1" t="s">
        <v>72</v>
      </c>
      <c r="B593" s="1" t="s">
        <v>6026</v>
      </c>
      <c r="C593" s="1" t="s">
        <v>74</v>
      </c>
      <c r="D593" s="1" t="s">
        <v>74</v>
      </c>
      <c r="E593" s="1" t="s">
        <v>74</v>
      </c>
      <c r="F593" s="1" t="s">
        <v>6027</v>
      </c>
      <c r="G593" s="1" t="s">
        <v>74</v>
      </c>
      <c r="H593" s="1" t="s">
        <v>74</v>
      </c>
      <c r="I593" s="1" t="s">
        <v>6028</v>
      </c>
      <c r="J593" s="1" t="s">
        <v>2754</v>
      </c>
      <c r="K593" s="1" t="s">
        <v>74</v>
      </c>
      <c r="L593" s="1" t="s">
        <v>74</v>
      </c>
      <c r="M593" s="1" t="s">
        <v>74</v>
      </c>
      <c r="N593" s="1" t="s">
        <v>74</v>
      </c>
      <c r="O593" s="1" t="s">
        <v>6029</v>
      </c>
      <c r="P593" s="1" t="s">
        <v>6030</v>
      </c>
      <c r="Q593" s="1" t="s">
        <v>6031</v>
      </c>
      <c r="R593" s="1" t="s">
        <v>74</v>
      </c>
      <c r="S593" s="1" t="s">
        <v>74</v>
      </c>
      <c r="T593" s="1" t="s">
        <v>74</v>
      </c>
      <c r="U593" s="1" t="s">
        <v>74</v>
      </c>
      <c r="V593" s="1" t="s">
        <v>6032</v>
      </c>
      <c r="W593" s="1" t="s">
        <v>74</v>
      </c>
      <c r="X593" s="1" t="s">
        <v>74</v>
      </c>
      <c r="Y593" s="1" t="s">
        <v>74</v>
      </c>
      <c r="Z593" s="1" t="s">
        <v>74</v>
      </c>
      <c r="AA593" s="1" t="s">
        <v>6033</v>
      </c>
      <c r="AB593" s="1" t="s">
        <v>6034</v>
      </c>
      <c r="AC593" s="1" t="s">
        <v>74</v>
      </c>
      <c r="AD593" s="1" t="s">
        <v>74</v>
      </c>
      <c r="AE593" s="1" t="s">
        <v>74</v>
      </c>
      <c r="AF593" s="1" t="s">
        <v>74</v>
      </c>
      <c r="AG593" s="1" t="s">
        <v>74</v>
      </c>
      <c r="AH593" s="1" t="s">
        <v>74</v>
      </c>
      <c r="AI593" s="1" t="s">
        <v>74</v>
      </c>
      <c r="AJ593" s="1" t="s">
        <v>74</v>
      </c>
      <c r="AK593" s="1" t="s">
        <v>74</v>
      </c>
      <c r="AL593" s="1" t="s">
        <v>74</v>
      </c>
      <c r="AM593" s="1" t="s">
        <v>74</v>
      </c>
      <c r="AN593" s="1" t="s">
        <v>74</v>
      </c>
      <c r="AO593" s="1" t="s">
        <v>2758</v>
      </c>
      <c r="AP593" s="1" t="s">
        <v>2759</v>
      </c>
      <c r="AQ593" s="1" t="s">
        <v>74</v>
      </c>
      <c r="AR593" s="1" t="s">
        <v>74</v>
      </c>
      <c r="AS593" s="1" t="s">
        <v>74</v>
      </c>
      <c r="AT593" s="1" t="s">
        <v>4657</v>
      </c>
      <c r="AU593" s="1">
        <v>2010.0</v>
      </c>
      <c r="AV593" s="1">
        <v>107.0</v>
      </c>
      <c r="AW593" s="1">
        <v>9.0</v>
      </c>
      <c r="AX593" s="1" t="s">
        <v>74</v>
      </c>
      <c r="AY593" s="1" t="s">
        <v>74</v>
      </c>
      <c r="AZ593" s="1" t="s">
        <v>74</v>
      </c>
      <c r="BA593" s="1" t="s">
        <v>74</v>
      </c>
      <c r="BB593" s="1" t="s">
        <v>74</v>
      </c>
      <c r="BC593" s="1" t="s">
        <v>74</v>
      </c>
      <c r="BD593" s="1" t="s">
        <v>6035</v>
      </c>
      <c r="BE593" s="1" t="s">
        <v>6036</v>
      </c>
      <c r="BF593" s="2" t="str">
        <f>HYPERLINK("http://dx.doi.org/10.1063/1.3350905","http://dx.doi.org/10.1063/1.3350905")</f>
        <v>http://dx.doi.org/10.1063/1.3350905</v>
      </c>
      <c r="BG593" s="1" t="s">
        <v>74</v>
      </c>
      <c r="BH593" s="1" t="s">
        <v>74</v>
      </c>
      <c r="BI593" s="1" t="s">
        <v>74</v>
      </c>
      <c r="BJ593" s="1" t="s">
        <v>74</v>
      </c>
      <c r="BK593" s="1" t="s">
        <v>74</v>
      </c>
      <c r="BL593" s="1" t="s">
        <v>74</v>
      </c>
      <c r="BM593" s="1" t="s">
        <v>74</v>
      </c>
      <c r="BN593" s="1" t="s">
        <v>74</v>
      </c>
      <c r="BO593" s="1" t="s">
        <v>74</v>
      </c>
      <c r="BP593" s="1" t="s">
        <v>74</v>
      </c>
      <c r="BQ593" s="1" t="s">
        <v>74</v>
      </c>
      <c r="BR593" s="1" t="s">
        <v>74</v>
      </c>
      <c r="BS593" s="1" t="s">
        <v>6037</v>
      </c>
      <c r="BT593" s="1" t="str">
        <f>HYPERLINK("https%3A%2F%2Fwww.webofscience.com%2Fwos%2Fwoscc%2Ffull-record%2FWOS:000277834300207","View Full Record in Web of Science")</f>
        <v>View Full Record in Web of Science</v>
      </c>
    </row>
    <row r="594" ht="12.75" customHeight="1">
      <c r="A594" s="1" t="s">
        <v>72</v>
      </c>
      <c r="B594" s="1" t="s">
        <v>6038</v>
      </c>
      <c r="C594" s="1" t="s">
        <v>74</v>
      </c>
      <c r="D594" s="1" t="s">
        <v>74</v>
      </c>
      <c r="E594" s="1" t="s">
        <v>74</v>
      </c>
      <c r="F594" s="1" t="s">
        <v>6038</v>
      </c>
      <c r="G594" s="1" t="s">
        <v>74</v>
      </c>
      <c r="H594" s="1" t="s">
        <v>74</v>
      </c>
      <c r="I594" s="1" t="s">
        <v>6039</v>
      </c>
      <c r="J594" s="1" t="s">
        <v>5846</v>
      </c>
      <c r="K594" s="1" t="s">
        <v>74</v>
      </c>
      <c r="L594" s="1" t="s">
        <v>74</v>
      </c>
      <c r="M594" s="1" t="s">
        <v>74</v>
      </c>
      <c r="N594" s="1" t="s">
        <v>74</v>
      </c>
      <c r="O594" s="1" t="s">
        <v>74</v>
      </c>
      <c r="P594" s="1" t="s">
        <v>74</v>
      </c>
      <c r="Q594" s="1" t="s">
        <v>74</v>
      </c>
      <c r="R594" s="1" t="s">
        <v>74</v>
      </c>
      <c r="S594" s="1" t="s">
        <v>74</v>
      </c>
      <c r="T594" s="1" t="s">
        <v>74</v>
      </c>
      <c r="U594" s="1" t="s">
        <v>74</v>
      </c>
      <c r="V594" s="1" t="s">
        <v>6040</v>
      </c>
      <c r="W594" s="1" t="s">
        <v>74</v>
      </c>
      <c r="X594" s="1" t="s">
        <v>74</v>
      </c>
      <c r="Y594" s="1" t="s">
        <v>74</v>
      </c>
      <c r="Z594" s="1" t="s">
        <v>74</v>
      </c>
      <c r="AA594" s="1" t="s">
        <v>6041</v>
      </c>
      <c r="AB594" s="1" t="s">
        <v>6042</v>
      </c>
      <c r="AC594" s="1" t="s">
        <v>74</v>
      </c>
      <c r="AD594" s="1" t="s">
        <v>74</v>
      </c>
      <c r="AE594" s="1" t="s">
        <v>74</v>
      </c>
      <c r="AF594" s="1" t="s">
        <v>74</v>
      </c>
      <c r="AG594" s="1" t="s">
        <v>74</v>
      </c>
      <c r="AH594" s="1" t="s">
        <v>74</v>
      </c>
      <c r="AI594" s="1" t="s">
        <v>74</v>
      </c>
      <c r="AJ594" s="1" t="s">
        <v>74</v>
      </c>
      <c r="AK594" s="1" t="s">
        <v>74</v>
      </c>
      <c r="AL594" s="1" t="s">
        <v>74</v>
      </c>
      <c r="AM594" s="1" t="s">
        <v>74</v>
      </c>
      <c r="AN594" s="1" t="s">
        <v>74</v>
      </c>
      <c r="AO594" s="1" t="s">
        <v>5850</v>
      </c>
      <c r="AP594" s="1" t="s">
        <v>6043</v>
      </c>
      <c r="AQ594" s="1" t="s">
        <v>74</v>
      </c>
      <c r="AR594" s="1" t="s">
        <v>74</v>
      </c>
      <c r="AS594" s="1" t="s">
        <v>74</v>
      </c>
      <c r="AT594" s="1" t="s">
        <v>3215</v>
      </c>
      <c r="AU594" s="1">
        <v>2006.0</v>
      </c>
      <c r="AV594" s="1">
        <v>96.0</v>
      </c>
      <c r="AW594" s="1">
        <v>1.0</v>
      </c>
      <c r="AX594" s="1" t="s">
        <v>74</v>
      </c>
      <c r="AY594" s="1" t="s">
        <v>74</v>
      </c>
      <c r="AZ594" s="1" t="s">
        <v>74</v>
      </c>
      <c r="BA594" s="1" t="s">
        <v>74</v>
      </c>
      <c r="BB594" s="1" t="s">
        <v>74</v>
      </c>
      <c r="BC594" s="1" t="s">
        <v>74</v>
      </c>
      <c r="BD594" s="1">
        <v>10502.0</v>
      </c>
      <c r="BE594" s="1" t="s">
        <v>6044</v>
      </c>
      <c r="BF594" s="2" t="str">
        <f>HYPERLINK("http://dx.doi.org/10.1103/PhysRevLett.96.010502","http://dx.doi.org/10.1103/PhysRevLett.96.010502")</f>
        <v>http://dx.doi.org/10.1103/PhysRevLett.96.010502</v>
      </c>
      <c r="BG594" s="1" t="s">
        <v>74</v>
      </c>
      <c r="BH594" s="1" t="s">
        <v>74</v>
      </c>
      <c r="BI594" s="1" t="s">
        <v>74</v>
      </c>
      <c r="BJ594" s="1" t="s">
        <v>74</v>
      </c>
      <c r="BK594" s="1" t="s">
        <v>74</v>
      </c>
      <c r="BL594" s="1" t="s">
        <v>74</v>
      </c>
      <c r="BM594" s="1" t="s">
        <v>74</v>
      </c>
      <c r="BN594" s="1">
        <v>1.6486429E7</v>
      </c>
      <c r="BO594" s="1" t="s">
        <v>74</v>
      </c>
      <c r="BP594" s="1" t="s">
        <v>74</v>
      </c>
      <c r="BQ594" s="1" t="s">
        <v>74</v>
      </c>
      <c r="BR594" s="1" t="s">
        <v>74</v>
      </c>
      <c r="BS594" s="1" t="s">
        <v>6045</v>
      </c>
      <c r="BT594" s="1" t="str">
        <f>HYPERLINK("https%3A%2F%2Fwww.webofscience.com%2Fwos%2Fwoscc%2Ffull-record%2FWOS:000234608300006","View Full Record in Web of Science")</f>
        <v>View Full Record in Web of Science</v>
      </c>
    </row>
    <row r="595" ht="12.75" customHeight="1">
      <c r="A595" s="1" t="s">
        <v>72</v>
      </c>
      <c r="B595" s="1" t="s">
        <v>6046</v>
      </c>
      <c r="C595" s="1" t="s">
        <v>74</v>
      </c>
      <c r="D595" s="1" t="s">
        <v>74</v>
      </c>
      <c r="E595" s="1" t="s">
        <v>74</v>
      </c>
      <c r="F595" s="1" t="s">
        <v>6046</v>
      </c>
      <c r="G595" s="1" t="s">
        <v>74</v>
      </c>
      <c r="H595" s="1" t="s">
        <v>74</v>
      </c>
      <c r="I595" s="1" t="s">
        <v>6047</v>
      </c>
      <c r="J595" s="1" t="s">
        <v>6048</v>
      </c>
      <c r="K595" s="1" t="s">
        <v>74</v>
      </c>
      <c r="L595" s="1" t="s">
        <v>74</v>
      </c>
      <c r="M595" s="1" t="s">
        <v>74</v>
      </c>
      <c r="N595" s="1" t="s">
        <v>74</v>
      </c>
      <c r="O595" s="1" t="s">
        <v>74</v>
      </c>
      <c r="P595" s="1" t="s">
        <v>74</v>
      </c>
      <c r="Q595" s="1" t="s">
        <v>74</v>
      </c>
      <c r="R595" s="1" t="s">
        <v>74</v>
      </c>
      <c r="S595" s="1" t="s">
        <v>74</v>
      </c>
      <c r="T595" s="1" t="s">
        <v>74</v>
      </c>
      <c r="U595" s="1" t="s">
        <v>74</v>
      </c>
      <c r="V595" s="1" t="s">
        <v>6049</v>
      </c>
      <c r="W595" s="1" t="s">
        <v>74</v>
      </c>
      <c r="X595" s="1" t="s">
        <v>74</v>
      </c>
      <c r="Y595" s="1" t="s">
        <v>74</v>
      </c>
      <c r="Z595" s="1" t="s">
        <v>74</v>
      </c>
      <c r="AA595" s="1" t="s">
        <v>6050</v>
      </c>
      <c r="AB595" s="1" t="s">
        <v>6051</v>
      </c>
      <c r="AC595" s="1" t="s">
        <v>74</v>
      </c>
      <c r="AD595" s="1" t="s">
        <v>74</v>
      </c>
      <c r="AE595" s="1" t="s">
        <v>74</v>
      </c>
      <c r="AF595" s="1" t="s">
        <v>74</v>
      </c>
      <c r="AG595" s="1" t="s">
        <v>74</v>
      </c>
      <c r="AH595" s="1" t="s">
        <v>74</v>
      </c>
      <c r="AI595" s="1" t="s">
        <v>74</v>
      </c>
      <c r="AJ595" s="1" t="s">
        <v>74</v>
      </c>
      <c r="AK595" s="1" t="s">
        <v>74</v>
      </c>
      <c r="AL595" s="1" t="s">
        <v>74</v>
      </c>
      <c r="AM595" s="1" t="s">
        <v>74</v>
      </c>
      <c r="AN595" s="1" t="s">
        <v>74</v>
      </c>
      <c r="AO595" s="1" t="s">
        <v>6052</v>
      </c>
      <c r="AP595" s="1" t="s">
        <v>6053</v>
      </c>
      <c r="AQ595" s="1" t="s">
        <v>74</v>
      </c>
      <c r="AR595" s="1" t="s">
        <v>74</v>
      </c>
      <c r="AS595" s="1" t="s">
        <v>74</v>
      </c>
      <c r="AT595" s="1" t="s">
        <v>259</v>
      </c>
      <c r="AU595" s="1">
        <v>2004.0</v>
      </c>
      <c r="AV595" s="1">
        <v>6.0</v>
      </c>
      <c r="AW595" s="1">
        <v>8.0</v>
      </c>
      <c r="AX595" s="1" t="s">
        <v>74</v>
      </c>
      <c r="AY595" s="1" t="s">
        <v>74</v>
      </c>
      <c r="AZ595" s="1" t="s">
        <v>74</v>
      </c>
      <c r="BA595" s="1" t="s">
        <v>74</v>
      </c>
      <c r="BB595" s="1">
        <v>809.0</v>
      </c>
      <c r="BC595" s="1">
        <v>814.0</v>
      </c>
      <c r="BD595" s="1" t="s">
        <v>74</v>
      </c>
      <c r="BE595" s="1" t="s">
        <v>6054</v>
      </c>
      <c r="BF595" s="2" t="str">
        <f>HYPERLINK("http://dx.doi.org/10.1016/j.solidstatesciences.2004.04.004","http://dx.doi.org/10.1016/j.solidstatesciences.2004.04.004")</f>
        <v>http://dx.doi.org/10.1016/j.solidstatesciences.2004.04.004</v>
      </c>
      <c r="BG595" s="1" t="s">
        <v>74</v>
      </c>
      <c r="BH595" s="1" t="s">
        <v>74</v>
      </c>
      <c r="BI595" s="1" t="s">
        <v>74</v>
      </c>
      <c r="BJ595" s="1" t="s">
        <v>74</v>
      </c>
      <c r="BK595" s="1" t="s">
        <v>74</v>
      </c>
      <c r="BL595" s="1" t="s">
        <v>74</v>
      </c>
      <c r="BM595" s="1" t="s">
        <v>74</v>
      </c>
      <c r="BN595" s="1" t="s">
        <v>74</v>
      </c>
      <c r="BO595" s="1" t="s">
        <v>74</v>
      </c>
      <c r="BP595" s="1" t="s">
        <v>74</v>
      </c>
      <c r="BQ595" s="1" t="s">
        <v>74</v>
      </c>
      <c r="BR595" s="1" t="s">
        <v>74</v>
      </c>
      <c r="BS595" s="1" t="s">
        <v>6055</v>
      </c>
      <c r="BT595" s="1" t="str">
        <f>HYPERLINK("https%3A%2F%2Fwww.webofscience.com%2Fwos%2Fwoscc%2Ffull-record%2FWOS:000223702900006","View Full Record in Web of Science")</f>
        <v>View Full Record in Web of Science</v>
      </c>
    </row>
    <row r="596" ht="12.75" customHeight="1">
      <c r="A596" s="1" t="s">
        <v>72</v>
      </c>
      <c r="B596" s="1" t="s">
        <v>6056</v>
      </c>
      <c r="C596" s="1" t="s">
        <v>74</v>
      </c>
      <c r="D596" s="1" t="s">
        <v>74</v>
      </c>
      <c r="E596" s="1" t="s">
        <v>74</v>
      </c>
      <c r="F596" s="1" t="s">
        <v>6056</v>
      </c>
      <c r="G596" s="1" t="s">
        <v>74</v>
      </c>
      <c r="H596" s="1" t="s">
        <v>74</v>
      </c>
      <c r="I596" s="1" t="s">
        <v>6057</v>
      </c>
      <c r="J596" s="1" t="s">
        <v>582</v>
      </c>
      <c r="K596" s="1" t="s">
        <v>74</v>
      </c>
      <c r="L596" s="1" t="s">
        <v>74</v>
      </c>
      <c r="M596" s="1" t="s">
        <v>74</v>
      </c>
      <c r="N596" s="1" t="s">
        <v>74</v>
      </c>
      <c r="O596" s="1" t="s">
        <v>74</v>
      </c>
      <c r="P596" s="1" t="s">
        <v>74</v>
      </c>
      <c r="Q596" s="1" t="s">
        <v>74</v>
      </c>
      <c r="R596" s="1" t="s">
        <v>74</v>
      </c>
      <c r="S596" s="1" t="s">
        <v>74</v>
      </c>
      <c r="T596" s="1" t="s">
        <v>74</v>
      </c>
      <c r="U596" s="1" t="s">
        <v>74</v>
      </c>
      <c r="V596" s="1" t="s">
        <v>6058</v>
      </c>
      <c r="W596" s="1" t="s">
        <v>74</v>
      </c>
      <c r="X596" s="1" t="s">
        <v>74</v>
      </c>
      <c r="Y596" s="1" t="s">
        <v>74</v>
      </c>
      <c r="Z596" s="1" t="s">
        <v>74</v>
      </c>
      <c r="AA596" s="1" t="s">
        <v>6059</v>
      </c>
      <c r="AB596" s="1" t="s">
        <v>6060</v>
      </c>
      <c r="AC596" s="1" t="s">
        <v>74</v>
      </c>
      <c r="AD596" s="1" t="s">
        <v>74</v>
      </c>
      <c r="AE596" s="1" t="s">
        <v>74</v>
      </c>
      <c r="AF596" s="1" t="s">
        <v>74</v>
      </c>
      <c r="AG596" s="1" t="s">
        <v>74</v>
      </c>
      <c r="AH596" s="1" t="s">
        <v>74</v>
      </c>
      <c r="AI596" s="1" t="s">
        <v>74</v>
      </c>
      <c r="AJ596" s="1" t="s">
        <v>74</v>
      </c>
      <c r="AK596" s="1" t="s">
        <v>74</v>
      </c>
      <c r="AL596" s="1" t="s">
        <v>74</v>
      </c>
      <c r="AM596" s="1" t="s">
        <v>74</v>
      </c>
      <c r="AN596" s="1" t="s">
        <v>74</v>
      </c>
      <c r="AO596" s="1" t="s">
        <v>586</v>
      </c>
      <c r="AP596" s="1" t="s">
        <v>587</v>
      </c>
      <c r="AQ596" s="1" t="s">
        <v>74</v>
      </c>
      <c r="AR596" s="1" t="s">
        <v>74</v>
      </c>
      <c r="AS596" s="1" t="s">
        <v>74</v>
      </c>
      <c r="AT596" s="1" t="s">
        <v>880</v>
      </c>
      <c r="AU596" s="1">
        <v>2003.0</v>
      </c>
      <c r="AV596" s="1">
        <v>67.0</v>
      </c>
      <c r="AW596" s="1">
        <v>15.0</v>
      </c>
      <c r="AX596" s="1" t="s">
        <v>74</v>
      </c>
      <c r="AY596" s="1" t="s">
        <v>74</v>
      </c>
      <c r="AZ596" s="1" t="s">
        <v>74</v>
      </c>
      <c r="BA596" s="1" t="s">
        <v>74</v>
      </c>
      <c r="BB596" s="1" t="s">
        <v>74</v>
      </c>
      <c r="BC596" s="1" t="s">
        <v>74</v>
      </c>
      <c r="BD596" s="1">
        <v>155413.0</v>
      </c>
      <c r="BE596" s="1" t="s">
        <v>6061</v>
      </c>
      <c r="BF596" s="2" t="str">
        <f>HYPERLINK("http://dx.doi.org/10.1103/PhysRevB.67.155413","http://dx.doi.org/10.1103/PhysRevB.67.155413")</f>
        <v>http://dx.doi.org/10.1103/PhysRevB.67.155413</v>
      </c>
      <c r="BG596" s="1" t="s">
        <v>74</v>
      </c>
      <c r="BH596" s="1" t="s">
        <v>74</v>
      </c>
      <c r="BI596" s="1" t="s">
        <v>74</v>
      </c>
      <c r="BJ596" s="1" t="s">
        <v>74</v>
      </c>
      <c r="BK596" s="1" t="s">
        <v>74</v>
      </c>
      <c r="BL596" s="1" t="s">
        <v>74</v>
      </c>
      <c r="BM596" s="1" t="s">
        <v>74</v>
      </c>
      <c r="BN596" s="1" t="s">
        <v>74</v>
      </c>
      <c r="BO596" s="1" t="s">
        <v>74</v>
      </c>
      <c r="BP596" s="1" t="s">
        <v>74</v>
      </c>
      <c r="BQ596" s="1" t="s">
        <v>74</v>
      </c>
      <c r="BR596" s="1" t="s">
        <v>74</v>
      </c>
      <c r="BS596" s="1" t="s">
        <v>6062</v>
      </c>
      <c r="BT596" s="1" t="str">
        <f>HYPERLINK("https%3A%2F%2Fwww.webofscience.com%2Fwos%2Fwoscc%2Ffull-record%2FWOS:000182741400091","View Full Record in Web of Science")</f>
        <v>View Full Record in Web of Science</v>
      </c>
    </row>
    <row r="597" ht="12.75" customHeight="1">
      <c r="A597" s="1" t="s">
        <v>72</v>
      </c>
      <c r="B597" s="1" t="s">
        <v>6063</v>
      </c>
      <c r="C597" s="1" t="s">
        <v>74</v>
      </c>
      <c r="D597" s="1" t="s">
        <v>74</v>
      </c>
      <c r="E597" s="1" t="s">
        <v>74</v>
      </c>
      <c r="F597" s="1" t="s">
        <v>6064</v>
      </c>
      <c r="G597" s="1" t="s">
        <v>74</v>
      </c>
      <c r="H597" s="1" t="s">
        <v>74</v>
      </c>
      <c r="I597" s="1" t="s">
        <v>6065</v>
      </c>
      <c r="J597" s="1" t="s">
        <v>256</v>
      </c>
      <c r="K597" s="1" t="s">
        <v>74</v>
      </c>
      <c r="L597" s="1" t="s">
        <v>74</v>
      </c>
      <c r="M597" s="1" t="s">
        <v>74</v>
      </c>
      <c r="N597" s="1" t="s">
        <v>74</v>
      </c>
      <c r="O597" s="1" t="s">
        <v>74</v>
      </c>
      <c r="P597" s="1" t="s">
        <v>74</v>
      </c>
      <c r="Q597" s="1" t="s">
        <v>74</v>
      </c>
      <c r="R597" s="1" t="s">
        <v>74</v>
      </c>
      <c r="S597" s="1" t="s">
        <v>74</v>
      </c>
      <c r="T597" s="1" t="s">
        <v>74</v>
      </c>
      <c r="U597" s="1" t="s">
        <v>74</v>
      </c>
      <c r="V597" s="1" t="s">
        <v>74</v>
      </c>
      <c r="W597" s="1" t="s">
        <v>74</v>
      </c>
      <c r="X597" s="1" t="s">
        <v>74</v>
      </c>
      <c r="Y597" s="1" t="s">
        <v>74</v>
      </c>
      <c r="Z597" s="1" t="s">
        <v>74</v>
      </c>
      <c r="AA597" s="1" t="s">
        <v>6066</v>
      </c>
      <c r="AB597" s="1" t="s">
        <v>74</v>
      </c>
      <c r="AC597" s="1" t="s">
        <v>74</v>
      </c>
      <c r="AD597" s="1" t="s">
        <v>74</v>
      </c>
      <c r="AE597" s="1" t="s">
        <v>74</v>
      </c>
      <c r="AF597" s="1" t="s">
        <v>74</v>
      </c>
      <c r="AG597" s="1" t="s">
        <v>74</v>
      </c>
      <c r="AH597" s="1" t="s">
        <v>74</v>
      </c>
      <c r="AI597" s="1" t="s">
        <v>74</v>
      </c>
      <c r="AJ597" s="1" t="s">
        <v>74</v>
      </c>
      <c r="AK597" s="1" t="s">
        <v>74</v>
      </c>
      <c r="AL597" s="1" t="s">
        <v>74</v>
      </c>
      <c r="AM597" s="1" t="s">
        <v>74</v>
      </c>
      <c r="AN597" s="1" t="s">
        <v>74</v>
      </c>
      <c r="AO597" s="1" t="s">
        <v>258</v>
      </c>
      <c r="AP597" s="1" t="s">
        <v>74</v>
      </c>
      <c r="AQ597" s="1" t="s">
        <v>74</v>
      </c>
      <c r="AR597" s="1" t="s">
        <v>74</v>
      </c>
      <c r="AS597" s="1" t="s">
        <v>74</v>
      </c>
      <c r="AT597" s="1" t="s">
        <v>74</v>
      </c>
      <c r="AU597" s="1">
        <v>1999.0</v>
      </c>
      <c r="AV597" s="1">
        <v>55.0</v>
      </c>
      <c r="AW597" s="1" t="s">
        <v>74</v>
      </c>
      <c r="AX597" s="1" t="s">
        <v>74</v>
      </c>
      <c r="AY597" s="1" t="s">
        <v>260</v>
      </c>
      <c r="AZ597" s="1" t="s">
        <v>74</v>
      </c>
      <c r="BA597" s="1" t="s">
        <v>6067</v>
      </c>
      <c r="BB597" s="1">
        <v>421.0</v>
      </c>
      <c r="BC597" s="1">
        <v>421.0</v>
      </c>
      <c r="BD597" s="1" t="s">
        <v>74</v>
      </c>
      <c r="BE597" s="1" t="s">
        <v>74</v>
      </c>
      <c r="BF597" s="1" t="s">
        <v>74</v>
      </c>
      <c r="BG597" s="1" t="s">
        <v>74</v>
      </c>
      <c r="BH597" s="1" t="s">
        <v>74</v>
      </c>
      <c r="BI597" s="1" t="s">
        <v>74</v>
      </c>
      <c r="BJ597" s="1" t="s">
        <v>74</v>
      </c>
      <c r="BK597" s="1" t="s">
        <v>74</v>
      </c>
      <c r="BL597" s="1" t="s">
        <v>74</v>
      </c>
      <c r="BM597" s="1" t="s">
        <v>74</v>
      </c>
      <c r="BN597" s="1" t="s">
        <v>74</v>
      </c>
      <c r="BO597" s="1" t="s">
        <v>74</v>
      </c>
      <c r="BP597" s="1" t="s">
        <v>74</v>
      </c>
      <c r="BQ597" s="1" t="s">
        <v>74</v>
      </c>
      <c r="BR597" s="1" t="s">
        <v>74</v>
      </c>
      <c r="BS597" s="1" t="s">
        <v>6068</v>
      </c>
      <c r="BT597" s="1" t="str">
        <f>HYPERLINK("https%3A%2F%2Fwww.webofscience.com%2Fwos%2Fwoscc%2Ffull-record%2FWOS:000475706304062","View Full Record in Web of Science")</f>
        <v>View Full Record in Web of Science</v>
      </c>
    </row>
    <row r="598" ht="12.75" customHeight="1">
      <c r="A598" s="1" t="s">
        <v>72</v>
      </c>
      <c r="B598" s="1" t="s">
        <v>6069</v>
      </c>
      <c r="C598" s="1" t="s">
        <v>74</v>
      </c>
      <c r="D598" s="1" t="s">
        <v>74</v>
      </c>
      <c r="E598" s="1" t="s">
        <v>74</v>
      </c>
      <c r="F598" s="1" t="s">
        <v>6070</v>
      </c>
      <c r="G598" s="1" t="s">
        <v>74</v>
      </c>
      <c r="H598" s="1" t="s">
        <v>74</v>
      </c>
      <c r="I598" s="1" t="s">
        <v>6071</v>
      </c>
      <c r="J598" s="1" t="s">
        <v>6072</v>
      </c>
      <c r="K598" s="1" t="s">
        <v>74</v>
      </c>
      <c r="L598" s="1" t="s">
        <v>74</v>
      </c>
      <c r="M598" s="1" t="s">
        <v>74</v>
      </c>
      <c r="N598" s="1" t="s">
        <v>74</v>
      </c>
      <c r="O598" s="1" t="s">
        <v>74</v>
      </c>
      <c r="P598" s="1" t="s">
        <v>74</v>
      </c>
      <c r="Q598" s="1" t="s">
        <v>74</v>
      </c>
      <c r="R598" s="1" t="s">
        <v>74</v>
      </c>
      <c r="S598" s="1" t="s">
        <v>74</v>
      </c>
      <c r="T598" s="1" t="s">
        <v>74</v>
      </c>
      <c r="U598" s="1" t="s">
        <v>74</v>
      </c>
      <c r="V598" s="1" t="s">
        <v>6073</v>
      </c>
      <c r="W598" s="1" t="s">
        <v>74</v>
      </c>
      <c r="X598" s="1" t="s">
        <v>74</v>
      </c>
      <c r="Y598" s="1" t="s">
        <v>74</v>
      </c>
      <c r="Z598" s="1" t="s">
        <v>74</v>
      </c>
      <c r="AA598" s="1" t="s">
        <v>74</v>
      </c>
      <c r="AB598" s="1" t="s">
        <v>6074</v>
      </c>
      <c r="AC598" s="1" t="s">
        <v>74</v>
      </c>
      <c r="AD598" s="1" t="s">
        <v>74</v>
      </c>
      <c r="AE598" s="1" t="s">
        <v>74</v>
      </c>
      <c r="AF598" s="1" t="s">
        <v>74</v>
      </c>
      <c r="AG598" s="1" t="s">
        <v>74</v>
      </c>
      <c r="AH598" s="1" t="s">
        <v>74</v>
      </c>
      <c r="AI598" s="1" t="s">
        <v>74</v>
      </c>
      <c r="AJ598" s="1" t="s">
        <v>74</v>
      </c>
      <c r="AK598" s="1" t="s">
        <v>74</v>
      </c>
      <c r="AL598" s="1" t="s">
        <v>74</v>
      </c>
      <c r="AM598" s="1" t="s">
        <v>74</v>
      </c>
      <c r="AN598" s="1" t="s">
        <v>74</v>
      </c>
      <c r="AO598" s="1" t="s">
        <v>6075</v>
      </c>
      <c r="AP598" s="1" t="s">
        <v>6076</v>
      </c>
      <c r="AQ598" s="1" t="s">
        <v>74</v>
      </c>
      <c r="AR598" s="1" t="s">
        <v>74</v>
      </c>
      <c r="AS598" s="1" t="s">
        <v>74</v>
      </c>
      <c r="AT598" s="1" t="s">
        <v>1720</v>
      </c>
      <c r="AU598" s="1">
        <v>2025.0</v>
      </c>
      <c r="AV598" s="1">
        <v>574.0</v>
      </c>
      <c r="AW598" s="1" t="s">
        <v>74</v>
      </c>
      <c r="AX598" s="1" t="s">
        <v>74</v>
      </c>
      <c r="AY598" s="1" t="s">
        <v>74</v>
      </c>
      <c r="AZ598" s="1" t="s">
        <v>74</v>
      </c>
      <c r="BA598" s="1" t="s">
        <v>74</v>
      </c>
      <c r="BB598" s="1" t="s">
        <v>74</v>
      </c>
      <c r="BC598" s="1" t="s">
        <v>74</v>
      </c>
      <c r="BD598" s="1">
        <v>122389.0</v>
      </c>
      <c r="BE598" s="1" t="s">
        <v>6077</v>
      </c>
      <c r="BF598" s="2" t="str">
        <f>HYPERLINK("http://dx.doi.org/10.1016/j.ica.2024.122389","http://dx.doi.org/10.1016/j.ica.2024.122389")</f>
        <v>http://dx.doi.org/10.1016/j.ica.2024.122389</v>
      </c>
      <c r="BG598" s="1" t="s">
        <v>74</v>
      </c>
      <c r="BH598" s="1" t="s">
        <v>3191</v>
      </c>
      <c r="BI598" s="1" t="s">
        <v>74</v>
      </c>
      <c r="BJ598" s="1" t="s">
        <v>74</v>
      </c>
      <c r="BK598" s="1" t="s">
        <v>74</v>
      </c>
      <c r="BL598" s="1" t="s">
        <v>74</v>
      </c>
      <c r="BM598" s="1" t="s">
        <v>74</v>
      </c>
      <c r="BN598" s="1" t="s">
        <v>74</v>
      </c>
      <c r="BO598" s="1" t="s">
        <v>74</v>
      </c>
      <c r="BP598" s="1" t="s">
        <v>74</v>
      </c>
      <c r="BQ598" s="1" t="s">
        <v>74</v>
      </c>
      <c r="BR598" s="1" t="s">
        <v>74</v>
      </c>
      <c r="BS598" s="1" t="s">
        <v>6078</v>
      </c>
      <c r="BT598" s="1" t="str">
        <f>HYPERLINK("https%3A%2F%2Fwww.webofscience.com%2Fwos%2Fwoscc%2Ffull-record%2FWOS:001327770100001","View Full Record in Web of Science")</f>
        <v>View Full Record in Web of Science</v>
      </c>
    </row>
    <row r="599" ht="12.75" customHeight="1">
      <c r="A599" s="1" t="s">
        <v>72</v>
      </c>
      <c r="B599" s="1" t="s">
        <v>6079</v>
      </c>
      <c r="C599" s="1" t="s">
        <v>74</v>
      </c>
      <c r="D599" s="1" t="s">
        <v>74</v>
      </c>
      <c r="E599" s="1" t="s">
        <v>74</v>
      </c>
      <c r="F599" s="1" t="s">
        <v>6080</v>
      </c>
      <c r="G599" s="1" t="s">
        <v>74</v>
      </c>
      <c r="H599" s="1" t="s">
        <v>74</v>
      </c>
      <c r="I599" s="1" t="s">
        <v>6081</v>
      </c>
      <c r="J599" s="1" t="s">
        <v>1726</v>
      </c>
      <c r="K599" s="1" t="s">
        <v>74</v>
      </c>
      <c r="L599" s="1" t="s">
        <v>74</v>
      </c>
      <c r="M599" s="1" t="s">
        <v>74</v>
      </c>
      <c r="N599" s="1" t="s">
        <v>74</v>
      </c>
      <c r="O599" s="1" t="s">
        <v>74</v>
      </c>
      <c r="P599" s="1" t="s">
        <v>74</v>
      </c>
      <c r="Q599" s="1" t="s">
        <v>74</v>
      </c>
      <c r="R599" s="1" t="s">
        <v>74</v>
      </c>
      <c r="S599" s="1" t="s">
        <v>74</v>
      </c>
      <c r="T599" s="1" t="s">
        <v>74</v>
      </c>
      <c r="U599" s="1" t="s">
        <v>74</v>
      </c>
      <c r="V599" s="1" t="s">
        <v>6082</v>
      </c>
      <c r="W599" s="1" t="s">
        <v>74</v>
      </c>
      <c r="X599" s="1" t="s">
        <v>74</v>
      </c>
      <c r="Y599" s="1" t="s">
        <v>74</v>
      </c>
      <c r="Z599" s="1" t="s">
        <v>74</v>
      </c>
      <c r="AA599" s="1" t="s">
        <v>6083</v>
      </c>
      <c r="AB599" s="1" t="s">
        <v>74</v>
      </c>
      <c r="AC599" s="1" t="s">
        <v>74</v>
      </c>
      <c r="AD599" s="1" t="s">
        <v>74</v>
      </c>
      <c r="AE599" s="1" t="s">
        <v>74</v>
      </c>
      <c r="AF599" s="1" t="s">
        <v>74</v>
      </c>
      <c r="AG599" s="1" t="s">
        <v>74</v>
      </c>
      <c r="AH599" s="1" t="s">
        <v>74</v>
      </c>
      <c r="AI599" s="1" t="s">
        <v>74</v>
      </c>
      <c r="AJ599" s="1" t="s">
        <v>74</v>
      </c>
      <c r="AK599" s="1" t="s">
        <v>74</v>
      </c>
      <c r="AL599" s="1" t="s">
        <v>74</v>
      </c>
      <c r="AM599" s="1" t="s">
        <v>74</v>
      </c>
      <c r="AN599" s="1" t="s">
        <v>74</v>
      </c>
      <c r="AO599" s="1" t="s">
        <v>1729</v>
      </c>
      <c r="AP599" s="1" t="s">
        <v>74</v>
      </c>
      <c r="AQ599" s="1" t="s">
        <v>74</v>
      </c>
      <c r="AR599" s="1" t="s">
        <v>74</v>
      </c>
      <c r="AS599" s="1" t="s">
        <v>74</v>
      </c>
      <c r="AT599" s="1" t="s">
        <v>74</v>
      </c>
      <c r="AU599" s="1">
        <v>2024.0</v>
      </c>
      <c r="AV599" s="1">
        <v>13.0</v>
      </c>
      <c r="AW599" s="1" t="s">
        <v>74</v>
      </c>
      <c r="AX599" s="1" t="s">
        <v>74</v>
      </c>
      <c r="AY599" s="1">
        <v>3.0</v>
      </c>
      <c r="AZ599" s="1" t="s">
        <v>74</v>
      </c>
      <c r="BA599" s="1" t="s">
        <v>74</v>
      </c>
      <c r="BB599" s="1" t="s">
        <v>74</v>
      </c>
      <c r="BC599" s="1" t="s">
        <v>74</v>
      </c>
      <c r="BD599" s="1">
        <v>10.0</v>
      </c>
      <c r="BE599" s="1" t="s">
        <v>74</v>
      </c>
      <c r="BF599" s="1" t="s">
        <v>74</v>
      </c>
      <c r="BG599" s="1" t="s">
        <v>74</v>
      </c>
      <c r="BH599" s="1" t="s">
        <v>74</v>
      </c>
      <c r="BI599" s="1" t="s">
        <v>74</v>
      </c>
      <c r="BJ599" s="1" t="s">
        <v>74</v>
      </c>
      <c r="BK599" s="1" t="s">
        <v>74</v>
      </c>
      <c r="BL599" s="1" t="s">
        <v>74</v>
      </c>
      <c r="BM599" s="1" t="s">
        <v>74</v>
      </c>
      <c r="BN599" s="1" t="s">
        <v>74</v>
      </c>
      <c r="BO599" s="1" t="s">
        <v>74</v>
      </c>
      <c r="BP599" s="1" t="s">
        <v>74</v>
      </c>
      <c r="BQ599" s="1" t="s">
        <v>74</v>
      </c>
      <c r="BR599" s="1" t="s">
        <v>74</v>
      </c>
      <c r="BS599" s="1" t="s">
        <v>6084</v>
      </c>
      <c r="BT599" s="1" t="str">
        <f>HYPERLINK("https%3A%2F%2Fwww.webofscience.com%2Fwos%2Fwoscc%2Ffull-record%2FWOS:001360797000002","View Full Record in Web of Science")</f>
        <v>View Full Record in Web of Science</v>
      </c>
    </row>
    <row r="600" ht="12.75" customHeight="1">
      <c r="A600" s="1" t="s">
        <v>72</v>
      </c>
      <c r="B600" s="1" t="s">
        <v>6085</v>
      </c>
      <c r="C600" s="1" t="s">
        <v>74</v>
      </c>
      <c r="D600" s="1" t="s">
        <v>74</v>
      </c>
      <c r="E600" s="1" t="s">
        <v>74</v>
      </c>
      <c r="F600" s="1" t="s">
        <v>6086</v>
      </c>
      <c r="G600" s="1" t="s">
        <v>74</v>
      </c>
      <c r="H600" s="1" t="s">
        <v>74</v>
      </c>
      <c r="I600" s="1" t="s">
        <v>6087</v>
      </c>
      <c r="J600" s="1" t="s">
        <v>6088</v>
      </c>
      <c r="K600" s="1" t="s">
        <v>74</v>
      </c>
      <c r="L600" s="1" t="s">
        <v>74</v>
      </c>
      <c r="M600" s="1" t="s">
        <v>74</v>
      </c>
      <c r="N600" s="1" t="s">
        <v>74</v>
      </c>
      <c r="O600" s="1" t="s">
        <v>74</v>
      </c>
      <c r="P600" s="1" t="s">
        <v>74</v>
      </c>
      <c r="Q600" s="1" t="s">
        <v>74</v>
      </c>
      <c r="R600" s="1" t="s">
        <v>74</v>
      </c>
      <c r="S600" s="1" t="s">
        <v>74</v>
      </c>
      <c r="T600" s="1" t="s">
        <v>74</v>
      </c>
      <c r="U600" s="1" t="s">
        <v>74</v>
      </c>
      <c r="V600" s="1" t="s">
        <v>6089</v>
      </c>
      <c r="W600" s="1" t="s">
        <v>74</v>
      </c>
      <c r="X600" s="1" t="s">
        <v>74</v>
      </c>
      <c r="Y600" s="1" t="s">
        <v>74</v>
      </c>
      <c r="Z600" s="1" t="s">
        <v>74</v>
      </c>
      <c r="AA600" s="1" t="s">
        <v>6090</v>
      </c>
      <c r="AB600" s="1" t="s">
        <v>6091</v>
      </c>
      <c r="AC600" s="1" t="s">
        <v>74</v>
      </c>
      <c r="AD600" s="1" t="s">
        <v>74</v>
      </c>
      <c r="AE600" s="1" t="s">
        <v>74</v>
      </c>
      <c r="AF600" s="1" t="s">
        <v>74</v>
      </c>
      <c r="AG600" s="1" t="s">
        <v>74</v>
      </c>
      <c r="AH600" s="1" t="s">
        <v>74</v>
      </c>
      <c r="AI600" s="1" t="s">
        <v>74</v>
      </c>
      <c r="AJ600" s="1" t="s">
        <v>74</v>
      </c>
      <c r="AK600" s="1" t="s">
        <v>74</v>
      </c>
      <c r="AL600" s="1" t="s">
        <v>74</v>
      </c>
      <c r="AM600" s="1" t="s">
        <v>74</v>
      </c>
      <c r="AN600" s="1" t="s">
        <v>74</v>
      </c>
      <c r="AO600" s="1" t="s">
        <v>74</v>
      </c>
      <c r="AP600" s="1" t="s">
        <v>6092</v>
      </c>
      <c r="AQ600" s="1" t="s">
        <v>74</v>
      </c>
      <c r="AR600" s="1" t="s">
        <v>74</v>
      </c>
      <c r="AS600" s="1" t="s">
        <v>74</v>
      </c>
      <c r="AT600" s="1" t="s">
        <v>6093</v>
      </c>
      <c r="AU600" s="1">
        <v>2023.0</v>
      </c>
      <c r="AV600" s="1">
        <v>7.0</v>
      </c>
      <c r="AW600" s="1">
        <v>1.0</v>
      </c>
      <c r="AX600" s="1" t="s">
        <v>74</v>
      </c>
      <c r="AY600" s="1" t="s">
        <v>74</v>
      </c>
      <c r="AZ600" s="1" t="s">
        <v>74</v>
      </c>
      <c r="BA600" s="1" t="s">
        <v>74</v>
      </c>
      <c r="BB600" s="1">
        <v>1437.0</v>
      </c>
      <c r="BC600" s="1">
        <v>1449.0</v>
      </c>
      <c r="BD600" s="1" t="s">
        <v>74</v>
      </c>
      <c r="BE600" s="1" t="s">
        <v>6094</v>
      </c>
      <c r="BF600" s="2" t="str">
        <f>HYPERLINK("http://dx.doi.org/10.1021/acsanm.3c05710","http://dx.doi.org/10.1021/acsanm.3c05710")</f>
        <v>http://dx.doi.org/10.1021/acsanm.3c05710</v>
      </c>
      <c r="BG600" s="1" t="s">
        <v>74</v>
      </c>
      <c r="BH600" s="1" t="s">
        <v>74</v>
      </c>
      <c r="BI600" s="1" t="s">
        <v>74</v>
      </c>
      <c r="BJ600" s="1" t="s">
        <v>74</v>
      </c>
      <c r="BK600" s="1" t="s">
        <v>74</v>
      </c>
      <c r="BL600" s="1" t="s">
        <v>74</v>
      </c>
      <c r="BM600" s="1" t="s">
        <v>74</v>
      </c>
      <c r="BN600" s="1" t="s">
        <v>74</v>
      </c>
      <c r="BO600" s="1" t="s">
        <v>74</v>
      </c>
      <c r="BP600" s="1" t="s">
        <v>74</v>
      </c>
      <c r="BQ600" s="1" t="s">
        <v>74</v>
      </c>
      <c r="BR600" s="1" t="s">
        <v>74</v>
      </c>
      <c r="BS600" s="1" t="s">
        <v>6095</v>
      </c>
      <c r="BT600" s="1" t="str">
        <f>HYPERLINK("https%3A%2F%2Fwww.webofscience.com%2Fwos%2Fwoscc%2Ffull-record%2FWOS:001143433400001","View Full Record in Web of Science")</f>
        <v>View Full Record in Web of Science</v>
      </c>
    </row>
    <row r="601" ht="12.75" customHeight="1">
      <c r="A601" s="1" t="s">
        <v>72</v>
      </c>
      <c r="B601" s="1" t="s">
        <v>6096</v>
      </c>
      <c r="C601" s="1" t="s">
        <v>74</v>
      </c>
      <c r="D601" s="1" t="s">
        <v>74</v>
      </c>
      <c r="E601" s="1" t="s">
        <v>74</v>
      </c>
      <c r="F601" s="1" t="s">
        <v>6097</v>
      </c>
      <c r="G601" s="1" t="s">
        <v>74</v>
      </c>
      <c r="H601" s="1" t="s">
        <v>74</v>
      </c>
      <c r="I601" s="1" t="s">
        <v>6098</v>
      </c>
      <c r="J601" s="1" t="s">
        <v>864</v>
      </c>
      <c r="K601" s="1" t="s">
        <v>74</v>
      </c>
      <c r="L601" s="1" t="s">
        <v>74</v>
      </c>
      <c r="M601" s="1" t="s">
        <v>74</v>
      </c>
      <c r="N601" s="1" t="s">
        <v>74</v>
      </c>
      <c r="O601" s="1" t="s">
        <v>74</v>
      </c>
      <c r="P601" s="1" t="s">
        <v>74</v>
      </c>
      <c r="Q601" s="1" t="s">
        <v>74</v>
      </c>
      <c r="R601" s="1" t="s">
        <v>74</v>
      </c>
      <c r="S601" s="1" t="s">
        <v>74</v>
      </c>
      <c r="T601" s="1" t="s">
        <v>74</v>
      </c>
      <c r="U601" s="1" t="s">
        <v>74</v>
      </c>
      <c r="V601" s="1" t="s">
        <v>6099</v>
      </c>
      <c r="W601" s="1" t="s">
        <v>74</v>
      </c>
      <c r="X601" s="1" t="s">
        <v>74</v>
      </c>
      <c r="Y601" s="1" t="s">
        <v>74</v>
      </c>
      <c r="Z601" s="1" t="s">
        <v>74</v>
      </c>
      <c r="AA601" s="1" t="s">
        <v>6100</v>
      </c>
      <c r="AB601" s="1" t="s">
        <v>6101</v>
      </c>
      <c r="AC601" s="1" t="s">
        <v>74</v>
      </c>
      <c r="AD601" s="1" t="s">
        <v>74</v>
      </c>
      <c r="AE601" s="1" t="s">
        <v>74</v>
      </c>
      <c r="AF601" s="1" t="s">
        <v>74</v>
      </c>
      <c r="AG601" s="1" t="s">
        <v>74</v>
      </c>
      <c r="AH601" s="1" t="s">
        <v>74</v>
      </c>
      <c r="AI601" s="1" t="s">
        <v>74</v>
      </c>
      <c r="AJ601" s="1" t="s">
        <v>74</v>
      </c>
      <c r="AK601" s="1" t="s">
        <v>74</v>
      </c>
      <c r="AL601" s="1" t="s">
        <v>74</v>
      </c>
      <c r="AM601" s="1" t="s">
        <v>74</v>
      </c>
      <c r="AN601" s="1" t="s">
        <v>74</v>
      </c>
      <c r="AO601" s="1" t="s">
        <v>1906</v>
      </c>
      <c r="AP601" s="1" t="s">
        <v>868</v>
      </c>
      <c r="AQ601" s="1" t="s">
        <v>74</v>
      </c>
      <c r="AR601" s="1" t="s">
        <v>74</v>
      </c>
      <c r="AS601" s="1" t="s">
        <v>74</v>
      </c>
      <c r="AT601" s="1" t="s">
        <v>719</v>
      </c>
      <c r="AU601" s="1">
        <v>2023.0</v>
      </c>
      <c r="AV601" s="1">
        <v>24.0</v>
      </c>
      <c r="AW601" s="1">
        <v>13.0</v>
      </c>
      <c r="AX601" s="1" t="s">
        <v>74</v>
      </c>
      <c r="AY601" s="1" t="s">
        <v>74</v>
      </c>
      <c r="AZ601" s="1" t="s">
        <v>74</v>
      </c>
      <c r="BA601" s="1" t="s">
        <v>74</v>
      </c>
      <c r="BB601" s="1" t="s">
        <v>74</v>
      </c>
      <c r="BC601" s="1" t="s">
        <v>74</v>
      </c>
      <c r="BD601" s="1">
        <v>10967.0</v>
      </c>
      <c r="BE601" s="1" t="s">
        <v>6102</v>
      </c>
      <c r="BF601" s="2" t="str">
        <f>HYPERLINK("http://dx.doi.org/10.3390/ijms241310967","http://dx.doi.org/10.3390/ijms241310967")</f>
        <v>http://dx.doi.org/10.3390/ijms241310967</v>
      </c>
      <c r="BG601" s="1" t="s">
        <v>74</v>
      </c>
      <c r="BH601" s="1" t="s">
        <v>74</v>
      </c>
      <c r="BI601" s="1" t="s">
        <v>74</v>
      </c>
      <c r="BJ601" s="1" t="s">
        <v>74</v>
      </c>
      <c r="BK601" s="1" t="s">
        <v>74</v>
      </c>
      <c r="BL601" s="1" t="s">
        <v>74</v>
      </c>
      <c r="BM601" s="1" t="s">
        <v>74</v>
      </c>
      <c r="BN601" s="1">
        <v>3.7446151E7</v>
      </c>
      <c r="BO601" s="1" t="s">
        <v>74</v>
      </c>
      <c r="BP601" s="1" t="s">
        <v>74</v>
      </c>
      <c r="BQ601" s="1" t="s">
        <v>74</v>
      </c>
      <c r="BR601" s="1" t="s">
        <v>74</v>
      </c>
      <c r="BS601" s="1" t="s">
        <v>6103</v>
      </c>
      <c r="BT601" s="1" t="str">
        <f>HYPERLINK("https%3A%2F%2Fwww.webofscience.com%2Fwos%2Fwoscc%2Ffull-record%2FWOS:001028446600001","View Full Record in Web of Science")</f>
        <v>View Full Record in Web of Science</v>
      </c>
    </row>
    <row r="602" ht="12.75" customHeight="1">
      <c r="A602" s="1" t="s">
        <v>72</v>
      </c>
      <c r="B602" s="1" t="s">
        <v>6104</v>
      </c>
      <c r="C602" s="1" t="s">
        <v>74</v>
      </c>
      <c r="D602" s="1" t="s">
        <v>74</v>
      </c>
      <c r="E602" s="1" t="s">
        <v>74</v>
      </c>
      <c r="F602" s="1" t="s">
        <v>6105</v>
      </c>
      <c r="G602" s="1" t="s">
        <v>74</v>
      </c>
      <c r="H602" s="1" t="s">
        <v>74</v>
      </c>
      <c r="I602" s="1" t="s">
        <v>6106</v>
      </c>
      <c r="J602" s="1" t="s">
        <v>6107</v>
      </c>
      <c r="K602" s="1" t="s">
        <v>74</v>
      </c>
      <c r="L602" s="1" t="s">
        <v>74</v>
      </c>
      <c r="M602" s="1" t="s">
        <v>74</v>
      </c>
      <c r="N602" s="1" t="s">
        <v>74</v>
      </c>
      <c r="O602" s="1" t="s">
        <v>74</v>
      </c>
      <c r="P602" s="1" t="s">
        <v>74</v>
      </c>
      <c r="Q602" s="1" t="s">
        <v>74</v>
      </c>
      <c r="R602" s="1" t="s">
        <v>74</v>
      </c>
      <c r="S602" s="1" t="s">
        <v>74</v>
      </c>
      <c r="T602" s="1" t="s">
        <v>74</v>
      </c>
      <c r="U602" s="1" t="s">
        <v>74</v>
      </c>
      <c r="V602" s="1" t="s">
        <v>74</v>
      </c>
      <c r="W602" s="1" t="s">
        <v>74</v>
      </c>
      <c r="X602" s="1" t="s">
        <v>74</v>
      </c>
      <c r="Y602" s="1" t="s">
        <v>74</v>
      </c>
      <c r="Z602" s="1" t="s">
        <v>74</v>
      </c>
      <c r="AA602" s="1" t="s">
        <v>6108</v>
      </c>
      <c r="AB602" s="1" t="s">
        <v>5671</v>
      </c>
      <c r="AC602" s="1" t="s">
        <v>74</v>
      </c>
      <c r="AD602" s="1" t="s">
        <v>74</v>
      </c>
      <c r="AE602" s="1" t="s">
        <v>74</v>
      </c>
      <c r="AF602" s="1" t="s">
        <v>74</v>
      </c>
      <c r="AG602" s="1" t="s">
        <v>74</v>
      </c>
      <c r="AH602" s="1" t="s">
        <v>74</v>
      </c>
      <c r="AI602" s="1" t="s">
        <v>74</v>
      </c>
      <c r="AJ602" s="1" t="s">
        <v>74</v>
      </c>
      <c r="AK602" s="1" t="s">
        <v>74</v>
      </c>
      <c r="AL602" s="1" t="s">
        <v>74</v>
      </c>
      <c r="AM602" s="1" t="s">
        <v>74</v>
      </c>
      <c r="AN602" s="1" t="s">
        <v>74</v>
      </c>
      <c r="AO602" s="1" t="s">
        <v>6109</v>
      </c>
      <c r="AP602" s="1" t="s">
        <v>6110</v>
      </c>
      <c r="AQ602" s="1" t="s">
        <v>74</v>
      </c>
      <c r="AR602" s="1" t="s">
        <v>74</v>
      </c>
      <c r="AS602" s="1" t="s">
        <v>74</v>
      </c>
      <c r="AT602" s="1" t="s">
        <v>464</v>
      </c>
      <c r="AU602" s="1">
        <v>2023.0</v>
      </c>
      <c r="AV602" s="1">
        <v>183.0</v>
      </c>
      <c r="AW602" s="1">
        <v>1.0</v>
      </c>
      <c r="AX602" s="1" t="s">
        <v>74</v>
      </c>
      <c r="AY602" s="1" t="s">
        <v>74</v>
      </c>
      <c r="AZ602" s="1" t="s">
        <v>74</v>
      </c>
      <c r="BA602" s="1" t="s">
        <v>74</v>
      </c>
      <c r="BB602" s="1">
        <v>87.0</v>
      </c>
      <c r="BC602" s="1">
        <v>88.0</v>
      </c>
      <c r="BD602" s="1" t="s">
        <v>74</v>
      </c>
      <c r="BE602" s="1" t="s">
        <v>6111</v>
      </c>
      <c r="BF602" s="2" t="str">
        <f>HYPERLINK("http://dx.doi.org/10.1001/jamainternmed.2022.5050","http://dx.doi.org/10.1001/jamainternmed.2022.5050")</f>
        <v>http://dx.doi.org/10.1001/jamainternmed.2022.5050</v>
      </c>
      <c r="BG602" s="1" t="s">
        <v>74</v>
      </c>
      <c r="BH602" s="1" t="s">
        <v>1470</v>
      </c>
      <c r="BI602" s="1" t="s">
        <v>74</v>
      </c>
      <c r="BJ602" s="1" t="s">
        <v>74</v>
      </c>
      <c r="BK602" s="1" t="s">
        <v>74</v>
      </c>
      <c r="BL602" s="1" t="s">
        <v>74</v>
      </c>
      <c r="BM602" s="1" t="s">
        <v>74</v>
      </c>
      <c r="BN602" s="1">
        <v>3.637449E7</v>
      </c>
      <c r="BO602" s="1" t="s">
        <v>74</v>
      </c>
      <c r="BP602" s="1" t="s">
        <v>74</v>
      </c>
      <c r="BQ602" s="1" t="s">
        <v>74</v>
      </c>
      <c r="BR602" s="1" t="s">
        <v>74</v>
      </c>
      <c r="BS602" s="1" t="s">
        <v>6112</v>
      </c>
      <c r="BT602" s="1" t="str">
        <f>HYPERLINK("https%3A%2F%2Fwww.webofscience.com%2Fwos%2Fwoscc%2Ffull-record%2FWOS:000886683400001","View Full Record in Web of Science")</f>
        <v>View Full Record in Web of Science</v>
      </c>
    </row>
    <row r="603" ht="12.75" customHeight="1">
      <c r="A603" s="1" t="s">
        <v>72</v>
      </c>
      <c r="B603" s="1" t="s">
        <v>6113</v>
      </c>
      <c r="C603" s="1" t="s">
        <v>74</v>
      </c>
      <c r="D603" s="1" t="s">
        <v>74</v>
      </c>
      <c r="E603" s="1" t="s">
        <v>74</v>
      </c>
      <c r="F603" s="1" t="s">
        <v>6114</v>
      </c>
      <c r="G603" s="1" t="s">
        <v>74</v>
      </c>
      <c r="H603" s="1" t="s">
        <v>74</v>
      </c>
      <c r="I603" s="1" t="s">
        <v>6115</v>
      </c>
      <c r="J603" s="1" t="s">
        <v>703</v>
      </c>
      <c r="K603" s="1" t="s">
        <v>74</v>
      </c>
      <c r="L603" s="1" t="s">
        <v>74</v>
      </c>
      <c r="M603" s="1" t="s">
        <v>74</v>
      </c>
      <c r="N603" s="1" t="s">
        <v>74</v>
      </c>
      <c r="O603" s="1" t="s">
        <v>74</v>
      </c>
      <c r="P603" s="1" t="s">
        <v>74</v>
      </c>
      <c r="Q603" s="1" t="s">
        <v>74</v>
      </c>
      <c r="R603" s="1" t="s">
        <v>74</v>
      </c>
      <c r="S603" s="1" t="s">
        <v>74</v>
      </c>
      <c r="T603" s="1" t="s">
        <v>74</v>
      </c>
      <c r="U603" s="1" t="s">
        <v>74</v>
      </c>
      <c r="V603" s="1" t="s">
        <v>6116</v>
      </c>
      <c r="W603" s="1" t="s">
        <v>74</v>
      </c>
      <c r="X603" s="1" t="s">
        <v>74</v>
      </c>
      <c r="Y603" s="1" t="s">
        <v>74</v>
      </c>
      <c r="Z603" s="1" t="s">
        <v>74</v>
      </c>
      <c r="AA603" s="1" t="s">
        <v>6117</v>
      </c>
      <c r="AB603" s="1" t="s">
        <v>6118</v>
      </c>
      <c r="AC603" s="1" t="s">
        <v>74</v>
      </c>
      <c r="AD603" s="1" t="s">
        <v>74</v>
      </c>
      <c r="AE603" s="1" t="s">
        <v>74</v>
      </c>
      <c r="AF603" s="1" t="s">
        <v>74</v>
      </c>
      <c r="AG603" s="1" t="s">
        <v>74</v>
      </c>
      <c r="AH603" s="1" t="s">
        <v>74</v>
      </c>
      <c r="AI603" s="1" t="s">
        <v>74</v>
      </c>
      <c r="AJ603" s="1" t="s">
        <v>74</v>
      </c>
      <c r="AK603" s="1" t="s">
        <v>74</v>
      </c>
      <c r="AL603" s="1" t="s">
        <v>74</v>
      </c>
      <c r="AM603" s="1" t="s">
        <v>74</v>
      </c>
      <c r="AN603" s="1" t="s">
        <v>74</v>
      </c>
      <c r="AO603" s="1" t="s">
        <v>74</v>
      </c>
      <c r="AP603" s="1" t="s">
        <v>707</v>
      </c>
      <c r="AQ603" s="1" t="s">
        <v>74</v>
      </c>
      <c r="AR603" s="1" t="s">
        <v>74</v>
      </c>
      <c r="AS603" s="1" t="s">
        <v>74</v>
      </c>
      <c r="AT603" s="1" t="s">
        <v>411</v>
      </c>
      <c r="AU603" s="1">
        <v>2022.0</v>
      </c>
      <c r="AV603" s="1">
        <v>19.0</v>
      </c>
      <c r="AW603" s="1">
        <v>21.0</v>
      </c>
      <c r="AX603" s="1" t="s">
        <v>74</v>
      </c>
      <c r="AY603" s="1" t="s">
        <v>74</v>
      </c>
      <c r="AZ603" s="1" t="s">
        <v>74</v>
      </c>
      <c r="BA603" s="1" t="s">
        <v>74</v>
      </c>
      <c r="BB603" s="1" t="s">
        <v>74</v>
      </c>
      <c r="BC603" s="1" t="s">
        <v>74</v>
      </c>
      <c r="BD603" s="1">
        <v>14366.0</v>
      </c>
      <c r="BE603" s="1" t="s">
        <v>6119</v>
      </c>
      <c r="BF603" s="2" t="str">
        <f>HYPERLINK("http://dx.doi.org/10.3390/ijerph192114366","http://dx.doi.org/10.3390/ijerph192114366")</f>
        <v>http://dx.doi.org/10.3390/ijerph192114366</v>
      </c>
      <c r="BG603" s="1" t="s">
        <v>74</v>
      </c>
      <c r="BH603" s="1" t="s">
        <v>74</v>
      </c>
      <c r="BI603" s="1" t="s">
        <v>74</v>
      </c>
      <c r="BJ603" s="1" t="s">
        <v>74</v>
      </c>
      <c r="BK603" s="1" t="s">
        <v>74</v>
      </c>
      <c r="BL603" s="1" t="s">
        <v>74</v>
      </c>
      <c r="BM603" s="1" t="s">
        <v>74</v>
      </c>
      <c r="BN603" s="1">
        <v>3.6361246E7</v>
      </c>
      <c r="BO603" s="1" t="s">
        <v>74</v>
      </c>
      <c r="BP603" s="1" t="s">
        <v>74</v>
      </c>
      <c r="BQ603" s="1" t="s">
        <v>74</v>
      </c>
      <c r="BR603" s="1" t="s">
        <v>74</v>
      </c>
      <c r="BS603" s="1" t="s">
        <v>6120</v>
      </c>
      <c r="BT603" s="1" t="str">
        <f>HYPERLINK("https%3A%2F%2Fwww.webofscience.com%2Fwos%2Fwoscc%2Ffull-record%2FWOS:000883973700001","View Full Record in Web of Science")</f>
        <v>View Full Record in Web of Science</v>
      </c>
    </row>
    <row r="604" ht="12.75" customHeight="1">
      <c r="A604" s="1" t="s">
        <v>72</v>
      </c>
      <c r="B604" s="1" t="s">
        <v>6121</v>
      </c>
      <c r="C604" s="1" t="s">
        <v>74</v>
      </c>
      <c r="D604" s="1" t="s">
        <v>74</v>
      </c>
      <c r="E604" s="1" t="s">
        <v>74</v>
      </c>
      <c r="F604" s="1" t="s">
        <v>6122</v>
      </c>
      <c r="G604" s="1" t="s">
        <v>74</v>
      </c>
      <c r="H604" s="1" t="s">
        <v>74</v>
      </c>
      <c r="I604" s="1" t="s">
        <v>6123</v>
      </c>
      <c r="J604" s="1" t="s">
        <v>6124</v>
      </c>
      <c r="K604" s="1" t="s">
        <v>74</v>
      </c>
      <c r="L604" s="1" t="s">
        <v>74</v>
      </c>
      <c r="M604" s="1" t="s">
        <v>74</v>
      </c>
      <c r="N604" s="1" t="s">
        <v>74</v>
      </c>
      <c r="O604" s="1" t="s">
        <v>74</v>
      </c>
      <c r="P604" s="1" t="s">
        <v>74</v>
      </c>
      <c r="Q604" s="1" t="s">
        <v>74</v>
      </c>
      <c r="R604" s="1" t="s">
        <v>74</v>
      </c>
      <c r="S604" s="1" t="s">
        <v>74</v>
      </c>
      <c r="T604" s="1" t="s">
        <v>74</v>
      </c>
      <c r="U604" s="1" t="s">
        <v>74</v>
      </c>
      <c r="V604" s="1" t="s">
        <v>6125</v>
      </c>
      <c r="W604" s="1" t="s">
        <v>74</v>
      </c>
      <c r="X604" s="1" t="s">
        <v>74</v>
      </c>
      <c r="Y604" s="1" t="s">
        <v>74</v>
      </c>
      <c r="Z604" s="1" t="s">
        <v>74</v>
      </c>
      <c r="AA604" s="1" t="s">
        <v>6126</v>
      </c>
      <c r="AB604" s="1" t="s">
        <v>6127</v>
      </c>
      <c r="AC604" s="1" t="s">
        <v>74</v>
      </c>
      <c r="AD604" s="1" t="s">
        <v>74</v>
      </c>
      <c r="AE604" s="1" t="s">
        <v>74</v>
      </c>
      <c r="AF604" s="1" t="s">
        <v>74</v>
      </c>
      <c r="AG604" s="1" t="s">
        <v>74</v>
      </c>
      <c r="AH604" s="1" t="s">
        <v>74</v>
      </c>
      <c r="AI604" s="1" t="s">
        <v>74</v>
      </c>
      <c r="AJ604" s="1" t="s">
        <v>74</v>
      </c>
      <c r="AK604" s="1" t="s">
        <v>74</v>
      </c>
      <c r="AL604" s="1" t="s">
        <v>74</v>
      </c>
      <c r="AM604" s="1" t="s">
        <v>74</v>
      </c>
      <c r="AN604" s="1" t="s">
        <v>74</v>
      </c>
      <c r="AO604" s="1" t="s">
        <v>6128</v>
      </c>
      <c r="AP604" s="1" t="s">
        <v>6129</v>
      </c>
      <c r="AQ604" s="1" t="s">
        <v>74</v>
      </c>
      <c r="AR604" s="1" t="s">
        <v>74</v>
      </c>
      <c r="AS604" s="1" t="s">
        <v>74</v>
      </c>
      <c r="AT604" s="1" t="s">
        <v>155</v>
      </c>
      <c r="AU604" s="1">
        <v>2022.0</v>
      </c>
      <c r="AV604" s="1">
        <v>234.0</v>
      </c>
      <c r="AW604" s="1">
        <v>6.0</v>
      </c>
      <c r="AX604" s="1" t="s">
        <v>74</v>
      </c>
      <c r="AY604" s="1" t="s">
        <v>74</v>
      </c>
      <c r="AZ604" s="1" t="s">
        <v>399</v>
      </c>
      <c r="BA604" s="1" t="s">
        <v>74</v>
      </c>
      <c r="BB604" s="1">
        <v>2126.0</v>
      </c>
      <c r="BC604" s="1">
        <v>2139.0</v>
      </c>
      <c r="BD604" s="1" t="s">
        <v>74</v>
      </c>
      <c r="BE604" s="1" t="s">
        <v>6130</v>
      </c>
      <c r="BF604" s="2" t="str">
        <f>HYPERLINK("http://dx.doi.org/10.1111/nph.18080","http://dx.doi.org/10.1111/nph.18080")</f>
        <v>http://dx.doi.org/10.1111/nph.18080</v>
      </c>
      <c r="BG604" s="1" t="s">
        <v>74</v>
      </c>
      <c r="BH604" s="1" t="s">
        <v>882</v>
      </c>
      <c r="BI604" s="1" t="s">
        <v>74</v>
      </c>
      <c r="BJ604" s="1" t="s">
        <v>74</v>
      </c>
      <c r="BK604" s="1" t="s">
        <v>74</v>
      </c>
      <c r="BL604" s="1" t="s">
        <v>74</v>
      </c>
      <c r="BM604" s="1" t="s">
        <v>74</v>
      </c>
      <c r="BN604" s="1">
        <v>3.5274744E7</v>
      </c>
      <c r="BO604" s="1" t="s">
        <v>74</v>
      </c>
      <c r="BP604" s="1" t="s">
        <v>74</v>
      </c>
      <c r="BQ604" s="1" t="s">
        <v>74</v>
      </c>
      <c r="BR604" s="1" t="s">
        <v>74</v>
      </c>
      <c r="BS604" s="1" t="s">
        <v>6131</v>
      </c>
      <c r="BT604" s="1" t="str">
        <f>HYPERLINK("https%3A%2F%2Fwww.webofscience.com%2Fwos%2Fwoscc%2Ffull-record%2FWOS:000776949600001","View Full Record in Web of Science")</f>
        <v>View Full Record in Web of Science</v>
      </c>
    </row>
    <row r="605" ht="12.75" customHeight="1">
      <c r="A605" s="1" t="s">
        <v>72</v>
      </c>
      <c r="B605" s="1" t="s">
        <v>6132</v>
      </c>
      <c r="C605" s="1" t="s">
        <v>74</v>
      </c>
      <c r="D605" s="1" t="s">
        <v>74</v>
      </c>
      <c r="E605" s="1" t="s">
        <v>74</v>
      </c>
      <c r="F605" s="1" t="s">
        <v>6133</v>
      </c>
      <c r="G605" s="1" t="s">
        <v>74</v>
      </c>
      <c r="H605" s="1" t="s">
        <v>74</v>
      </c>
      <c r="I605" s="1" t="s">
        <v>6134</v>
      </c>
      <c r="J605" s="1" t="s">
        <v>6135</v>
      </c>
      <c r="K605" s="1" t="s">
        <v>74</v>
      </c>
      <c r="L605" s="1" t="s">
        <v>74</v>
      </c>
      <c r="M605" s="1" t="s">
        <v>74</v>
      </c>
      <c r="N605" s="1" t="s">
        <v>74</v>
      </c>
      <c r="O605" s="1" t="s">
        <v>74</v>
      </c>
      <c r="P605" s="1" t="s">
        <v>74</v>
      </c>
      <c r="Q605" s="1" t="s">
        <v>74</v>
      </c>
      <c r="R605" s="1" t="s">
        <v>74</v>
      </c>
      <c r="S605" s="1" t="s">
        <v>74</v>
      </c>
      <c r="T605" s="1" t="s">
        <v>74</v>
      </c>
      <c r="U605" s="1" t="s">
        <v>74</v>
      </c>
      <c r="V605" s="1" t="s">
        <v>6136</v>
      </c>
      <c r="W605" s="1" t="s">
        <v>74</v>
      </c>
      <c r="X605" s="1" t="s">
        <v>74</v>
      </c>
      <c r="Y605" s="1" t="s">
        <v>74</v>
      </c>
      <c r="Z605" s="1" t="s">
        <v>74</v>
      </c>
      <c r="AA605" s="1" t="s">
        <v>6137</v>
      </c>
      <c r="AB605" s="1" t="s">
        <v>6138</v>
      </c>
      <c r="AC605" s="1" t="s">
        <v>74</v>
      </c>
      <c r="AD605" s="1" t="s">
        <v>74</v>
      </c>
      <c r="AE605" s="1" t="s">
        <v>74</v>
      </c>
      <c r="AF605" s="1" t="s">
        <v>74</v>
      </c>
      <c r="AG605" s="1" t="s">
        <v>74</v>
      </c>
      <c r="AH605" s="1" t="s">
        <v>74</v>
      </c>
      <c r="AI605" s="1" t="s">
        <v>74</v>
      </c>
      <c r="AJ605" s="1" t="s">
        <v>74</v>
      </c>
      <c r="AK605" s="1" t="s">
        <v>74</v>
      </c>
      <c r="AL605" s="1" t="s">
        <v>74</v>
      </c>
      <c r="AM605" s="1" t="s">
        <v>74</v>
      </c>
      <c r="AN605" s="1" t="s">
        <v>74</v>
      </c>
      <c r="AO605" s="1" t="s">
        <v>6139</v>
      </c>
      <c r="AP605" s="1" t="s">
        <v>6140</v>
      </c>
      <c r="AQ605" s="1" t="s">
        <v>74</v>
      </c>
      <c r="AR605" s="1" t="s">
        <v>74</v>
      </c>
      <c r="AS605" s="1" t="s">
        <v>74</v>
      </c>
      <c r="AT605" s="1" t="s">
        <v>464</v>
      </c>
      <c r="AU605" s="1">
        <v>2022.0</v>
      </c>
      <c r="AV605" s="1">
        <v>265.0</v>
      </c>
      <c r="AW605" s="1" t="s">
        <v>74</v>
      </c>
      <c r="AX605" s="1" t="s">
        <v>74</v>
      </c>
      <c r="AY605" s="1" t="s">
        <v>74</v>
      </c>
      <c r="AZ605" s="1" t="s">
        <v>74</v>
      </c>
      <c r="BA605" s="1" t="s">
        <v>74</v>
      </c>
      <c r="BB605" s="1" t="s">
        <v>74</v>
      </c>
      <c r="BC605" s="1" t="s">
        <v>74</v>
      </c>
      <c r="BD605" s="1">
        <v>109434.0</v>
      </c>
      <c r="BE605" s="1" t="s">
        <v>6141</v>
      </c>
      <c r="BF605" s="2" t="str">
        <f>HYPERLINK("http://dx.doi.org/10.1016/j.biocon.2021.109434","http://dx.doi.org/10.1016/j.biocon.2021.109434")</f>
        <v>http://dx.doi.org/10.1016/j.biocon.2021.109434</v>
      </c>
      <c r="BG605" s="1" t="s">
        <v>74</v>
      </c>
      <c r="BH605" s="1" t="s">
        <v>1143</v>
      </c>
      <c r="BI605" s="1" t="s">
        <v>74</v>
      </c>
      <c r="BJ605" s="1" t="s">
        <v>74</v>
      </c>
      <c r="BK605" s="1" t="s">
        <v>74</v>
      </c>
      <c r="BL605" s="1" t="s">
        <v>74</v>
      </c>
      <c r="BM605" s="1" t="s">
        <v>74</v>
      </c>
      <c r="BN605" s="1" t="s">
        <v>74</v>
      </c>
      <c r="BO605" s="1" t="s">
        <v>74</v>
      </c>
      <c r="BP605" s="1" t="s">
        <v>74</v>
      </c>
      <c r="BQ605" s="1" t="s">
        <v>74</v>
      </c>
      <c r="BR605" s="1" t="s">
        <v>74</v>
      </c>
      <c r="BS605" s="1" t="s">
        <v>6142</v>
      </c>
      <c r="BT605" s="1" t="str">
        <f>HYPERLINK("https%3A%2F%2Fwww.webofscience.com%2Fwos%2Fwoscc%2Ffull-record%2FWOS:000820027500018","View Full Record in Web of Science")</f>
        <v>View Full Record in Web of Science</v>
      </c>
    </row>
    <row r="606" ht="12.75" customHeight="1">
      <c r="A606" s="1" t="s">
        <v>72</v>
      </c>
      <c r="B606" s="1" t="s">
        <v>6143</v>
      </c>
      <c r="C606" s="1" t="s">
        <v>74</v>
      </c>
      <c r="D606" s="1" t="s">
        <v>74</v>
      </c>
      <c r="E606" s="1" t="s">
        <v>74</v>
      </c>
      <c r="F606" s="1" t="s">
        <v>6144</v>
      </c>
      <c r="G606" s="1" t="s">
        <v>74</v>
      </c>
      <c r="H606" s="1" t="s">
        <v>74</v>
      </c>
      <c r="I606" s="1" t="s">
        <v>6145</v>
      </c>
      <c r="J606" s="1" t="s">
        <v>6146</v>
      </c>
      <c r="K606" s="1" t="s">
        <v>74</v>
      </c>
      <c r="L606" s="1" t="s">
        <v>74</v>
      </c>
      <c r="M606" s="1" t="s">
        <v>74</v>
      </c>
      <c r="N606" s="1" t="s">
        <v>74</v>
      </c>
      <c r="O606" s="1" t="s">
        <v>74</v>
      </c>
      <c r="P606" s="1" t="s">
        <v>74</v>
      </c>
      <c r="Q606" s="1" t="s">
        <v>74</v>
      </c>
      <c r="R606" s="1" t="s">
        <v>74</v>
      </c>
      <c r="S606" s="1" t="s">
        <v>74</v>
      </c>
      <c r="T606" s="1" t="s">
        <v>74</v>
      </c>
      <c r="U606" s="1" t="s">
        <v>74</v>
      </c>
      <c r="V606" s="1" t="s">
        <v>6147</v>
      </c>
      <c r="W606" s="1" t="s">
        <v>74</v>
      </c>
      <c r="X606" s="1" t="s">
        <v>74</v>
      </c>
      <c r="Y606" s="1" t="s">
        <v>74</v>
      </c>
      <c r="Z606" s="1" t="s">
        <v>74</v>
      </c>
      <c r="AA606" s="1" t="s">
        <v>6148</v>
      </c>
      <c r="AB606" s="1" t="s">
        <v>6149</v>
      </c>
      <c r="AC606" s="1" t="s">
        <v>74</v>
      </c>
      <c r="AD606" s="1" t="s">
        <v>74</v>
      </c>
      <c r="AE606" s="1" t="s">
        <v>74</v>
      </c>
      <c r="AF606" s="1" t="s">
        <v>74</v>
      </c>
      <c r="AG606" s="1" t="s">
        <v>74</v>
      </c>
      <c r="AH606" s="1" t="s">
        <v>74</v>
      </c>
      <c r="AI606" s="1" t="s">
        <v>74</v>
      </c>
      <c r="AJ606" s="1" t="s">
        <v>74</v>
      </c>
      <c r="AK606" s="1" t="s">
        <v>74</v>
      </c>
      <c r="AL606" s="1" t="s">
        <v>74</v>
      </c>
      <c r="AM606" s="1" t="s">
        <v>74</v>
      </c>
      <c r="AN606" s="1" t="s">
        <v>74</v>
      </c>
      <c r="AO606" s="1" t="s">
        <v>6150</v>
      </c>
      <c r="AP606" s="1" t="s">
        <v>6151</v>
      </c>
      <c r="AQ606" s="1" t="s">
        <v>74</v>
      </c>
      <c r="AR606" s="1" t="s">
        <v>74</v>
      </c>
      <c r="AS606" s="1" t="s">
        <v>74</v>
      </c>
      <c r="AT606" s="1" t="s">
        <v>464</v>
      </c>
      <c r="AU606" s="1">
        <v>2022.0</v>
      </c>
      <c r="AV606" s="1">
        <v>93.0</v>
      </c>
      <c r="AW606" s="1">
        <v>1.0</v>
      </c>
      <c r="AX606" s="1" t="s">
        <v>74</v>
      </c>
      <c r="AY606" s="1" t="s">
        <v>74</v>
      </c>
      <c r="AZ606" s="1" t="s">
        <v>74</v>
      </c>
      <c r="BA606" s="1" t="s">
        <v>74</v>
      </c>
      <c r="BB606" s="1" t="s">
        <v>74</v>
      </c>
      <c r="BC606" s="1" t="s">
        <v>74</v>
      </c>
      <c r="BD606" s="1">
        <v>2100114.0</v>
      </c>
      <c r="BE606" s="1" t="s">
        <v>6152</v>
      </c>
      <c r="BF606" s="2" t="str">
        <f>HYPERLINK("http://dx.doi.org/10.1002/srin.202100114","http://dx.doi.org/10.1002/srin.202100114")</f>
        <v>http://dx.doi.org/10.1002/srin.202100114</v>
      </c>
      <c r="BG606" s="1" t="s">
        <v>74</v>
      </c>
      <c r="BH606" s="1" t="s">
        <v>6153</v>
      </c>
      <c r="BI606" s="1" t="s">
        <v>74</v>
      </c>
      <c r="BJ606" s="1" t="s">
        <v>74</v>
      </c>
      <c r="BK606" s="1" t="s">
        <v>74</v>
      </c>
      <c r="BL606" s="1" t="s">
        <v>74</v>
      </c>
      <c r="BM606" s="1" t="s">
        <v>74</v>
      </c>
      <c r="BN606" s="1" t="s">
        <v>74</v>
      </c>
      <c r="BO606" s="1" t="s">
        <v>74</v>
      </c>
      <c r="BP606" s="1" t="s">
        <v>74</v>
      </c>
      <c r="BQ606" s="1" t="s">
        <v>74</v>
      </c>
      <c r="BR606" s="1" t="s">
        <v>74</v>
      </c>
      <c r="BS606" s="1" t="s">
        <v>6154</v>
      </c>
      <c r="BT606" s="1" t="str">
        <f>HYPERLINK("https%3A%2F%2Fwww.webofscience.com%2Fwos%2Fwoscc%2Ffull-record%2FWOS:000716377600001","View Full Record in Web of Science")</f>
        <v>View Full Record in Web of Science</v>
      </c>
    </row>
    <row r="607" ht="12.75" customHeight="1">
      <c r="A607" s="1" t="s">
        <v>72</v>
      </c>
      <c r="B607" s="1" t="s">
        <v>6155</v>
      </c>
      <c r="C607" s="1" t="s">
        <v>74</v>
      </c>
      <c r="D607" s="1" t="s">
        <v>74</v>
      </c>
      <c r="E607" s="1" t="s">
        <v>74</v>
      </c>
      <c r="F607" s="1" t="s">
        <v>6156</v>
      </c>
      <c r="G607" s="1" t="s">
        <v>74</v>
      </c>
      <c r="H607" s="1" t="s">
        <v>74</v>
      </c>
      <c r="I607" s="1" t="s">
        <v>6157</v>
      </c>
      <c r="J607" s="1" t="s">
        <v>470</v>
      </c>
      <c r="K607" s="1" t="s">
        <v>74</v>
      </c>
      <c r="L607" s="1" t="s">
        <v>74</v>
      </c>
      <c r="M607" s="1" t="s">
        <v>74</v>
      </c>
      <c r="N607" s="1" t="s">
        <v>74</v>
      </c>
      <c r="O607" s="1" t="s">
        <v>74</v>
      </c>
      <c r="P607" s="1" t="s">
        <v>74</v>
      </c>
      <c r="Q607" s="1" t="s">
        <v>74</v>
      </c>
      <c r="R607" s="1" t="s">
        <v>74</v>
      </c>
      <c r="S607" s="1" t="s">
        <v>74</v>
      </c>
      <c r="T607" s="1" t="s">
        <v>74</v>
      </c>
      <c r="U607" s="1" t="s">
        <v>74</v>
      </c>
      <c r="V607" s="1" t="s">
        <v>6158</v>
      </c>
      <c r="W607" s="1" t="s">
        <v>74</v>
      </c>
      <c r="X607" s="1" t="s">
        <v>74</v>
      </c>
      <c r="Y607" s="1" t="s">
        <v>74</v>
      </c>
      <c r="Z607" s="1" t="s">
        <v>74</v>
      </c>
      <c r="AA607" s="1" t="s">
        <v>6159</v>
      </c>
      <c r="AB607" s="1" t="s">
        <v>6160</v>
      </c>
      <c r="AC607" s="1" t="s">
        <v>74</v>
      </c>
      <c r="AD607" s="1" t="s">
        <v>74</v>
      </c>
      <c r="AE607" s="1" t="s">
        <v>74</v>
      </c>
      <c r="AF607" s="1" t="s">
        <v>74</v>
      </c>
      <c r="AG607" s="1" t="s">
        <v>74</v>
      </c>
      <c r="AH607" s="1" t="s">
        <v>74</v>
      </c>
      <c r="AI607" s="1" t="s">
        <v>74</v>
      </c>
      <c r="AJ607" s="1" t="s">
        <v>74</v>
      </c>
      <c r="AK607" s="1" t="s">
        <v>74</v>
      </c>
      <c r="AL607" s="1" t="s">
        <v>74</v>
      </c>
      <c r="AM607" s="1" t="s">
        <v>74</v>
      </c>
      <c r="AN607" s="1" t="s">
        <v>74</v>
      </c>
      <c r="AO607" s="1" t="s">
        <v>474</v>
      </c>
      <c r="AP607" s="1" t="s">
        <v>74</v>
      </c>
      <c r="AQ607" s="1" t="s">
        <v>74</v>
      </c>
      <c r="AR607" s="1" t="s">
        <v>74</v>
      </c>
      <c r="AS607" s="1" t="s">
        <v>74</v>
      </c>
      <c r="AT607" s="1" t="s">
        <v>74</v>
      </c>
      <c r="AU607" s="1">
        <v>2021.0</v>
      </c>
      <c r="AV607" s="1">
        <v>9.0</v>
      </c>
      <c r="AW607" s="1" t="s">
        <v>74</v>
      </c>
      <c r="AX607" s="1" t="s">
        <v>74</v>
      </c>
      <c r="AY607" s="1" t="s">
        <v>74</v>
      </c>
      <c r="AZ607" s="1" t="s">
        <v>74</v>
      </c>
      <c r="BA607" s="1" t="s">
        <v>74</v>
      </c>
      <c r="BB607" s="1">
        <v>27210.0</v>
      </c>
      <c r="BC607" s="1">
        <v>27225.0</v>
      </c>
      <c r="BD607" s="1" t="s">
        <v>74</v>
      </c>
      <c r="BE607" s="1" t="s">
        <v>6161</v>
      </c>
      <c r="BF607" s="2" t="str">
        <f>HYPERLINK("http://dx.doi.org/10.1109/ACCESS.2021.3058242","http://dx.doi.org/10.1109/ACCESS.2021.3058242")</f>
        <v>http://dx.doi.org/10.1109/ACCESS.2021.3058242</v>
      </c>
      <c r="BG607" s="1" t="s">
        <v>74</v>
      </c>
      <c r="BH607" s="1" t="s">
        <v>74</v>
      </c>
      <c r="BI607" s="1" t="s">
        <v>74</v>
      </c>
      <c r="BJ607" s="1" t="s">
        <v>74</v>
      </c>
      <c r="BK607" s="1" t="s">
        <v>74</v>
      </c>
      <c r="BL607" s="1" t="s">
        <v>74</v>
      </c>
      <c r="BM607" s="1" t="s">
        <v>74</v>
      </c>
      <c r="BN607" s="1" t="s">
        <v>74</v>
      </c>
      <c r="BO607" s="1" t="s">
        <v>74</v>
      </c>
      <c r="BP607" s="1" t="s">
        <v>74</v>
      </c>
      <c r="BQ607" s="1" t="s">
        <v>74</v>
      </c>
      <c r="BR607" s="1" t="s">
        <v>74</v>
      </c>
      <c r="BS607" s="1" t="s">
        <v>6162</v>
      </c>
      <c r="BT607" s="1" t="str">
        <f>HYPERLINK("https%3A%2F%2Fwww.webofscience.com%2Fwos%2Fwoscc%2Ffull-record%2FWOS:000619292900001","View Full Record in Web of Science")</f>
        <v>View Full Record in Web of Science</v>
      </c>
    </row>
    <row r="608" ht="12.75" customHeight="1">
      <c r="A608" s="1" t="s">
        <v>72</v>
      </c>
      <c r="B608" s="1" t="s">
        <v>6163</v>
      </c>
      <c r="C608" s="1" t="s">
        <v>74</v>
      </c>
      <c r="D608" s="1" t="s">
        <v>74</v>
      </c>
      <c r="E608" s="1" t="s">
        <v>74</v>
      </c>
      <c r="F608" s="1" t="s">
        <v>6164</v>
      </c>
      <c r="G608" s="1" t="s">
        <v>74</v>
      </c>
      <c r="H608" s="1" t="s">
        <v>74</v>
      </c>
      <c r="I608" s="1" t="s">
        <v>6165</v>
      </c>
      <c r="J608" s="1" t="s">
        <v>1633</v>
      </c>
      <c r="K608" s="1" t="s">
        <v>74</v>
      </c>
      <c r="L608" s="1" t="s">
        <v>74</v>
      </c>
      <c r="M608" s="1" t="s">
        <v>74</v>
      </c>
      <c r="N608" s="1" t="s">
        <v>74</v>
      </c>
      <c r="O608" s="1" t="s">
        <v>74</v>
      </c>
      <c r="P608" s="1" t="s">
        <v>74</v>
      </c>
      <c r="Q608" s="1" t="s">
        <v>74</v>
      </c>
      <c r="R608" s="1" t="s">
        <v>74</v>
      </c>
      <c r="S608" s="1" t="s">
        <v>74</v>
      </c>
      <c r="T608" s="1" t="s">
        <v>74</v>
      </c>
      <c r="U608" s="1" t="s">
        <v>74</v>
      </c>
      <c r="V608" s="1" t="s">
        <v>6166</v>
      </c>
      <c r="W608" s="1" t="s">
        <v>74</v>
      </c>
      <c r="X608" s="1" t="s">
        <v>74</v>
      </c>
      <c r="Y608" s="1" t="s">
        <v>74</v>
      </c>
      <c r="Z608" s="1" t="s">
        <v>74</v>
      </c>
      <c r="AA608" s="1" t="s">
        <v>6167</v>
      </c>
      <c r="AB608" s="1" t="s">
        <v>6168</v>
      </c>
      <c r="AC608" s="1" t="s">
        <v>74</v>
      </c>
      <c r="AD608" s="1" t="s">
        <v>74</v>
      </c>
      <c r="AE608" s="1" t="s">
        <v>74</v>
      </c>
      <c r="AF608" s="1" t="s">
        <v>74</v>
      </c>
      <c r="AG608" s="1" t="s">
        <v>74</v>
      </c>
      <c r="AH608" s="1" t="s">
        <v>74</v>
      </c>
      <c r="AI608" s="1" t="s">
        <v>74</v>
      </c>
      <c r="AJ608" s="1" t="s">
        <v>74</v>
      </c>
      <c r="AK608" s="1" t="s">
        <v>74</v>
      </c>
      <c r="AL608" s="1" t="s">
        <v>74</v>
      </c>
      <c r="AM608" s="1" t="s">
        <v>74</v>
      </c>
      <c r="AN608" s="1" t="s">
        <v>74</v>
      </c>
      <c r="AO608" s="1" t="s">
        <v>1637</v>
      </c>
      <c r="AP608" s="1" t="s">
        <v>1638</v>
      </c>
      <c r="AQ608" s="1" t="s">
        <v>74</v>
      </c>
      <c r="AR608" s="1" t="s">
        <v>74</v>
      </c>
      <c r="AS608" s="1" t="s">
        <v>74</v>
      </c>
      <c r="AT608" s="1" t="s">
        <v>4111</v>
      </c>
      <c r="AU608" s="1">
        <v>2020.0</v>
      </c>
      <c r="AV608" s="1">
        <v>44.0</v>
      </c>
      <c r="AW608" s="1">
        <v>27.0</v>
      </c>
      <c r="AX608" s="1" t="s">
        <v>74</v>
      </c>
      <c r="AY608" s="1" t="s">
        <v>74</v>
      </c>
      <c r="AZ608" s="1" t="s">
        <v>74</v>
      </c>
      <c r="BA608" s="1" t="s">
        <v>74</v>
      </c>
      <c r="BB608" s="1">
        <v>11608.0</v>
      </c>
      <c r="BC608" s="1">
        <v>11614.0</v>
      </c>
      <c r="BD608" s="1" t="s">
        <v>74</v>
      </c>
      <c r="BE608" s="1" t="s">
        <v>6169</v>
      </c>
      <c r="BF608" s="2" t="str">
        <f>HYPERLINK("http://dx.doi.org/10.1039/d0nj01682a","http://dx.doi.org/10.1039/d0nj01682a")</f>
        <v>http://dx.doi.org/10.1039/d0nj01682a</v>
      </c>
      <c r="BG608" s="1" t="s">
        <v>74</v>
      </c>
      <c r="BH608" s="1" t="s">
        <v>74</v>
      </c>
      <c r="BI608" s="1" t="s">
        <v>74</v>
      </c>
      <c r="BJ608" s="1" t="s">
        <v>74</v>
      </c>
      <c r="BK608" s="1" t="s">
        <v>74</v>
      </c>
      <c r="BL608" s="1" t="s">
        <v>74</v>
      </c>
      <c r="BM608" s="1" t="s">
        <v>74</v>
      </c>
      <c r="BN608" s="1" t="s">
        <v>74</v>
      </c>
      <c r="BO608" s="1" t="s">
        <v>74</v>
      </c>
      <c r="BP608" s="1" t="s">
        <v>74</v>
      </c>
      <c r="BQ608" s="1" t="s">
        <v>74</v>
      </c>
      <c r="BR608" s="1" t="s">
        <v>74</v>
      </c>
      <c r="BS608" s="1" t="s">
        <v>6170</v>
      </c>
      <c r="BT608" s="1" t="str">
        <f>HYPERLINK("https%3A%2F%2Fwww.webofscience.com%2Fwos%2Fwoscc%2Ffull-record%2FWOS:000548246700021","View Full Record in Web of Science")</f>
        <v>View Full Record in Web of Science</v>
      </c>
    </row>
    <row r="609" ht="12.75" customHeight="1">
      <c r="A609" s="1" t="s">
        <v>72</v>
      </c>
      <c r="B609" s="1" t="s">
        <v>6171</v>
      </c>
      <c r="C609" s="1" t="s">
        <v>74</v>
      </c>
      <c r="D609" s="1" t="s">
        <v>74</v>
      </c>
      <c r="E609" s="1" t="s">
        <v>74</v>
      </c>
      <c r="F609" s="1" t="s">
        <v>6172</v>
      </c>
      <c r="G609" s="1" t="s">
        <v>74</v>
      </c>
      <c r="H609" s="1" t="s">
        <v>74</v>
      </c>
      <c r="I609" s="1" t="s">
        <v>6173</v>
      </c>
      <c r="J609" s="1" t="s">
        <v>209</v>
      </c>
      <c r="K609" s="1" t="s">
        <v>74</v>
      </c>
      <c r="L609" s="1" t="s">
        <v>74</v>
      </c>
      <c r="M609" s="1" t="s">
        <v>74</v>
      </c>
      <c r="N609" s="1" t="s">
        <v>74</v>
      </c>
      <c r="O609" s="1" t="s">
        <v>74</v>
      </c>
      <c r="P609" s="1" t="s">
        <v>74</v>
      </c>
      <c r="Q609" s="1" t="s">
        <v>74</v>
      </c>
      <c r="R609" s="1" t="s">
        <v>74</v>
      </c>
      <c r="S609" s="1" t="s">
        <v>74</v>
      </c>
      <c r="T609" s="1" t="s">
        <v>74</v>
      </c>
      <c r="U609" s="1" t="s">
        <v>74</v>
      </c>
      <c r="V609" s="1" t="s">
        <v>6174</v>
      </c>
      <c r="W609" s="1" t="s">
        <v>74</v>
      </c>
      <c r="X609" s="1" t="s">
        <v>74</v>
      </c>
      <c r="Y609" s="1" t="s">
        <v>74</v>
      </c>
      <c r="Z609" s="1" t="s">
        <v>74</v>
      </c>
      <c r="AA609" s="1" t="s">
        <v>6175</v>
      </c>
      <c r="AB609" s="1" t="s">
        <v>6176</v>
      </c>
      <c r="AC609" s="1" t="s">
        <v>74</v>
      </c>
      <c r="AD609" s="1" t="s">
        <v>74</v>
      </c>
      <c r="AE609" s="1" t="s">
        <v>74</v>
      </c>
      <c r="AF609" s="1" t="s">
        <v>74</v>
      </c>
      <c r="AG609" s="1" t="s">
        <v>74</v>
      </c>
      <c r="AH609" s="1" t="s">
        <v>74</v>
      </c>
      <c r="AI609" s="1" t="s">
        <v>74</v>
      </c>
      <c r="AJ609" s="1" t="s">
        <v>74</v>
      </c>
      <c r="AK609" s="1" t="s">
        <v>74</v>
      </c>
      <c r="AL609" s="1" t="s">
        <v>74</v>
      </c>
      <c r="AM609" s="1" t="s">
        <v>74</v>
      </c>
      <c r="AN609" s="1" t="s">
        <v>74</v>
      </c>
      <c r="AO609" s="1" t="s">
        <v>213</v>
      </c>
      <c r="AP609" s="1" t="s">
        <v>214</v>
      </c>
      <c r="AQ609" s="1" t="s">
        <v>74</v>
      </c>
      <c r="AR609" s="1" t="s">
        <v>74</v>
      </c>
      <c r="AS609" s="1" t="s">
        <v>74</v>
      </c>
      <c r="AT609" s="1" t="s">
        <v>6177</v>
      </c>
      <c r="AU609" s="1">
        <v>2019.0</v>
      </c>
      <c r="AV609" s="1">
        <v>379.0</v>
      </c>
      <c r="AW609" s="1" t="s">
        <v>74</v>
      </c>
      <c r="AX609" s="1" t="s">
        <v>74</v>
      </c>
      <c r="AY609" s="1" t="s">
        <v>74</v>
      </c>
      <c r="AZ609" s="1" t="s">
        <v>74</v>
      </c>
      <c r="BA609" s="1" t="s">
        <v>74</v>
      </c>
      <c r="BB609" s="1" t="s">
        <v>74</v>
      </c>
      <c r="BC609" s="1" t="s">
        <v>74</v>
      </c>
      <c r="BD609" s="1">
        <v>120746.0</v>
      </c>
      <c r="BE609" s="1" t="s">
        <v>6178</v>
      </c>
      <c r="BF609" s="2" t="str">
        <f>HYPERLINK("http://dx.doi.org/10.1016/j.jhazmat.2019.120746","http://dx.doi.org/10.1016/j.jhazmat.2019.120746")</f>
        <v>http://dx.doi.org/10.1016/j.jhazmat.2019.120746</v>
      </c>
      <c r="BG609" s="1" t="s">
        <v>74</v>
      </c>
      <c r="BH609" s="1" t="s">
        <v>74</v>
      </c>
      <c r="BI609" s="1" t="s">
        <v>74</v>
      </c>
      <c r="BJ609" s="1" t="s">
        <v>74</v>
      </c>
      <c r="BK609" s="1" t="s">
        <v>74</v>
      </c>
      <c r="BL609" s="1" t="s">
        <v>74</v>
      </c>
      <c r="BM609" s="1" t="s">
        <v>74</v>
      </c>
      <c r="BN609" s="1">
        <v>3.1276919E7</v>
      </c>
      <c r="BO609" s="1" t="s">
        <v>74</v>
      </c>
      <c r="BP609" s="1" t="s">
        <v>74</v>
      </c>
      <c r="BQ609" s="1" t="s">
        <v>74</v>
      </c>
      <c r="BR609" s="1" t="s">
        <v>74</v>
      </c>
      <c r="BS609" s="1" t="s">
        <v>6179</v>
      </c>
      <c r="BT609" s="1" t="str">
        <f>HYPERLINK("https%3A%2F%2Fwww.webofscience.com%2Fwos%2Fwoscc%2Ffull-record%2FWOS:000488419700042","View Full Record in Web of Science")</f>
        <v>View Full Record in Web of Science</v>
      </c>
    </row>
    <row r="610" ht="12.75" customHeight="1">
      <c r="A610" s="1" t="s">
        <v>72</v>
      </c>
      <c r="B610" s="1" t="s">
        <v>6180</v>
      </c>
      <c r="C610" s="1" t="s">
        <v>74</v>
      </c>
      <c r="D610" s="1" t="s">
        <v>74</v>
      </c>
      <c r="E610" s="1" t="s">
        <v>74</v>
      </c>
      <c r="F610" s="1" t="s">
        <v>6181</v>
      </c>
      <c r="G610" s="1" t="s">
        <v>74</v>
      </c>
      <c r="H610" s="1" t="s">
        <v>74</v>
      </c>
      <c r="I610" s="1" t="s">
        <v>6182</v>
      </c>
      <c r="J610" s="1" t="s">
        <v>6183</v>
      </c>
      <c r="K610" s="1" t="s">
        <v>74</v>
      </c>
      <c r="L610" s="1" t="s">
        <v>74</v>
      </c>
      <c r="M610" s="1" t="s">
        <v>74</v>
      </c>
      <c r="N610" s="1" t="s">
        <v>74</v>
      </c>
      <c r="O610" s="1" t="s">
        <v>74</v>
      </c>
      <c r="P610" s="1" t="s">
        <v>74</v>
      </c>
      <c r="Q610" s="1" t="s">
        <v>74</v>
      </c>
      <c r="R610" s="1" t="s">
        <v>74</v>
      </c>
      <c r="S610" s="1" t="s">
        <v>74</v>
      </c>
      <c r="T610" s="1" t="s">
        <v>74</v>
      </c>
      <c r="U610" s="1" t="s">
        <v>74</v>
      </c>
      <c r="V610" s="1" t="s">
        <v>6184</v>
      </c>
      <c r="W610" s="1" t="s">
        <v>74</v>
      </c>
      <c r="X610" s="1" t="s">
        <v>74</v>
      </c>
      <c r="Y610" s="1" t="s">
        <v>74</v>
      </c>
      <c r="Z610" s="1" t="s">
        <v>74</v>
      </c>
      <c r="AA610" s="1" t="s">
        <v>6185</v>
      </c>
      <c r="AB610" s="1" t="s">
        <v>6186</v>
      </c>
      <c r="AC610" s="1" t="s">
        <v>74</v>
      </c>
      <c r="AD610" s="1" t="s">
        <v>74</v>
      </c>
      <c r="AE610" s="1" t="s">
        <v>74</v>
      </c>
      <c r="AF610" s="1" t="s">
        <v>74</v>
      </c>
      <c r="AG610" s="1" t="s">
        <v>74</v>
      </c>
      <c r="AH610" s="1" t="s">
        <v>74</v>
      </c>
      <c r="AI610" s="1" t="s">
        <v>74</v>
      </c>
      <c r="AJ610" s="1" t="s">
        <v>74</v>
      </c>
      <c r="AK610" s="1" t="s">
        <v>74</v>
      </c>
      <c r="AL610" s="1" t="s">
        <v>74</v>
      </c>
      <c r="AM610" s="1" t="s">
        <v>74</v>
      </c>
      <c r="AN610" s="1" t="s">
        <v>74</v>
      </c>
      <c r="AO610" s="1" t="s">
        <v>6187</v>
      </c>
      <c r="AP610" s="1" t="s">
        <v>6188</v>
      </c>
      <c r="AQ610" s="1" t="s">
        <v>74</v>
      </c>
      <c r="AR610" s="1" t="s">
        <v>74</v>
      </c>
      <c r="AS610" s="1" t="s">
        <v>74</v>
      </c>
      <c r="AT610" s="1" t="s">
        <v>358</v>
      </c>
      <c r="AU610" s="1">
        <v>2019.0</v>
      </c>
      <c r="AV610" s="1">
        <v>136.0</v>
      </c>
      <c r="AW610" s="1">
        <v>17.0</v>
      </c>
      <c r="AX610" s="1" t="s">
        <v>74</v>
      </c>
      <c r="AY610" s="1" t="s">
        <v>74</v>
      </c>
      <c r="AZ610" s="1" t="s">
        <v>74</v>
      </c>
      <c r="BA610" s="1" t="s">
        <v>74</v>
      </c>
      <c r="BB610" s="1" t="s">
        <v>74</v>
      </c>
      <c r="BC610" s="1" t="s">
        <v>74</v>
      </c>
      <c r="BD610" s="1">
        <v>47369.0</v>
      </c>
      <c r="BE610" s="1" t="s">
        <v>6189</v>
      </c>
      <c r="BF610" s="2" t="str">
        <f>HYPERLINK("http://dx.doi.org/10.1002/app.47369","http://dx.doi.org/10.1002/app.47369")</f>
        <v>http://dx.doi.org/10.1002/app.47369</v>
      </c>
      <c r="BG610" s="1" t="s">
        <v>74</v>
      </c>
      <c r="BH610" s="1" t="s">
        <v>74</v>
      </c>
      <c r="BI610" s="1" t="s">
        <v>74</v>
      </c>
      <c r="BJ610" s="1" t="s">
        <v>74</v>
      </c>
      <c r="BK610" s="1" t="s">
        <v>74</v>
      </c>
      <c r="BL610" s="1" t="s">
        <v>74</v>
      </c>
      <c r="BM610" s="1" t="s">
        <v>74</v>
      </c>
      <c r="BN610" s="1" t="s">
        <v>74</v>
      </c>
      <c r="BO610" s="1" t="s">
        <v>74</v>
      </c>
      <c r="BP610" s="1" t="s">
        <v>74</v>
      </c>
      <c r="BQ610" s="1" t="s">
        <v>74</v>
      </c>
      <c r="BR610" s="1" t="s">
        <v>74</v>
      </c>
      <c r="BS610" s="1" t="s">
        <v>6190</v>
      </c>
      <c r="BT610" s="1" t="str">
        <f>HYPERLINK("https%3A%2F%2Fwww.webofscience.com%2Fwos%2Fwoscc%2Ffull-record%2FWOS:000456861100012","View Full Record in Web of Science")</f>
        <v>View Full Record in Web of Science</v>
      </c>
    </row>
    <row r="611" ht="12.75" customHeight="1">
      <c r="A611" s="1" t="s">
        <v>72</v>
      </c>
      <c r="B611" s="1" t="s">
        <v>6191</v>
      </c>
      <c r="C611" s="1" t="s">
        <v>74</v>
      </c>
      <c r="D611" s="1" t="s">
        <v>74</v>
      </c>
      <c r="E611" s="1" t="s">
        <v>74</v>
      </c>
      <c r="F611" s="1" t="s">
        <v>6192</v>
      </c>
      <c r="G611" s="1" t="s">
        <v>74</v>
      </c>
      <c r="H611" s="1" t="s">
        <v>74</v>
      </c>
      <c r="I611" s="1" t="s">
        <v>6193</v>
      </c>
      <c r="J611" s="1" t="s">
        <v>444</v>
      </c>
      <c r="K611" s="1" t="s">
        <v>74</v>
      </c>
      <c r="L611" s="1" t="s">
        <v>74</v>
      </c>
      <c r="M611" s="1" t="s">
        <v>74</v>
      </c>
      <c r="N611" s="1" t="s">
        <v>74</v>
      </c>
      <c r="O611" s="1" t="s">
        <v>74</v>
      </c>
      <c r="P611" s="1" t="s">
        <v>74</v>
      </c>
      <c r="Q611" s="1" t="s">
        <v>74</v>
      </c>
      <c r="R611" s="1" t="s">
        <v>74</v>
      </c>
      <c r="S611" s="1" t="s">
        <v>74</v>
      </c>
      <c r="T611" s="1" t="s">
        <v>74</v>
      </c>
      <c r="U611" s="1" t="s">
        <v>74</v>
      </c>
      <c r="V611" s="1" t="s">
        <v>6194</v>
      </c>
      <c r="W611" s="1" t="s">
        <v>74</v>
      </c>
      <c r="X611" s="1" t="s">
        <v>74</v>
      </c>
      <c r="Y611" s="1" t="s">
        <v>74</v>
      </c>
      <c r="Z611" s="1" t="s">
        <v>74</v>
      </c>
      <c r="AA611" s="1" t="s">
        <v>6195</v>
      </c>
      <c r="AB611" s="1" t="s">
        <v>6196</v>
      </c>
      <c r="AC611" s="1" t="s">
        <v>74</v>
      </c>
      <c r="AD611" s="1" t="s">
        <v>74</v>
      </c>
      <c r="AE611" s="1" t="s">
        <v>74</v>
      </c>
      <c r="AF611" s="1" t="s">
        <v>74</v>
      </c>
      <c r="AG611" s="1" t="s">
        <v>74</v>
      </c>
      <c r="AH611" s="1" t="s">
        <v>74</v>
      </c>
      <c r="AI611" s="1" t="s">
        <v>74</v>
      </c>
      <c r="AJ611" s="1" t="s">
        <v>74</v>
      </c>
      <c r="AK611" s="1" t="s">
        <v>74</v>
      </c>
      <c r="AL611" s="1" t="s">
        <v>74</v>
      </c>
      <c r="AM611" s="1" t="s">
        <v>74</v>
      </c>
      <c r="AN611" s="1" t="s">
        <v>74</v>
      </c>
      <c r="AO611" s="1" t="s">
        <v>448</v>
      </c>
      <c r="AP611" s="1" t="s">
        <v>74</v>
      </c>
      <c r="AQ611" s="1" t="s">
        <v>74</v>
      </c>
      <c r="AR611" s="1" t="s">
        <v>74</v>
      </c>
      <c r="AS611" s="1" t="s">
        <v>74</v>
      </c>
      <c r="AT611" s="1" t="s">
        <v>5058</v>
      </c>
      <c r="AU611" s="1">
        <v>2019.0</v>
      </c>
      <c r="AV611" s="1">
        <v>10.0</v>
      </c>
      <c r="AW611" s="1" t="s">
        <v>74</v>
      </c>
      <c r="AX611" s="1" t="s">
        <v>74</v>
      </c>
      <c r="AY611" s="1" t="s">
        <v>74</v>
      </c>
      <c r="AZ611" s="1" t="s">
        <v>74</v>
      </c>
      <c r="BA611" s="1" t="s">
        <v>74</v>
      </c>
      <c r="BB611" s="1" t="s">
        <v>74</v>
      </c>
      <c r="BC611" s="1" t="s">
        <v>74</v>
      </c>
      <c r="BD611" s="1">
        <v>157.0</v>
      </c>
      <c r="BE611" s="1" t="s">
        <v>6197</v>
      </c>
      <c r="BF611" s="2" t="str">
        <f>HYPERLINK("http://dx.doi.org/10.3389/fphar.2019.00157","http://dx.doi.org/10.3389/fphar.2019.00157")</f>
        <v>http://dx.doi.org/10.3389/fphar.2019.00157</v>
      </c>
      <c r="BG611" s="1" t="s">
        <v>74</v>
      </c>
      <c r="BH611" s="1" t="s">
        <v>74</v>
      </c>
      <c r="BI611" s="1" t="s">
        <v>74</v>
      </c>
      <c r="BJ611" s="1" t="s">
        <v>74</v>
      </c>
      <c r="BK611" s="1" t="s">
        <v>74</v>
      </c>
      <c r="BL611" s="1" t="s">
        <v>74</v>
      </c>
      <c r="BM611" s="1" t="s">
        <v>74</v>
      </c>
      <c r="BN611" s="1">
        <v>3.087303E7</v>
      </c>
      <c r="BO611" s="1" t="s">
        <v>74</v>
      </c>
      <c r="BP611" s="1" t="s">
        <v>74</v>
      </c>
      <c r="BQ611" s="1" t="s">
        <v>74</v>
      </c>
      <c r="BR611" s="1" t="s">
        <v>74</v>
      </c>
      <c r="BS611" s="1" t="s">
        <v>6198</v>
      </c>
      <c r="BT611" s="1" t="str">
        <f>HYPERLINK("https%3A%2F%2Fwww.webofscience.com%2Fwos%2Fwoscc%2Ffull-record%2FWOS:000459850000002","View Full Record in Web of Science")</f>
        <v>View Full Record in Web of Science</v>
      </c>
    </row>
    <row r="612" ht="12.75" customHeight="1">
      <c r="A612" s="1" t="s">
        <v>72</v>
      </c>
      <c r="B612" s="1" t="s">
        <v>6199</v>
      </c>
      <c r="C612" s="1" t="s">
        <v>74</v>
      </c>
      <c r="D612" s="1" t="s">
        <v>74</v>
      </c>
      <c r="E612" s="1" t="s">
        <v>74</v>
      </c>
      <c r="F612" s="1" t="s">
        <v>6200</v>
      </c>
      <c r="G612" s="1" t="s">
        <v>74</v>
      </c>
      <c r="H612" s="1" t="s">
        <v>74</v>
      </c>
      <c r="I612" s="1" t="s">
        <v>6201</v>
      </c>
      <c r="J612" s="1" t="s">
        <v>1568</v>
      </c>
      <c r="K612" s="1" t="s">
        <v>74</v>
      </c>
      <c r="L612" s="1" t="s">
        <v>74</v>
      </c>
      <c r="M612" s="1" t="s">
        <v>74</v>
      </c>
      <c r="N612" s="1" t="s">
        <v>74</v>
      </c>
      <c r="O612" s="1" t="s">
        <v>74</v>
      </c>
      <c r="P612" s="1" t="s">
        <v>74</v>
      </c>
      <c r="Q612" s="1" t="s">
        <v>74</v>
      </c>
      <c r="R612" s="1" t="s">
        <v>74</v>
      </c>
      <c r="S612" s="1" t="s">
        <v>74</v>
      </c>
      <c r="T612" s="1" t="s">
        <v>74</v>
      </c>
      <c r="U612" s="1" t="s">
        <v>74</v>
      </c>
      <c r="V612" s="1" t="s">
        <v>6202</v>
      </c>
      <c r="W612" s="1" t="s">
        <v>74</v>
      </c>
      <c r="X612" s="1" t="s">
        <v>74</v>
      </c>
      <c r="Y612" s="1" t="s">
        <v>74</v>
      </c>
      <c r="Z612" s="1" t="s">
        <v>74</v>
      </c>
      <c r="AA612" s="1" t="s">
        <v>6203</v>
      </c>
      <c r="AB612" s="1" t="s">
        <v>6204</v>
      </c>
      <c r="AC612" s="1" t="s">
        <v>74</v>
      </c>
      <c r="AD612" s="1" t="s">
        <v>74</v>
      </c>
      <c r="AE612" s="1" t="s">
        <v>74</v>
      </c>
      <c r="AF612" s="1" t="s">
        <v>74</v>
      </c>
      <c r="AG612" s="1" t="s">
        <v>74</v>
      </c>
      <c r="AH612" s="1" t="s">
        <v>74</v>
      </c>
      <c r="AI612" s="1" t="s">
        <v>74</v>
      </c>
      <c r="AJ612" s="1" t="s">
        <v>74</v>
      </c>
      <c r="AK612" s="1" t="s">
        <v>74</v>
      </c>
      <c r="AL612" s="1" t="s">
        <v>74</v>
      </c>
      <c r="AM612" s="1" t="s">
        <v>74</v>
      </c>
      <c r="AN612" s="1" t="s">
        <v>74</v>
      </c>
      <c r="AO612" s="1" t="s">
        <v>1571</v>
      </c>
      <c r="AP612" s="1" t="s">
        <v>1572</v>
      </c>
      <c r="AQ612" s="1" t="s">
        <v>74</v>
      </c>
      <c r="AR612" s="1" t="s">
        <v>74</v>
      </c>
      <c r="AS612" s="1" t="s">
        <v>74</v>
      </c>
      <c r="AT612" s="1" t="s">
        <v>559</v>
      </c>
      <c r="AU612" s="1">
        <v>2017.0</v>
      </c>
      <c r="AV612" s="1">
        <v>226.0</v>
      </c>
      <c r="AW612" s="1" t="s">
        <v>74</v>
      </c>
      <c r="AX612" s="1" t="s">
        <v>74</v>
      </c>
      <c r="AY612" s="1" t="s">
        <v>74</v>
      </c>
      <c r="AZ612" s="1" t="s">
        <v>74</v>
      </c>
      <c r="BA612" s="1" t="s">
        <v>74</v>
      </c>
      <c r="BB612" s="1">
        <v>211.0</v>
      </c>
      <c r="BC612" s="1">
        <v>222.0</v>
      </c>
      <c r="BD612" s="1" t="s">
        <v>74</v>
      </c>
      <c r="BE612" s="1" t="s">
        <v>6205</v>
      </c>
      <c r="BF612" s="2" t="str">
        <f>HYPERLINK("http://dx.doi.org/10.1016/j.mseb.2017.09.024","http://dx.doi.org/10.1016/j.mseb.2017.09.024")</f>
        <v>http://dx.doi.org/10.1016/j.mseb.2017.09.024</v>
      </c>
      <c r="BG612" s="1" t="s">
        <v>74</v>
      </c>
      <c r="BH612" s="1" t="s">
        <v>74</v>
      </c>
      <c r="BI612" s="1" t="s">
        <v>74</v>
      </c>
      <c r="BJ612" s="1" t="s">
        <v>74</v>
      </c>
      <c r="BK612" s="1" t="s">
        <v>74</v>
      </c>
      <c r="BL612" s="1" t="s">
        <v>74</v>
      </c>
      <c r="BM612" s="1" t="s">
        <v>74</v>
      </c>
      <c r="BN612" s="1" t="s">
        <v>74</v>
      </c>
      <c r="BO612" s="1" t="s">
        <v>74</v>
      </c>
      <c r="BP612" s="1" t="s">
        <v>74</v>
      </c>
      <c r="BQ612" s="1" t="s">
        <v>74</v>
      </c>
      <c r="BR612" s="1" t="s">
        <v>74</v>
      </c>
      <c r="BS612" s="1" t="s">
        <v>6206</v>
      </c>
      <c r="BT612" s="1" t="str">
        <f>HYPERLINK("https%3A%2F%2Fwww.webofscience.com%2Fwos%2Fwoscc%2Ffull-record%2FWOS:000414880700028","View Full Record in Web of Science")</f>
        <v>View Full Record in Web of Science</v>
      </c>
    </row>
    <row r="613" ht="12.75" customHeight="1">
      <c r="A613" s="1" t="s">
        <v>72</v>
      </c>
      <c r="B613" s="1" t="s">
        <v>6207</v>
      </c>
      <c r="C613" s="1" t="s">
        <v>74</v>
      </c>
      <c r="D613" s="1" t="s">
        <v>74</v>
      </c>
      <c r="E613" s="1" t="s">
        <v>74</v>
      </c>
      <c r="F613" s="1" t="s">
        <v>6208</v>
      </c>
      <c r="G613" s="1" t="s">
        <v>74</v>
      </c>
      <c r="H613" s="1" t="s">
        <v>74</v>
      </c>
      <c r="I613" s="1" t="s">
        <v>6209</v>
      </c>
      <c r="J613" s="1" t="s">
        <v>6210</v>
      </c>
      <c r="K613" s="1" t="s">
        <v>74</v>
      </c>
      <c r="L613" s="1" t="s">
        <v>74</v>
      </c>
      <c r="M613" s="1" t="s">
        <v>74</v>
      </c>
      <c r="N613" s="1" t="s">
        <v>74</v>
      </c>
      <c r="O613" s="1" t="s">
        <v>74</v>
      </c>
      <c r="P613" s="1" t="s">
        <v>74</v>
      </c>
      <c r="Q613" s="1" t="s">
        <v>74</v>
      </c>
      <c r="R613" s="1" t="s">
        <v>74</v>
      </c>
      <c r="S613" s="1" t="s">
        <v>74</v>
      </c>
      <c r="T613" s="1" t="s">
        <v>74</v>
      </c>
      <c r="U613" s="1" t="s">
        <v>74</v>
      </c>
      <c r="V613" s="1" t="s">
        <v>6211</v>
      </c>
      <c r="W613" s="1" t="s">
        <v>74</v>
      </c>
      <c r="X613" s="1" t="s">
        <v>74</v>
      </c>
      <c r="Y613" s="1" t="s">
        <v>74</v>
      </c>
      <c r="Z613" s="1" t="s">
        <v>74</v>
      </c>
      <c r="AA613" s="1" t="s">
        <v>6212</v>
      </c>
      <c r="AB613" s="1" t="s">
        <v>6213</v>
      </c>
      <c r="AC613" s="1" t="s">
        <v>74</v>
      </c>
      <c r="AD613" s="1" t="s">
        <v>74</v>
      </c>
      <c r="AE613" s="1" t="s">
        <v>74</v>
      </c>
      <c r="AF613" s="1" t="s">
        <v>74</v>
      </c>
      <c r="AG613" s="1" t="s">
        <v>74</v>
      </c>
      <c r="AH613" s="1" t="s">
        <v>74</v>
      </c>
      <c r="AI613" s="1" t="s">
        <v>74</v>
      </c>
      <c r="AJ613" s="1" t="s">
        <v>74</v>
      </c>
      <c r="AK613" s="1" t="s">
        <v>74</v>
      </c>
      <c r="AL613" s="1" t="s">
        <v>74</v>
      </c>
      <c r="AM613" s="1" t="s">
        <v>74</v>
      </c>
      <c r="AN613" s="1" t="s">
        <v>74</v>
      </c>
      <c r="AO613" s="1" t="s">
        <v>6214</v>
      </c>
      <c r="AP613" s="1" t="s">
        <v>6215</v>
      </c>
      <c r="AQ613" s="1" t="s">
        <v>74</v>
      </c>
      <c r="AR613" s="1" t="s">
        <v>74</v>
      </c>
      <c r="AS613" s="1" t="s">
        <v>74</v>
      </c>
      <c r="AT613" s="1" t="s">
        <v>6216</v>
      </c>
      <c r="AU613" s="1">
        <v>2017.0</v>
      </c>
      <c r="AV613" s="1">
        <v>121.0</v>
      </c>
      <c r="AW613" s="1">
        <v>26.0</v>
      </c>
      <c r="AX613" s="1" t="s">
        <v>74</v>
      </c>
      <c r="AY613" s="1" t="s">
        <v>74</v>
      </c>
      <c r="AZ613" s="1" t="s">
        <v>74</v>
      </c>
      <c r="BA613" s="1" t="s">
        <v>74</v>
      </c>
      <c r="BB613" s="1">
        <v>6331.0</v>
      </c>
      <c r="BC613" s="1">
        <v>6340.0</v>
      </c>
      <c r="BD613" s="1" t="s">
        <v>74</v>
      </c>
      <c r="BE613" s="1" t="s">
        <v>6217</v>
      </c>
      <c r="BF613" s="2" t="str">
        <f>HYPERLINK("http://dx.doi.org/10.1021/acs.jpcb.7b02779","http://dx.doi.org/10.1021/acs.jpcb.7b02779")</f>
        <v>http://dx.doi.org/10.1021/acs.jpcb.7b02779</v>
      </c>
      <c r="BG613" s="1" t="s">
        <v>74</v>
      </c>
      <c r="BH613" s="1" t="s">
        <v>74</v>
      </c>
      <c r="BI613" s="1" t="s">
        <v>74</v>
      </c>
      <c r="BJ613" s="1" t="s">
        <v>74</v>
      </c>
      <c r="BK613" s="1" t="s">
        <v>74</v>
      </c>
      <c r="BL613" s="1" t="s">
        <v>74</v>
      </c>
      <c r="BM613" s="1" t="s">
        <v>74</v>
      </c>
      <c r="BN613" s="1">
        <v>2.8598176E7</v>
      </c>
      <c r="BO613" s="1" t="s">
        <v>74</v>
      </c>
      <c r="BP613" s="1" t="s">
        <v>74</v>
      </c>
      <c r="BQ613" s="1" t="s">
        <v>74</v>
      </c>
      <c r="BR613" s="1" t="s">
        <v>74</v>
      </c>
      <c r="BS613" s="1" t="s">
        <v>6218</v>
      </c>
      <c r="BT613" s="1" t="str">
        <f>HYPERLINK("https%3A%2F%2Fwww.webofscience.com%2Fwos%2Fwoscc%2Ffull-record%2FWOS:000405253000006","View Full Record in Web of Science")</f>
        <v>View Full Record in Web of Science</v>
      </c>
    </row>
    <row r="614" ht="12.75" customHeight="1">
      <c r="A614" s="1" t="s">
        <v>72</v>
      </c>
      <c r="B614" s="1" t="s">
        <v>6219</v>
      </c>
      <c r="C614" s="1" t="s">
        <v>74</v>
      </c>
      <c r="D614" s="1" t="s">
        <v>74</v>
      </c>
      <c r="E614" s="1" t="s">
        <v>74</v>
      </c>
      <c r="F614" s="1" t="s">
        <v>6220</v>
      </c>
      <c r="G614" s="1" t="s">
        <v>74</v>
      </c>
      <c r="H614" s="1" t="s">
        <v>74</v>
      </c>
      <c r="I614" s="1" t="s">
        <v>6221</v>
      </c>
      <c r="J614" s="1" t="s">
        <v>6222</v>
      </c>
      <c r="K614" s="1" t="s">
        <v>74</v>
      </c>
      <c r="L614" s="1" t="s">
        <v>74</v>
      </c>
      <c r="M614" s="1" t="s">
        <v>74</v>
      </c>
      <c r="N614" s="1" t="s">
        <v>74</v>
      </c>
      <c r="O614" s="1" t="s">
        <v>74</v>
      </c>
      <c r="P614" s="1" t="s">
        <v>74</v>
      </c>
      <c r="Q614" s="1" t="s">
        <v>74</v>
      </c>
      <c r="R614" s="1" t="s">
        <v>74</v>
      </c>
      <c r="S614" s="1" t="s">
        <v>74</v>
      </c>
      <c r="T614" s="1" t="s">
        <v>74</v>
      </c>
      <c r="U614" s="1" t="s">
        <v>74</v>
      </c>
      <c r="V614" s="1" t="s">
        <v>6223</v>
      </c>
      <c r="W614" s="1" t="s">
        <v>74</v>
      </c>
      <c r="X614" s="1" t="s">
        <v>74</v>
      </c>
      <c r="Y614" s="1" t="s">
        <v>74</v>
      </c>
      <c r="Z614" s="1" t="s">
        <v>74</v>
      </c>
      <c r="AA614" s="1" t="s">
        <v>6224</v>
      </c>
      <c r="AB614" s="1" t="s">
        <v>6225</v>
      </c>
      <c r="AC614" s="1" t="s">
        <v>74</v>
      </c>
      <c r="AD614" s="1" t="s">
        <v>74</v>
      </c>
      <c r="AE614" s="1" t="s">
        <v>74</v>
      </c>
      <c r="AF614" s="1" t="s">
        <v>74</v>
      </c>
      <c r="AG614" s="1" t="s">
        <v>74</v>
      </c>
      <c r="AH614" s="1" t="s">
        <v>74</v>
      </c>
      <c r="AI614" s="1" t="s">
        <v>74</v>
      </c>
      <c r="AJ614" s="1" t="s">
        <v>74</v>
      </c>
      <c r="AK614" s="1" t="s">
        <v>74</v>
      </c>
      <c r="AL614" s="1" t="s">
        <v>74</v>
      </c>
      <c r="AM614" s="1" t="s">
        <v>74</v>
      </c>
      <c r="AN614" s="1" t="s">
        <v>74</v>
      </c>
      <c r="AO614" s="1" t="s">
        <v>6226</v>
      </c>
      <c r="AP614" s="1" t="s">
        <v>6227</v>
      </c>
      <c r="AQ614" s="1" t="s">
        <v>74</v>
      </c>
      <c r="AR614" s="1" t="s">
        <v>74</v>
      </c>
      <c r="AS614" s="1" t="s">
        <v>74</v>
      </c>
      <c r="AT614" s="1" t="s">
        <v>316</v>
      </c>
      <c r="AU614" s="1">
        <v>2007.0</v>
      </c>
      <c r="AV614" s="1">
        <v>172.0</v>
      </c>
      <c r="AW614" s="1">
        <v>10.0</v>
      </c>
      <c r="AX614" s="1" t="s">
        <v>74</v>
      </c>
      <c r="AY614" s="1" t="s">
        <v>74</v>
      </c>
      <c r="AZ614" s="1" t="s">
        <v>74</v>
      </c>
      <c r="BA614" s="1" t="s">
        <v>74</v>
      </c>
      <c r="BB614" s="1">
        <v>820.0</v>
      </c>
      <c r="BC614" s="1">
        <v>834.0</v>
      </c>
      <c r="BD614" s="1" t="s">
        <v>74</v>
      </c>
      <c r="BE614" s="1" t="s">
        <v>6228</v>
      </c>
      <c r="BF614" s="2" t="str">
        <f>HYPERLINK("http://dx.doi.org/10.1097/ss.0b013e31814cee44","http://dx.doi.org/10.1097/ss.0b013e31814cee44")</f>
        <v>http://dx.doi.org/10.1097/ss.0b013e31814cee44</v>
      </c>
      <c r="BG614" s="1" t="s">
        <v>74</v>
      </c>
      <c r="BH614" s="1" t="s">
        <v>74</v>
      </c>
      <c r="BI614" s="1" t="s">
        <v>74</v>
      </c>
      <c r="BJ614" s="1" t="s">
        <v>74</v>
      </c>
      <c r="BK614" s="1" t="s">
        <v>74</v>
      </c>
      <c r="BL614" s="1" t="s">
        <v>74</v>
      </c>
      <c r="BM614" s="1" t="s">
        <v>74</v>
      </c>
      <c r="BN614" s="1" t="s">
        <v>74</v>
      </c>
      <c r="BO614" s="1" t="s">
        <v>74</v>
      </c>
      <c r="BP614" s="1" t="s">
        <v>74</v>
      </c>
      <c r="BQ614" s="1" t="s">
        <v>74</v>
      </c>
      <c r="BR614" s="1" t="s">
        <v>74</v>
      </c>
      <c r="BS614" s="1" t="s">
        <v>6229</v>
      </c>
      <c r="BT614" s="1" t="str">
        <f>HYPERLINK("https%3A%2F%2Fwww.webofscience.com%2Fwos%2Fwoscc%2Ffull-record%2FWOS:000250271600008","View Full Record in Web of Science")</f>
        <v>View Full Record in Web of Science</v>
      </c>
    </row>
    <row r="615" ht="12.75" customHeight="1">
      <c r="A615" s="1" t="s">
        <v>72</v>
      </c>
      <c r="B615" s="1" t="s">
        <v>6230</v>
      </c>
      <c r="C615" s="1" t="s">
        <v>74</v>
      </c>
      <c r="D615" s="1" t="s">
        <v>74</v>
      </c>
      <c r="E615" s="1" t="s">
        <v>74</v>
      </c>
      <c r="F615" s="1" t="s">
        <v>6231</v>
      </c>
      <c r="G615" s="1" t="s">
        <v>74</v>
      </c>
      <c r="H615" s="1" t="s">
        <v>74</v>
      </c>
      <c r="I615" s="1" t="s">
        <v>6232</v>
      </c>
      <c r="J615" s="1" t="s">
        <v>4762</v>
      </c>
      <c r="K615" s="1" t="s">
        <v>74</v>
      </c>
      <c r="L615" s="1" t="s">
        <v>74</v>
      </c>
      <c r="M615" s="1" t="s">
        <v>74</v>
      </c>
      <c r="N615" s="1" t="s">
        <v>74</v>
      </c>
      <c r="O615" s="1" t="s">
        <v>74</v>
      </c>
      <c r="P615" s="1" t="s">
        <v>74</v>
      </c>
      <c r="Q615" s="1" t="s">
        <v>74</v>
      </c>
      <c r="R615" s="1" t="s">
        <v>74</v>
      </c>
      <c r="S615" s="1" t="s">
        <v>74</v>
      </c>
      <c r="T615" s="1" t="s">
        <v>74</v>
      </c>
      <c r="U615" s="1" t="s">
        <v>74</v>
      </c>
      <c r="V615" s="1" t="s">
        <v>6233</v>
      </c>
      <c r="W615" s="1" t="s">
        <v>74</v>
      </c>
      <c r="X615" s="1" t="s">
        <v>74</v>
      </c>
      <c r="Y615" s="1" t="s">
        <v>74</v>
      </c>
      <c r="Z615" s="1" t="s">
        <v>74</v>
      </c>
      <c r="AA615" s="1" t="s">
        <v>6234</v>
      </c>
      <c r="AB615" s="1" t="s">
        <v>74</v>
      </c>
      <c r="AC615" s="1" t="s">
        <v>74</v>
      </c>
      <c r="AD615" s="1" t="s">
        <v>74</v>
      </c>
      <c r="AE615" s="1" t="s">
        <v>74</v>
      </c>
      <c r="AF615" s="1" t="s">
        <v>74</v>
      </c>
      <c r="AG615" s="1" t="s">
        <v>74</v>
      </c>
      <c r="AH615" s="1" t="s">
        <v>74</v>
      </c>
      <c r="AI615" s="1" t="s">
        <v>74</v>
      </c>
      <c r="AJ615" s="1" t="s">
        <v>74</v>
      </c>
      <c r="AK615" s="1" t="s">
        <v>74</v>
      </c>
      <c r="AL615" s="1" t="s">
        <v>74</v>
      </c>
      <c r="AM615" s="1" t="s">
        <v>74</v>
      </c>
      <c r="AN615" s="1" t="s">
        <v>74</v>
      </c>
      <c r="AO615" s="1" t="s">
        <v>74</v>
      </c>
      <c r="AP615" s="1" t="s">
        <v>4766</v>
      </c>
      <c r="AQ615" s="1" t="s">
        <v>74</v>
      </c>
      <c r="AR615" s="1" t="s">
        <v>74</v>
      </c>
      <c r="AS615" s="1" t="s">
        <v>74</v>
      </c>
      <c r="AT615" s="1" t="s">
        <v>398</v>
      </c>
      <c r="AU615" s="1">
        <v>2025.0</v>
      </c>
      <c r="AV615" s="1">
        <v>17.0</v>
      </c>
      <c r="AW615" s="1">
        <v>2.0</v>
      </c>
      <c r="AX615" s="1" t="s">
        <v>74</v>
      </c>
      <c r="AY615" s="1" t="s">
        <v>74</v>
      </c>
      <c r="AZ615" s="1" t="s">
        <v>74</v>
      </c>
      <c r="BA615" s="1" t="s">
        <v>74</v>
      </c>
      <c r="BB615" s="1" t="s">
        <v>74</v>
      </c>
      <c r="BC615" s="1" t="s">
        <v>74</v>
      </c>
      <c r="BD615" s="1">
        <v>82.0</v>
      </c>
      <c r="BE615" s="1" t="s">
        <v>6235</v>
      </c>
      <c r="BF615" s="2" t="str">
        <f>HYPERLINK("http://dx.doi.org/10.3390/d17020082","http://dx.doi.org/10.3390/d17020082")</f>
        <v>http://dx.doi.org/10.3390/d17020082</v>
      </c>
      <c r="BG615" s="1" t="s">
        <v>74</v>
      </c>
      <c r="BH615" s="1" t="s">
        <v>74</v>
      </c>
      <c r="BI615" s="1" t="s">
        <v>74</v>
      </c>
      <c r="BJ615" s="1" t="s">
        <v>74</v>
      </c>
      <c r="BK615" s="1" t="s">
        <v>74</v>
      </c>
      <c r="BL615" s="1" t="s">
        <v>74</v>
      </c>
      <c r="BM615" s="1" t="s">
        <v>74</v>
      </c>
      <c r="BN615" s="1" t="s">
        <v>74</v>
      </c>
      <c r="BO615" s="1" t="s">
        <v>74</v>
      </c>
      <c r="BP615" s="1" t="s">
        <v>74</v>
      </c>
      <c r="BQ615" s="1" t="s">
        <v>74</v>
      </c>
      <c r="BR615" s="1" t="s">
        <v>74</v>
      </c>
      <c r="BS615" s="1" t="s">
        <v>6236</v>
      </c>
      <c r="BT615" s="1" t="str">
        <f>HYPERLINK("https%3A%2F%2Fwww.webofscience.com%2Fwos%2Fwoscc%2Ffull-record%2FWOS:001433224700001","View Full Record in Web of Science")</f>
        <v>View Full Record in Web of Science</v>
      </c>
    </row>
    <row r="616" ht="12.75" customHeight="1">
      <c r="A616" s="1" t="s">
        <v>72</v>
      </c>
      <c r="B616" s="1" t="s">
        <v>6237</v>
      </c>
      <c r="C616" s="1" t="s">
        <v>74</v>
      </c>
      <c r="D616" s="1" t="s">
        <v>74</v>
      </c>
      <c r="E616" s="1" t="s">
        <v>74</v>
      </c>
      <c r="F616" s="1" t="s">
        <v>6238</v>
      </c>
      <c r="G616" s="1" t="s">
        <v>74</v>
      </c>
      <c r="H616" s="1" t="s">
        <v>74</v>
      </c>
      <c r="I616" s="1" t="s">
        <v>6239</v>
      </c>
      <c r="J616" s="1" t="s">
        <v>6240</v>
      </c>
      <c r="K616" s="1" t="s">
        <v>74</v>
      </c>
      <c r="L616" s="1" t="s">
        <v>74</v>
      </c>
      <c r="M616" s="1" t="s">
        <v>74</v>
      </c>
      <c r="N616" s="1" t="s">
        <v>74</v>
      </c>
      <c r="O616" s="1" t="s">
        <v>74</v>
      </c>
      <c r="P616" s="1" t="s">
        <v>74</v>
      </c>
      <c r="Q616" s="1" t="s">
        <v>74</v>
      </c>
      <c r="R616" s="1" t="s">
        <v>74</v>
      </c>
      <c r="S616" s="1" t="s">
        <v>74</v>
      </c>
      <c r="T616" s="1" t="s">
        <v>74</v>
      </c>
      <c r="U616" s="1" t="s">
        <v>74</v>
      </c>
      <c r="V616" s="1" t="s">
        <v>6241</v>
      </c>
      <c r="W616" s="1" t="s">
        <v>74</v>
      </c>
      <c r="X616" s="1" t="s">
        <v>74</v>
      </c>
      <c r="Y616" s="1" t="s">
        <v>74</v>
      </c>
      <c r="Z616" s="1" t="s">
        <v>74</v>
      </c>
      <c r="AA616" s="1" t="s">
        <v>6242</v>
      </c>
      <c r="AB616" s="1" t="s">
        <v>6243</v>
      </c>
      <c r="AC616" s="1" t="s">
        <v>74</v>
      </c>
      <c r="AD616" s="1" t="s">
        <v>74</v>
      </c>
      <c r="AE616" s="1" t="s">
        <v>74</v>
      </c>
      <c r="AF616" s="1" t="s">
        <v>74</v>
      </c>
      <c r="AG616" s="1" t="s">
        <v>74</v>
      </c>
      <c r="AH616" s="1" t="s">
        <v>74</v>
      </c>
      <c r="AI616" s="1" t="s">
        <v>74</v>
      </c>
      <c r="AJ616" s="1" t="s">
        <v>74</v>
      </c>
      <c r="AK616" s="1" t="s">
        <v>74</v>
      </c>
      <c r="AL616" s="1" t="s">
        <v>74</v>
      </c>
      <c r="AM616" s="1" t="s">
        <v>74</v>
      </c>
      <c r="AN616" s="1" t="s">
        <v>74</v>
      </c>
      <c r="AO616" s="1" t="s">
        <v>6244</v>
      </c>
      <c r="AP616" s="1" t="s">
        <v>74</v>
      </c>
      <c r="AQ616" s="1" t="s">
        <v>74</v>
      </c>
      <c r="AR616" s="1" t="s">
        <v>74</v>
      </c>
      <c r="AS616" s="1" t="s">
        <v>74</v>
      </c>
      <c r="AT616" s="1" t="s">
        <v>719</v>
      </c>
      <c r="AU616" s="1">
        <v>2024.0</v>
      </c>
      <c r="AV616" s="1">
        <v>13.0</v>
      </c>
      <c r="AW616" s="1">
        <v>14.0</v>
      </c>
      <c r="AX616" s="1" t="s">
        <v>74</v>
      </c>
      <c r="AY616" s="1" t="s">
        <v>74</v>
      </c>
      <c r="AZ616" s="1" t="s">
        <v>74</v>
      </c>
      <c r="BA616" s="1" t="s">
        <v>74</v>
      </c>
      <c r="BB616" s="1" t="s">
        <v>74</v>
      </c>
      <c r="BC616" s="1" t="s">
        <v>74</v>
      </c>
      <c r="BD616" s="1">
        <v>1971.0</v>
      </c>
      <c r="BE616" s="1" t="s">
        <v>6245</v>
      </c>
      <c r="BF616" s="2" t="str">
        <f>HYPERLINK("http://dx.doi.org/10.3390/plants13141971","http://dx.doi.org/10.3390/plants13141971")</f>
        <v>http://dx.doi.org/10.3390/plants13141971</v>
      </c>
      <c r="BG616" s="1" t="s">
        <v>74</v>
      </c>
      <c r="BH616" s="1" t="s">
        <v>74</v>
      </c>
      <c r="BI616" s="1" t="s">
        <v>74</v>
      </c>
      <c r="BJ616" s="1" t="s">
        <v>74</v>
      </c>
      <c r="BK616" s="1" t="s">
        <v>74</v>
      </c>
      <c r="BL616" s="1" t="s">
        <v>74</v>
      </c>
      <c r="BM616" s="1" t="s">
        <v>74</v>
      </c>
      <c r="BN616" s="1">
        <v>3.9065498E7</v>
      </c>
      <c r="BO616" s="1" t="s">
        <v>74</v>
      </c>
      <c r="BP616" s="1" t="s">
        <v>74</v>
      </c>
      <c r="BQ616" s="1" t="s">
        <v>74</v>
      </c>
      <c r="BR616" s="1" t="s">
        <v>74</v>
      </c>
      <c r="BS616" s="1" t="s">
        <v>6246</v>
      </c>
      <c r="BT616" s="1" t="str">
        <f>HYPERLINK("https%3A%2F%2Fwww.webofscience.com%2Fwos%2Fwoscc%2Ffull-record%2FWOS:001282317000001","View Full Record in Web of Science")</f>
        <v>View Full Record in Web of Science</v>
      </c>
    </row>
    <row r="617" ht="12.75" customHeight="1">
      <c r="A617" s="1" t="s">
        <v>72</v>
      </c>
      <c r="B617" s="1" t="s">
        <v>6247</v>
      </c>
      <c r="C617" s="1" t="s">
        <v>74</v>
      </c>
      <c r="D617" s="1" t="s">
        <v>74</v>
      </c>
      <c r="E617" s="1" t="s">
        <v>74</v>
      </c>
      <c r="F617" s="1" t="s">
        <v>6248</v>
      </c>
      <c r="G617" s="1" t="s">
        <v>74</v>
      </c>
      <c r="H617" s="1" t="s">
        <v>74</v>
      </c>
      <c r="I617" s="1" t="s">
        <v>6249</v>
      </c>
      <c r="J617" s="1" t="s">
        <v>2184</v>
      </c>
      <c r="K617" s="1" t="s">
        <v>74</v>
      </c>
      <c r="L617" s="1" t="s">
        <v>74</v>
      </c>
      <c r="M617" s="1" t="s">
        <v>74</v>
      </c>
      <c r="N617" s="1" t="s">
        <v>74</v>
      </c>
      <c r="O617" s="1" t="s">
        <v>74</v>
      </c>
      <c r="P617" s="1" t="s">
        <v>74</v>
      </c>
      <c r="Q617" s="1" t="s">
        <v>74</v>
      </c>
      <c r="R617" s="1" t="s">
        <v>74</v>
      </c>
      <c r="S617" s="1" t="s">
        <v>74</v>
      </c>
      <c r="T617" s="1" t="s">
        <v>74</v>
      </c>
      <c r="U617" s="1" t="s">
        <v>74</v>
      </c>
      <c r="V617" s="1" t="s">
        <v>6250</v>
      </c>
      <c r="W617" s="1" t="s">
        <v>74</v>
      </c>
      <c r="X617" s="1" t="s">
        <v>74</v>
      </c>
      <c r="Y617" s="1" t="s">
        <v>74</v>
      </c>
      <c r="Z617" s="1" t="s">
        <v>74</v>
      </c>
      <c r="AA617" s="1" t="s">
        <v>6251</v>
      </c>
      <c r="AB617" s="1" t="s">
        <v>6252</v>
      </c>
      <c r="AC617" s="1" t="s">
        <v>74</v>
      </c>
      <c r="AD617" s="1" t="s">
        <v>74</v>
      </c>
      <c r="AE617" s="1" t="s">
        <v>74</v>
      </c>
      <c r="AF617" s="1" t="s">
        <v>74</v>
      </c>
      <c r="AG617" s="1" t="s">
        <v>74</v>
      </c>
      <c r="AH617" s="1" t="s">
        <v>74</v>
      </c>
      <c r="AI617" s="1" t="s">
        <v>74</v>
      </c>
      <c r="AJ617" s="1" t="s">
        <v>74</v>
      </c>
      <c r="AK617" s="1" t="s">
        <v>74</v>
      </c>
      <c r="AL617" s="1" t="s">
        <v>74</v>
      </c>
      <c r="AM617" s="1" t="s">
        <v>74</v>
      </c>
      <c r="AN617" s="1" t="s">
        <v>74</v>
      </c>
      <c r="AO617" s="1" t="s">
        <v>74</v>
      </c>
      <c r="AP617" s="1" t="s">
        <v>2188</v>
      </c>
      <c r="AQ617" s="1" t="s">
        <v>74</v>
      </c>
      <c r="AR617" s="1" t="s">
        <v>74</v>
      </c>
      <c r="AS617" s="1" t="s">
        <v>74</v>
      </c>
      <c r="AT617" s="1" t="s">
        <v>6253</v>
      </c>
      <c r="AU617" s="1">
        <v>2023.0</v>
      </c>
      <c r="AV617" s="1">
        <v>14.0</v>
      </c>
      <c r="AW617" s="1" t="s">
        <v>74</v>
      </c>
      <c r="AX617" s="1" t="s">
        <v>74</v>
      </c>
      <c r="AY617" s="1" t="s">
        <v>74</v>
      </c>
      <c r="AZ617" s="1" t="s">
        <v>74</v>
      </c>
      <c r="BA617" s="1" t="s">
        <v>74</v>
      </c>
      <c r="BB617" s="1" t="s">
        <v>74</v>
      </c>
      <c r="BC617" s="1" t="s">
        <v>74</v>
      </c>
      <c r="BD617" s="1">
        <v>1281058.0</v>
      </c>
      <c r="BE617" s="1" t="s">
        <v>6254</v>
      </c>
      <c r="BF617" s="2" t="str">
        <f>HYPERLINK("http://dx.doi.org/10.3389/fmicb.2023.1281058","http://dx.doi.org/10.3389/fmicb.2023.1281058")</f>
        <v>http://dx.doi.org/10.3389/fmicb.2023.1281058</v>
      </c>
      <c r="BG617" s="1" t="s">
        <v>74</v>
      </c>
      <c r="BH617" s="1" t="s">
        <v>74</v>
      </c>
      <c r="BI617" s="1" t="s">
        <v>74</v>
      </c>
      <c r="BJ617" s="1" t="s">
        <v>74</v>
      </c>
      <c r="BK617" s="1" t="s">
        <v>74</v>
      </c>
      <c r="BL617" s="1" t="s">
        <v>74</v>
      </c>
      <c r="BM617" s="1" t="s">
        <v>74</v>
      </c>
      <c r="BN617" s="1">
        <v>3.8075883E7</v>
      </c>
      <c r="BO617" s="1" t="s">
        <v>74</v>
      </c>
      <c r="BP617" s="1" t="s">
        <v>74</v>
      </c>
      <c r="BQ617" s="1" t="s">
        <v>74</v>
      </c>
      <c r="BR617" s="1" t="s">
        <v>74</v>
      </c>
      <c r="BS617" s="1" t="s">
        <v>6255</v>
      </c>
      <c r="BT617" s="1" t="str">
        <f>HYPERLINK("https%3A%2F%2Fwww.webofscience.com%2Fwos%2Fwoscc%2Ffull-record%2FWOS:001114639000001","View Full Record in Web of Science")</f>
        <v>View Full Record in Web of Science</v>
      </c>
    </row>
    <row r="618" ht="12.75" customHeight="1">
      <c r="A618" s="1" t="s">
        <v>72</v>
      </c>
      <c r="B618" s="1" t="s">
        <v>6256</v>
      </c>
      <c r="C618" s="1" t="s">
        <v>74</v>
      </c>
      <c r="D618" s="1" t="s">
        <v>74</v>
      </c>
      <c r="E618" s="1" t="s">
        <v>74</v>
      </c>
      <c r="F618" s="1" t="s">
        <v>6257</v>
      </c>
      <c r="G618" s="1" t="s">
        <v>74</v>
      </c>
      <c r="H618" s="1" t="s">
        <v>74</v>
      </c>
      <c r="I618" s="1" t="s">
        <v>6258</v>
      </c>
      <c r="J618" s="1" t="s">
        <v>6259</v>
      </c>
      <c r="K618" s="1" t="s">
        <v>74</v>
      </c>
      <c r="L618" s="1" t="s">
        <v>74</v>
      </c>
      <c r="M618" s="1" t="s">
        <v>74</v>
      </c>
      <c r="N618" s="1" t="s">
        <v>74</v>
      </c>
      <c r="O618" s="1" t="s">
        <v>6260</v>
      </c>
      <c r="P618" s="1" t="s">
        <v>6261</v>
      </c>
      <c r="Q618" s="1" t="s">
        <v>6262</v>
      </c>
      <c r="R618" s="1" t="s">
        <v>6263</v>
      </c>
      <c r="S618" s="1" t="s">
        <v>74</v>
      </c>
      <c r="T618" s="1" t="s">
        <v>74</v>
      </c>
      <c r="U618" s="1" t="s">
        <v>74</v>
      </c>
      <c r="V618" s="1" t="s">
        <v>74</v>
      </c>
      <c r="W618" s="1" t="s">
        <v>74</v>
      </c>
      <c r="X618" s="1" t="s">
        <v>74</v>
      </c>
      <c r="Y618" s="1" t="s">
        <v>74</v>
      </c>
      <c r="Z618" s="1" t="s">
        <v>74</v>
      </c>
      <c r="AA618" s="1" t="s">
        <v>6264</v>
      </c>
      <c r="AB618" s="1" t="s">
        <v>74</v>
      </c>
      <c r="AC618" s="1" t="s">
        <v>74</v>
      </c>
      <c r="AD618" s="1" t="s">
        <v>74</v>
      </c>
      <c r="AE618" s="1" t="s">
        <v>74</v>
      </c>
      <c r="AF618" s="1" t="s">
        <v>74</v>
      </c>
      <c r="AG618" s="1" t="s">
        <v>74</v>
      </c>
      <c r="AH618" s="1" t="s">
        <v>74</v>
      </c>
      <c r="AI618" s="1" t="s">
        <v>74</v>
      </c>
      <c r="AJ618" s="1" t="s">
        <v>74</v>
      </c>
      <c r="AK618" s="1" t="s">
        <v>74</v>
      </c>
      <c r="AL618" s="1" t="s">
        <v>74</v>
      </c>
      <c r="AM618" s="1" t="s">
        <v>74</v>
      </c>
      <c r="AN618" s="1" t="s">
        <v>74</v>
      </c>
      <c r="AO618" s="1" t="s">
        <v>6265</v>
      </c>
      <c r="AP618" s="1" t="s">
        <v>6266</v>
      </c>
      <c r="AQ618" s="1" t="s">
        <v>74</v>
      </c>
      <c r="AR618" s="1" t="s">
        <v>74</v>
      </c>
      <c r="AS618" s="1" t="s">
        <v>74</v>
      </c>
      <c r="AT618" s="1" t="s">
        <v>316</v>
      </c>
      <c r="AU618" s="1">
        <v>2023.0</v>
      </c>
      <c r="AV618" s="1">
        <v>78.0</v>
      </c>
      <c r="AW618" s="1" t="s">
        <v>74</v>
      </c>
      <c r="AX618" s="1" t="s">
        <v>74</v>
      </c>
      <c r="AY618" s="1">
        <v>1.0</v>
      </c>
      <c r="AZ618" s="1" t="s">
        <v>74</v>
      </c>
      <c r="BA618" s="1" t="s">
        <v>6267</v>
      </c>
      <c r="BB618" s="1" t="s">
        <v>6268</v>
      </c>
      <c r="BC618" s="1" t="s">
        <v>6269</v>
      </c>
      <c r="BD618" s="1" t="s">
        <v>74</v>
      </c>
      <c r="BE618" s="1" t="s">
        <v>74</v>
      </c>
      <c r="BF618" s="1" t="s">
        <v>74</v>
      </c>
      <c r="BG618" s="1" t="s">
        <v>74</v>
      </c>
      <c r="BH618" s="1" t="s">
        <v>74</v>
      </c>
      <c r="BI618" s="1" t="s">
        <v>74</v>
      </c>
      <c r="BJ618" s="1" t="s">
        <v>74</v>
      </c>
      <c r="BK618" s="1" t="s">
        <v>74</v>
      </c>
      <c r="BL618" s="1" t="s">
        <v>74</v>
      </c>
      <c r="BM618" s="1" t="s">
        <v>74</v>
      </c>
      <c r="BN618" s="1" t="s">
        <v>74</v>
      </c>
      <c r="BO618" s="1" t="s">
        <v>74</v>
      </c>
      <c r="BP618" s="1" t="s">
        <v>74</v>
      </c>
      <c r="BQ618" s="1" t="s">
        <v>74</v>
      </c>
      <c r="BR618" s="1" t="s">
        <v>74</v>
      </c>
      <c r="BS618" s="1" t="s">
        <v>6270</v>
      </c>
      <c r="BT618" s="1" t="str">
        <f>HYPERLINK("https%3A%2F%2Fwww.webofscience.com%2Fwos%2Fwoscc%2Ffull-record%2FWOS:001094865402005","View Full Record in Web of Science")</f>
        <v>View Full Record in Web of Science</v>
      </c>
    </row>
    <row r="619" ht="12.75" customHeight="1">
      <c r="A619" s="1" t="s">
        <v>72</v>
      </c>
      <c r="B619" s="1" t="s">
        <v>6271</v>
      </c>
      <c r="C619" s="1" t="s">
        <v>74</v>
      </c>
      <c r="D619" s="1" t="s">
        <v>74</v>
      </c>
      <c r="E619" s="1" t="s">
        <v>74</v>
      </c>
      <c r="F619" s="1" t="s">
        <v>6272</v>
      </c>
      <c r="G619" s="1" t="s">
        <v>74</v>
      </c>
      <c r="H619" s="1" t="s">
        <v>74</v>
      </c>
      <c r="I619" s="1" t="s">
        <v>6273</v>
      </c>
      <c r="J619" s="1" t="s">
        <v>630</v>
      </c>
      <c r="K619" s="1" t="s">
        <v>74</v>
      </c>
      <c r="L619" s="1" t="s">
        <v>74</v>
      </c>
      <c r="M619" s="1" t="s">
        <v>74</v>
      </c>
      <c r="N619" s="1" t="s">
        <v>74</v>
      </c>
      <c r="O619" s="1" t="s">
        <v>74</v>
      </c>
      <c r="P619" s="1" t="s">
        <v>74</v>
      </c>
      <c r="Q619" s="1" t="s">
        <v>74</v>
      </c>
      <c r="R619" s="1" t="s">
        <v>74</v>
      </c>
      <c r="S619" s="1" t="s">
        <v>74</v>
      </c>
      <c r="T619" s="1" t="s">
        <v>74</v>
      </c>
      <c r="U619" s="1" t="s">
        <v>74</v>
      </c>
      <c r="V619" s="1" t="s">
        <v>6274</v>
      </c>
      <c r="W619" s="1" t="s">
        <v>74</v>
      </c>
      <c r="X619" s="1" t="s">
        <v>74</v>
      </c>
      <c r="Y619" s="1" t="s">
        <v>74</v>
      </c>
      <c r="Z619" s="1" t="s">
        <v>74</v>
      </c>
      <c r="AA619" s="1" t="s">
        <v>6275</v>
      </c>
      <c r="AB619" s="1" t="s">
        <v>6276</v>
      </c>
      <c r="AC619" s="1" t="s">
        <v>74</v>
      </c>
      <c r="AD619" s="1" t="s">
        <v>74</v>
      </c>
      <c r="AE619" s="1" t="s">
        <v>74</v>
      </c>
      <c r="AF619" s="1" t="s">
        <v>74</v>
      </c>
      <c r="AG619" s="1" t="s">
        <v>74</v>
      </c>
      <c r="AH619" s="1" t="s">
        <v>74</v>
      </c>
      <c r="AI619" s="1" t="s">
        <v>74</v>
      </c>
      <c r="AJ619" s="1" t="s">
        <v>74</v>
      </c>
      <c r="AK619" s="1" t="s">
        <v>74</v>
      </c>
      <c r="AL619" s="1" t="s">
        <v>74</v>
      </c>
      <c r="AM619" s="1" t="s">
        <v>74</v>
      </c>
      <c r="AN619" s="1" t="s">
        <v>74</v>
      </c>
      <c r="AO619" s="1" t="s">
        <v>74</v>
      </c>
      <c r="AP619" s="1" t="s">
        <v>634</v>
      </c>
      <c r="AQ619" s="1" t="s">
        <v>74</v>
      </c>
      <c r="AR619" s="1" t="s">
        <v>74</v>
      </c>
      <c r="AS619" s="1" t="s">
        <v>74</v>
      </c>
      <c r="AT619" s="1" t="s">
        <v>411</v>
      </c>
      <c r="AU619" s="1">
        <v>2022.0</v>
      </c>
      <c r="AV619" s="1">
        <v>15.0</v>
      </c>
      <c r="AW619" s="1">
        <v>21.0</v>
      </c>
      <c r="AX619" s="1" t="s">
        <v>74</v>
      </c>
      <c r="AY619" s="1" t="s">
        <v>74</v>
      </c>
      <c r="AZ619" s="1" t="s">
        <v>74</v>
      </c>
      <c r="BA619" s="1" t="s">
        <v>74</v>
      </c>
      <c r="BB619" s="1" t="s">
        <v>74</v>
      </c>
      <c r="BC619" s="1" t="s">
        <v>74</v>
      </c>
      <c r="BD619" s="1">
        <v>7535.0</v>
      </c>
      <c r="BE619" s="1" t="s">
        <v>6277</v>
      </c>
      <c r="BF619" s="2" t="str">
        <f>HYPERLINK("http://dx.doi.org/10.3390/ma15217535","http://dx.doi.org/10.3390/ma15217535")</f>
        <v>http://dx.doi.org/10.3390/ma15217535</v>
      </c>
      <c r="BG619" s="1" t="s">
        <v>74</v>
      </c>
      <c r="BH619" s="1" t="s">
        <v>74</v>
      </c>
      <c r="BI619" s="1" t="s">
        <v>74</v>
      </c>
      <c r="BJ619" s="1" t="s">
        <v>74</v>
      </c>
      <c r="BK619" s="1" t="s">
        <v>74</v>
      </c>
      <c r="BL619" s="1" t="s">
        <v>74</v>
      </c>
      <c r="BM619" s="1" t="s">
        <v>74</v>
      </c>
      <c r="BN619" s="1">
        <v>3.6363128E7</v>
      </c>
      <c r="BO619" s="1" t="s">
        <v>74</v>
      </c>
      <c r="BP619" s="1" t="s">
        <v>74</v>
      </c>
      <c r="BQ619" s="1" t="s">
        <v>74</v>
      </c>
      <c r="BR619" s="1" t="s">
        <v>74</v>
      </c>
      <c r="BS619" s="1" t="s">
        <v>6278</v>
      </c>
      <c r="BT619" s="1" t="str">
        <f>HYPERLINK("https%3A%2F%2Fwww.webofscience.com%2Fwos%2Fwoscc%2Ffull-record%2FWOS:000882171400001","View Full Record in Web of Science")</f>
        <v>View Full Record in Web of Science</v>
      </c>
    </row>
    <row r="620" ht="12.75" customHeight="1">
      <c r="A620" s="1" t="s">
        <v>72</v>
      </c>
      <c r="B620" s="1" t="s">
        <v>6279</v>
      </c>
      <c r="C620" s="1" t="s">
        <v>74</v>
      </c>
      <c r="D620" s="1" t="s">
        <v>74</v>
      </c>
      <c r="E620" s="1" t="s">
        <v>74</v>
      </c>
      <c r="F620" s="1" t="s">
        <v>6280</v>
      </c>
      <c r="G620" s="1" t="s">
        <v>74</v>
      </c>
      <c r="H620" s="1" t="s">
        <v>74</v>
      </c>
      <c r="I620" s="1" t="s">
        <v>6281</v>
      </c>
      <c r="J620" s="1" t="s">
        <v>6282</v>
      </c>
      <c r="K620" s="1" t="s">
        <v>74</v>
      </c>
      <c r="L620" s="1" t="s">
        <v>74</v>
      </c>
      <c r="M620" s="1" t="s">
        <v>74</v>
      </c>
      <c r="N620" s="1" t="s">
        <v>74</v>
      </c>
      <c r="O620" s="1" t="s">
        <v>74</v>
      </c>
      <c r="P620" s="1" t="s">
        <v>74</v>
      </c>
      <c r="Q620" s="1" t="s">
        <v>74</v>
      </c>
      <c r="R620" s="1" t="s">
        <v>74</v>
      </c>
      <c r="S620" s="1" t="s">
        <v>74</v>
      </c>
      <c r="T620" s="1" t="s">
        <v>74</v>
      </c>
      <c r="U620" s="1" t="s">
        <v>74</v>
      </c>
      <c r="V620" s="1" t="s">
        <v>6283</v>
      </c>
      <c r="W620" s="1" t="s">
        <v>74</v>
      </c>
      <c r="X620" s="1" t="s">
        <v>74</v>
      </c>
      <c r="Y620" s="1" t="s">
        <v>74</v>
      </c>
      <c r="Z620" s="1" t="s">
        <v>74</v>
      </c>
      <c r="AA620" s="1" t="s">
        <v>6284</v>
      </c>
      <c r="AB620" s="1" t="s">
        <v>6285</v>
      </c>
      <c r="AC620" s="1" t="s">
        <v>74</v>
      </c>
      <c r="AD620" s="1" t="s">
        <v>74</v>
      </c>
      <c r="AE620" s="1" t="s">
        <v>74</v>
      </c>
      <c r="AF620" s="1" t="s">
        <v>74</v>
      </c>
      <c r="AG620" s="1" t="s">
        <v>74</v>
      </c>
      <c r="AH620" s="1" t="s">
        <v>74</v>
      </c>
      <c r="AI620" s="1" t="s">
        <v>74</v>
      </c>
      <c r="AJ620" s="1" t="s">
        <v>74</v>
      </c>
      <c r="AK620" s="1" t="s">
        <v>74</v>
      </c>
      <c r="AL620" s="1" t="s">
        <v>74</v>
      </c>
      <c r="AM620" s="1" t="s">
        <v>74</v>
      </c>
      <c r="AN620" s="1" t="s">
        <v>74</v>
      </c>
      <c r="AO620" s="1" t="s">
        <v>6286</v>
      </c>
      <c r="AP620" s="1" t="s">
        <v>6287</v>
      </c>
      <c r="AQ620" s="1" t="s">
        <v>74</v>
      </c>
      <c r="AR620" s="1" t="s">
        <v>74</v>
      </c>
      <c r="AS620" s="1" t="s">
        <v>74</v>
      </c>
      <c r="AT620" s="1" t="s">
        <v>695</v>
      </c>
      <c r="AU620" s="1">
        <v>2022.0</v>
      </c>
      <c r="AV620" s="1">
        <v>37.0</v>
      </c>
      <c r="AW620" s="1">
        <v>14.0</v>
      </c>
      <c r="AX620" s="1" t="s">
        <v>74</v>
      </c>
      <c r="AY620" s="1" t="s">
        <v>74</v>
      </c>
      <c r="AZ620" s="1" t="s">
        <v>74</v>
      </c>
      <c r="BA620" s="1" t="s">
        <v>74</v>
      </c>
      <c r="BB620" s="1" t="s">
        <v>74</v>
      </c>
      <c r="BC620" s="1" t="s">
        <v>74</v>
      </c>
      <c r="BD620" s="1">
        <v>2250087.0</v>
      </c>
      <c r="BE620" s="1" t="s">
        <v>6288</v>
      </c>
      <c r="BF620" s="2" t="str">
        <f>HYPERLINK("http://dx.doi.org/10.1142/S0217751X22500877","http://dx.doi.org/10.1142/S0217751X22500877")</f>
        <v>http://dx.doi.org/10.1142/S0217751X22500877</v>
      </c>
      <c r="BG620" s="1" t="s">
        <v>74</v>
      </c>
      <c r="BH620" s="1" t="s">
        <v>74</v>
      </c>
      <c r="BI620" s="1" t="s">
        <v>74</v>
      </c>
      <c r="BJ620" s="1" t="s">
        <v>74</v>
      </c>
      <c r="BK620" s="1" t="s">
        <v>74</v>
      </c>
      <c r="BL620" s="1" t="s">
        <v>74</v>
      </c>
      <c r="BM620" s="1" t="s">
        <v>74</v>
      </c>
      <c r="BN620" s="1" t="s">
        <v>74</v>
      </c>
      <c r="BO620" s="1" t="s">
        <v>74</v>
      </c>
      <c r="BP620" s="1" t="s">
        <v>74</v>
      </c>
      <c r="BQ620" s="1" t="s">
        <v>74</v>
      </c>
      <c r="BR620" s="1" t="s">
        <v>74</v>
      </c>
      <c r="BS620" s="1" t="s">
        <v>6289</v>
      </c>
      <c r="BT620" s="1" t="str">
        <f>HYPERLINK("https%3A%2F%2Fwww.webofscience.com%2Fwos%2Fwoscc%2Ffull-record%2FWOS:000811562100009","View Full Record in Web of Science")</f>
        <v>View Full Record in Web of Science</v>
      </c>
    </row>
    <row r="621" ht="12.75" customHeight="1">
      <c r="A621" s="1" t="s">
        <v>72</v>
      </c>
      <c r="B621" s="1" t="s">
        <v>6290</v>
      </c>
      <c r="C621" s="1" t="s">
        <v>74</v>
      </c>
      <c r="D621" s="1" t="s">
        <v>74</v>
      </c>
      <c r="E621" s="1" t="s">
        <v>74</v>
      </c>
      <c r="F621" s="1" t="s">
        <v>6291</v>
      </c>
      <c r="G621" s="1" t="s">
        <v>74</v>
      </c>
      <c r="H621" s="1" t="s">
        <v>74</v>
      </c>
      <c r="I621" s="1" t="s">
        <v>6292</v>
      </c>
      <c r="J621" s="1" t="s">
        <v>383</v>
      </c>
      <c r="K621" s="1" t="s">
        <v>74</v>
      </c>
      <c r="L621" s="1" t="s">
        <v>74</v>
      </c>
      <c r="M621" s="1" t="s">
        <v>74</v>
      </c>
      <c r="N621" s="1" t="s">
        <v>74</v>
      </c>
      <c r="O621" s="1" t="s">
        <v>74</v>
      </c>
      <c r="P621" s="1" t="s">
        <v>74</v>
      </c>
      <c r="Q621" s="1" t="s">
        <v>74</v>
      </c>
      <c r="R621" s="1" t="s">
        <v>74</v>
      </c>
      <c r="S621" s="1" t="s">
        <v>74</v>
      </c>
      <c r="T621" s="1" t="s">
        <v>74</v>
      </c>
      <c r="U621" s="1" t="s">
        <v>74</v>
      </c>
      <c r="V621" s="1" t="s">
        <v>6293</v>
      </c>
      <c r="W621" s="1" t="s">
        <v>74</v>
      </c>
      <c r="X621" s="1" t="s">
        <v>74</v>
      </c>
      <c r="Y621" s="1" t="s">
        <v>74</v>
      </c>
      <c r="Z621" s="1" t="s">
        <v>74</v>
      </c>
      <c r="AA621" s="1" t="s">
        <v>6294</v>
      </c>
      <c r="AB621" s="1" t="s">
        <v>6295</v>
      </c>
      <c r="AC621" s="1" t="s">
        <v>74</v>
      </c>
      <c r="AD621" s="1" t="s">
        <v>74</v>
      </c>
      <c r="AE621" s="1" t="s">
        <v>74</v>
      </c>
      <c r="AF621" s="1" t="s">
        <v>74</v>
      </c>
      <c r="AG621" s="1" t="s">
        <v>74</v>
      </c>
      <c r="AH621" s="1" t="s">
        <v>74</v>
      </c>
      <c r="AI621" s="1" t="s">
        <v>74</v>
      </c>
      <c r="AJ621" s="1" t="s">
        <v>74</v>
      </c>
      <c r="AK621" s="1" t="s">
        <v>74</v>
      </c>
      <c r="AL621" s="1" t="s">
        <v>74</v>
      </c>
      <c r="AM621" s="1" t="s">
        <v>74</v>
      </c>
      <c r="AN621" s="1" t="s">
        <v>74</v>
      </c>
      <c r="AO621" s="1" t="s">
        <v>387</v>
      </c>
      <c r="AP621" s="1" t="s">
        <v>74</v>
      </c>
      <c r="AQ621" s="1" t="s">
        <v>74</v>
      </c>
      <c r="AR621" s="1" t="s">
        <v>74</v>
      </c>
      <c r="AS621" s="1" t="s">
        <v>74</v>
      </c>
      <c r="AT621" s="1" t="s">
        <v>6296</v>
      </c>
      <c r="AU621" s="1">
        <v>2022.0</v>
      </c>
      <c r="AV621" s="1">
        <v>12.0</v>
      </c>
      <c r="AW621" s="1">
        <v>1.0</v>
      </c>
      <c r="AX621" s="1" t="s">
        <v>74</v>
      </c>
      <c r="AY621" s="1" t="s">
        <v>74</v>
      </c>
      <c r="AZ621" s="1" t="s">
        <v>74</v>
      </c>
      <c r="BA621" s="1" t="s">
        <v>74</v>
      </c>
      <c r="BB621" s="1" t="s">
        <v>74</v>
      </c>
      <c r="BC621" s="1" t="s">
        <v>74</v>
      </c>
      <c r="BD621" s="1">
        <v>5965.0</v>
      </c>
      <c r="BE621" s="1" t="s">
        <v>6297</v>
      </c>
      <c r="BF621" s="2" t="str">
        <f>HYPERLINK("http://dx.doi.org/10.1038/s41598-022-09647-2","http://dx.doi.org/10.1038/s41598-022-09647-2")</f>
        <v>http://dx.doi.org/10.1038/s41598-022-09647-2</v>
      </c>
      <c r="BG621" s="1" t="s">
        <v>74</v>
      </c>
      <c r="BH621" s="1" t="s">
        <v>74</v>
      </c>
      <c r="BI621" s="1" t="s">
        <v>74</v>
      </c>
      <c r="BJ621" s="1" t="s">
        <v>74</v>
      </c>
      <c r="BK621" s="1" t="s">
        <v>74</v>
      </c>
      <c r="BL621" s="1" t="s">
        <v>74</v>
      </c>
      <c r="BM621" s="1" t="s">
        <v>74</v>
      </c>
      <c r="BN621" s="1">
        <v>3.5396368E7</v>
      </c>
      <c r="BO621" s="1" t="s">
        <v>74</v>
      </c>
      <c r="BP621" s="1" t="s">
        <v>74</v>
      </c>
      <c r="BQ621" s="1" t="s">
        <v>74</v>
      </c>
      <c r="BR621" s="1" t="s">
        <v>74</v>
      </c>
      <c r="BS621" s="1" t="s">
        <v>6298</v>
      </c>
      <c r="BT621" s="1" t="str">
        <f>HYPERLINK("https%3A%2F%2Fwww.webofscience.com%2Fwos%2Fwoscc%2Ffull-record%2FWOS:000781895600007","View Full Record in Web of Science")</f>
        <v>View Full Record in Web of Science</v>
      </c>
    </row>
    <row r="622" ht="12.75" customHeight="1">
      <c r="A622" s="1" t="s">
        <v>72</v>
      </c>
      <c r="B622" s="1" t="s">
        <v>6299</v>
      </c>
      <c r="C622" s="1" t="s">
        <v>74</v>
      </c>
      <c r="D622" s="1" t="s">
        <v>74</v>
      </c>
      <c r="E622" s="1" t="s">
        <v>74</v>
      </c>
      <c r="F622" s="1" t="s">
        <v>6300</v>
      </c>
      <c r="G622" s="1" t="s">
        <v>74</v>
      </c>
      <c r="H622" s="1" t="s">
        <v>74</v>
      </c>
      <c r="I622" s="1" t="s">
        <v>6301</v>
      </c>
      <c r="J622" s="1" t="s">
        <v>864</v>
      </c>
      <c r="K622" s="1" t="s">
        <v>74</v>
      </c>
      <c r="L622" s="1" t="s">
        <v>74</v>
      </c>
      <c r="M622" s="1" t="s">
        <v>74</v>
      </c>
      <c r="N622" s="1" t="s">
        <v>74</v>
      </c>
      <c r="O622" s="1" t="s">
        <v>74</v>
      </c>
      <c r="P622" s="1" t="s">
        <v>74</v>
      </c>
      <c r="Q622" s="1" t="s">
        <v>74</v>
      </c>
      <c r="R622" s="1" t="s">
        <v>74</v>
      </c>
      <c r="S622" s="1" t="s">
        <v>74</v>
      </c>
      <c r="T622" s="1" t="s">
        <v>74</v>
      </c>
      <c r="U622" s="1" t="s">
        <v>74</v>
      </c>
      <c r="V622" s="1" t="s">
        <v>6302</v>
      </c>
      <c r="W622" s="1" t="s">
        <v>74</v>
      </c>
      <c r="X622" s="1" t="s">
        <v>74</v>
      </c>
      <c r="Y622" s="1" t="s">
        <v>74</v>
      </c>
      <c r="Z622" s="1" t="s">
        <v>74</v>
      </c>
      <c r="AA622" s="1" t="s">
        <v>6303</v>
      </c>
      <c r="AB622" s="1" t="s">
        <v>6304</v>
      </c>
      <c r="AC622" s="1" t="s">
        <v>74</v>
      </c>
      <c r="AD622" s="1" t="s">
        <v>74</v>
      </c>
      <c r="AE622" s="1" t="s">
        <v>74</v>
      </c>
      <c r="AF622" s="1" t="s">
        <v>74</v>
      </c>
      <c r="AG622" s="1" t="s">
        <v>74</v>
      </c>
      <c r="AH622" s="1" t="s">
        <v>74</v>
      </c>
      <c r="AI622" s="1" t="s">
        <v>74</v>
      </c>
      <c r="AJ622" s="1" t="s">
        <v>74</v>
      </c>
      <c r="AK622" s="1" t="s">
        <v>74</v>
      </c>
      <c r="AL622" s="1" t="s">
        <v>74</v>
      </c>
      <c r="AM622" s="1" t="s">
        <v>74</v>
      </c>
      <c r="AN622" s="1" t="s">
        <v>74</v>
      </c>
      <c r="AO622" s="1" t="s">
        <v>1906</v>
      </c>
      <c r="AP622" s="1" t="s">
        <v>868</v>
      </c>
      <c r="AQ622" s="1" t="s">
        <v>74</v>
      </c>
      <c r="AR622" s="1" t="s">
        <v>74</v>
      </c>
      <c r="AS622" s="1" t="s">
        <v>74</v>
      </c>
      <c r="AT622" s="1" t="s">
        <v>398</v>
      </c>
      <c r="AU622" s="1">
        <v>2022.0</v>
      </c>
      <c r="AV622" s="1">
        <v>23.0</v>
      </c>
      <c r="AW622" s="1">
        <v>4.0</v>
      </c>
      <c r="AX622" s="1" t="s">
        <v>74</v>
      </c>
      <c r="AY622" s="1" t="s">
        <v>74</v>
      </c>
      <c r="AZ622" s="1" t="s">
        <v>74</v>
      </c>
      <c r="BA622" s="1" t="s">
        <v>74</v>
      </c>
      <c r="BB622" s="1" t="s">
        <v>74</v>
      </c>
      <c r="BC622" s="1" t="s">
        <v>74</v>
      </c>
      <c r="BD622" s="1">
        <v>2315.0</v>
      </c>
      <c r="BE622" s="1" t="s">
        <v>6305</v>
      </c>
      <c r="BF622" s="2" t="str">
        <f>HYPERLINK("http://dx.doi.org/10.3390/ijms23042315","http://dx.doi.org/10.3390/ijms23042315")</f>
        <v>http://dx.doi.org/10.3390/ijms23042315</v>
      </c>
      <c r="BG622" s="1" t="s">
        <v>74</v>
      </c>
      <c r="BH622" s="1" t="s">
        <v>74</v>
      </c>
      <c r="BI622" s="1" t="s">
        <v>74</v>
      </c>
      <c r="BJ622" s="1" t="s">
        <v>74</v>
      </c>
      <c r="BK622" s="1" t="s">
        <v>74</v>
      </c>
      <c r="BL622" s="1" t="s">
        <v>74</v>
      </c>
      <c r="BM622" s="1" t="s">
        <v>74</v>
      </c>
      <c r="BN622" s="1">
        <v>3.5216436E7</v>
      </c>
      <c r="BO622" s="1" t="s">
        <v>74</v>
      </c>
      <c r="BP622" s="1" t="s">
        <v>74</v>
      </c>
      <c r="BQ622" s="1" t="s">
        <v>74</v>
      </c>
      <c r="BR622" s="1" t="s">
        <v>74</v>
      </c>
      <c r="BS622" s="1" t="s">
        <v>6306</v>
      </c>
      <c r="BT622" s="1" t="str">
        <f>HYPERLINK("https%3A%2F%2Fwww.webofscience.com%2Fwos%2Fwoscc%2Ffull-record%2FWOS:000774286000001","View Full Record in Web of Science")</f>
        <v>View Full Record in Web of Science</v>
      </c>
    </row>
    <row r="623" ht="12.75" customHeight="1">
      <c r="A623" s="1" t="s">
        <v>72</v>
      </c>
      <c r="B623" s="1" t="s">
        <v>6307</v>
      </c>
      <c r="C623" s="1" t="s">
        <v>74</v>
      </c>
      <c r="D623" s="1" t="s">
        <v>74</v>
      </c>
      <c r="E623" s="1" t="s">
        <v>74</v>
      </c>
      <c r="F623" s="1" t="s">
        <v>6308</v>
      </c>
      <c r="G623" s="1" t="s">
        <v>74</v>
      </c>
      <c r="H623" s="1" t="s">
        <v>74</v>
      </c>
      <c r="I623" s="1" t="s">
        <v>6309</v>
      </c>
      <c r="J623" s="1" t="s">
        <v>6310</v>
      </c>
      <c r="K623" s="1" t="s">
        <v>74</v>
      </c>
      <c r="L623" s="1" t="s">
        <v>74</v>
      </c>
      <c r="M623" s="1" t="s">
        <v>74</v>
      </c>
      <c r="N623" s="1" t="s">
        <v>74</v>
      </c>
      <c r="O623" s="1" t="s">
        <v>74</v>
      </c>
      <c r="P623" s="1" t="s">
        <v>74</v>
      </c>
      <c r="Q623" s="1" t="s">
        <v>74</v>
      </c>
      <c r="R623" s="1" t="s">
        <v>74</v>
      </c>
      <c r="S623" s="1" t="s">
        <v>74</v>
      </c>
      <c r="T623" s="1" t="s">
        <v>74</v>
      </c>
      <c r="U623" s="1" t="s">
        <v>74</v>
      </c>
      <c r="V623" s="1" t="s">
        <v>6311</v>
      </c>
      <c r="W623" s="1" t="s">
        <v>74</v>
      </c>
      <c r="X623" s="1" t="s">
        <v>74</v>
      </c>
      <c r="Y623" s="1" t="s">
        <v>74</v>
      </c>
      <c r="Z623" s="1" t="s">
        <v>74</v>
      </c>
      <c r="AA623" s="1" t="s">
        <v>6312</v>
      </c>
      <c r="AB623" s="1" t="s">
        <v>6313</v>
      </c>
      <c r="AC623" s="1" t="s">
        <v>74</v>
      </c>
      <c r="AD623" s="1" t="s">
        <v>74</v>
      </c>
      <c r="AE623" s="1" t="s">
        <v>74</v>
      </c>
      <c r="AF623" s="1" t="s">
        <v>74</v>
      </c>
      <c r="AG623" s="1" t="s">
        <v>74</v>
      </c>
      <c r="AH623" s="1" t="s">
        <v>74</v>
      </c>
      <c r="AI623" s="1" t="s">
        <v>74</v>
      </c>
      <c r="AJ623" s="1" t="s">
        <v>74</v>
      </c>
      <c r="AK623" s="1" t="s">
        <v>74</v>
      </c>
      <c r="AL623" s="1" t="s">
        <v>74</v>
      </c>
      <c r="AM623" s="1" t="s">
        <v>74</v>
      </c>
      <c r="AN623" s="1" t="s">
        <v>74</v>
      </c>
      <c r="AO623" s="1" t="s">
        <v>6314</v>
      </c>
      <c r="AP623" s="1" t="s">
        <v>6315</v>
      </c>
      <c r="AQ623" s="1" t="s">
        <v>74</v>
      </c>
      <c r="AR623" s="1" t="s">
        <v>74</v>
      </c>
      <c r="AS623" s="1" t="s">
        <v>74</v>
      </c>
      <c r="AT623" s="1" t="s">
        <v>250</v>
      </c>
      <c r="AU623" s="1">
        <v>2021.0</v>
      </c>
      <c r="AV623" s="1">
        <v>33.0</v>
      </c>
      <c r="AW623" s="1">
        <v>9.0</v>
      </c>
      <c r="AX623" s="1" t="s">
        <v>74</v>
      </c>
      <c r="AY623" s="1" t="s">
        <v>74</v>
      </c>
      <c r="AZ623" s="1" t="s">
        <v>74</v>
      </c>
      <c r="BA623" s="1" t="s">
        <v>74</v>
      </c>
      <c r="BB623" s="1">
        <v>2105.0</v>
      </c>
      <c r="BC623" s="1">
        <v>2114.0</v>
      </c>
      <c r="BD623" s="1" t="s">
        <v>74</v>
      </c>
      <c r="BE623" s="1" t="s">
        <v>6316</v>
      </c>
      <c r="BF623" s="2" t="str">
        <f>HYPERLINK("http://dx.doi.org/10.1002/elan.202100149","http://dx.doi.org/10.1002/elan.202100149")</f>
        <v>http://dx.doi.org/10.1002/elan.202100149</v>
      </c>
      <c r="BG623" s="1" t="s">
        <v>74</v>
      </c>
      <c r="BH623" s="1" t="s">
        <v>4575</v>
      </c>
      <c r="BI623" s="1" t="s">
        <v>74</v>
      </c>
      <c r="BJ623" s="1" t="s">
        <v>74</v>
      </c>
      <c r="BK623" s="1" t="s">
        <v>74</v>
      </c>
      <c r="BL623" s="1" t="s">
        <v>74</v>
      </c>
      <c r="BM623" s="1" t="s">
        <v>74</v>
      </c>
      <c r="BN623" s="1" t="s">
        <v>74</v>
      </c>
      <c r="BO623" s="1" t="s">
        <v>74</v>
      </c>
      <c r="BP623" s="1" t="s">
        <v>74</v>
      </c>
      <c r="BQ623" s="1" t="s">
        <v>74</v>
      </c>
      <c r="BR623" s="1" t="s">
        <v>74</v>
      </c>
      <c r="BS623" s="1" t="s">
        <v>6317</v>
      </c>
      <c r="BT623" s="1" t="str">
        <f>HYPERLINK("https%3A%2F%2Fwww.webofscience.com%2Fwos%2Fwoscc%2Ffull-record%2FWOS:000654744900001","View Full Record in Web of Science")</f>
        <v>View Full Record in Web of Science</v>
      </c>
    </row>
    <row r="624" ht="12.75" customHeight="1">
      <c r="A624" s="1" t="s">
        <v>72</v>
      </c>
      <c r="B624" s="1" t="s">
        <v>6318</v>
      </c>
      <c r="C624" s="1" t="s">
        <v>74</v>
      </c>
      <c r="D624" s="1" t="s">
        <v>74</v>
      </c>
      <c r="E624" s="1" t="s">
        <v>74</v>
      </c>
      <c r="F624" s="1" t="s">
        <v>6319</v>
      </c>
      <c r="G624" s="1" t="s">
        <v>74</v>
      </c>
      <c r="H624" s="1" t="s">
        <v>74</v>
      </c>
      <c r="I624" s="1" t="s">
        <v>6320</v>
      </c>
      <c r="J624" s="1" t="s">
        <v>6321</v>
      </c>
      <c r="K624" s="1" t="s">
        <v>74</v>
      </c>
      <c r="L624" s="1" t="s">
        <v>74</v>
      </c>
      <c r="M624" s="1" t="s">
        <v>74</v>
      </c>
      <c r="N624" s="1" t="s">
        <v>74</v>
      </c>
      <c r="O624" s="1" t="s">
        <v>74</v>
      </c>
      <c r="P624" s="1" t="s">
        <v>74</v>
      </c>
      <c r="Q624" s="1" t="s">
        <v>74</v>
      </c>
      <c r="R624" s="1" t="s">
        <v>74</v>
      </c>
      <c r="S624" s="1" t="s">
        <v>74</v>
      </c>
      <c r="T624" s="1" t="s">
        <v>74</v>
      </c>
      <c r="U624" s="1" t="s">
        <v>74</v>
      </c>
      <c r="V624" s="1" t="s">
        <v>6322</v>
      </c>
      <c r="W624" s="1" t="s">
        <v>74</v>
      </c>
      <c r="X624" s="1" t="s">
        <v>74</v>
      </c>
      <c r="Y624" s="1" t="s">
        <v>74</v>
      </c>
      <c r="Z624" s="1" t="s">
        <v>74</v>
      </c>
      <c r="AA624" s="1" t="s">
        <v>6323</v>
      </c>
      <c r="AB624" s="1" t="s">
        <v>74</v>
      </c>
      <c r="AC624" s="1" t="s">
        <v>74</v>
      </c>
      <c r="AD624" s="1" t="s">
        <v>74</v>
      </c>
      <c r="AE624" s="1" t="s">
        <v>74</v>
      </c>
      <c r="AF624" s="1" t="s">
        <v>74</v>
      </c>
      <c r="AG624" s="1" t="s">
        <v>74</v>
      </c>
      <c r="AH624" s="1" t="s">
        <v>74</v>
      </c>
      <c r="AI624" s="1" t="s">
        <v>74</v>
      </c>
      <c r="AJ624" s="1" t="s">
        <v>74</v>
      </c>
      <c r="AK624" s="1" t="s">
        <v>74</v>
      </c>
      <c r="AL624" s="1" t="s">
        <v>74</v>
      </c>
      <c r="AM624" s="1" t="s">
        <v>74</v>
      </c>
      <c r="AN624" s="1" t="s">
        <v>74</v>
      </c>
      <c r="AO624" s="1" t="s">
        <v>74</v>
      </c>
      <c r="AP624" s="1" t="s">
        <v>6324</v>
      </c>
      <c r="AQ624" s="1" t="s">
        <v>74</v>
      </c>
      <c r="AR624" s="1" t="s">
        <v>74</v>
      </c>
      <c r="AS624" s="1" t="s">
        <v>74</v>
      </c>
      <c r="AT624" s="1" t="s">
        <v>316</v>
      </c>
      <c r="AU624" s="1">
        <v>2020.0</v>
      </c>
      <c r="AV624" s="1">
        <v>7.0</v>
      </c>
      <c r="AW624" s="1">
        <v>4.0</v>
      </c>
      <c r="AX624" s="1" t="s">
        <v>74</v>
      </c>
      <c r="AY624" s="1" t="s">
        <v>74</v>
      </c>
      <c r="AZ624" s="1" t="s">
        <v>74</v>
      </c>
      <c r="BA624" s="1" t="s">
        <v>74</v>
      </c>
      <c r="BB624" s="1" t="s">
        <v>74</v>
      </c>
      <c r="BC624" s="1" t="s">
        <v>74</v>
      </c>
      <c r="BD624" s="1" t="s">
        <v>74</v>
      </c>
      <c r="BE624" s="1" t="s">
        <v>6325</v>
      </c>
      <c r="BF624" s="2" t="str">
        <f>HYPERLINK("http://dx.doi.org/10.1177/2053168020967488","http://dx.doi.org/10.1177/2053168020967488")</f>
        <v>http://dx.doi.org/10.1177/2053168020967488</v>
      </c>
      <c r="BG624" s="1" t="s">
        <v>74</v>
      </c>
      <c r="BH624" s="1" t="s">
        <v>74</v>
      </c>
      <c r="BI624" s="1" t="s">
        <v>74</v>
      </c>
      <c r="BJ624" s="1" t="s">
        <v>74</v>
      </c>
      <c r="BK624" s="1" t="s">
        <v>74</v>
      </c>
      <c r="BL624" s="1" t="s">
        <v>74</v>
      </c>
      <c r="BM624" s="1" t="s">
        <v>74</v>
      </c>
      <c r="BN624" s="1" t="s">
        <v>74</v>
      </c>
      <c r="BO624" s="1" t="s">
        <v>74</v>
      </c>
      <c r="BP624" s="1" t="s">
        <v>74</v>
      </c>
      <c r="BQ624" s="1" t="s">
        <v>74</v>
      </c>
      <c r="BR624" s="1" t="s">
        <v>74</v>
      </c>
      <c r="BS624" s="1" t="s">
        <v>6326</v>
      </c>
      <c r="BT624" s="1" t="str">
        <f>HYPERLINK("https%3A%2F%2Fwww.webofscience.com%2Fwos%2Fwoscc%2Ffull-record%2FWOS:000592490700001","View Full Record in Web of Science")</f>
        <v>View Full Record in Web of Science</v>
      </c>
    </row>
    <row r="625" ht="12.75" customHeight="1">
      <c r="A625" s="1" t="s">
        <v>72</v>
      </c>
      <c r="B625" s="1" t="s">
        <v>6327</v>
      </c>
      <c r="C625" s="1" t="s">
        <v>74</v>
      </c>
      <c r="D625" s="1" t="s">
        <v>74</v>
      </c>
      <c r="E625" s="1" t="s">
        <v>74</v>
      </c>
      <c r="F625" s="1" t="s">
        <v>6328</v>
      </c>
      <c r="G625" s="1" t="s">
        <v>74</v>
      </c>
      <c r="H625" s="1" t="s">
        <v>74</v>
      </c>
      <c r="I625" s="1" t="s">
        <v>6329</v>
      </c>
      <c r="J625" s="1" t="s">
        <v>3838</v>
      </c>
      <c r="K625" s="1" t="s">
        <v>74</v>
      </c>
      <c r="L625" s="1" t="s">
        <v>74</v>
      </c>
      <c r="M625" s="1" t="s">
        <v>74</v>
      </c>
      <c r="N625" s="1" t="s">
        <v>74</v>
      </c>
      <c r="O625" s="1" t="s">
        <v>74</v>
      </c>
      <c r="P625" s="1" t="s">
        <v>74</v>
      </c>
      <c r="Q625" s="1" t="s">
        <v>74</v>
      </c>
      <c r="R625" s="1" t="s">
        <v>74</v>
      </c>
      <c r="S625" s="1" t="s">
        <v>74</v>
      </c>
      <c r="T625" s="1" t="s">
        <v>74</v>
      </c>
      <c r="U625" s="1" t="s">
        <v>74</v>
      </c>
      <c r="V625" s="1" t="s">
        <v>6330</v>
      </c>
      <c r="W625" s="1" t="s">
        <v>74</v>
      </c>
      <c r="X625" s="1" t="s">
        <v>74</v>
      </c>
      <c r="Y625" s="1" t="s">
        <v>74</v>
      </c>
      <c r="Z625" s="1" t="s">
        <v>74</v>
      </c>
      <c r="AA625" s="1" t="s">
        <v>6331</v>
      </c>
      <c r="AB625" s="1" t="s">
        <v>6332</v>
      </c>
      <c r="AC625" s="1" t="s">
        <v>74</v>
      </c>
      <c r="AD625" s="1" t="s">
        <v>74</v>
      </c>
      <c r="AE625" s="1" t="s">
        <v>74</v>
      </c>
      <c r="AF625" s="1" t="s">
        <v>74</v>
      </c>
      <c r="AG625" s="1" t="s">
        <v>74</v>
      </c>
      <c r="AH625" s="1" t="s">
        <v>74</v>
      </c>
      <c r="AI625" s="1" t="s">
        <v>74</v>
      </c>
      <c r="AJ625" s="1" t="s">
        <v>74</v>
      </c>
      <c r="AK625" s="1" t="s">
        <v>74</v>
      </c>
      <c r="AL625" s="1" t="s">
        <v>74</v>
      </c>
      <c r="AM625" s="1" t="s">
        <v>74</v>
      </c>
      <c r="AN625" s="1" t="s">
        <v>74</v>
      </c>
      <c r="AO625" s="1" t="s">
        <v>74</v>
      </c>
      <c r="AP625" s="1" t="s">
        <v>3842</v>
      </c>
      <c r="AQ625" s="1" t="s">
        <v>74</v>
      </c>
      <c r="AR625" s="1" t="s">
        <v>74</v>
      </c>
      <c r="AS625" s="1" t="s">
        <v>74</v>
      </c>
      <c r="AT625" s="1" t="s">
        <v>250</v>
      </c>
      <c r="AU625" s="1">
        <v>2020.0</v>
      </c>
      <c r="AV625" s="1">
        <v>13.0</v>
      </c>
      <c r="AW625" s="1">
        <v>18.0</v>
      </c>
      <c r="AX625" s="1" t="s">
        <v>74</v>
      </c>
      <c r="AY625" s="1" t="s">
        <v>74</v>
      </c>
      <c r="AZ625" s="1" t="s">
        <v>74</v>
      </c>
      <c r="BA625" s="1" t="s">
        <v>74</v>
      </c>
      <c r="BB625" s="1" t="s">
        <v>74</v>
      </c>
      <c r="BC625" s="1" t="s">
        <v>74</v>
      </c>
      <c r="BD625" s="1">
        <v>4678.0</v>
      </c>
      <c r="BE625" s="1" t="s">
        <v>6333</v>
      </c>
      <c r="BF625" s="2" t="str">
        <f>HYPERLINK("http://dx.doi.org/10.3390/en13184678","http://dx.doi.org/10.3390/en13184678")</f>
        <v>http://dx.doi.org/10.3390/en13184678</v>
      </c>
      <c r="BG625" s="1" t="s">
        <v>74</v>
      </c>
      <c r="BH625" s="1" t="s">
        <v>74</v>
      </c>
      <c r="BI625" s="1" t="s">
        <v>74</v>
      </c>
      <c r="BJ625" s="1" t="s">
        <v>74</v>
      </c>
      <c r="BK625" s="1" t="s">
        <v>74</v>
      </c>
      <c r="BL625" s="1" t="s">
        <v>74</v>
      </c>
      <c r="BM625" s="1" t="s">
        <v>74</v>
      </c>
      <c r="BN625" s="1" t="s">
        <v>74</v>
      </c>
      <c r="BO625" s="1" t="s">
        <v>74</v>
      </c>
      <c r="BP625" s="1" t="s">
        <v>74</v>
      </c>
      <c r="BQ625" s="1" t="s">
        <v>74</v>
      </c>
      <c r="BR625" s="1" t="s">
        <v>74</v>
      </c>
      <c r="BS625" s="1" t="s">
        <v>6334</v>
      </c>
      <c r="BT625" s="1" t="str">
        <f>HYPERLINK("https%3A%2F%2Fwww.webofscience.com%2Fwos%2Fwoscc%2Ffull-record%2FWOS:000580100300001","View Full Record in Web of Science")</f>
        <v>View Full Record in Web of Science</v>
      </c>
    </row>
    <row r="626" ht="12.75" customHeight="1">
      <c r="A626" s="1" t="s">
        <v>72</v>
      </c>
      <c r="B626" s="1" t="s">
        <v>6335</v>
      </c>
      <c r="C626" s="1" t="s">
        <v>74</v>
      </c>
      <c r="D626" s="1" t="s">
        <v>74</v>
      </c>
      <c r="E626" s="1" t="s">
        <v>74</v>
      </c>
      <c r="F626" s="1" t="s">
        <v>6336</v>
      </c>
      <c r="G626" s="1" t="s">
        <v>74</v>
      </c>
      <c r="H626" s="1" t="s">
        <v>74</v>
      </c>
      <c r="I626" s="1" t="s">
        <v>6337</v>
      </c>
      <c r="J626" s="1" t="s">
        <v>6338</v>
      </c>
      <c r="K626" s="1" t="s">
        <v>74</v>
      </c>
      <c r="L626" s="1" t="s">
        <v>74</v>
      </c>
      <c r="M626" s="1" t="s">
        <v>74</v>
      </c>
      <c r="N626" s="1" t="s">
        <v>74</v>
      </c>
      <c r="O626" s="1" t="s">
        <v>74</v>
      </c>
      <c r="P626" s="1" t="s">
        <v>74</v>
      </c>
      <c r="Q626" s="1" t="s">
        <v>74</v>
      </c>
      <c r="R626" s="1" t="s">
        <v>74</v>
      </c>
      <c r="S626" s="1" t="s">
        <v>74</v>
      </c>
      <c r="T626" s="1" t="s">
        <v>74</v>
      </c>
      <c r="U626" s="1" t="s">
        <v>74</v>
      </c>
      <c r="V626" s="1" t="s">
        <v>6339</v>
      </c>
      <c r="W626" s="1" t="s">
        <v>74</v>
      </c>
      <c r="X626" s="1" t="s">
        <v>74</v>
      </c>
      <c r="Y626" s="1" t="s">
        <v>74</v>
      </c>
      <c r="Z626" s="1" t="s">
        <v>74</v>
      </c>
      <c r="AA626" s="1" t="s">
        <v>6340</v>
      </c>
      <c r="AB626" s="1" t="s">
        <v>6341</v>
      </c>
      <c r="AC626" s="1" t="s">
        <v>74</v>
      </c>
      <c r="AD626" s="1" t="s">
        <v>74</v>
      </c>
      <c r="AE626" s="1" t="s">
        <v>74</v>
      </c>
      <c r="AF626" s="1" t="s">
        <v>74</v>
      </c>
      <c r="AG626" s="1" t="s">
        <v>74</v>
      </c>
      <c r="AH626" s="1" t="s">
        <v>74</v>
      </c>
      <c r="AI626" s="1" t="s">
        <v>74</v>
      </c>
      <c r="AJ626" s="1" t="s">
        <v>74</v>
      </c>
      <c r="AK626" s="1" t="s">
        <v>74</v>
      </c>
      <c r="AL626" s="1" t="s">
        <v>74</v>
      </c>
      <c r="AM626" s="1" t="s">
        <v>74</v>
      </c>
      <c r="AN626" s="1" t="s">
        <v>74</v>
      </c>
      <c r="AO626" s="1" t="s">
        <v>6342</v>
      </c>
      <c r="AP626" s="1" t="s">
        <v>6343</v>
      </c>
      <c r="AQ626" s="1" t="s">
        <v>74</v>
      </c>
      <c r="AR626" s="1" t="s">
        <v>74</v>
      </c>
      <c r="AS626" s="1" t="s">
        <v>74</v>
      </c>
      <c r="AT626" s="1" t="s">
        <v>6344</v>
      </c>
      <c r="AU626" s="1">
        <v>2020.0</v>
      </c>
      <c r="AV626" s="1">
        <v>85.0</v>
      </c>
      <c r="AW626" s="1">
        <v>16.0</v>
      </c>
      <c r="AX626" s="1" t="s">
        <v>74</v>
      </c>
      <c r="AY626" s="1" t="s">
        <v>74</v>
      </c>
      <c r="AZ626" s="1" t="s">
        <v>74</v>
      </c>
      <c r="BA626" s="1" t="s">
        <v>74</v>
      </c>
      <c r="BB626" s="1">
        <v>10603.0</v>
      </c>
      <c r="BC626" s="1">
        <v>10616.0</v>
      </c>
      <c r="BD626" s="1" t="s">
        <v>74</v>
      </c>
      <c r="BE626" s="1" t="s">
        <v>6345</v>
      </c>
      <c r="BF626" s="2" t="str">
        <f>HYPERLINK("http://dx.doi.org/10.1021/acs.joc.0c01140","http://dx.doi.org/10.1021/acs.joc.0c01140")</f>
        <v>http://dx.doi.org/10.1021/acs.joc.0c01140</v>
      </c>
      <c r="BG626" s="1" t="s">
        <v>74</v>
      </c>
      <c r="BH626" s="1" t="s">
        <v>74</v>
      </c>
      <c r="BI626" s="1" t="s">
        <v>74</v>
      </c>
      <c r="BJ626" s="1" t="s">
        <v>74</v>
      </c>
      <c r="BK626" s="1" t="s">
        <v>74</v>
      </c>
      <c r="BL626" s="1" t="s">
        <v>74</v>
      </c>
      <c r="BM626" s="1" t="s">
        <v>74</v>
      </c>
      <c r="BN626" s="1">
        <v>3.2615757E7</v>
      </c>
      <c r="BO626" s="1" t="s">
        <v>74</v>
      </c>
      <c r="BP626" s="1" t="s">
        <v>74</v>
      </c>
      <c r="BQ626" s="1" t="s">
        <v>74</v>
      </c>
      <c r="BR626" s="1" t="s">
        <v>74</v>
      </c>
      <c r="BS626" s="1" t="s">
        <v>6346</v>
      </c>
      <c r="BT626" s="1" t="str">
        <f>HYPERLINK("https%3A%2F%2Fwww.webofscience.com%2Fwos%2Fwoscc%2Ffull-record%2FWOS:000563754800026","View Full Record in Web of Science")</f>
        <v>View Full Record in Web of Science</v>
      </c>
    </row>
    <row r="627" ht="12.75" customHeight="1">
      <c r="A627" s="1" t="s">
        <v>72</v>
      </c>
      <c r="B627" s="1" t="s">
        <v>6347</v>
      </c>
      <c r="C627" s="1" t="s">
        <v>74</v>
      </c>
      <c r="D627" s="1" t="s">
        <v>74</v>
      </c>
      <c r="E627" s="1" t="s">
        <v>74</v>
      </c>
      <c r="F627" s="1" t="s">
        <v>6348</v>
      </c>
      <c r="G627" s="1" t="s">
        <v>74</v>
      </c>
      <c r="H627" s="1" t="s">
        <v>74</v>
      </c>
      <c r="I627" s="1" t="s">
        <v>6349</v>
      </c>
      <c r="J627" s="1" t="s">
        <v>3838</v>
      </c>
      <c r="K627" s="1" t="s">
        <v>74</v>
      </c>
      <c r="L627" s="1" t="s">
        <v>74</v>
      </c>
      <c r="M627" s="1" t="s">
        <v>74</v>
      </c>
      <c r="N627" s="1" t="s">
        <v>74</v>
      </c>
      <c r="O627" s="1" t="s">
        <v>74</v>
      </c>
      <c r="P627" s="1" t="s">
        <v>74</v>
      </c>
      <c r="Q627" s="1" t="s">
        <v>74</v>
      </c>
      <c r="R627" s="1" t="s">
        <v>74</v>
      </c>
      <c r="S627" s="1" t="s">
        <v>74</v>
      </c>
      <c r="T627" s="1" t="s">
        <v>74</v>
      </c>
      <c r="U627" s="1" t="s">
        <v>74</v>
      </c>
      <c r="V627" s="1" t="s">
        <v>6350</v>
      </c>
      <c r="W627" s="1" t="s">
        <v>74</v>
      </c>
      <c r="X627" s="1" t="s">
        <v>74</v>
      </c>
      <c r="Y627" s="1" t="s">
        <v>74</v>
      </c>
      <c r="Z627" s="1" t="s">
        <v>74</v>
      </c>
      <c r="AA627" s="1" t="s">
        <v>6351</v>
      </c>
      <c r="AB627" s="1" t="s">
        <v>6352</v>
      </c>
      <c r="AC627" s="1" t="s">
        <v>74</v>
      </c>
      <c r="AD627" s="1" t="s">
        <v>74</v>
      </c>
      <c r="AE627" s="1" t="s">
        <v>74</v>
      </c>
      <c r="AF627" s="1" t="s">
        <v>74</v>
      </c>
      <c r="AG627" s="1" t="s">
        <v>74</v>
      </c>
      <c r="AH627" s="1" t="s">
        <v>74</v>
      </c>
      <c r="AI627" s="1" t="s">
        <v>74</v>
      </c>
      <c r="AJ627" s="1" t="s">
        <v>74</v>
      </c>
      <c r="AK627" s="1" t="s">
        <v>74</v>
      </c>
      <c r="AL627" s="1" t="s">
        <v>74</v>
      </c>
      <c r="AM627" s="1" t="s">
        <v>74</v>
      </c>
      <c r="AN627" s="1" t="s">
        <v>74</v>
      </c>
      <c r="AO627" s="1" t="s">
        <v>74</v>
      </c>
      <c r="AP627" s="1" t="s">
        <v>3842</v>
      </c>
      <c r="AQ627" s="1" t="s">
        <v>74</v>
      </c>
      <c r="AR627" s="1" t="s">
        <v>74</v>
      </c>
      <c r="AS627" s="1" t="s">
        <v>74</v>
      </c>
      <c r="AT627" s="1" t="s">
        <v>377</v>
      </c>
      <c r="AU627" s="1">
        <v>2020.0</v>
      </c>
      <c r="AV627" s="1">
        <v>13.0</v>
      </c>
      <c r="AW627" s="1">
        <v>9.0</v>
      </c>
      <c r="AX627" s="1" t="s">
        <v>74</v>
      </c>
      <c r="AY627" s="1" t="s">
        <v>74</v>
      </c>
      <c r="AZ627" s="1" t="s">
        <v>74</v>
      </c>
      <c r="BA627" s="1" t="s">
        <v>74</v>
      </c>
      <c r="BB627" s="1" t="s">
        <v>74</v>
      </c>
      <c r="BC627" s="1" t="s">
        <v>74</v>
      </c>
      <c r="BD627" s="1">
        <v>2319.0</v>
      </c>
      <c r="BE627" s="1" t="s">
        <v>6353</v>
      </c>
      <c r="BF627" s="2" t="str">
        <f>HYPERLINK("http://dx.doi.org/10.3390/en13092319","http://dx.doi.org/10.3390/en13092319")</f>
        <v>http://dx.doi.org/10.3390/en13092319</v>
      </c>
      <c r="BG627" s="1" t="s">
        <v>74</v>
      </c>
      <c r="BH627" s="1" t="s">
        <v>74</v>
      </c>
      <c r="BI627" s="1" t="s">
        <v>74</v>
      </c>
      <c r="BJ627" s="1" t="s">
        <v>74</v>
      </c>
      <c r="BK627" s="1" t="s">
        <v>74</v>
      </c>
      <c r="BL627" s="1" t="s">
        <v>74</v>
      </c>
      <c r="BM627" s="1" t="s">
        <v>74</v>
      </c>
      <c r="BN627" s="1" t="s">
        <v>74</v>
      </c>
      <c r="BO627" s="1" t="s">
        <v>74</v>
      </c>
      <c r="BP627" s="1" t="s">
        <v>74</v>
      </c>
      <c r="BQ627" s="1" t="s">
        <v>74</v>
      </c>
      <c r="BR627" s="1" t="s">
        <v>74</v>
      </c>
      <c r="BS627" s="1" t="s">
        <v>6354</v>
      </c>
      <c r="BT627" s="1" t="str">
        <f>HYPERLINK("https%3A%2F%2Fwww.webofscience.com%2Fwos%2Fwoscc%2Ffull-record%2FWOS:000535739300197","View Full Record in Web of Science")</f>
        <v>View Full Record in Web of Science</v>
      </c>
    </row>
    <row r="628" ht="12.75" customHeight="1">
      <c r="A628" s="1" t="s">
        <v>72</v>
      </c>
      <c r="B628" s="1" t="s">
        <v>6355</v>
      </c>
      <c r="C628" s="1" t="s">
        <v>74</v>
      </c>
      <c r="D628" s="1" t="s">
        <v>74</v>
      </c>
      <c r="E628" s="1" t="s">
        <v>74</v>
      </c>
      <c r="F628" s="1" t="s">
        <v>6356</v>
      </c>
      <c r="G628" s="1" t="s">
        <v>74</v>
      </c>
      <c r="H628" s="1" t="s">
        <v>74</v>
      </c>
      <c r="I628" s="1" t="s">
        <v>6357</v>
      </c>
      <c r="J628" s="1" t="s">
        <v>1163</v>
      </c>
      <c r="K628" s="1" t="s">
        <v>74</v>
      </c>
      <c r="L628" s="1" t="s">
        <v>74</v>
      </c>
      <c r="M628" s="1" t="s">
        <v>74</v>
      </c>
      <c r="N628" s="1" t="s">
        <v>74</v>
      </c>
      <c r="O628" s="1" t="s">
        <v>74</v>
      </c>
      <c r="P628" s="1" t="s">
        <v>74</v>
      </c>
      <c r="Q628" s="1" t="s">
        <v>74</v>
      </c>
      <c r="R628" s="1" t="s">
        <v>74</v>
      </c>
      <c r="S628" s="1" t="s">
        <v>74</v>
      </c>
      <c r="T628" s="1" t="s">
        <v>74</v>
      </c>
      <c r="U628" s="1" t="s">
        <v>74</v>
      </c>
      <c r="V628" s="1" t="s">
        <v>6358</v>
      </c>
      <c r="W628" s="1" t="s">
        <v>74</v>
      </c>
      <c r="X628" s="1" t="s">
        <v>74</v>
      </c>
      <c r="Y628" s="1" t="s">
        <v>74</v>
      </c>
      <c r="Z628" s="1" t="s">
        <v>74</v>
      </c>
      <c r="AA628" s="1" t="s">
        <v>6359</v>
      </c>
      <c r="AB628" s="1" t="s">
        <v>6360</v>
      </c>
      <c r="AC628" s="1" t="s">
        <v>74</v>
      </c>
      <c r="AD628" s="1" t="s">
        <v>74</v>
      </c>
      <c r="AE628" s="1" t="s">
        <v>74</v>
      </c>
      <c r="AF628" s="1" t="s">
        <v>74</v>
      </c>
      <c r="AG628" s="1" t="s">
        <v>74</v>
      </c>
      <c r="AH628" s="1" t="s">
        <v>74</v>
      </c>
      <c r="AI628" s="1" t="s">
        <v>74</v>
      </c>
      <c r="AJ628" s="1" t="s">
        <v>74</v>
      </c>
      <c r="AK628" s="1" t="s">
        <v>74</v>
      </c>
      <c r="AL628" s="1" t="s">
        <v>74</v>
      </c>
      <c r="AM628" s="1" t="s">
        <v>74</v>
      </c>
      <c r="AN628" s="1" t="s">
        <v>74</v>
      </c>
      <c r="AO628" s="1" t="s">
        <v>74</v>
      </c>
      <c r="AP628" s="1" t="s">
        <v>1167</v>
      </c>
      <c r="AQ628" s="1" t="s">
        <v>74</v>
      </c>
      <c r="AR628" s="1" t="s">
        <v>74</v>
      </c>
      <c r="AS628" s="1" t="s">
        <v>74</v>
      </c>
      <c r="AT628" s="1" t="s">
        <v>559</v>
      </c>
      <c r="AU628" s="1">
        <v>2019.0</v>
      </c>
      <c r="AV628" s="1">
        <v>11.0</v>
      </c>
      <c r="AW628" s="1">
        <v>12.0</v>
      </c>
      <c r="AX628" s="1" t="s">
        <v>74</v>
      </c>
      <c r="AY628" s="1" t="s">
        <v>74</v>
      </c>
      <c r="AZ628" s="1" t="s">
        <v>74</v>
      </c>
      <c r="BA628" s="1" t="s">
        <v>74</v>
      </c>
      <c r="BB628" s="1" t="s">
        <v>74</v>
      </c>
      <c r="BC628" s="1" t="s">
        <v>74</v>
      </c>
      <c r="BD628" s="1">
        <v>2940.0</v>
      </c>
      <c r="BE628" s="1" t="s">
        <v>6361</v>
      </c>
      <c r="BF628" s="2" t="str">
        <f>HYPERLINK("http://dx.doi.org/10.3390/nu11122940","http://dx.doi.org/10.3390/nu11122940")</f>
        <v>http://dx.doi.org/10.3390/nu11122940</v>
      </c>
      <c r="BG628" s="1" t="s">
        <v>74</v>
      </c>
      <c r="BH628" s="1" t="s">
        <v>74</v>
      </c>
      <c r="BI628" s="1" t="s">
        <v>74</v>
      </c>
      <c r="BJ628" s="1" t="s">
        <v>74</v>
      </c>
      <c r="BK628" s="1" t="s">
        <v>74</v>
      </c>
      <c r="BL628" s="1" t="s">
        <v>74</v>
      </c>
      <c r="BM628" s="1" t="s">
        <v>74</v>
      </c>
      <c r="BN628" s="1">
        <v>3.1817012E7</v>
      </c>
      <c r="BO628" s="1" t="s">
        <v>74</v>
      </c>
      <c r="BP628" s="1" t="s">
        <v>74</v>
      </c>
      <c r="BQ628" s="1" t="s">
        <v>74</v>
      </c>
      <c r="BR628" s="1" t="s">
        <v>74</v>
      </c>
      <c r="BS628" s="1" t="s">
        <v>6362</v>
      </c>
      <c r="BT628" s="1" t="str">
        <f>HYPERLINK("https%3A%2F%2Fwww.webofscience.com%2Fwos%2Fwoscc%2Ffull-record%2FWOS:000506917800102","View Full Record in Web of Science")</f>
        <v>View Full Record in Web of Science</v>
      </c>
    </row>
    <row r="629" ht="12.75" customHeight="1">
      <c r="A629" s="1" t="s">
        <v>72</v>
      </c>
      <c r="B629" s="1" t="s">
        <v>6363</v>
      </c>
      <c r="C629" s="1" t="s">
        <v>74</v>
      </c>
      <c r="D629" s="1" t="s">
        <v>74</v>
      </c>
      <c r="E629" s="1" t="s">
        <v>74</v>
      </c>
      <c r="F629" s="1" t="s">
        <v>6364</v>
      </c>
      <c r="G629" s="1" t="s">
        <v>74</v>
      </c>
      <c r="H629" s="1" t="s">
        <v>74</v>
      </c>
      <c r="I629" s="1" t="s">
        <v>6365</v>
      </c>
      <c r="J629" s="1" t="s">
        <v>3798</v>
      </c>
      <c r="K629" s="1" t="s">
        <v>74</v>
      </c>
      <c r="L629" s="1" t="s">
        <v>74</v>
      </c>
      <c r="M629" s="1" t="s">
        <v>74</v>
      </c>
      <c r="N629" s="1" t="s">
        <v>74</v>
      </c>
      <c r="O629" s="1" t="s">
        <v>74</v>
      </c>
      <c r="P629" s="1" t="s">
        <v>74</v>
      </c>
      <c r="Q629" s="1" t="s">
        <v>74</v>
      </c>
      <c r="R629" s="1" t="s">
        <v>74</v>
      </c>
      <c r="S629" s="1" t="s">
        <v>74</v>
      </c>
      <c r="T629" s="1" t="s">
        <v>74</v>
      </c>
      <c r="U629" s="1" t="s">
        <v>74</v>
      </c>
      <c r="V629" s="1" t="s">
        <v>6366</v>
      </c>
      <c r="W629" s="1" t="s">
        <v>74</v>
      </c>
      <c r="X629" s="1" t="s">
        <v>74</v>
      </c>
      <c r="Y629" s="1" t="s">
        <v>74</v>
      </c>
      <c r="Z629" s="1" t="s">
        <v>74</v>
      </c>
      <c r="AA629" s="1" t="s">
        <v>6367</v>
      </c>
      <c r="AB629" s="1" t="s">
        <v>6368</v>
      </c>
      <c r="AC629" s="1" t="s">
        <v>74</v>
      </c>
      <c r="AD629" s="1" t="s">
        <v>74</v>
      </c>
      <c r="AE629" s="1" t="s">
        <v>74</v>
      </c>
      <c r="AF629" s="1" t="s">
        <v>74</v>
      </c>
      <c r="AG629" s="1" t="s">
        <v>74</v>
      </c>
      <c r="AH629" s="1" t="s">
        <v>74</v>
      </c>
      <c r="AI629" s="1" t="s">
        <v>74</v>
      </c>
      <c r="AJ629" s="1" t="s">
        <v>74</v>
      </c>
      <c r="AK629" s="1" t="s">
        <v>74</v>
      </c>
      <c r="AL629" s="1" t="s">
        <v>74</v>
      </c>
      <c r="AM629" s="1" t="s">
        <v>74</v>
      </c>
      <c r="AN629" s="1" t="s">
        <v>74</v>
      </c>
      <c r="AO629" s="1" t="s">
        <v>3802</v>
      </c>
      <c r="AP629" s="1" t="s">
        <v>3803</v>
      </c>
      <c r="AQ629" s="1" t="s">
        <v>74</v>
      </c>
      <c r="AR629" s="1" t="s">
        <v>74</v>
      </c>
      <c r="AS629" s="1" t="s">
        <v>74</v>
      </c>
      <c r="AT629" s="1" t="s">
        <v>398</v>
      </c>
      <c r="AU629" s="1">
        <v>2019.0</v>
      </c>
      <c r="AV629" s="1">
        <v>161.0</v>
      </c>
      <c r="AW629" s="1" t="s">
        <v>74</v>
      </c>
      <c r="AX629" s="1" t="s">
        <v>74</v>
      </c>
      <c r="AY629" s="1" t="s">
        <v>74</v>
      </c>
      <c r="AZ629" s="1" t="s">
        <v>74</v>
      </c>
      <c r="BA629" s="1" t="s">
        <v>74</v>
      </c>
      <c r="BB629" s="1">
        <v>370.0</v>
      </c>
      <c r="BC629" s="1">
        <v>381.0</v>
      </c>
      <c r="BD629" s="1" t="s">
        <v>74</v>
      </c>
      <c r="BE629" s="1" t="s">
        <v>6369</v>
      </c>
      <c r="BF629" s="2" t="str">
        <f>HYPERLINK("http://dx.doi.org/10.1016/j.dyepig.2018.08.044","http://dx.doi.org/10.1016/j.dyepig.2018.08.044")</f>
        <v>http://dx.doi.org/10.1016/j.dyepig.2018.08.044</v>
      </c>
      <c r="BG629" s="1" t="s">
        <v>74</v>
      </c>
      <c r="BH629" s="1" t="s">
        <v>74</v>
      </c>
      <c r="BI629" s="1" t="s">
        <v>74</v>
      </c>
      <c r="BJ629" s="1" t="s">
        <v>74</v>
      </c>
      <c r="BK629" s="1" t="s">
        <v>74</v>
      </c>
      <c r="BL629" s="1" t="s">
        <v>74</v>
      </c>
      <c r="BM629" s="1" t="s">
        <v>74</v>
      </c>
      <c r="BN629" s="1" t="s">
        <v>74</v>
      </c>
      <c r="BO629" s="1" t="s">
        <v>74</v>
      </c>
      <c r="BP629" s="1" t="s">
        <v>74</v>
      </c>
      <c r="BQ629" s="1" t="s">
        <v>74</v>
      </c>
      <c r="BR629" s="1" t="s">
        <v>74</v>
      </c>
      <c r="BS629" s="1" t="s">
        <v>6370</v>
      </c>
      <c r="BT629" s="1" t="str">
        <f>HYPERLINK("https%3A%2F%2Fwww.webofscience.com%2Fwos%2Fwoscc%2Ffull-record%2FWOS:000449241200045","View Full Record in Web of Science")</f>
        <v>View Full Record in Web of Science</v>
      </c>
    </row>
    <row r="630" ht="12.75" customHeight="1">
      <c r="A630" s="1" t="s">
        <v>647</v>
      </c>
      <c r="B630" s="1" t="s">
        <v>6371</v>
      </c>
      <c r="C630" s="1" t="s">
        <v>74</v>
      </c>
      <c r="D630" s="1" t="s">
        <v>74</v>
      </c>
      <c r="E630" s="1" t="s">
        <v>649</v>
      </c>
      <c r="F630" s="1" t="s">
        <v>6372</v>
      </c>
      <c r="G630" s="1" t="s">
        <v>74</v>
      </c>
      <c r="H630" s="1" t="s">
        <v>74</v>
      </c>
      <c r="I630" s="1" t="s">
        <v>6373</v>
      </c>
      <c r="J630" s="1" t="s">
        <v>6374</v>
      </c>
      <c r="K630" s="1" t="s">
        <v>74</v>
      </c>
      <c r="L630" s="1" t="s">
        <v>74</v>
      </c>
      <c r="M630" s="1" t="s">
        <v>74</v>
      </c>
      <c r="N630" s="1" t="s">
        <v>74</v>
      </c>
      <c r="O630" s="1" t="s">
        <v>6375</v>
      </c>
      <c r="P630" s="1" t="s">
        <v>6376</v>
      </c>
      <c r="Q630" s="1" t="s">
        <v>6377</v>
      </c>
      <c r="R630" s="1" t="s">
        <v>6378</v>
      </c>
      <c r="S630" s="1" t="s">
        <v>74</v>
      </c>
      <c r="T630" s="1" t="s">
        <v>74</v>
      </c>
      <c r="U630" s="1" t="s">
        <v>74</v>
      </c>
      <c r="V630" s="1" t="s">
        <v>6379</v>
      </c>
      <c r="W630" s="1" t="s">
        <v>74</v>
      </c>
      <c r="X630" s="1" t="s">
        <v>74</v>
      </c>
      <c r="Y630" s="1" t="s">
        <v>74</v>
      </c>
      <c r="Z630" s="1" t="s">
        <v>74</v>
      </c>
      <c r="AA630" s="1" t="s">
        <v>6380</v>
      </c>
      <c r="AB630" s="1" t="s">
        <v>74</v>
      </c>
      <c r="AC630" s="1" t="s">
        <v>74</v>
      </c>
      <c r="AD630" s="1" t="s">
        <v>74</v>
      </c>
      <c r="AE630" s="1" t="s">
        <v>74</v>
      </c>
      <c r="AF630" s="1" t="s">
        <v>74</v>
      </c>
      <c r="AG630" s="1" t="s">
        <v>74</v>
      </c>
      <c r="AH630" s="1" t="s">
        <v>74</v>
      </c>
      <c r="AI630" s="1" t="s">
        <v>74</v>
      </c>
      <c r="AJ630" s="1" t="s">
        <v>74</v>
      </c>
      <c r="AK630" s="1" t="s">
        <v>74</v>
      </c>
      <c r="AL630" s="1" t="s">
        <v>74</v>
      </c>
      <c r="AM630" s="1" t="s">
        <v>74</v>
      </c>
      <c r="AN630" s="1" t="s">
        <v>74</v>
      </c>
      <c r="AO630" s="1" t="s">
        <v>74</v>
      </c>
      <c r="AP630" s="1" t="s">
        <v>74</v>
      </c>
      <c r="AQ630" s="1" t="s">
        <v>74</v>
      </c>
      <c r="AR630" s="1" t="s">
        <v>74</v>
      </c>
      <c r="AS630" s="1" t="s">
        <v>74</v>
      </c>
      <c r="AT630" s="1" t="s">
        <v>74</v>
      </c>
      <c r="AU630" s="1">
        <v>2017.0</v>
      </c>
      <c r="AV630" s="1" t="s">
        <v>74</v>
      </c>
      <c r="AW630" s="1" t="s">
        <v>74</v>
      </c>
      <c r="AX630" s="1" t="s">
        <v>74</v>
      </c>
      <c r="AY630" s="1" t="s">
        <v>74</v>
      </c>
      <c r="AZ630" s="1" t="s">
        <v>74</v>
      </c>
      <c r="BA630" s="1" t="s">
        <v>74</v>
      </c>
      <c r="BB630" s="1">
        <v>236.0</v>
      </c>
      <c r="BC630" s="1">
        <v>241.0</v>
      </c>
      <c r="BD630" s="1" t="s">
        <v>74</v>
      </c>
      <c r="BE630" s="1" t="s">
        <v>74</v>
      </c>
      <c r="BF630" s="1" t="s">
        <v>74</v>
      </c>
      <c r="BG630" s="1" t="s">
        <v>74</v>
      </c>
      <c r="BH630" s="1" t="s">
        <v>74</v>
      </c>
      <c r="BI630" s="1" t="s">
        <v>74</v>
      </c>
      <c r="BJ630" s="1" t="s">
        <v>74</v>
      </c>
      <c r="BK630" s="1" t="s">
        <v>74</v>
      </c>
      <c r="BL630" s="1" t="s">
        <v>74</v>
      </c>
      <c r="BM630" s="1" t="s">
        <v>74</v>
      </c>
      <c r="BN630" s="1" t="s">
        <v>74</v>
      </c>
      <c r="BO630" s="1" t="s">
        <v>74</v>
      </c>
      <c r="BP630" s="1" t="s">
        <v>74</v>
      </c>
      <c r="BQ630" s="1" t="s">
        <v>74</v>
      </c>
      <c r="BR630" s="1" t="s">
        <v>74</v>
      </c>
      <c r="BS630" s="1" t="s">
        <v>6381</v>
      </c>
      <c r="BT630" s="1" t="str">
        <f>HYPERLINK("https%3A%2F%2Fwww.webofscience.com%2Fwos%2Fwoscc%2Ffull-record%2FWOS:000454362300040","View Full Record in Web of Science")</f>
        <v>View Full Record in Web of Science</v>
      </c>
    </row>
    <row r="631" ht="12.75" customHeight="1">
      <c r="A631" s="1" t="s">
        <v>72</v>
      </c>
      <c r="B631" s="1" t="s">
        <v>6382</v>
      </c>
      <c r="C631" s="1" t="s">
        <v>74</v>
      </c>
      <c r="D631" s="1" t="s">
        <v>74</v>
      </c>
      <c r="E631" s="1" t="s">
        <v>74</v>
      </c>
      <c r="F631" s="1" t="s">
        <v>6383</v>
      </c>
      <c r="G631" s="1" t="s">
        <v>74</v>
      </c>
      <c r="H631" s="1" t="s">
        <v>74</v>
      </c>
      <c r="I631" s="1" t="s">
        <v>6384</v>
      </c>
      <c r="J631" s="1" t="s">
        <v>1734</v>
      </c>
      <c r="K631" s="1" t="s">
        <v>74</v>
      </c>
      <c r="L631" s="1" t="s">
        <v>74</v>
      </c>
      <c r="M631" s="1" t="s">
        <v>74</v>
      </c>
      <c r="N631" s="1" t="s">
        <v>74</v>
      </c>
      <c r="O631" s="1" t="s">
        <v>74</v>
      </c>
      <c r="P631" s="1" t="s">
        <v>74</v>
      </c>
      <c r="Q631" s="1" t="s">
        <v>74</v>
      </c>
      <c r="R631" s="1" t="s">
        <v>74</v>
      </c>
      <c r="S631" s="1" t="s">
        <v>74</v>
      </c>
      <c r="T631" s="1" t="s">
        <v>74</v>
      </c>
      <c r="U631" s="1" t="s">
        <v>74</v>
      </c>
      <c r="V631" s="1" t="s">
        <v>6385</v>
      </c>
      <c r="W631" s="1" t="s">
        <v>74</v>
      </c>
      <c r="X631" s="1" t="s">
        <v>74</v>
      </c>
      <c r="Y631" s="1" t="s">
        <v>74</v>
      </c>
      <c r="Z631" s="1" t="s">
        <v>74</v>
      </c>
      <c r="AA631" s="1" t="s">
        <v>6386</v>
      </c>
      <c r="AB631" s="1" t="s">
        <v>6387</v>
      </c>
      <c r="AC631" s="1" t="s">
        <v>74</v>
      </c>
      <c r="AD631" s="1" t="s">
        <v>74</v>
      </c>
      <c r="AE631" s="1" t="s">
        <v>74</v>
      </c>
      <c r="AF631" s="1" t="s">
        <v>74</v>
      </c>
      <c r="AG631" s="1" t="s">
        <v>74</v>
      </c>
      <c r="AH631" s="1" t="s">
        <v>74</v>
      </c>
      <c r="AI631" s="1" t="s">
        <v>74</v>
      </c>
      <c r="AJ631" s="1" t="s">
        <v>74</v>
      </c>
      <c r="AK631" s="1" t="s">
        <v>74</v>
      </c>
      <c r="AL631" s="1" t="s">
        <v>74</v>
      </c>
      <c r="AM631" s="1" t="s">
        <v>74</v>
      </c>
      <c r="AN631" s="1" t="s">
        <v>74</v>
      </c>
      <c r="AO631" s="1" t="s">
        <v>1737</v>
      </c>
      <c r="AP631" s="1" t="s">
        <v>1738</v>
      </c>
      <c r="AQ631" s="1" t="s">
        <v>74</v>
      </c>
      <c r="AR631" s="1" t="s">
        <v>74</v>
      </c>
      <c r="AS631" s="1" t="s">
        <v>74</v>
      </c>
      <c r="AT631" s="1" t="s">
        <v>464</v>
      </c>
      <c r="AU631" s="1">
        <v>2017.0</v>
      </c>
      <c r="AV631" s="1">
        <v>145.0</v>
      </c>
      <c r="AW631" s="1">
        <v>1.0</v>
      </c>
      <c r="AX631" s="1" t="s">
        <v>74</v>
      </c>
      <c r="AY631" s="1" t="s">
        <v>74</v>
      </c>
      <c r="AZ631" s="1" t="s">
        <v>74</v>
      </c>
      <c r="BA631" s="1" t="s">
        <v>74</v>
      </c>
      <c r="BB631" s="1">
        <v>25.0</v>
      </c>
      <c r="BC631" s="1">
        <v>32.0</v>
      </c>
      <c r="BD631" s="1" t="s">
        <v>74</v>
      </c>
      <c r="BE631" s="1" t="s">
        <v>6388</v>
      </c>
      <c r="BF631" s="2" t="str">
        <f>HYPERLINK("http://dx.doi.org/10.4067/S0034-98872017000100004","http://dx.doi.org/10.4067/S0034-98872017000100004")</f>
        <v>http://dx.doi.org/10.4067/S0034-98872017000100004</v>
      </c>
      <c r="BG631" s="1" t="s">
        <v>74</v>
      </c>
      <c r="BH631" s="1" t="s">
        <v>74</v>
      </c>
      <c r="BI631" s="1" t="s">
        <v>74</v>
      </c>
      <c r="BJ631" s="1" t="s">
        <v>74</v>
      </c>
      <c r="BK631" s="1" t="s">
        <v>74</v>
      </c>
      <c r="BL631" s="1" t="s">
        <v>74</v>
      </c>
      <c r="BM631" s="1" t="s">
        <v>74</v>
      </c>
      <c r="BN631" s="1">
        <v>2.8393966E7</v>
      </c>
      <c r="BO631" s="1" t="s">
        <v>74</v>
      </c>
      <c r="BP631" s="1" t="s">
        <v>74</v>
      </c>
      <c r="BQ631" s="1" t="s">
        <v>74</v>
      </c>
      <c r="BR631" s="1" t="s">
        <v>74</v>
      </c>
      <c r="BS631" s="1" t="s">
        <v>6389</v>
      </c>
      <c r="BT631" s="1" t="str">
        <f>HYPERLINK("https%3A%2F%2Fwww.webofscience.com%2Fwos%2Fwoscc%2Ffull-record%2FWOS:000395362900004","View Full Record in Web of Science")</f>
        <v>View Full Record in Web of Science</v>
      </c>
    </row>
    <row r="632" ht="12.75" customHeight="1">
      <c r="A632" s="1" t="s">
        <v>72</v>
      </c>
      <c r="B632" s="1" t="s">
        <v>6390</v>
      </c>
      <c r="C632" s="1" t="s">
        <v>74</v>
      </c>
      <c r="D632" s="1" t="s">
        <v>74</v>
      </c>
      <c r="E632" s="1" t="s">
        <v>74</v>
      </c>
      <c r="F632" s="1" t="s">
        <v>6391</v>
      </c>
      <c r="G632" s="1" t="s">
        <v>74</v>
      </c>
      <c r="H632" s="1" t="s">
        <v>74</v>
      </c>
      <c r="I632" s="1" t="s">
        <v>6392</v>
      </c>
      <c r="J632" s="1" t="s">
        <v>2376</v>
      </c>
      <c r="K632" s="1" t="s">
        <v>74</v>
      </c>
      <c r="L632" s="1" t="s">
        <v>74</v>
      </c>
      <c r="M632" s="1" t="s">
        <v>74</v>
      </c>
      <c r="N632" s="1" t="s">
        <v>74</v>
      </c>
      <c r="O632" s="1" t="s">
        <v>74</v>
      </c>
      <c r="P632" s="1" t="s">
        <v>74</v>
      </c>
      <c r="Q632" s="1" t="s">
        <v>74</v>
      </c>
      <c r="R632" s="1" t="s">
        <v>74</v>
      </c>
      <c r="S632" s="1" t="s">
        <v>74</v>
      </c>
      <c r="T632" s="1" t="s">
        <v>74</v>
      </c>
      <c r="U632" s="1" t="s">
        <v>74</v>
      </c>
      <c r="V632" s="1" t="s">
        <v>6393</v>
      </c>
      <c r="W632" s="1" t="s">
        <v>74</v>
      </c>
      <c r="X632" s="1" t="s">
        <v>74</v>
      </c>
      <c r="Y632" s="1" t="s">
        <v>74</v>
      </c>
      <c r="Z632" s="1" t="s">
        <v>74</v>
      </c>
      <c r="AA632" s="1" t="s">
        <v>6394</v>
      </c>
      <c r="AB632" s="1" t="s">
        <v>6395</v>
      </c>
      <c r="AC632" s="1" t="s">
        <v>74</v>
      </c>
      <c r="AD632" s="1" t="s">
        <v>74</v>
      </c>
      <c r="AE632" s="1" t="s">
        <v>74</v>
      </c>
      <c r="AF632" s="1" t="s">
        <v>74</v>
      </c>
      <c r="AG632" s="1" t="s">
        <v>74</v>
      </c>
      <c r="AH632" s="1" t="s">
        <v>74</v>
      </c>
      <c r="AI632" s="1" t="s">
        <v>74</v>
      </c>
      <c r="AJ632" s="1" t="s">
        <v>74</v>
      </c>
      <c r="AK632" s="1" t="s">
        <v>74</v>
      </c>
      <c r="AL632" s="1" t="s">
        <v>74</v>
      </c>
      <c r="AM632" s="1" t="s">
        <v>74</v>
      </c>
      <c r="AN632" s="1" t="s">
        <v>74</v>
      </c>
      <c r="AO632" s="1" t="s">
        <v>2380</v>
      </c>
      <c r="AP632" s="1" t="s">
        <v>2381</v>
      </c>
      <c r="AQ632" s="1" t="s">
        <v>74</v>
      </c>
      <c r="AR632" s="1" t="s">
        <v>74</v>
      </c>
      <c r="AS632" s="1" t="s">
        <v>74</v>
      </c>
      <c r="AT632" s="1" t="s">
        <v>6396</v>
      </c>
      <c r="AU632" s="1">
        <v>2016.0</v>
      </c>
      <c r="AV632" s="1">
        <v>672.0</v>
      </c>
      <c r="AW632" s="1" t="s">
        <v>74</v>
      </c>
      <c r="AX632" s="1" t="s">
        <v>74</v>
      </c>
      <c r="AY632" s="1" t="s">
        <v>74</v>
      </c>
      <c r="AZ632" s="1" t="s">
        <v>74</v>
      </c>
      <c r="BA632" s="1" t="s">
        <v>74</v>
      </c>
      <c r="BB632" s="1">
        <v>307.0</v>
      </c>
      <c r="BC632" s="1">
        <v>316.0</v>
      </c>
      <c r="BD632" s="1" t="s">
        <v>74</v>
      </c>
      <c r="BE632" s="1" t="s">
        <v>6397</v>
      </c>
      <c r="BF632" s="2" t="str">
        <f>HYPERLINK("http://dx.doi.org/10.1016/j.jallcom.2016.02.090","http://dx.doi.org/10.1016/j.jallcom.2016.02.090")</f>
        <v>http://dx.doi.org/10.1016/j.jallcom.2016.02.090</v>
      </c>
      <c r="BG632" s="1" t="s">
        <v>74</v>
      </c>
      <c r="BH632" s="1" t="s">
        <v>74</v>
      </c>
      <c r="BI632" s="1" t="s">
        <v>74</v>
      </c>
      <c r="BJ632" s="1" t="s">
        <v>74</v>
      </c>
      <c r="BK632" s="1" t="s">
        <v>74</v>
      </c>
      <c r="BL632" s="1" t="s">
        <v>74</v>
      </c>
      <c r="BM632" s="1" t="s">
        <v>74</v>
      </c>
      <c r="BN632" s="1" t="s">
        <v>74</v>
      </c>
      <c r="BO632" s="1" t="s">
        <v>74</v>
      </c>
      <c r="BP632" s="1" t="s">
        <v>74</v>
      </c>
      <c r="BQ632" s="1" t="s">
        <v>74</v>
      </c>
      <c r="BR632" s="1" t="s">
        <v>74</v>
      </c>
      <c r="BS632" s="1" t="s">
        <v>6398</v>
      </c>
      <c r="BT632" s="1" t="str">
        <f>HYPERLINK("https%3A%2F%2Fwww.webofscience.com%2Fwos%2Fwoscc%2Ffull-record%2FWOS:000373464000043","View Full Record in Web of Science")</f>
        <v>View Full Record in Web of Science</v>
      </c>
    </row>
    <row r="633" ht="12.75" customHeight="1">
      <c r="A633" s="1" t="s">
        <v>72</v>
      </c>
      <c r="B633" s="1" t="s">
        <v>6399</v>
      </c>
      <c r="C633" s="1" t="s">
        <v>74</v>
      </c>
      <c r="D633" s="1" t="s">
        <v>74</v>
      </c>
      <c r="E633" s="1" t="s">
        <v>74</v>
      </c>
      <c r="F633" s="1" t="s">
        <v>6400</v>
      </c>
      <c r="G633" s="1" t="s">
        <v>74</v>
      </c>
      <c r="H633" s="1" t="s">
        <v>74</v>
      </c>
      <c r="I633" s="1" t="s">
        <v>6401</v>
      </c>
      <c r="J633" s="1" t="s">
        <v>1548</v>
      </c>
      <c r="K633" s="1" t="s">
        <v>74</v>
      </c>
      <c r="L633" s="1" t="s">
        <v>74</v>
      </c>
      <c r="M633" s="1" t="s">
        <v>74</v>
      </c>
      <c r="N633" s="1" t="s">
        <v>74</v>
      </c>
      <c r="O633" s="1" t="s">
        <v>74</v>
      </c>
      <c r="P633" s="1" t="s">
        <v>74</v>
      </c>
      <c r="Q633" s="1" t="s">
        <v>74</v>
      </c>
      <c r="R633" s="1" t="s">
        <v>74</v>
      </c>
      <c r="S633" s="1" t="s">
        <v>74</v>
      </c>
      <c r="T633" s="1" t="s">
        <v>74</v>
      </c>
      <c r="U633" s="1" t="s">
        <v>74</v>
      </c>
      <c r="V633" s="1" t="s">
        <v>6402</v>
      </c>
      <c r="W633" s="1" t="s">
        <v>74</v>
      </c>
      <c r="X633" s="1" t="s">
        <v>74</v>
      </c>
      <c r="Y633" s="1" t="s">
        <v>74</v>
      </c>
      <c r="Z633" s="1" t="s">
        <v>74</v>
      </c>
      <c r="AA633" s="1" t="s">
        <v>6403</v>
      </c>
      <c r="AB633" s="1" t="s">
        <v>6404</v>
      </c>
      <c r="AC633" s="1" t="s">
        <v>74</v>
      </c>
      <c r="AD633" s="1" t="s">
        <v>74</v>
      </c>
      <c r="AE633" s="1" t="s">
        <v>74</v>
      </c>
      <c r="AF633" s="1" t="s">
        <v>74</v>
      </c>
      <c r="AG633" s="1" t="s">
        <v>74</v>
      </c>
      <c r="AH633" s="1" t="s">
        <v>74</v>
      </c>
      <c r="AI633" s="1" t="s">
        <v>74</v>
      </c>
      <c r="AJ633" s="1" t="s">
        <v>74</v>
      </c>
      <c r="AK633" s="1" t="s">
        <v>74</v>
      </c>
      <c r="AL633" s="1" t="s">
        <v>74</v>
      </c>
      <c r="AM633" s="1" t="s">
        <v>74</v>
      </c>
      <c r="AN633" s="1" t="s">
        <v>74</v>
      </c>
      <c r="AO633" s="1" t="s">
        <v>1552</v>
      </c>
      <c r="AP633" s="1" t="s">
        <v>1553</v>
      </c>
      <c r="AQ633" s="1" t="s">
        <v>74</v>
      </c>
      <c r="AR633" s="1" t="s">
        <v>74</v>
      </c>
      <c r="AS633" s="1" t="s">
        <v>74</v>
      </c>
      <c r="AT633" s="1" t="s">
        <v>559</v>
      </c>
      <c r="AU633" s="1">
        <v>2015.0</v>
      </c>
      <c r="AV633" s="1">
        <v>32.0</v>
      </c>
      <c r="AW633" s="1">
        <v>6.0</v>
      </c>
      <c r="AX633" s="1" t="s">
        <v>74</v>
      </c>
      <c r="AY633" s="1" t="s">
        <v>74</v>
      </c>
      <c r="AZ633" s="1" t="s">
        <v>74</v>
      </c>
      <c r="BA633" s="1" t="s">
        <v>74</v>
      </c>
      <c r="BB633" s="1">
        <v>2832.0</v>
      </c>
      <c r="BC633" s="1">
        <v>2837.0</v>
      </c>
      <c r="BD633" s="1" t="s">
        <v>74</v>
      </c>
      <c r="BE633" s="1" t="s">
        <v>6405</v>
      </c>
      <c r="BF633" s="2" t="str">
        <f>HYPERLINK("http://dx.doi.org/10.3305/nh.2015.32.6.9893","http://dx.doi.org/10.3305/nh.2015.32.6.9893")</f>
        <v>http://dx.doi.org/10.3305/nh.2015.32.6.9893</v>
      </c>
      <c r="BG633" s="1" t="s">
        <v>74</v>
      </c>
      <c r="BH633" s="1" t="s">
        <v>74</v>
      </c>
      <c r="BI633" s="1" t="s">
        <v>74</v>
      </c>
      <c r="BJ633" s="1" t="s">
        <v>74</v>
      </c>
      <c r="BK633" s="1" t="s">
        <v>74</v>
      </c>
      <c r="BL633" s="1" t="s">
        <v>74</v>
      </c>
      <c r="BM633" s="1" t="s">
        <v>74</v>
      </c>
      <c r="BN633" s="1">
        <v>2.6667741E7</v>
      </c>
      <c r="BO633" s="1" t="s">
        <v>74</v>
      </c>
      <c r="BP633" s="1" t="s">
        <v>74</v>
      </c>
      <c r="BQ633" s="1" t="s">
        <v>74</v>
      </c>
      <c r="BR633" s="1" t="s">
        <v>74</v>
      </c>
      <c r="BS633" s="1" t="s">
        <v>6406</v>
      </c>
      <c r="BT633" s="1" t="str">
        <f>HYPERLINK("https%3A%2F%2Fwww.webofscience.com%2Fwos%2Fwoscc%2Ffull-record%2FWOS:000367417600063","View Full Record in Web of Science")</f>
        <v>View Full Record in Web of Science</v>
      </c>
    </row>
    <row r="634" ht="12.75" customHeight="1">
      <c r="A634" s="1" t="s">
        <v>72</v>
      </c>
      <c r="B634" s="1" t="s">
        <v>6407</v>
      </c>
      <c r="C634" s="1" t="s">
        <v>74</v>
      </c>
      <c r="D634" s="1" t="s">
        <v>74</v>
      </c>
      <c r="E634" s="1" t="s">
        <v>74</v>
      </c>
      <c r="F634" s="1" t="s">
        <v>6408</v>
      </c>
      <c r="G634" s="1" t="s">
        <v>74</v>
      </c>
      <c r="H634" s="1" t="s">
        <v>74</v>
      </c>
      <c r="I634" s="1" t="s">
        <v>6409</v>
      </c>
      <c r="J634" s="1" t="s">
        <v>1734</v>
      </c>
      <c r="K634" s="1" t="s">
        <v>74</v>
      </c>
      <c r="L634" s="1" t="s">
        <v>74</v>
      </c>
      <c r="M634" s="1" t="s">
        <v>74</v>
      </c>
      <c r="N634" s="1" t="s">
        <v>74</v>
      </c>
      <c r="O634" s="1" t="s">
        <v>74</v>
      </c>
      <c r="P634" s="1" t="s">
        <v>74</v>
      </c>
      <c r="Q634" s="1" t="s">
        <v>74</v>
      </c>
      <c r="R634" s="1" t="s">
        <v>74</v>
      </c>
      <c r="S634" s="1" t="s">
        <v>74</v>
      </c>
      <c r="T634" s="1" t="s">
        <v>74</v>
      </c>
      <c r="U634" s="1" t="s">
        <v>74</v>
      </c>
      <c r="V634" s="1" t="s">
        <v>6410</v>
      </c>
      <c r="W634" s="1" t="s">
        <v>74</v>
      </c>
      <c r="X634" s="1" t="s">
        <v>74</v>
      </c>
      <c r="Y634" s="1" t="s">
        <v>74</v>
      </c>
      <c r="Z634" s="1" t="s">
        <v>74</v>
      </c>
      <c r="AA634" s="1" t="s">
        <v>6411</v>
      </c>
      <c r="AB634" s="1" t="s">
        <v>6412</v>
      </c>
      <c r="AC634" s="1" t="s">
        <v>74</v>
      </c>
      <c r="AD634" s="1" t="s">
        <v>74</v>
      </c>
      <c r="AE634" s="1" t="s">
        <v>74</v>
      </c>
      <c r="AF634" s="1" t="s">
        <v>74</v>
      </c>
      <c r="AG634" s="1" t="s">
        <v>74</v>
      </c>
      <c r="AH634" s="1" t="s">
        <v>74</v>
      </c>
      <c r="AI634" s="1" t="s">
        <v>74</v>
      </c>
      <c r="AJ634" s="1" t="s">
        <v>74</v>
      </c>
      <c r="AK634" s="1" t="s">
        <v>74</v>
      </c>
      <c r="AL634" s="1" t="s">
        <v>74</v>
      </c>
      <c r="AM634" s="1" t="s">
        <v>74</v>
      </c>
      <c r="AN634" s="1" t="s">
        <v>74</v>
      </c>
      <c r="AO634" s="1" t="s">
        <v>1737</v>
      </c>
      <c r="AP634" s="1" t="s">
        <v>1738</v>
      </c>
      <c r="AQ634" s="1" t="s">
        <v>74</v>
      </c>
      <c r="AR634" s="1" t="s">
        <v>74</v>
      </c>
      <c r="AS634" s="1" t="s">
        <v>74</v>
      </c>
      <c r="AT634" s="1" t="s">
        <v>250</v>
      </c>
      <c r="AU634" s="1">
        <v>2015.0</v>
      </c>
      <c r="AV634" s="1">
        <v>143.0</v>
      </c>
      <c r="AW634" s="1">
        <v>9.0</v>
      </c>
      <c r="AX634" s="1" t="s">
        <v>74</v>
      </c>
      <c r="AY634" s="1" t="s">
        <v>74</v>
      </c>
      <c r="AZ634" s="1" t="s">
        <v>74</v>
      </c>
      <c r="BA634" s="1" t="s">
        <v>74</v>
      </c>
      <c r="BB634" s="1">
        <v>1144.0</v>
      </c>
      <c r="BC634" s="1">
        <v>1151.0</v>
      </c>
      <c r="BD634" s="1" t="s">
        <v>74</v>
      </c>
      <c r="BE634" s="1" t="s">
        <v>6413</v>
      </c>
      <c r="BF634" s="2" t="str">
        <f>HYPERLINK("http://dx.doi.org/10.4067/S0034-98872015000900007","http://dx.doi.org/10.4067/S0034-98872015000900007")</f>
        <v>http://dx.doi.org/10.4067/S0034-98872015000900007</v>
      </c>
      <c r="BG634" s="1" t="s">
        <v>74</v>
      </c>
      <c r="BH634" s="1" t="s">
        <v>74</v>
      </c>
      <c r="BI634" s="1" t="s">
        <v>74</v>
      </c>
      <c r="BJ634" s="1" t="s">
        <v>74</v>
      </c>
      <c r="BK634" s="1" t="s">
        <v>74</v>
      </c>
      <c r="BL634" s="1" t="s">
        <v>74</v>
      </c>
      <c r="BM634" s="1" t="s">
        <v>74</v>
      </c>
      <c r="BN634" s="1">
        <v>2.6530197E7</v>
      </c>
      <c r="BO634" s="1" t="s">
        <v>74</v>
      </c>
      <c r="BP634" s="1" t="s">
        <v>74</v>
      </c>
      <c r="BQ634" s="1" t="s">
        <v>74</v>
      </c>
      <c r="BR634" s="1" t="s">
        <v>74</v>
      </c>
      <c r="BS634" s="1" t="s">
        <v>6414</v>
      </c>
      <c r="BT634" s="1" t="str">
        <f>HYPERLINK("https%3A%2F%2Fwww.webofscience.com%2Fwos%2Fwoscc%2Ffull-record%2FWOS:000365247800007","View Full Record in Web of Science")</f>
        <v>View Full Record in Web of Science</v>
      </c>
    </row>
    <row r="635" ht="12.75" customHeight="1">
      <c r="A635" s="1" t="s">
        <v>72</v>
      </c>
      <c r="B635" s="1" t="s">
        <v>6415</v>
      </c>
      <c r="C635" s="1" t="s">
        <v>74</v>
      </c>
      <c r="D635" s="1" t="s">
        <v>74</v>
      </c>
      <c r="E635" s="1" t="s">
        <v>74</v>
      </c>
      <c r="F635" s="1" t="s">
        <v>6416</v>
      </c>
      <c r="G635" s="1" t="s">
        <v>74</v>
      </c>
      <c r="H635" s="1" t="s">
        <v>74</v>
      </c>
      <c r="I635" s="1" t="s">
        <v>6417</v>
      </c>
      <c r="J635" s="1" t="s">
        <v>2133</v>
      </c>
      <c r="K635" s="1" t="s">
        <v>74</v>
      </c>
      <c r="L635" s="1" t="s">
        <v>74</v>
      </c>
      <c r="M635" s="1" t="s">
        <v>74</v>
      </c>
      <c r="N635" s="1" t="s">
        <v>74</v>
      </c>
      <c r="O635" s="1" t="s">
        <v>74</v>
      </c>
      <c r="P635" s="1" t="s">
        <v>74</v>
      </c>
      <c r="Q635" s="1" t="s">
        <v>74</v>
      </c>
      <c r="R635" s="1" t="s">
        <v>74</v>
      </c>
      <c r="S635" s="1" t="s">
        <v>74</v>
      </c>
      <c r="T635" s="1" t="s">
        <v>74</v>
      </c>
      <c r="U635" s="1" t="s">
        <v>74</v>
      </c>
      <c r="V635" s="1" t="s">
        <v>6418</v>
      </c>
      <c r="W635" s="1" t="s">
        <v>74</v>
      </c>
      <c r="X635" s="1" t="s">
        <v>74</v>
      </c>
      <c r="Y635" s="1" t="s">
        <v>74</v>
      </c>
      <c r="Z635" s="1" t="s">
        <v>74</v>
      </c>
      <c r="AA635" s="1" t="s">
        <v>6066</v>
      </c>
      <c r="AB635" s="1" t="s">
        <v>6419</v>
      </c>
      <c r="AC635" s="1" t="s">
        <v>74</v>
      </c>
      <c r="AD635" s="1" t="s">
        <v>74</v>
      </c>
      <c r="AE635" s="1" t="s">
        <v>74</v>
      </c>
      <c r="AF635" s="1" t="s">
        <v>74</v>
      </c>
      <c r="AG635" s="1" t="s">
        <v>74</v>
      </c>
      <c r="AH635" s="1" t="s">
        <v>74</v>
      </c>
      <c r="AI635" s="1" t="s">
        <v>74</v>
      </c>
      <c r="AJ635" s="1" t="s">
        <v>74</v>
      </c>
      <c r="AK635" s="1" t="s">
        <v>74</v>
      </c>
      <c r="AL635" s="1" t="s">
        <v>74</v>
      </c>
      <c r="AM635" s="1" t="s">
        <v>74</v>
      </c>
      <c r="AN635" s="1" t="s">
        <v>74</v>
      </c>
      <c r="AO635" s="1" t="s">
        <v>2136</v>
      </c>
      <c r="AP635" s="1" t="s">
        <v>2137</v>
      </c>
      <c r="AQ635" s="1" t="s">
        <v>74</v>
      </c>
      <c r="AR635" s="1" t="s">
        <v>74</v>
      </c>
      <c r="AS635" s="1" t="s">
        <v>74</v>
      </c>
      <c r="AT635" s="1" t="s">
        <v>398</v>
      </c>
      <c r="AU635" s="1">
        <v>2013.0</v>
      </c>
      <c r="AV635" s="1">
        <v>198.0</v>
      </c>
      <c r="AW635" s="1" t="s">
        <v>74</v>
      </c>
      <c r="AX635" s="1" t="s">
        <v>74</v>
      </c>
      <c r="AY635" s="1" t="s">
        <v>74</v>
      </c>
      <c r="AZ635" s="1" t="s">
        <v>74</v>
      </c>
      <c r="BA635" s="1" t="s">
        <v>74</v>
      </c>
      <c r="BB635" s="1">
        <v>295.0</v>
      </c>
      <c r="BC635" s="1">
        <v>302.0</v>
      </c>
      <c r="BD635" s="1" t="s">
        <v>74</v>
      </c>
      <c r="BE635" s="1" t="s">
        <v>6420</v>
      </c>
      <c r="BF635" s="2" t="str">
        <f>HYPERLINK("http://dx.doi.org/10.1016/j.jssc.2012.10.007","http://dx.doi.org/10.1016/j.jssc.2012.10.007")</f>
        <v>http://dx.doi.org/10.1016/j.jssc.2012.10.007</v>
      </c>
      <c r="BG635" s="1" t="s">
        <v>74</v>
      </c>
      <c r="BH635" s="1" t="s">
        <v>74</v>
      </c>
      <c r="BI635" s="1" t="s">
        <v>74</v>
      </c>
      <c r="BJ635" s="1" t="s">
        <v>74</v>
      </c>
      <c r="BK635" s="1" t="s">
        <v>74</v>
      </c>
      <c r="BL635" s="1" t="s">
        <v>74</v>
      </c>
      <c r="BM635" s="1" t="s">
        <v>74</v>
      </c>
      <c r="BN635" s="1" t="s">
        <v>74</v>
      </c>
      <c r="BO635" s="1" t="s">
        <v>74</v>
      </c>
      <c r="BP635" s="1" t="s">
        <v>74</v>
      </c>
      <c r="BQ635" s="1" t="s">
        <v>74</v>
      </c>
      <c r="BR635" s="1" t="s">
        <v>74</v>
      </c>
      <c r="BS635" s="1" t="s">
        <v>6421</v>
      </c>
      <c r="BT635" s="1" t="str">
        <f>HYPERLINK("https%3A%2F%2Fwww.webofscience.com%2Fwos%2Fwoscc%2Ffull-record%2FWOS:000314320800044","View Full Record in Web of Science")</f>
        <v>View Full Record in Web of Science</v>
      </c>
    </row>
    <row r="636" ht="12.75" customHeight="1">
      <c r="A636" s="1" t="s">
        <v>72</v>
      </c>
      <c r="B636" s="1" t="s">
        <v>6422</v>
      </c>
      <c r="C636" s="1" t="s">
        <v>74</v>
      </c>
      <c r="D636" s="1" t="s">
        <v>74</v>
      </c>
      <c r="E636" s="1" t="s">
        <v>74</v>
      </c>
      <c r="F636" s="1" t="s">
        <v>6423</v>
      </c>
      <c r="G636" s="1" t="s">
        <v>74</v>
      </c>
      <c r="H636" s="1" t="s">
        <v>74</v>
      </c>
      <c r="I636" s="1" t="s">
        <v>6424</v>
      </c>
      <c r="J636" s="1" t="s">
        <v>6425</v>
      </c>
      <c r="K636" s="1" t="s">
        <v>74</v>
      </c>
      <c r="L636" s="1" t="s">
        <v>74</v>
      </c>
      <c r="M636" s="1" t="s">
        <v>74</v>
      </c>
      <c r="N636" s="1" t="s">
        <v>74</v>
      </c>
      <c r="O636" s="1" t="s">
        <v>74</v>
      </c>
      <c r="P636" s="1" t="s">
        <v>74</v>
      </c>
      <c r="Q636" s="1" t="s">
        <v>74</v>
      </c>
      <c r="R636" s="1" t="s">
        <v>74</v>
      </c>
      <c r="S636" s="1" t="s">
        <v>74</v>
      </c>
      <c r="T636" s="1" t="s">
        <v>74</v>
      </c>
      <c r="U636" s="1" t="s">
        <v>74</v>
      </c>
      <c r="V636" s="1" t="s">
        <v>6426</v>
      </c>
      <c r="W636" s="1" t="s">
        <v>74</v>
      </c>
      <c r="X636" s="1" t="s">
        <v>74</v>
      </c>
      <c r="Y636" s="1" t="s">
        <v>74</v>
      </c>
      <c r="Z636" s="1" t="s">
        <v>74</v>
      </c>
      <c r="AA636" s="1" t="s">
        <v>6427</v>
      </c>
      <c r="AB636" s="1" t="s">
        <v>6428</v>
      </c>
      <c r="AC636" s="1" t="s">
        <v>74</v>
      </c>
      <c r="AD636" s="1" t="s">
        <v>74</v>
      </c>
      <c r="AE636" s="1" t="s">
        <v>74</v>
      </c>
      <c r="AF636" s="1" t="s">
        <v>74</v>
      </c>
      <c r="AG636" s="1" t="s">
        <v>74</v>
      </c>
      <c r="AH636" s="1" t="s">
        <v>74</v>
      </c>
      <c r="AI636" s="1" t="s">
        <v>74</v>
      </c>
      <c r="AJ636" s="1" t="s">
        <v>74</v>
      </c>
      <c r="AK636" s="1" t="s">
        <v>74</v>
      </c>
      <c r="AL636" s="1" t="s">
        <v>74</v>
      </c>
      <c r="AM636" s="1" t="s">
        <v>74</v>
      </c>
      <c r="AN636" s="1" t="s">
        <v>74</v>
      </c>
      <c r="AO636" s="1" t="s">
        <v>6429</v>
      </c>
      <c r="AP636" s="1" t="s">
        <v>6430</v>
      </c>
      <c r="AQ636" s="1" t="s">
        <v>74</v>
      </c>
      <c r="AR636" s="1" t="s">
        <v>74</v>
      </c>
      <c r="AS636" s="1" t="s">
        <v>74</v>
      </c>
      <c r="AT636" s="1" t="s">
        <v>1009</v>
      </c>
      <c r="AU636" s="1">
        <v>2010.0</v>
      </c>
      <c r="AV636" s="1">
        <v>36.0</v>
      </c>
      <c r="AW636" s="1">
        <v>4.0</v>
      </c>
      <c r="AX636" s="1" t="s">
        <v>74</v>
      </c>
      <c r="AY636" s="1" t="s">
        <v>74</v>
      </c>
      <c r="AZ636" s="1" t="s">
        <v>74</v>
      </c>
      <c r="BA636" s="1" t="s">
        <v>74</v>
      </c>
      <c r="BB636" s="1">
        <v>453.0</v>
      </c>
      <c r="BC636" s="1">
        <v>459.0</v>
      </c>
      <c r="BD636" s="1" t="s">
        <v>74</v>
      </c>
      <c r="BE636" s="1" t="s">
        <v>6431</v>
      </c>
      <c r="BF636" s="2" t="str">
        <f>HYPERLINK("http://dx.doi.org/10.1590/S1806-37132010000400010","http://dx.doi.org/10.1590/S1806-37132010000400010")</f>
        <v>http://dx.doi.org/10.1590/S1806-37132010000400010</v>
      </c>
      <c r="BG636" s="1" t="s">
        <v>74</v>
      </c>
      <c r="BH636" s="1" t="s">
        <v>74</v>
      </c>
      <c r="BI636" s="1" t="s">
        <v>74</v>
      </c>
      <c r="BJ636" s="1" t="s">
        <v>74</v>
      </c>
      <c r="BK636" s="1" t="s">
        <v>74</v>
      </c>
      <c r="BL636" s="1" t="s">
        <v>74</v>
      </c>
      <c r="BM636" s="1" t="s">
        <v>74</v>
      </c>
      <c r="BN636" s="1">
        <v>2.0835592E7</v>
      </c>
      <c r="BO636" s="1" t="s">
        <v>74</v>
      </c>
      <c r="BP636" s="1" t="s">
        <v>74</v>
      </c>
      <c r="BQ636" s="1" t="s">
        <v>74</v>
      </c>
      <c r="BR636" s="1" t="s">
        <v>74</v>
      </c>
      <c r="BS636" s="1" t="s">
        <v>6432</v>
      </c>
      <c r="BT636" s="1" t="str">
        <f>HYPERLINK("https%3A%2F%2Fwww.webofscience.com%2Fwos%2Fwoscc%2Ffull-record%2FWOS:000281227400010","View Full Record in Web of Science")</f>
        <v>View Full Record in Web of Science</v>
      </c>
    </row>
    <row r="637" ht="12.75" customHeight="1">
      <c r="A637" s="1" t="s">
        <v>72</v>
      </c>
      <c r="B637" s="1" t="s">
        <v>6433</v>
      </c>
      <c r="C637" s="1" t="s">
        <v>74</v>
      </c>
      <c r="D637" s="1" t="s">
        <v>74</v>
      </c>
      <c r="E637" s="1" t="s">
        <v>74</v>
      </c>
      <c r="F637" s="1" t="s">
        <v>6434</v>
      </c>
      <c r="G637" s="1" t="s">
        <v>74</v>
      </c>
      <c r="H637" s="1" t="s">
        <v>74</v>
      </c>
      <c r="I637" s="1" t="s">
        <v>6435</v>
      </c>
      <c r="J637" s="1" t="s">
        <v>973</v>
      </c>
      <c r="K637" s="1" t="s">
        <v>74</v>
      </c>
      <c r="L637" s="1" t="s">
        <v>74</v>
      </c>
      <c r="M637" s="1" t="s">
        <v>74</v>
      </c>
      <c r="N637" s="1" t="s">
        <v>74</v>
      </c>
      <c r="O637" s="1" t="s">
        <v>74</v>
      </c>
      <c r="P637" s="1" t="s">
        <v>74</v>
      </c>
      <c r="Q637" s="1" t="s">
        <v>74</v>
      </c>
      <c r="R637" s="1" t="s">
        <v>74</v>
      </c>
      <c r="S637" s="1" t="s">
        <v>74</v>
      </c>
      <c r="T637" s="1" t="s">
        <v>74</v>
      </c>
      <c r="U637" s="1" t="s">
        <v>74</v>
      </c>
      <c r="V637" s="1" t="s">
        <v>6436</v>
      </c>
      <c r="W637" s="1" t="s">
        <v>74</v>
      </c>
      <c r="X637" s="1" t="s">
        <v>74</v>
      </c>
      <c r="Y637" s="1" t="s">
        <v>74</v>
      </c>
      <c r="Z637" s="1" t="s">
        <v>74</v>
      </c>
      <c r="AA637" s="1" t="s">
        <v>6437</v>
      </c>
      <c r="AB637" s="1" t="s">
        <v>6438</v>
      </c>
      <c r="AC637" s="1" t="s">
        <v>74</v>
      </c>
      <c r="AD637" s="1" t="s">
        <v>74</v>
      </c>
      <c r="AE637" s="1" t="s">
        <v>74</v>
      </c>
      <c r="AF637" s="1" t="s">
        <v>74</v>
      </c>
      <c r="AG637" s="1" t="s">
        <v>74</v>
      </c>
      <c r="AH637" s="1" t="s">
        <v>74</v>
      </c>
      <c r="AI637" s="1" t="s">
        <v>74</v>
      </c>
      <c r="AJ637" s="1" t="s">
        <v>74</v>
      </c>
      <c r="AK637" s="1" t="s">
        <v>74</v>
      </c>
      <c r="AL637" s="1" t="s">
        <v>74</v>
      </c>
      <c r="AM637" s="1" t="s">
        <v>74</v>
      </c>
      <c r="AN637" s="1" t="s">
        <v>74</v>
      </c>
      <c r="AO637" s="1" t="s">
        <v>977</v>
      </c>
      <c r="AP637" s="1" t="s">
        <v>978</v>
      </c>
      <c r="AQ637" s="1" t="s">
        <v>74</v>
      </c>
      <c r="AR637" s="1" t="s">
        <v>74</v>
      </c>
      <c r="AS637" s="1" t="s">
        <v>74</v>
      </c>
      <c r="AT637" s="1" t="s">
        <v>74</v>
      </c>
      <c r="AU637" s="1">
        <v>2006.0</v>
      </c>
      <c r="AV637" s="1">
        <v>38.0</v>
      </c>
      <c r="AW637" s="1">
        <v>8.0</v>
      </c>
      <c r="AX637" s="1" t="s">
        <v>74</v>
      </c>
      <c r="AY637" s="1" t="s">
        <v>74</v>
      </c>
      <c r="AZ637" s="1" t="s">
        <v>74</v>
      </c>
      <c r="BA637" s="1" t="s">
        <v>74</v>
      </c>
      <c r="BB637" s="1">
        <v>1631.0</v>
      </c>
      <c r="BC637" s="1">
        <v>1636.0</v>
      </c>
      <c r="BD637" s="1" t="s">
        <v>74</v>
      </c>
      <c r="BE637" s="1" t="s">
        <v>6439</v>
      </c>
      <c r="BF637" s="2" t="str">
        <f>HYPERLINK("http://dx.doi.org/10.1016/j.asr.2006.05.013","http://dx.doi.org/10.1016/j.asr.2006.05.013")</f>
        <v>http://dx.doi.org/10.1016/j.asr.2006.05.013</v>
      </c>
      <c r="BG637" s="1" t="s">
        <v>74</v>
      </c>
      <c r="BH637" s="1" t="s">
        <v>74</v>
      </c>
      <c r="BI637" s="1" t="s">
        <v>74</v>
      </c>
      <c r="BJ637" s="1" t="s">
        <v>74</v>
      </c>
      <c r="BK637" s="1" t="s">
        <v>74</v>
      </c>
      <c r="BL637" s="1" t="s">
        <v>74</v>
      </c>
      <c r="BM637" s="1" t="s">
        <v>74</v>
      </c>
      <c r="BN637" s="1" t="s">
        <v>74</v>
      </c>
      <c r="BO637" s="1" t="s">
        <v>74</v>
      </c>
      <c r="BP637" s="1" t="s">
        <v>74</v>
      </c>
      <c r="BQ637" s="1" t="s">
        <v>74</v>
      </c>
      <c r="BR637" s="1" t="s">
        <v>74</v>
      </c>
      <c r="BS637" s="1" t="s">
        <v>6440</v>
      </c>
      <c r="BT637" s="1" t="str">
        <f>HYPERLINK("https%3A%2F%2Fwww.webofscience.com%2Fwos%2Fwoscc%2Ffull-record%2FWOS:000202988500010","View Full Record in Web of Science")</f>
        <v>View Full Record in Web of Science</v>
      </c>
    </row>
    <row r="638" ht="12.75" customHeight="1">
      <c r="A638" s="1" t="s">
        <v>72</v>
      </c>
      <c r="B638" s="1" t="s">
        <v>6441</v>
      </c>
      <c r="C638" s="1" t="s">
        <v>74</v>
      </c>
      <c r="D638" s="1" t="s">
        <v>74</v>
      </c>
      <c r="E638" s="1" t="s">
        <v>74</v>
      </c>
      <c r="F638" s="1" t="s">
        <v>6442</v>
      </c>
      <c r="G638" s="1" t="s">
        <v>74</v>
      </c>
      <c r="H638" s="1" t="s">
        <v>74</v>
      </c>
      <c r="I638" s="1" t="s">
        <v>6443</v>
      </c>
      <c r="J638" s="1" t="s">
        <v>444</v>
      </c>
      <c r="K638" s="1" t="s">
        <v>74</v>
      </c>
      <c r="L638" s="1" t="s">
        <v>74</v>
      </c>
      <c r="M638" s="1" t="s">
        <v>74</v>
      </c>
      <c r="N638" s="1" t="s">
        <v>74</v>
      </c>
      <c r="O638" s="1" t="s">
        <v>74</v>
      </c>
      <c r="P638" s="1" t="s">
        <v>74</v>
      </c>
      <c r="Q638" s="1" t="s">
        <v>74</v>
      </c>
      <c r="R638" s="1" t="s">
        <v>74</v>
      </c>
      <c r="S638" s="1" t="s">
        <v>74</v>
      </c>
      <c r="T638" s="1" t="s">
        <v>74</v>
      </c>
      <c r="U638" s="1" t="s">
        <v>74</v>
      </c>
      <c r="V638" s="1" t="s">
        <v>6444</v>
      </c>
      <c r="W638" s="1" t="s">
        <v>74</v>
      </c>
      <c r="X638" s="1" t="s">
        <v>74</v>
      </c>
      <c r="Y638" s="1" t="s">
        <v>74</v>
      </c>
      <c r="Z638" s="1" t="s">
        <v>74</v>
      </c>
      <c r="AA638" s="1" t="s">
        <v>6445</v>
      </c>
      <c r="AB638" s="1" t="s">
        <v>74</v>
      </c>
      <c r="AC638" s="1" t="s">
        <v>74</v>
      </c>
      <c r="AD638" s="1" t="s">
        <v>74</v>
      </c>
      <c r="AE638" s="1" t="s">
        <v>74</v>
      </c>
      <c r="AF638" s="1" t="s">
        <v>74</v>
      </c>
      <c r="AG638" s="1" t="s">
        <v>74</v>
      </c>
      <c r="AH638" s="1" t="s">
        <v>74</v>
      </c>
      <c r="AI638" s="1" t="s">
        <v>74</v>
      </c>
      <c r="AJ638" s="1" t="s">
        <v>74</v>
      </c>
      <c r="AK638" s="1" t="s">
        <v>74</v>
      </c>
      <c r="AL638" s="1" t="s">
        <v>74</v>
      </c>
      <c r="AM638" s="1" t="s">
        <v>74</v>
      </c>
      <c r="AN638" s="1" t="s">
        <v>74</v>
      </c>
      <c r="AO638" s="1" t="s">
        <v>74</v>
      </c>
      <c r="AP638" s="1" t="s">
        <v>448</v>
      </c>
      <c r="AQ638" s="1" t="s">
        <v>74</v>
      </c>
      <c r="AR638" s="1" t="s">
        <v>74</v>
      </c>
      <c r="AS638" s="1" t="s">
        <v>74</v>
      </c>
      <c r="AT638" s="1" t="s">
        <v>4376</v>
      </c>
      <c r="AU638" s="1">
        <v>2025.0</v>
      </c>
      <c r="AV638" s="1">
        <v>16.0</v>
      </c>
      <c r="AW638" s="1" t="s">
        <v>74</v>
      </c>
      <c r="AX638" s="1" t="s">
        <v>74</v>
      </c>
      <c r="AY638" s="1" t="s">
        <v>74</v>
      </c>
      <c r="AZ638" s="1" t="s">
        <v>74</v>
      </c>
      <c r="BA638" s="1" t="s">
        <v>74</v>
      </c>
      <c r="BB638" s="1" t="s">
        <v>74</v>
      </c>
      <c r="BC638" s="1" t="s">
        <v>74</v>
      </c>
      <c r="BD638" s="1">
        <v>1507397.0</v>
      </c>
      <c r="BE638" s="1" t="s">
        <v>6446</v>
      </c>
      <c r="BF638" s="2" t="str">
        <f>HYPERLINK("http://dx.doi.org/10.3389/fphar.2025.1507397","http://dx.doi.org/10.3389/fphar.2025.1507397")</f>
        <v>http://dx.doi.org/10.3389/fphar.2025.1507397</v>
      </c>
      <c r="BG638" s="1" t="s">
        <v>74</v>
      </c>
      <c r="BH638" s="1" t="s">
        <v>74</v>
      </c>
      <c r="BI638" s="1" t="s">
        <v>74</v>
      </c>
      <c r="BJ638" s="1" t="s">
        <v>74</v>
      </c>
      <c r="BK638" s="1" t="s">
        <v>74</v>
      </c>
      <c r="BL638" s="1" t="s">
        <v>74</v>
      </c>
      <c r="BM638" s="1" t="s">
        <v>74</v>
      </c>
      <c r="BN638" s="1">
        <v>4.0255564E7</v>
      </c>
      <c r="BO638" s="1" t="s">
        <v>74</v>
      </c>
      <c r="BP638" s="1" t="s">
        <v>74</v>
      </c>
      <c r="BQ638" s="1" t="s">
        <v>74</v>
      </c>
      <c r="BR638" s="1" t="s">
        <v>74</v>
      </c>
      <c r="BS638" s="1" t="s">
        <v>6447</v>
      </c>
      <c r="BT638" s="1" t="str">
        <f>HYPERLINK("https%3A%2F%2Fwww.webofscience.com%2Fwos%2Fwoscc%2Ffull-record%2FWOS:001469176300001","View Full Record in Web of Science")</f>
        <v>View Full Record in Web of Science</v>
      </c>
    </row>
    <row r="639" ht="12.75" customHeight="1">
      <c r="A639" s="1" t="s">
        <v>72</v>
      </c>
      <c r="B639" s="1" t="s">
        <v>6448</v>
      </c>
      <c r="C639" s="1" t="s">
        <v>74</v>
      </c>
      <c r="D639" s="1" t="s">
        <v>74</v>
      </c>
      <c r="E639" s="1" t="s">
        <v>74</v>
      </c>
      <c r="F639" s="1" t="s">
        <v>6449</v>
      </c>
      <c r="G639" s="1" t="s">
        <v>74</v>
      </c>
      <c r="H639" s="1" t="s">
        <v>74</v>
      </c>
      <c r="I639" s="1" t="s">
        <v>6450</v>
      </c>
      <c r="J639" s="1" t="s">
        <v>6451</v>
      </c>
      <c r="K639" s="1" t="s">
        <v>74</v>
      </c>
      <c r="L639" s="1" t="s">
        <v>74</v>
      </c>
      <c r="M639" s="1" t="s">
        <v>74</v>
      </c>
      <c r="N639" s="1" t="s">
        <v>74</v>
      </c>
      <c r="O639" s="1" t="s">
        <v>74</v>
      </c>
      <c r="P639" s="1" t="s">
        <v>74</v>
      </c>
      <c r="Q639" s="1" t="s">
        <v>74</v>
      </c>
      <c r="R639" s="1" t="s">
        <v>74</v>
      </c>
      <c r="S639" s="1" t="s">
        <v>74</v>
      </c>
      <c r="T639" s="1" t="s">
        <v>74</v>
      </c>
      <c r="U639" s="1" t="s">
        <v>74</v>
      </c>
      <c r="V639" s="1" t="s">
        <v>6452</v>
      </c>
      <c r="W639" s="1" t="s">
        <v>74</v>
      </c>
      <c r="X639" s="1" t="s">
        <v>74</v>
      </c>
      <c r="Y639" s="1" t="s">
        <v>74</v>
      </c>
      <c r="Z639" s="1" t="s">
        <v>74</v>
      </c>
      <c r="AA639" s="1" t="s">
        <v>6453</v>
      </c>
      <c r="AB639" s="1" t="s">
        <v>6454</v>
      </c>
      <c r="AC639" s="1" t="s">
        <v>74</v>
      </c>
      <c r="AD639" s="1" t="s">
        <v>74</v>
      </c>
      <c r="AE639" s="1" t="s">
        <v>74</v>
      </c>
      <c r="AF639" s="1" t="s">
        <v>74</v>
      </c>
      <c r="AG639" s="1" t="s">
        <v>74</v>
      </c>
      <c r="AH639" s="1" t="s">
        <v>74</v>
      </c>
      <c r="AI639" s="1" t="s">
        <v>74</v>
      </c>
      <c r="AJ639" s="1" t="s">
        <v>74</v>
      </c>
      <c r="AK639" s="1" t="s">
        <v>74</v>
      </c>
      <c r="AL639" s="1" t="s">
        <v>74</v>
      </c>
      <c r="AM639" s="1" t="s">
        <v>74</v>
      </c>
      <c r="AN639" s="1" t="s">
        <v>74</v>
      </c>
      <c r="AO639" s="1" t="s">
        <v>6455</v>
      </c>
      <c r="AP639" s="1" t="s">
        <v>6456</v>
      </c>
      <c r="AQ639" s="1" t="s">
        <v>74</v>
      </c>
      <c r="AR639" s="1" t="s">
        <v>74</v>
      </c>
      <c r="AS639" s="1" t="s">
        <v>74</v>
      </c>
      <c r="AT639" s="1" t="s">
        <v>1850</v>
      </c>
      <c r="AU639" s="1">
        <v>2024.0</v>
      </c>
      <c r="AV639" s="1">
        <v>38.0</v>
      </c>
      <c r="AW639" s="1">
        <v>21.0</v>
      </c>
      <c r="AX639" s="1" t="s">
        <v>74</v>
      </c>
      <c r="AY639" s="1" t="s">
        <v>74</v>
      </c>
      <c r="AZ639" s="1" t="s">
        <v>74</v>
      </c>
      <c r="BA639" s="1" t="s">
        <v>74</v>
      </c>
      <c r="BB639" s="1">
        <v>20258.0</v>
      </c>
      <c r="BC639" s="1">
        <v>20284.0</v>
      </c>
      <c r="BD639" s="1" t="s">
        <v>74</v>
      </c>
      <c r="BE639" s="1" t="s">
        <v>6457</v>
      </c>
      <c r="BF639" s="2" t="str">
        <f>HYPERLINK("http://dx.doi.org/10.1021/acs.energyfuels.4c03966","http://dx.doi.org/10.1021/acs.energyfuels.4c03966")</f>
        <v>http://dx.doi.org/10.1021/acs.energyfuels.4c03966</v>
      </c>
      <c r="BG639" s="1" t="s">
        <v>74</v>
      </c>
      <c r="BH639" s="1" t="s">
        <v>1415</v>
      </c>
      <c r="BI639" s="1" t="s">
        <v>74</v>
      </c>
      <c r="BJ639" s="1" t="s">
        <v>74</v>
      </c>
      <c r="BK639" s="1" t="s">
        <v>74</v>
      </c>
      <c r="BL639" s="1" t="s">
        <v>74</v>
      </c>
      <c r="BM639" s="1" t="s">
        <v>74</v>
      </c>
      <c r="BN639" s="1" t="s">
        <v>74</v>
      </c>
      <c r="BO639" s="1" t="s">
        <v>74</v>
      </c>
      <c r="BP639" s="1" t="s">
        <v>74</v>
      </c>
      <c r="BQ639" s="1" t="s">
        <v>74</v>
      </c>
      <c r="BR639" s="1" t="s">
        <v>74</v>
      </c>
      <c r="BS639" s="1" t="s">
        <v>6458</v>
      </c>
      <c r="BT639" s="1" t="str">
        <f>HYPERLINK("https%3A%2F%2Fwww.webofscience.com%2Fwos%2Fwoscc%2Ffull-record%2FWOS:001333385600001","View Full Record in Web of Science")</f>
        <v>View Full Record in Web of Science</v>
      </c>
    </row>
    <row r="640" ht="12.75" customHeight="1">
      <c r="A640" s="1" t="s">
        <v>72</v>
      </c>
      <c r="B640" s="1" t="s">
        <v>6459</v>
      </c>
      <c r="C640" s="1" t="s">
        <v>74</v>
      </c>
      <c r="D640" s="1" t="s">
        <v>74</v>
      </c>
      <c r="E640" s="1" t="s">
        <v>74</v>
      </c>
      <c r="F640" s="1" t="s">
        <v>6460</v>
      </c>
      <c r="G640" s="1" t="s">
        <v>74</v>
      </c>
      <c r="H640" s="1" t="s">
        <v>74</v>
      </c>
      <c r="I640" s="1" t="s">
        <v>6461</v>
      </c>
      <c r="J640" s="1" t="s">
        <v>3388</v>
      </c>
      <c r="K640" s="1" t="s">
        <v>74</v>
      </c>
      <c r="L640" s="1" t="s">
        <v>74</v>
      </c>
      <c r="M640" s="1" t="s">
        <v>74</v>
      </c>
      <c r="N640" s="1" t="s">
        <v>74</v>
      </c>
      <c r="O640" s="1" t="s">
        <v>74</v>
      </c>
      <c r="P640" s="1" t="s">
        <v>74</v>
      </c>
      <c r="Q640" s="1" t="s">
        <v>74</v>
      </c>
      <c r="R640" s="1" t="s">
        <v>74</v>
      </c>
      <c r="S640" s="1" t="s">
        <v>74</v>
      </c>
      <c r="T640" s="1" t="s">
        <v>74</v>
      </c>
      <c r="U640" s="1" t="s">
        <v>74</v>
      </c>
      <c r="V640" s="1" t="s">
        <v>6462</v>
      </c>
      <c r="W640" s="1" t="s">
        <v>74</v>
      </c>
      <c r="X640" s="1" t="s">
        <v>74</v>
      </c>
      <c r="Y640" s="1" t="s">
        <v>74</v>
      </c>
      <c r="Z640" s="1" t="s">
        <v>74</v>
      </c>
      <c r="AA640" s="1" t="s">
        <v>6463</v>
      </c>
      <c r="AB640" s="1" t="s">
        <v>6464</v>
      </c>
      <c r="AC640" s="1" t="s">
        <v>74</v>
      </c>
      <c r="AD640" s="1" t="s">
        <v>74</v>
      </c>
      <c r="AE640" s="1" t="s">
        <v>74</v>
      </c>
      <c r="AF640" s="1" t="s">
        <v>74</v>
      </c>
      <c r="AG640" s="1" t="s">
        <v>74</v>
      </c>
      <c r="AH640" s="1" t="s">
        <v>74</v>
      </c>
      <c r="AI640" s="1" t="s">
        <v>74</v>
      </c>
      <c r="AJ640" s="1" t="s">
        <v>74</v>
      </c>
      <c r="AK640" s="1" t="s">
        <v>74</v>
      </c>
      <c r="AL640" s="1" t="s">
        <v>74</v>
      </c>
      <c r="AM640" s="1" t="s">
        <v>74</v>
      </c>
      <c r="AN640" s="1" t="s">
        <v>74</v>
      </c>
      <c r="AO640" s="1" t="s">
        <v>3392</v>
      </c>
      <c r="AP640" s="1" t="s">
        <v>3393</v>
      </c>
      <c r="AQ640" s="1" t="s">
        <v>74</v>
      </c>
      <c r="AR640" s="1" t="s">
        <v>74</v>
      </c>
      <c r="AS640" s="1" t="s">
        <v>74</v>
      </c>
      <c r="AT640" s="1" t="s">
        <v>1554</v>
      </c>
      <c r="AU640" s="1">
        <v>2024.0</v>
      </c>
      <c r="AV640" s="1">
        <v>30.0</v>
      </c>
      <c r="AW640" s="1" t="s">
        <v>74</v>
      </c>
      <c r="AX640" s="1" t="s">
        <v>74</v>
      </c>
      <c r="AY640" s="1" t="s">
        <v>74</v>
      </c>
      <c r="AZ640" s="1" t="s">
        <v>74</v>
      </c>
      <c r="BA640" s="1" t="s">
        <v>74</v>
      </c>
      <c r="BB640" s="1">
        <v>1864.0</v>
      </c>
      <c r="BC640" s="1">
        <v>1872.0</v>
      </c>
      <c r="BD640" s="1" t="s">
        <v>74</v>
      </c>
      <c r="BE640" s="1" t="s">
        <v>6465</v>
      </c>
      <c r="BF640" s="2" t="str">
        <f>HYPERLINK("http://dx.doi.org/10.1016/j.jmrt.2024.03.177","http://dx.doi.org/10.1016/j.jmrt.2024.03.177")</f>
        <v>http://dx.doi.org/10.1016/j.jmrt.2024.03.177</v>
      </c>
      <c r="BG640" s="1" t="s">
        <v>74</v>
      </c>
      <c r="BH640" s="1" t="s">
        <v>5394</v>
      </c>
      <c r="BI640" s="1" t="s">
        <v>74</v>
      </c>
      <c r="BJ640" s="1" t="s">
        <v>74</v>
      </c>
      <c r="BK640" s="1" t="s">
        <v>74</v>
      </c>
      <c r="BL640" s="1" t="s">
        <v>74</v>
      </c>
      <c r="BM640" s="1" t="s">
        <v>74</v>
      </c>
      <c r="BN640" s="1" t="s">
        <v>74</v>
      </c>
      <c r="BO640" s="1" t="s">
        <v>74</v>
      </c>
      <c r="BP640" s="1" t="s">
        <v>74</v>
      </c>
      <c r="BQ640" s="1" t="s">
        <v>74</v>
      </c>
      <c r="BR640" s="1" t="s">
        <v>74</v>
      </c>
      <c r="BS640" s="1" t="s">
        <v>6466</v>
      </c>
      <c r="BT640" s="1" t="str">
        <f>HYPERLINK("https%3A%2F%2Fwww.webofscience.com%2Fwos%2Fwoscc%2Ffull-record%2FWOS:001225515100001","View Full Record in Web of Science")</f>
        <v>View Full Record in Web of Science</v>
      </c>
    </row>
    <row r="641" ht="12.75" customHeight="1">
      <c r="A641" s="1" t="s">
        <v>72</v>
      </c>
      <c r="B641" s="1" t="s">
        <v>6467</v>
      </c>
      <c r="C641" s="1" t="s">
        <v>74</v>
      </c>
      <c r="D641" s="1" t="s">
        <v>74</v>
      </c>
      <c r="E641" s="1" t="s">
        <v>74</v>
      </c>
      <c r="F641" s="1" t="s">
        <v>6468</v>
      </c>
      <c r="G641" s="1" t="s">
        <v>74</v>
      </c>
      <c r="H641" s="1" t="s">
        <v>74</v>
      </c>
      <c r="I641" s="1" t="s">
        <v>6469</v>
      </c>
      <c r="J641" s="1" t="s">
        <v>4028</v>
      </c>
      <c r="K641" s="1" t="s">
        <v>74</v>
      </c>
      <c r="L641" s="1" t="s">
        <v>74</v>
      </c>
      <c r="M641" s="1" t="s">
        <v>74</v>
      </c>
      <c r="N641" s="1" t="s">
        <v>74</v>
      </c>
      <c r="O641" s="1" t="s">
        <v>74</v>
      </c>
      <c r="P641" s="1" t="s">
        <v>74</v>
      </c>
      <c r="Q641" s="1" t="s">
        <v>74</v>
      </c>
      <c r="R641" s="1" t="s">
        <v>74</v>
      </c>
      <c r="S641" s="1" t="s">
        <v>74</v>
      </c>
      <c r="T641" s="1" t="s">
        <v>74</v>
      </c>
      <c r="U641" s="1" t="s">
        <v>74</v>
      </c>
      <c r="V641" s="1" t="s">
        <v>6470</v>
      </c>
      <c r="W641" s="1" t="s">
        <v>74</v>
      </c>
      <c r="X641" s="1" t="s">
        <v>74</v>
      </c>
      <c r="Y641" s="1" t="s">
        <v>74</v>
      </c>
      <c r="Z641" s="1" t="s">
        <v>74</v>
      </c>
      <c r="AA641" s="1" t="s">
        <v>6471</v>
      </c>
      <c r="AB641" s="1" t="s">
        <v>6472</v>
      </c>
      <c r="AC641" s="1" t="s">
        <v>74</v>
      </c>
      <c r="AD641" s="1" t="s">
        <v>74</v>
      </c>
      <c r="AE641" s="1" t="s">
        <v>74</v>
      </c>
      <c r="AF641" s="1" t="s">
        <v>74</v>
      </c>
      <c r="AG641" s="1" t="s">
        <v>74</v>
      </c>
      <c r="AH641" s="1" t="s">
        <v>74</v>
      </c>
      <c r="AI641" s="1" t="s">
        <v>74</v>
      </c>
      <c r="AJ641" s="1" t="s">
        <v>74</v>
      </c>
      <c r="AK641" s="1" t="s">
        <v>74</v>
      </c>
      <c r="AL641" s="1" t="s">
        <v>74</v>
      </c>
      <c r="AM641" s="1" t="s">
        <v>74</v>
      </c>
      <c r="AN641" s="1" t="s">
        <v>74</v>
      </c>
      <c r="AO641" s="1" t="s">
        <v>4036</v>
      </c>
      <c r="AP641" s="1" t="s">
        <v>6473</v>
      </c>
      <c r="AQ641" s="1" t="s">
        <v>74</v>
      </c>
      <c r="AR641" s="1" t="s">
        <v>74</v>
      </c>
      <c r="AS641" s="1" t="s">
        <v>74</v>
      </c>
      <c r="AT641" s="1" t="s">
        <v>155</v>
      </c>
      <c r="AU641" s="1">
        <v>2023.0</v>
      </c>
      <c r="AV641" s="1">
        <v>126.0</v>
      </c>
      <c r="AW641" s="1" t="s">
        <v>74</v>
      </c>
      <c r="AX641" s="1" t="s">
        <v>74</v>
      </c>
      <c r="AY641" s="1" t="s">
        <v>74</v>
      </c>
      <c r="AZ641" s="1" t="s">
        <v>74</v>
      </c>
      <c r="BA641" s="1" t="s">
        <v>74</v>
      </c>
      <c r="BB641" s="1" t="s">
        <v>74</v>
      </c>
      <c r="BC641" s="1" t="s">
        <v>74</v>
      </c>
      <c r="BD641" s="1">
        <v>104322.0</v>
      </c>
      <c r="BE641" s="1" t="s">
        <v>6474</v>
      </c>
      <c r="BF641" s="2" t="str">
        <f>HYPERLINK("http://dx.doi.org/10.1016/j.jsames.2023.104322","http://dx.doi.org/10.1016/j.jsames.2023.104322")</f>
        <v>http://dx.doi.org/10.1016/j.jsames.2023.104322</v>
      </c>
      <c r="BG641" s="1" t="s">
        <v>74</v>
      </c>
      <c r="BH641" s="1" t="s">
        <v>1941</v>
      </c>
      <c r="BI641" s="1" t="s">
        <v>74</v>
      </c>
      <c r="BJ641" s="1" t="s">
        <v>74</v>
      </c>
      <c r="BK641" s="1" t="s">
        <v>74</v>
      </c>
      <c r="BL641" s="1" t="s">
        <v>74</v>
      </c>
      <c r="BM641" s="1" t="s">
        <v>74</v>
      </c>
      <c r="BN641" s="1" t="s">
        <v>74</v>
      </c>
      <c r="BO641" s="1" t="s">
        <v>74</v>
      </c>
      <c r="BP641" s="1" t="s">
        <v>74</v>
      </c>
      <c r="BQ641" s="1" t="s">
        <v>74</v>
      </c>
      <c r="BR641" s="1" t="s">
        <v>74</v>
      </c>
      <c r="BS641" s="1" t="s">
        <v>6475</v>
      </c>
      <c r="BT641" s="1" t="str">
        <f>HYPERLINK("https%3A%2F%2Fwww.webofscience.com%2Fwos%2Fwoscc%2Ffull-record%2FWOS:000988596500001","View Full Record in Web of Science")</f>
        <v>View Full Record in Web of Science</v>
      </c>
    </row>
    <row r="642" ht="12.75" customHeight="1">
      <c r="A642" s="1" t="s">
        <v>72</v>
      </c>
      <c r="B642" s="1" t="s">
        <v>6476</v>
      </c>
      <c r="C642" s="1" t="s">
        <v>74</v>
      </c>
      <c r="D642" s="1" t="s">
        <v>74</v>
      </c>
      <c r="E642" s="1" t="s">
        <v>74</v>
      </c>
      <c r="F642" s="1" t="s">
        <v>6477</v>
      </c>
      <c r="G642" s="1" t="s">
        <v>74</v>
      </c>
      <c r="H642" s="1" t="s">
        <v>74</v>
      </c>
      <c r="I642" s="1" t="s">
        <v>6478</v>
      </c>
      <c r="J642" s="1" t="s">
        <v>3995</v>
      </c>
      <c r="K642" s="1" t="s">
        <v>74</v>
      </c>
      <c r="L642" s="1" t="s">
        <v>74</v>
      </c>
      <c r="M642" s="1" t="s">
        <v>74</v>
      </c>
      <c r="N642" s="1" t="s">
        <v>74</v>
      </c>
      <c r="O642" s="1" t="s">
        <v>74</v>
      </c>
      <c r="P642" s="1" t="s">
        <v>74</v>
      </c>
      <c r="Q642" s="1" t="s">
        <v>74</v>
      </c>
      <c r="R642" s="1" t="s">
        <v>74</v>
      </c>
      <c r="S642" s="1" t="s">
        <v>74</v>
      </c>
      <c r="T642" s="1" t="s">
        <v>74</v>
      </c>
      <c r="U642" s="1" t="s">
        <v>74</v>
      </c>
      <c r="V642" s="1" t="s">
        <v>6479</v>
      </c>
      <c r="W642" s="1" t="s">
        <v>74</v>
      </c>
      <c r="X642" s="1" t="s">
        <v>74</v>
      </c>
      <c r="Y642" s="1" t="s">
        <v>74</v>
      </c>
      <c r="Z642" s="1" t="s">
        <v>74</v>
      </c>
      <c r="AA642" s="1" t="s">
        <v>6480</v>
      </c>
      <c r="AB642" s="1" t="s">
        <v>6481</v>
      </c>
      <c r="AC642" s="1" t="s">
        <v>74</v>
      </c>
      <c r="AD642" s="1" t="s">
        <v>74</v>
      </c>
      <c r="AE642" s="1" t="s">
        <v>74</v>
      </c>
      <c r="AF642" s="1" t="s">
        <v>74</v>
      </c>
      <c r="AG642" s="1" t="s">
        <v>74</v>
      </c>
      <c r="AH642" s="1" t="s">
        <v>74</v>
      </c>
      <c r="AI642" s="1" t="s">
        <v>74</v>
      </c>
      <c r="AJ642" s="1" t="s">
        <v>74</v>
      </c>
      <c r="AK642" s="1" t="s">
        <v>74</v>
      </c>
      <c r="AL642" s="1" t="s">
        <v>74</v>
      </c>
      <c r="AM642" s="1" t="s">
        <v>74</v>
      </c>
      <c r="AN642" s="1" t="s">
        <v>74</v>
      </c>
      <c r="AO642" s="1" t="s">
        <v>3999</v>
      </c>
      <c r="AP642" s="1" t="s">
        <v>74</v>
      </c>
      <c r="AQ642" s="1" t="s">
        <v>74</v>
      </c>
      <c r="AR642" s="1" t="s">
        <v>74</v>
      </c>
      <c r="AS642" s="1" t="s">
        <v>74</v>
      </c>
      <c r="AT642" s="1" t="s">
        <v>4969</v>
      </c>
      <c r="AU642" s="1">
        <v>2022.0</v>
      </c>
      <c r="AV642" s="1">
        <v>9.0</v>
      </c>
      <c r="AW642" s="1">
        <v>19.0</v>
      </c>
      <c r="AX642" s="1" t="s">
        <v>74</v>
      </c>
      <c r="AY642" s="1" t="s">
        <v>74</v>
      </c>
      <c r="AZ642" s="1" t="s">
        <v>74</v>
      </c>
      <c r="BA642" s="1" t="s">
        <v>74</v>
      </c>
      <c r="BB642" s="1">
        <v>4982.0</v>
      </c>
      <c r="BC642" s="1">
        <v>4989.0</v>
      </c>
      <c r="BD642" s="1" t="s">
        <v>74</v>
      </c>
      <c r="BE642" s="1" t="s">
        <v>6482</v>
      </c>
      <c r="BF642" s="2" t="str">
        <f>HYPERLINK("http://dx.doi.org/10.1039/d2qi01565j","http://dx.doi.org/10.1039/d2qi01565j")</f>
        <v>http://dx.doi.org/10.1039/d2qi01565j</v>
      </c>
      <c r="BG642" s="1" t="s">
        <v>74</v>
      </c>
      <c r="BH642" s="1" t="s">
        <v>6483</v>
      </c>
      <c r="BI642" s="1" t="s">
        <v>74</v>
      </c>
      <c r="BJ642" s="1" t="s">
        <v>74</v>
      </c>
      <c r="BK642" s="1" t="s">
        <v>74</v>
      </c>
      <c r="BL642" s="1" t="s">
        <v>74</v>
      </c>
      <c r="BM642" s="1" t="s">
        <v>74</v>
      </c>
      <c r="BN642" s="1" t="s">
        <v>74</v>
      </c>
      <c r="BO642" s="1" t="s">
        <v>74</v>
      </c>
      <c r="BP642" s="1" t="s">
        <v>74</v>
      </c>
      <c r="BQ642" s="1" t="s">
        <v>74</v>
      </c>
      <c r="BR642" s="1" t="s">
        <v>74</v>
      </c>
      <c r="BS642" s="1" t="s">
        <v>6484</v>
      </c>
      <c r="BT642" s="1" t="str">
        <f>HYPERLINK("https%3A%2F%2Fwww.webofscience.com%2Fwos%2Fwoscc%2Ffull-record%2FWOS:000839631300001","View Full Record in Web of Science")</f>
        <v>View Full Record in Web of Science</v>
      </c>
    </row>
    <row r="643" ht="12.75" customHeight="1">
      <c r="A643" s="1" t="s">
        <v>72</v>
      </c>
      <c r="B643" s="1" t="s">
        <v>6485</v>
      </c>
      <c r="C643" s="1" t="s">
        <v>74</v>
      </c>
      <c r="D643" s="1" t="s">
        <v>74</v>
      </c>
      <c r="E643" s="1" t="s">
        <v>74</v>
      </c>
      <c r="F643" s="1" t="s">
        <v>6486</v>
      </c>
      <c r="G643" s="1" t="s">
        <v>74</v>
      </c>
      <c r="H643" s="1" t="s">
        <v>74</v>
      </c>
      <c r="I643" s="1" t="s">
        <v>6487</v>
      </c>
      <c r="J643" s="1" t="s">
        <v>6488</v>
      </c>
      <c r="K643" s="1" t="s">
        <v>74</v>
      </c>
      <c r="L643" s="1" t="s">
        <v>74</v>
      </c>
      <c r="M643" s="1" t="s">
        <v>74</v>
      </c>
      <c r="N643" s="1" t="s">
        <v>74</v>
      </c>
      <c r="O643" s="1" t="s">
        <v>74</v>
      </c>
      <c r="P643" s="1" t="s">
        <v>74</v>
      </c>
      <c r="Q643" s="1" t="s">
        <v>74</v>
      </c>
      <c r="R643" s="1" t="s">
        <v>74</v>
      </c>
      <c r="S643" s="1" t="s">
        <v>74</v>
      </c>
      <c r="T643" s="1" t="s">
        <v>74</v>
      </c>
      <c r="U643" s="1" t="s">
        <v>74</v>
      </c>
      <c r="V643" s="1" t="s">
        <v>6489</v>
      </c>
      <c r="W643" s="1" t="s">
        <v>74</v>
      </c>
      <c r="X643" s="1" t="s">
        <v>74</v>
      </c>
      <c r="Y643" s="1" t="s">
        <v>74</v>
      </c>
      <c r="Z643" s="1" t="s">
        <v>74</v>
      </c>
      <c r="AA643" s="1" t="s">
        <v>6490</v>
      </c>
      <c r="AB643" s="1" t="s">
        <v>6491</v>
      </c>
      <c r="AC643" s="1" t="s">
        <v>74</v>
      </c>
      <c r="AD643" s="1" t="s">
        <v>74</v>
      </c>
      <c r="AE643" s="1" t="s">
        <v>74</v>
      </c>
      <c r="AF643" s="1" t="s">
        <v>74</v>
      </c>
      <c r="AG643" s="1" t="s">
        <v>74</v>
      </c>
      <c r="AH643" s="1" t="s">
        <v>74</v>
      </c>
      <c r="AI643" s="1" t="s">
        <v>74</v>
      </c>
      <c r="AJ643" s="1" t="s">
        <v>74</v>
      </c>
      <c r="AK643" s="1" t="s">
        <v>74</v>
      </c>
      <c r="AL643" s="1" t="s">
        <v>74</v>
      </c>
      <c r="AM643" s="1" t="s">
        <v>74</v>
      </c>
      <c r="AN643" s="1" t="s">
        <v>74</v>
      </c>
      <c r="AO643" s="1" t="s">
        <v>6492</v>
      </c>
      <c r="AP643" s="1" t="s">
        <v>6493</v>
      </c>
      <c r="AQ643" s="1" t="s">
        <v>74</v>
      </c>
      <c r="AR643" s="1" t="s">
        <v>74</v>
      </c>
      <c r="AS643" s="1" t="s">
        <v>74</v>
      </c>
      <c r="AT643" s="1" t="s">
        <v>96</v>
      </c>
      <c r="AU643" s="1">
        <v>2022.0</v>
      </c>
      <c r="AV643" s="1">
        <v>197.0</v>
      </c>
      <c r="AW643" s="1" t="s">
        <v>74</v>
      </c>
      <c r="AX643" s="1" t="s">
        <v>74</v>
      </c>
      <c r="AY643" s="1" t="s">
        <v>74</v>
      </c>
      <c r="AZ643" s="1" t="s">
        <v>74</v>
      </c>
      <c r="BA643" s="1" t="s">
        <v>74</v>
      </c>
      <c r="BB643" s="1" t="s">
        <v>74</v>
      </c>
      <c r="BC643" s="1" t="s">
        <v>74</v>
      </c>
      <c r="BD643" s="1">
        <v>109865.0</v>
      </c>
      <c r="BE643" s="1" t="s">
        <v>6494</v>
      </c>
      <c r="BF643" s="2" t="str">
        <f>HYPERLINK("http://dx.doi.org/10.1016/j.polymdegradstab.2022.109865","http://dx.doi.org/10.1016/j.polymdegradstab.2022.109865")</f>
        <v>http://dx.doi.org/10.1016/j.polymdegradstab.2022.109865</v>
      </c>
      <c r="BG643" s="1" t="s">
        <v>74</v>
      </c>
      <c r="BH643" s="1" t="s">
        <v>6495</v>
      </c>
      <c r="BI643" s="1" t="s">
        <v>74</v>
      </c>
      <c r="BJ643" s="1" t="s">
        <v>74</v>
      </c>
      <c r="BK643" s="1" t="s">
        <v>74</v>
      </c>
      <c r="BL643" s="1" t="s">
        <v>74</v>
      </c>
      <c r="BM643" s="1" t="s">
        <v>74</v>
      </c>
      <c r="BN643" s="1" t="s">
        <v>74</v>
      </c>
      <c r="BO643" s="1" t="s">
        <v>74</v>
      </c>
      <c r="BP643" s="1" t="s">
        <v>74</v>
      </c>
      <c r="BQ643" s="1" t="s">
        <v>74</v>
      </c>
      <c r="BR643" s="1" t="s">
        <v>74</v>
      </c>
      <c r="BS643" s="1" t="s">
        <v>6496</v>
      </c>
      <c r="BT643" s="1" t="str">
        <f>HYPERLINK("https%3A%2F%2Fwww.webofscience.com%2Fwos%2Fwoscc%2Ffull-record%2FWOS:000763040900012","View Full Record in Web of Science")</f>
        <v>View Full Record in Web of Science</v>
      </c>
    </row>
    <row r="644" ht="12.75" customHeight="1">
      <c r="A644" s="1" t="s">
        <v>72</v>
      </c>
      <c r="B644" s="1" t="s">
        <v>6497</v>
      </c>
      <c r="C644" s="1" t="s">
        <v>74</v>
      </c>
      <c r="D644" s="1" t="s">
        <v>74</v>
      </c>
      <c r="E644" s="1" t="s">
        <v>74</v>
      </c>
      <c r="F644" s="1" t="s">
        <v>6498</v>
      </c>
      <c r="G644" s="1" t="s">
        <v>74</v>
      </c>
      <c r="H644" s="1" t="s">
        <v>74</v>
      </c>
      <c r="I644" s="1" t="s">
        <v>6499</v>
      </c>
      <c r="J644" s="1" t="s">
        <v>6500</v>
      </c>
      <c r="K644" s="1" t="s">
        <v>74</v>
      </c>
      <c r="L644" s="1" t="s">
        <v>74</v>
      </c>
      <c r="M644" s="1" t="s">
        <v>74</v>
      </c>
      <c r="N644" s="1" t="s">
        <v>74</v>
      </c>
      <c r="O644" s="1" t="s">
        <v>74</v>
      </c>
      <c r="P644" s="1" t="s">
        <v>74</v>
      </c>
      <c r="Q644" s="1" t="s">
        <v>74</v>
      </c>
      <c r="R644" s="1" t="s">
        <v>74</v>
      </c>
      <c r="S644" s="1" t="s">
        <v>74</v>
      </c>
      <c r="T644" s="1" t="s">
        <v>74</v>
      </c>
      <c r="U644" s="1" t="s">
        <v>74</v>
      </c>
      <c r="V644" s="1" t="s">
        <v>6501</v>
      </c>
      <c r="W644" s="1" t="s">
        <v>74</v>
      </c>
      <c r="X644" s="1" t="s">
        <v>74</v>
      </c>
      <c r="Y644" s="1" t="s">
        <v>74</v>
      </c>
      <c r="Z644" s="1" t="s">
        <v>74</v>
      </c>
      <c r="AA644" s="1" t="s">
        <v>6502</v>
      </c>
      <c r="AB644" s="1" t="s">
        <v>6503</v>
      </c>
      <c r="AC644" s="1" t="s">
        <v>74</v>
      </c>
      <c r="AD644" s="1" t="s">
        <v>74</v>
      </c>
      <c r="AE644" s="1" t="s">
        <v>74</v>
      </c>
      <c r="AF644" s="1" t="s">
        <v>74</v>
      </c>
      <c r="AG644" s="1" t="s">
        <v>74</v>
      </c>
      <c r="AH644" s="1" t="s">
        <v>74</v>
      </c>
      <c r="AI644" s="1" t="s">
        <v>74</v>
      </c>
      <c r="AJ644" s="1" t="s">
        <v>74</v>
      </c>
      <c r="AK644" s="1" t="s">
        <v>74</v>
      </c>
      <c r="AL644" s="1" t="s">
        <v>74</v>
      </c>
      <c r="AM644" s="1" t="s">
        <v>74</v>
      </c>
      <c r="AN644" s="1" t="s">
        <v>74</v>
      </c>
      <c r="AO644" s="1" t="s">
        <v>6504</v>
      </c>
      <c r="AP644" s="1" t="s">
        <v>74</v>
      </c>
      <c r="AQ644" s="1" t="s">
        <v>74</v>
      </c>
      <c r="AR644" s="1" t="s">
        <v>74</v>
      </c>
      <c r="AS644" s="1" t="s">
        <v>74</v>
      </c>
      <c r="AT644" s="1" t="s">
        <v>96</v>
      </c>
      <c r="AU644" s="1">
        <v>2022.0</v>
      </c>
      <c r="AV644" s="1">
        <v>13.0</v>
      </c>
      <c r="AW644" s="1">
        <v>3.0</v>
      </c>
      <c r="AX644" s="1" t="s">
        <v>74</v>
      </c>
      <c r="AY644" s="1" t="s">
        <v>74</v>
      </c>
      <c r="AZ644" s="1" t="s">
        <v>74</v>
      </c>
      <c r="BA644" s="1" t="s">
        <v>74</v>
      </c>
      <c r="BB644" s="1" t="s">
        <v>74</v>
      </c>
      <c r="BC644" s="1" t="s">
        <v>74</v>
      </c>
      <c r="BD644" s="1">
        <v>101336.0</v>
      </c>
      <c r="BE644" s="1" t="s">
        <v>6505</v>
      </c>
      <c r="BF644" s="2" t="str">
        <f>HYPERLINK("http://dx.doi.org/10.1016/j.apr.2022.101336","http://dx.doi.org/10.1016/j.apr.2022.101336")</f>
        <v>http://dx.doi.org/10.1016/j.apr.2022.101336</v>
      </c>
      <c r="BG644" s="1" t="s">
        <v>74</v>
      </c>
      <c r="BH644" s="1" t="s">
        <v>1143</v>
      </c>
      <c r="BI644" s="1" t="s">
        <v>74</v>
      </c>
      <c r="BJ644" s="1" t="s">
        <v>74</v>
      </c>
      <c r="BK644" s="1" t="s">
        <v>74</v>
      </c>
      <c r="BL644" s="1" t="s">
        <v>74</v>
      </c>
      <c r="BM644" s="1" t="s">
        <v>74</v>
      </c>
      <c r="BN644" s="1" t="s">
        <v>74</v>
      </c>
      <c r="BO644" s="1" t="s">
        <v>74</v>
      </c>
      <c r="BP644" s="1" t="s">
        <v>74</v>
      </c>
      <c r="BQ644" s="1" t="s">
        <v>74</v>
      </c>
      <c r="BR644" s="1" t="s">
        <v>74</v>
      </c>
      <c r="BS644" s="1" t="s">
        <v>6506</v>
      </c>
      <c r="BT644" s="1" t="str">
        <f>HYPERLINK("https%3A%2F%2Fwww.webofscience.com%2Fwos%2Fwoscc%2Ffull-record%2FWOS:000767373200003","View Full Record in Web of Science")</f>
        <v>View Full Record in Web of Science</v>
      </c>
    </row>
    <row r="645" ht="12.75" customHeight="1">
      <c r="A645" s="1" t="s">
        <v>72</v>
      </c>
      <c r="B645" s="1" t="s">
        <v>6507</v>
      </c>
      <c r="C645" s="1" t="s">
        <v>74</v>
      </c>
      <c r="D645" s="1" t="s">
        <v>74</v>
      </c>
      <c r="E645" s="1" t="s">
        <v>74</v>
      </c>
      <c r="F645" s="1" t="s">
        <v>6508</v>
      </c>
      <c r="G645" s="1" t="s">
        <v>74</v>
      </c>
      <c r="H645" s="1" t="s">
        <v>74</v>
      </c>
      <c r="I645" s="1" t="s">
        <v>6509</v>
      </c>
      <c r="J645" s="1" t="s">
        <v>6510</v>
      </c>
      <c r="K645" s="1" t="s">
        <v>74</v>
      </c>
      <c r="L645" s="1" t="s">
        <v>74</v>
      </c>
      <c r="M645" s="1" t="s">
        <v>74</v>
      </c>
      <c r="N645" s="1" t="s">
        <v>74</v>
      </c>
      <c r="O645" s="1" t="s">
        <v>74</v>
      </c>
      <c r="P645" s="1" t="s">
        <v>74</v>
      </c>
      <c r="Q645" s="1" t="s">
        <v>74</v>
      </c>
      <c r="R645" s="1" t="s">
        <v>74</v>
      </c>
      <c r="S645" s="1" t="s">
        <v>74</v>
      </c>
      <c r="T645" s="1" t="s">
        <v>74</v>
      </c>
      <c r="U645" s="1" t="s">
        <v>74</v>
      </c>
      <c r="V645" s="1" t="s">
        <v>6511</v>
      </c>
      <c r="W645" s="1" t="s">
        <v>74</v>
      </c>
      <c r="X645" s="1" t="s">
        <v>74</v>
      </c>
      <c r="Y645" s="1" t="s">
        <v>74</v>
      </c>
      <c r="Z645" s="1" t="s">
        <v>74</v>
      </c>
      <c r="AA645" s="1" t="s">
        <v>6512</v>
      </c>
      <c r="AB645" s="1" t="s">
        <v>6513</v>
      </c>
      <c r="AC645" s="1" t="s">
        <v>74</v>
      </c>
      <c r="AD645" s="1" t="s">
        <v>74</v>
      </c>
      <c r="AE645" s="1" t="s">
        <v>74</v>
      </c>
      <c r="AF645" s="1" t="s">
        <v>74</v>
      </c>
      <c r="AG645" s="1" t="s">
        <v>74</v>
      </c>
      <c r="AH645" s="1" t="s">
        <v>74</v>
      </c>
      <c r="AI645" s="1" t="s">
        <v>74</v>
      </c>
      <c r="AJ645" s="1" t="s">
        <v>74</v>
      </c>
      <c r="AK645" s="1" t="s">
        <v>74</v>
      </c>
      <c r="AL645" s="1" t="s">
        <v>74</v>
      </c>
      <c r="AM645" s="1" t="s">
        <v>74</v>
      </c>
      <c r="AN645" s="1" t="s">
        <v>74</v>
      </c>
      <c r="AO645" s="1" t="s">
        <v>6514</v>
      </c>
      <c r="AP645" s="1" t="s">
        <v>6515</v>
      </c>
      <c r="AQ645" s="1" t="s">
        <v>74</v>
      </c>
      <c r="AR645" s="1" t="s">
        <v>74</v>
      </c>
      <c r="AS645" s="1" t="s">
        <v>74</v>
      </c>
      <c r="AT645" s="1" t="s">
        <v>316</v>
      </c>
      <c r="AU645" s="1">
        <v>2021.0</v>
      </c>
      <c r="AV645" s="1">
        <v>26.0</v>
      </c>
      <c r="AW645" s="1">
        <v>5.0</v>
      </c>
      <c r="AX645" s="1" t="s">
        <v>74</v>
      </c>
      <c r="AY645" s="1" t="s">
        <v>74</v>
      </c>
      <c r="AZ645" s="1" t="s">
        <v>74</v>
      </c>
      <c r="BA645" s="1" t="s">
        <v>74</v>
      </c>
      <c r="BB645" s="1">
        <v>437.0</v>
      </c>
      <c r="BC645" s="1">
        <v>447.0</v>
      </c>
      <c r="BD645" s="1" t="s">
        <v>74</v>
      </c>
      <c r="BE645" s="1" t="s">
        <v>6516</v>
      </c>
      <c r="BF645" s="2" t="str">
        <f>HYPERLINK("http://dx.doi.org/10.1037/ocp0000220","http://dx.doi.org/10.1037/ocp0000220")</f>
        <v>http://dx.doi.org/10.1037/ocp0000220</v>
      </c>
      <c r="BG645" s="1" t="s">
        <v>74</v>
      </c>
      <c r="BH645" s="1" t="s">
        <v>74</v>
      </c>
      <c r="BI645" s="1" t="s">
        <v>74</v>
      </c>
      <c r="BJ645" s="1" t="s">
        <v>74</v>
      </c>
      <c r="BK645" s="1" t="s">
        <v>74</v>
      </c>
      <c r="BL645" s="1" t="s">
        <v>74</v>
      </c>
      <c r="BM645" s="1" t="s">
        <v>74</v>
      </c>
      <c r="BN645" s="1">
        <v>3.4323557E7</v>
      </c>
      <c r="BO645" s="1" t="s">
        <v>74</v>
      </c>
      <c r="BP645" s="1" t="s">
        <v>74</v>
      </c>
      <c r="BQ645" s="1" t="s">
        <v>74</v>
      </c>
      <c r="BR645" s="1" t="s">
        <v>74</v>
      </c>
      <c r="BS645" s="1" t="s">
        <v>6517</v>
      </c>
      <c r="BT645" s="1" t="str">
        <f>HYPERLINK("https%3A%2F%2Fwww.webofscience.com%2Fwos%2Fwoscc%2Ffull-record%2FWOS:000703562400006","View Full Record in Web of Science")</f>
        <v>View Full Record in Web of Science</v>
      </c>
    </row>
    <row r="646" ht="12.75" customHeight="1">
      <c r="A646" s="1" t="s">
        <v>72</v>
      </c>
      <c r="B646" s="1" t="s">
        <v>6518</v>
      </c>
      <c r="C646" s="1" t="s">
        <v>74</v>
      </c>
      <c r="D646" s="1" t="s">
        <v>74</v>
      </c>
      <c r="E646" s="1" t="s">
        <v>74</v>
      </c>
      <c r="F646" s="1" t="s">
        <v>6519</v>
      </c>
      <c r="G646" s="1" t="s">
        <v>74</v>
      </c>
      <c r="H646" s="1" t="s">
        <v>74</v>
      </c>
      <c r="I646" s="1" t="s">
        <v>6520</v>
      </c>
      <c r="J646" s="1" t="s">
        <v>2607</v>
      </c>
      <c r="K646" s="1" t="s">
        <v>74</v>
      </c>
      <c r="L646" s="1" t="s">
        <v>74</v>
      </c>
      <c r="M646" s="1" t="s">
        <v>74</v>
      </c>
      <c r="N646" s="1" t="s">
        <v>74</v>
      </c>
      <c r="O646" s="1" t="s">
        <v>74</v>
      </c>
      <c r="P646" s="1" t="s">
        <v>74</v>
      </c>
      <c r="Q646" s="1" t="s">
        <v>74</v>
      </c>
      <c r="R646" s="1" t="s">
        <v>74</v>
      </c>
      <c r="S646" s="1" t="s">
        <v>74</v>
      </c>
      <c r="T646" s="1" t="s">
        <v>74</v>
      </c>
      <c r="U646" s="1" t="s">
        <v>74</v>
      </c>
      <c r="V646" s="1" t="s">
        <v>6521</v>
      </c>
      <c r="W646" s="1" t="s">
        <v>74</v>
      </c>
      <c r="X646" s="1" t="s">
        <v>74</v>
      </c>
      <c r="Y646" s="1" t="s">
        <v>74</v>
      </c>
      <c r="Z646" s="1" t="s">
        <v>74</v>
      </c>
      <c r="AA646" s="1" t="s">
        <v>6522</v>
      </c>
      <c r="AB646" s="1" t="s">
        <v>6523</v>
      </c>
      <c r="AC646" s="1" t="s">
        <v>74</v>
      </c>
      <c r="AD646" s="1" t="s">
        <v>74</v>
      </c>
      <c r="AE646" s="1" t="s">
        <v>74</v>
      </c>
      <c r="AF646" s="1" t="s">
        <v>74</v>
      </c>
      <c r="AG646" s="1" t="s">
        <v>74</v>
      </c>
      <c r="AH646" s="1" t="s">
        <v>74</v>
      </c>
      <c r="AI646" s="1" t="s">
        <v>74</v>
      </c>
      <c r="AJ646" s="1" t="s">
        <v>74</v>
      </c>
      <c r="AK646" s="1" t="s">
        <v>74</v>
      </c>
      <c r="AL646" s="1" t="s">
        <v>74</v>
      </c>
      <c r="AM646" s="1" t="s">
        <v>74</v>
      </c>
      <c r="AN646" s="1" t="s">
        <v>74</v>
      </c>
      <c r="AO646" s="1" t="s">
        <v>74</v>
      </c>
      <c r="AP646" s="1" t="s">
        <v>2611</v>
      </c>
      <c r="AQ646" s="1" t="s">
        <v>74</v>
      </c>
      <c r="AR646" s="1" t="s">
        <v>74</v>
      </c>
      <c r="AS646" s="1" t="s">
        <v>74</v>
      </c>
      <c r="AT646" s="1" t="s">
        <v>316</v>
      </c>
      <c r="AU646" s="1">
        <v>2021.0</v>
      </c>
      <c r="AV646" s="1">
        <v>11.0</v>
      </c>
      <c r="AW646" s="1">
        <v>10.0</v>
      </c>
      <c r="AX646" s="1" t="s">
        <v>74</v>
      </c>
      <c r="AY646" s="1" t="s">
        <v>74</v>
      </c>
      <c r="AZ646" s="1" t="s">
        <v>74</v>
      </c>
      <c r="BA646" s="1" t="s">
        <v>74</v>
      </c>
      <c r="BB646" s="1" t="s">
        <v>74</v>
      </c>
      <c r="BC646" s="1" t="s">
        <v>74</v>
      </c>
      <c r="BD646" s="1">
        <v>753.0</v>
      </c>
      <c r="BE646" s="1" t="s">
        <v>6524</v>
      </c>
      <c r="BF646" s="2" t="str">
        <f>HYPERLINK("http://dx.doi.org/10.3390/membranes11100753","http://dx.doi.org/10.3390/membranes11100753")</f>
        <v>http://dx.doi.org/10.3390/membranes11100753</v>
      </c>
      <c r="BG646" s="1" t="s">
        <v>74</v>
      </c>
      <c r="BH646" s="1" t="s">
        <v>74</v>
      </c>
      <c r="BI646" s="1" t="s">
        <v>74</v>
      </c>
      <c r="BJ646" s="1" t="s">
        <v>74</v>
      </c>
      <c r="BK646" s="1" t="s">
        <v>74</v>
      </c>
      <c r="BL646" s="1" t="s">
        <v>74</v>
      </c>
      <c r="BM646" s="1" t="s">
        <v>74</v>
      </c>
      <c r="BN646" s="1">
        <v>3.4677518E7</v>
      </c>
      <c r="BO646" s="1" t="s">
        <v>74</v>
      </c>
      <c r="BP646" s="1" t="s">
        <v>74</v>
      </c>
      <c r="BQ646" s="1" t="s">
        <v>74</v>
      </c>
      <c r="BR646" s="1" t="s">
        <v>74</v>
      </c>
      <c r="BS646" s="1" t="s">
        <v>6525</v>
      </c>
      <c r="BT646" s="1" t="str">
        <f>HYPERLINK("https%3A%2F%2Fwww.webofscience.com%2Fwos%2Fwoscc%2Ffull-record%2FWOS:000711489800001","View Full Record in Web of Science")</f>
        <v>View Full Record in Web of Science</v>
      </c>
    </row>
    <row r="647" ht="12.75" customHeight="1">
      <c r="A647" s="1" t="s">
        <v>72</v>
      </c>
      <c r="B647" s="1" t="s">
        <v>6526</v>
      </c>
      <c r="C647" s="1" t="s">
        <v>74</v>
      </c>
      <c r="D647" s="1" t="s">
        <v>74</v>
      </c>
      <c r="E647" s="1" t="s">
        <v>74</v>
      </c>
      <c r="F647" s="1" t="s">
        <v>6527</v>
      </c>
      <c r="G647" s="1" t="s">
        <v>74</v>
      </c>
      <c r="H647" s="1" t="s">
        <v>74</v>
      </c>
      <c r="I647" s="1" t="s">
        <v>6528</v>
      </c>
      <c r="J647" s="1" t="s">
        <v>3984</v>
      </c>
      <c r="K647" s="1" t="s">
        <v>74</v>
      </c>
      <c r="L647" s="1" t="s">
        <v>74</v>
      </c>
      <c r="M647" s="1" t="s">
        <v>74</v>
      </c>
      <c r="N647" s="1" t="s">
        <v>74</v>
      </c>
      <c r="O647" s="1" t="s">
        <v>74</v>
      </c>
      <c r="P647" s="1" t="s">
        <v>74</v>
      </c>
      <c r="Q647" s="1" t="s">
        <v>74</v>
      </c>
      <c r="R647" s="1" t="s">
        <v>74</v>
      </c>
      <c r="S647" s="1" t="s">
        <v>74</v>
      </c>
      <c r="T647" s="1" t="s">
        <v>74</v>
      </c>
      <c r="U647" s="1" t="s">
        <v>74</v>
      </c>
      <c r="V647" s="1" t="s">
        <v>6529</v>
      </c>
      <c r="W647" s="1" t="s">
        <v>74</v>
      </c>
      <c r="X647" s="1" t="s">
        <v>74</v>
      </c>
      <c r="Y647" s="1" t="s">
        <v>74</v>
      </c>
      <c r="Z647" s="1" t="s">
        <v>74</v>
      </c>
      <c r="AA647" s="1" t="s">
        <v>6530</v>
      </c>
      <c r="AB647" s="1" t="s">
        <v>6531</v>
      </c>
      <c r="AC647" s="1" t="s">
        <v>74</v>
      </c>
      <c r="AD647" s="1" t="s">
        <v>74</v>
      </c>
      <c r="AE647" s="1" t="s">
        <v>74</v>
      </c>
      <c r="AF647" s="1" t="s">
        <v>74</v>
      </c>
      <c r="AG647" s="1" t="s">
        <v>74</v>
      </c>
      <c r="AH647" s="1" t="s">
        <v>74</v>
      </c>
      <c r="AI647" s="1" t="s">
        <v>74</v>
      </c>
      <c r="AJ647" s="1" t="s">
        <v>74</v>
      </c>
      <c r="AK647" s="1" t="s">
        <v>74</v>
      </c>
      <c r="AL647" s="1" t="s">
        <v>74</v>
      </c>
      <c r="AM647" s="1" t="s">
        <v>74</v>
      </c>
      <c r="AN647" s="1" t="s">
        <v>74</v>
      </c>
      <c r="AO647" s="1" t="s">
        <v>3987</v>
      </c>
      <c r="AP647" s="1" t="s">
        <v>3988</v>
      </c>
      <c r="AQ647" s="1" t="s">
        <v>74</v>
      </c>
      <c r="AR647" s="1" t="s">
        <v>74</v>
      </c>
      <c r="AS647" s="1" t="s">
        <v>74</v>
      </c>
      <c r="AT647" s="1" t="s">
        <v>6532</v>
      </c>
      <c r="AU647" s="1">
        <v>2021.0</v>
      </c>
      <c r="AV647" s="1">
        <v>808.0</v>
      </c>
      <c r="AW647" s="1" t="s">
        <v>74</v>
      </c>
      <c r="AX647" s="1" t="s">
        <v>74</v>
      </c>
      <c r="AY647" s="1" t="s">
        <v>74</v>
      </c>
      <c r="AZ647" s="1" t="s">
        <v>74</v>
      </c>
      <c r="BA647" s="1" t="s">
        <v>74</v>
      </c>
      <c r="BB647" s="1" t="s">
        <v>74</v>
      </c>
      <c r="BC647" s="1" t="s">
        <v>74</v>
      </c>
      <c r="BD647" s="1">
        <v>140928.0</v>
      </c>
      <c r="BE647" s="1" t="s">
        <v>6533</v>
      </c>
      <c r="BF647" s="2" t="str">
        <f>HYPERLINK("http://dx.doi.org/10.1016/j.msea.2021.140928","http://dx.doi.org/10.1016/j.msea.2021.140928")</f>
        <v>http://dx.doi.org/10.1016/j.msea.2021.140928</v>
      </c>
      <c r="BG647" s="1" t="s">
        <v>74</v>
      </c>
      <c r="BH647" s="1" t="s">
        <v>131</v>
      </c>
      <c r="BI647" s="1" t="s">
        <v>74</v>
      </c>
      <c r="BJ647" s="1" t="s">
        <v>74</v>
      </c>
      <c r="BK647" s="1" t="s">
        <v>74</v>
      </c>
      <c r="BL647" s="1" t="s">
        <v>74</v>
      </c>
      <c r="BM647" s="1" t="s">
        <v>74</v>
      </c>
      <c r="BN647" s="1" t="s">
        <v>74</v>
      </c>
      <c r="BO647" s="1" t="s">
        <v>74</v>
      </c>
      <c r="BP647" s="1" t="s">
        <v>74</v>
      </c>
      <c r="BQ647" s="1" t="s">
        <v>74</v>
      </c>
      <c r="BR647" s="1" t="s">
        <v>74</v>
      </c>
      <c r="BS647" s="1" t="s">
        <v>6534</v>
      </c>
      <c r="BT647" s="1" t="str">
        <f>HYPERLINK("https%3A%2F%2Fwww.webofscience.com%2Fwos%2Fwoscc%2Ffull-record%2FWOS:000652330700018","View Full Record in Web of Science")</f>
        <v>View Full Record in Web of Science</v>
      </c>
    </row>
    <row r="648" ht="12.75" customHeight="1">
      <c r="A648" s="1" t="s">
        <v>647</v>
      </c>
      <c r="B648" s="1" t="s">
        <v>6535</v>
      </c>
      <c r="C648" s="1" t="s">
        <v>74</v>
      </c>
      <c r="D648" s="1" t="s">
        <v>74</v>
      </c>
      <c r="E648" s="1" t="s">
        <v>649</v>
      </c>
      <c r="F648" s="1" t="s">
        <v>6536</v>
      </c>
      <c r="G648" s="1" t="s">
        <v>74</v>
      </c>
      <c r="H648" s="1" t="s">
        <v>74</v>
      </c>
      <c r="I648" s="1" t="s">
        <v>6537</v>
      </c>
      <c r="J648" s="1" t="s">
        <v>6538</v>
      </c>
      <c r="K648" s="1" t="s">
        <v>74</v>
      </c>
      <c r="L648" s="1" t="s">
        <v>74</v>
      </c>
      <c r="M648" s="1" t="s">
        <v>74</v>
      </c>
      <c r="N648" s="1" t="s">
        <v>74</v>
      </c>
      <c r="O648" s="1" t="s">
        <v>6539</v>
      </c>
      <c r="P648" s="1" t="s">
        <v>6540</v>
      </c>
      <c r="Q648" s="1" t="s">
        <v>1491</v>
      </c>
      <c r="R648" s="1" t="s">
        <v>6541</v>
      </c>
      <c r="S648" s="1" t="s">
        <v>74</v>
      </c>
      <c r="T648" s="1" t="s">
        <v>74</v>
      </c>
      <c r="U648" s="1" t="s">
        <v>74</v>
      </c>
      <c r="V648" s="1" t="s">
        <v>6542</v>
      </c>
      <c r="W648" s="1" t="s">
        <v>74</v>
      </c>
      <c r="X648" s="1" t="s">
        <v>74</v>
      </c>
      <c r="Y648" s="1" t="s">
        <v>74</v>
      </c>
      <c r="Z648" s="1" t="s">
        <v>74</v>
      </c>
      <c r="AA648" s="1" t="s">
        <v>6543</v>
      </c>
      <c r="AB648" s="1" t="s">
        <v>6544</v>
      </c>
      <c r="AC648" s="1" t="s">
        <v>74</v>
      </c>
      <c r="AD648" s="1" t="s">
        <v>74</v>
      </c>
      <c r="AE648" s="1" t="s">
        <v>74</v>
      </c>
      <c r="AF648" s="1" t="s">
        <v>74</v>
      </c>
      <c r="AG648" s="1" t="s">
        <v>74</v>
      </c>
      <c r="AH648" s="1" t="s">
        <v>74</v>
      </c>
      <c r="AI648" s="1" t="s">
        <v>74</v>
      </c>
      <c r="AJ648" s="1" t="s">
        <v>74</v>
      </c>
      <c r="AK648" s="1" t="s">
        <v>74</v>
      </c>
      <c r="AL648" s="1" t="s">
        <v>74</v>
      </c>
      <c r="AM648" s="1" t="s">
        <v>74</v>
      </c>
      <c r="AN648" s="1" t="s">
        <v>74</v>
      </c>
      <c r="AO648" s="1" t="s">
        <v>74</v>
      </c>
      <c r="AP648" s="1" t="s">
        <v>74</v>
      </c>
      <c r="AQ648" s="1" t="s">
        <v>6545</v>
      </c>
      <c r="AR648" s="1" t="s">
        <v>74</v>
      </c>
      <c r="AS648" s="1" t="s">
        <v>74</v>
      </c>
      <c r="AT648" s="1" t="s">
        <v>74</v>
      </c>
      <c r="AU648" s="1">
        <v>2021.0</v>
      </c>
      <c r="AV648" s="1" t="s">
        <v>74</v>
      </c>
      <c r="AW648" s="1" t="s">
        <v>74</v>
      </c>
      <c r="AX648" s="1" t="s">
        <v>74</v>
      </c>
      <c r="AY648" s="1" t="s">
        <v>74</v>
      </c>
      <c r="AZ648" s="1" t="s">
        <v>74</v>
      </c>
      <c r="BA648" s="1" t="s">
        <v>74</v>
      </c>
      <c r="BB648" s="1">
        <v>716.0</v>
      </c>
      <c r="BC648" s="1">
        <v>721.0</v>
      </c>
      <c r="BD648" s="1" t="s">
        <v>74</v>
      </c>
      <c r="BE648" s="1" t="s">
        <v>6546</v>
      </c>
      <c r="BF648" s="2" t="str">
        <f>HYPERLINK("http://dx.doi.org/10.1109/CHILECON54041.2021.9702984","http://dx.doi.org/10.1109/CHILECON54041.2021.9702984")</f>
        <v>http://dx.doi.org/10.1109/CHILECON54041.2021.9702984</v>
      </c>
      <c r="BG648" s="1" t="s">
        <v>74</v>
      </c>
      <c r="BH648" s="1" t="s">
        <v>74</v>
      </c>
      <c r="BI648" s="1" t="s">
        <v>74</v>
      </c>
      <c r="BJ648" s="1" t="s">
        <v>74</v>
      </c>
      <c r="BK648" s="1" t="s">
        <v>74</v>
      </c>
      <c r="BL648" s="1" t="s">
        <v>74</v>
      </c>
      <c r="BM648" s="1" t="s">
        <v>74</v>
      </c>
      <c r="BN648" s="1" t="s">
        <v>74</v>
      </c>
      <c r="BO648" s="1" t="s">
        <v>74</v>
      </c>
      <c r="BP648" s="1" t="s">
        <v>74</v>
      </c>
      <c r="BQ648" s="1" t="s">
        <v>74</v>
      </c>
      <c r="BR648" s="1" t="s">
        <v>74</v>
      </c>
      <c r="BS648" s="1" t="s">
        <v>6547</v>
      </c>
      <c r="BT648" s="1" t="str">
        <f>HYPERLINK("https%3A%2F%2Fwww.webofscience.com%2Fwos%2Fwoscc%2Ffull-record%2FWOS:000788072700117","View Full Record in Web of Science")</f>
        <v>View Full Record in Web of Science</v>
      </c>
    </row>
    <row r="649" ht="12.75" customHeight="1">
      <c r="A649" s="1" t="s">
        <v>72</v>
      </c>
      <c r="B649" s="1" t="s">
        <v>6548</v>
      </c>
      <c r="C649" s="1" t="s">
        <v>74</v>
      </c>
      <c r="D649" s="1" t="s">
        <v>74</v>
      </c>
      <c r="E649" s="1" t="s">
        <v>74</v>
      </c>
      <c r="F649" s="1" t="s">
        <v>6549</v>
      </c>
      <c r="G649" s="1" t="s">
        <v>74</v>
      </c>
      <c r="H649" s="1" t="s">
        <v>74</v>
      </c>
      <c r="I649" s="1" t="s">
        <v>6550</v>
      </c>
      <c r="J649" s="1" t="s">
        <v>4842</v>
      </c>
      <c r="K649" s="1" t="s">
        <v>74</v>
      </c>
      <c r="L649" s="1" t="s">
        <v>74</v>
      </c>
      <c r="M649" s="1" t="s">
        <v>74</v>
      </c>
      <c r="N649" s="1" t="s">
        <v>74</v>
      </c>
      <c r="O649" s="1" t="s">
        <v>74</v>
      </c>
      <c r="P649" s="1" t="s">
        <v>74</v>
      </c>
      <c r="Q649" s="1" t="s">
        <v>74</v>
      </c>
      <c r="R649" s="1" t="s">
        <v>74</v>
      </c>
      <c r="S649" s="1" t="s">
        <v>74</v>
      </c>
      <c r="T649" s="1" t="s">
        <v>74</v>
      </c>
      <c r="U649" s="1" t="s">
        <v>74</v>
      </c>
      <c r="V649" s="1" t="s">
        <v>6551</v>
      </c>
      <c r="W649" s="1" t="s">
        <v>74</v>
      </c>
      <c r="X649" s="1" t="s">
        <v>74</v>
      </c>
      <c r="Y649" s="1" t="s">
        <v>74</v>
      </c>
      <c r="Z649" s="1" t="s">
        <v>74</v>
      </c>
      <c r="AA649" s="1" t="s">
        <v>6552</v>
      </c>
      <c r="AB649" s="1" t="s">
        <v>6553</v>
      </c>
      <c r="AC649" s="1" t="s">
        <v>74</v>
      </c>
      <c r="AD649" s="1" t="s">
        <v>74</v>
      </c>
      <c r="AE649" s="1" t="s">
        <v>74</v>
      </c>
      <c r="AF649" s="1" t="s">
        <v>74</v>
      </c>
      <c r="AG649" s="1" t="s">
        <v>74</v>
      </c>
      <c r="AH649" s="1" t="s">
        <v>74</v>
      </c>
      <c r="AI649" s="1" t="s">
        <v>74</v>
      </c>
      <c r="AJ649" s="1" t="s">
        <v>74</v>
      </c>
      <c r="AK649" s="1" t="s">
        <v>74</v>
      </c>
      <c r="AL649" s="1" t="s">
        <v>74</v>
      </c>
      <c r="AM649" s="1" t="s">
        <v>74</v>
      </c>
      <c r="AN649" s="1" t="s">
        <v>74</v>
      </c>
      <c r="AO649" s="1" t="s">
        <v>4846</v>
      </c>
      <c r="AP649" s="1" t="s">
        <v>4847</v>
      </c>
      <c r="AQ649" s="1" t="s">
        <v>74</v>
      </c>
      <c r="AR649" s="1" t="s">
        <v>74</v>
      </c>
      <c r="AS649" s="1" t="s">
        <v>74</v>
      </c>
      <c r="AT649" s="1" t="s">
        <v>259</v>
      </c>
      <c r="AU649" s="1">
        <v>2020.0</v>
      </c>
      <c r="AV649" s="1">
        <v>31.0</v>
      </c>
      <c r="AW649" s="1">
        <v>16.0</v>
      </c>
      <c r="AX649" s="1" t="s">
        <v>74</v>
      </c>
      <c r="AY649" s="1" t="s">
        <v>74</v>
      </c>
      <c r="AZ649" s="1" t="s">
        <v>74</v>
      </c>
      <c r="BA649" s="1" t="s">
        <v>74</v>
      </c>
      <c r="BB649" s="1">
        <v>13141.0</v>
      </c>
      <c r="BC649" s="1">
        <v>13149.0</v>
      </c>
      <c r="BD649" s="1" t="s">
        <v>74</v>
      </c>
      <c r="BE649" s="1" t="s">
        <v>6554</v>
      </c>
      <c r="BF649" s="2" t="str">
        <f>HYPERLINK("http://dx.doi.org/10.1007/s10854-020-03865-y","http://dx.doi.org/10.1007/s10854-020-03865-y")</f>
        <v>http://dx.doi.org/10.1007/s10854-020-03865-y</v>
      </c>
      <c r="BG649" s="1" t="s">
        <v>74</v>
      </c>
      <c r="BH649" s="1" t="s">
        <v>6555</v>
      </c>
      <c r="BI649" s="1" t="s">
        <v>74</v>
      </c>
      <c r="BJ649" s="1" t="s">
        <v>74</v>
      </c>
      <c r="BK649" s="1" t="s">
        <v>74</v>
      </c>
      <c r="BL649" s="1" t="s">
        <v>74</v>
      </c>
      <c r="BM649" s="1" t="s">
        <v>74</v>
      </c>
      <c r="BN649" s="1" t="s">
        <v>74</v>
      </c>
      <c r="BO649" s="1" t="s">
        <v>74</v>
      </c>
      <c r="BP649" s="1" t="s">
        <v>74</v>
      </c>
      <c r="BQ649" s="1" t="s">
        <v>74</v>
      </c>
      <c r="BR649" s="1" t="s">
        <v>74</v>
      </c>
      <c r="BS649" s="1" t="s">
        <v>6556</v>
      </c>
      <c r="BT649" s="1" t="str">
        <f>HYPERLINK("https%3A%2F%2Fwww.webofscience.com%2Fwos%2Fwoscc%2Ffull-record%2FWOS:000544851500002","View Full Record in Web of Science")</f>
        <v>View Full Record in Web of Science</v>
      </c>
    </row>
    <row r="650" ht="12.75" customHeight="1">
      <c r="A650" s="1" t="s">
        <v>72</v>
      </c>
      <c r="B650" s="1" t="s">
        <v>6557</v>
      </c>
      <c r="C650" s="1" t="s">
        <v>74</v>
      </c>
      <c r="D650" s="1" t="s">
        <v>74</v>
      </c>
      <c r="E650" s="1" t="s">
        <v>74</v>
      </c>
      <c r="F650" s="1" t="s">
        <v>6558</v>
      </c>
      <c r="G650" s="1" t="s">
        <v>74</v>
      </c>
      <c r="H650" s="1" t="s">
        <v>74</v>
      </c>
      <c r="I650" s="1" t="s">
        <v>6559</v>
      </c>
      <c r="J650" s="1" t="s">
        <v>3388</v>
      </c>
      <c r="K650" s="1" t="s">
        <v>74</v>
      </c>
      <c r="L650" s="1" t="s">
        <v>74</v>
      </c>
      <c r="M650" s="1" t="s">
        <v>74</v>
      </c>
      <c r="N650" s="1" t="s">
        <v>74</v>
      </c>
      <c r="O650" s="1" t="s">
        <v>74</v>
      </c>
      <c r="P650" s="1" t="s">
        <v>74</v>
      </c>
      <c r="Q650" s="1" t="s">
        <v>74</v>
      </c>
      <c r="R650" s="1" t="s">
        <v>74</v>
      </c>
      <c r="S650" s="1" t="s">
        <v>74</v>
      </c>
      <c r="T650" s="1" t="s">
        <v>74</v>
      </c>
      <c r="U650" s="1" t="s">
        <v>74</v>
      </c>
      <c r="V650" s="1" t="s">
        <v>6560</v>
      </c>
      <c r="W650" s="1" t="s">
        <v>74</v>
      </c>
      <c r="X650" s="1" t="s">
        <v>74</v>
      </c>
      <c r="Y650" s="1" t="s">
        <v>74</v>
      </c>
      <c r="Z650" s="1" t="s">
        <v>74</v>
      </c>
      <c r="AA650" s="1" t="s">
        <v>6561</v>
      </c>
      <c r="AB650" s="1" t="s">
        <v>6562</v>
      </c>
      <c r="AC650" s="1" t="s">
        <v>74</v>
      </c>
      <c r="AD650" s="1" t="s">
        <v>74</v>
      </c>
      <c r="AE650" s="1" t="s">
        <v>74</v>
      </c>
      <c r="AF650" s="1" t="s">
        <v>74</v>
      </c>
      <c r="AG650" s="1" t="s">
        <v>74</v>
      </c>
      <c r="AH650" s="1" t="s">
        <v>74</v>
      </c>
      <c r="AI650" s="1" t="s">
        <v>74</v>
      </c>
      <c r="AJ650" s="1" t="s">
        <v>74</v>
      </c>
      <c r="AK650" s="1" t="s">
        <v>74</v>
      </c>
      <c r="AL650" s="1" t="s">
        <v>74</v>
      </c>
      <c r="AM650" s="1" t="s">
        <v>74</v>
      </c>
      <c r="AN650" s="1" t="s">
        <v>74</v>
      </c>
      <c r="AO650" s="1" t="s">
        <v>3392</v>
      </c>
      <c r="AP650" s="1" t="s">
        <v>3393</v>
      </c>
      <c r="AQ650" s="1" t="s">
        <v>74</v>
      </c>
      <c r="AR650" s="1" t="s">
        <v>74</v>
      </c>
      <c r="AS650" s="1" t="s">
        <v>74</v>
      </c>
      <c r="AT650" s="1" t="s">
        <v>83</v>
      </c>
      <c r="AU650" s="1">
        <v>2020.0</v>
      </c>
      <c r="AV650" s="1">
        <v>9.0</v>
      </c>
      <c r="AW650" s="1">
        <v>2.0</v>
      </c>
      <c r="AX650" s="1" t="s">
        <v>74</v>
      </c>
      <c r="AY650" s="1" t="s">
        <v>74</v>
      </c>
      <c r="AZ650" s="1" t="s">
        <v>74</v>
      </c>
      <c r="BA650" s="1" t="s">
        <v>74</v>
      </c>
      <c r="BB650" s="1">
        <v>1759.0</v>
      </c>
      <c r="BC650" s="1">
        <v>1767.0</v>
      </c>
      <c r="BD650" s="1" t="s">
        <v>74</v>
      </c>
      <c r="BE650" s="1" t="s">
        <v>6563</v>
      </c>
      <c r="BF650" s="2" t="str">
        <f>HYPERLINK("http://dx.doi.org/10.1016/j.jmrt.2019.12.007","http://dx.doi.org/10.1016/j.jmrt.2019.12.007")</f>
        <v>http://dx.doi.org/10.1016/j.jmrt.2019.12.007</v>
      </c>
      <c r="BG650" s="1" t="s">
        <v>74</v>
      </c>
      <c r="BH650" s="1" t="s">
        <v>74</v>
      </c>
      <c r="BI650" s="1" t="s">
        <v>74</v>
      </c>
      <c r="BJ650" s="1" t="s">
        <v>74</v>
      </c>
      <c r="BK650" s="1" t="s">
        <v>74</v>
      </c>
      <c r="BL650" s="1" t="s">
        <v>74</v>
      </c>
      <c r="BM650" s="1" t="s">
        <v>74</v>
      </c>
      <c r="BN650" s="1" t="s">
        <v>74</v>
      </c>
      <c r="BO650" s="1" t="s">
        <v>74</v>
      </c>
      <c r="BP650" s="1" t="s">
        <v>74</v>
      </c>
      <c r="BQ650" s="1" t="s">
        <v>74</v>
      </c>
      <c r="BR650" s="1" t="s">
        <v>74</v>
      </c>
      <c r="BS650" s="1" t="s">
        <v>6564</v>
      </c>
      <c r="BT650" s="1" t="str">
        <f>HYPERLINK("https%3A%2F%2Fwww.webofscience.com%2Fwos%2Fwoscc%2Ffull-record%2FWOS:000521952300059","View Full Record in Web of Science")</f>
        <v>View Full Record in Web of Science</v>
      </c>
    </row>
    <row r="651" ht="12.75" customHeight="1">
      <c r="A651" s="1" t="s">
        <v>72</v>
      </c>
      <c r="B651" s="1" t="s">
        <v>6565</v>
      </c>
      <c r="C651" s="1" t="s">
        <v>74</v>
      </c>
      <c r="D651" s="1" t="s">
        <v>74</v>
      </c>
      <c r="E651" s="1" t="s">
        <v>74</v>
      </c>
      <c r="F651" s="1" t="s">
        <v>6566</v>
      </c>
      <c r="G651" s="1" t="s">
        <v>74</v>
      </c>
      <c r="H651" s="1" t="s">
        <v>74</v>
      </c>
      <c r="I651" s="1" t="s">
        <v>6567</v>
      </c>
      <c r="J651" s="1" t="s">
        <v>1163</v>
      </c>
      <c r="K651" s="1" t="s">
        <v>74</v>
      </c>
      <c r="L651" s="1" t="s">
        <v>74</v>
      </c>
      <c r="M651" s="1" t="s">
        <v>74</v>
      </c>
      <c r="N651" s="1" t="s">
        <v>74</v>
      </c>
      <c r="O651" s="1" t="s">
        <v>74</v>
      </c>
      <c r="P651" s="1" t="s">
        <v>74</v>
      </c>
      <c r="Q651" s="1" t="s">
        <v>74</v>
      </c>
      <c r="R651" s="1" t="s">
        <v>74</v>
      </c>
      <c r="S651" s="1" t="s">
        <v>74</v>
      </c>
      <c r="T651" s="1" t="s">
        <v>74</v>
      </c>
      <c r="U651" s="1" t="s">
        <v>74</v>
      </c>
      <c r="V651" s="1" t="s">
        <v>6568</v>
      </c>
      <c r="W651" s="1" t="s">
        <v>74</v>
      </c>
      <c r="X651" s="1" t="s">
        <v>74</v>
      </c>
      <c r="Y651" s="1" t="s">
        <v>74</v>
      </c>
      <c r="Z651" s="1" t="s">
        <v>74</v>
      </c>
      <c r="AA651" s="1" t="s">
        <v>6569</v>
      </c>
      <c r="AB651" s="1" t="s">
        <v>6570</v>
      </c>
      <c r="AC651" s="1" t="s">
        <v>74</v>
      </c>
      <c r="AD651" s="1" t="s">
        <v>74</v>
      </c>
      <c r="AE651" s="1" t="s">
        <v>74</v>
      </c>
      <c r="AF651" s="1" t="s">
        <v>74</v>
      </c>
      <c r="AG651" s="1" t="s">
        <v>74</v>
      </c>
      <c r="AH651" s="1" t="s">
        <v>74</v>
      </c>
      <c r="AI651" s="1" t="s">
        <v>74</v>
      </c>
      <c r="AJ651" s="1" t="s">
        <v>74</v>
      </c>
      <c r="AK651" s="1" t="s">
        <v>74</v>
      </c>
      <c r="AL651" s="1" t="s">
        <v>74</v>
      </c>
      <c r="AM651" s="1" t="s">
        <v>74</v>
      </c>
      <c r="AN651" s="1" t="s">
        <v>74</v>
      </c>
      <c r="AO651" s="1" t="s">
        <v>74</v>
      </c>
      <c r="AP651" s="1" t="s">
        <v>1167</v>
      </c>
      <c r="AQ651" s="1" t="s">
        <v>74</v>
      </c>
      <c r="AR651" s="1" t="s">
        <v>74</v>
      </c>
      <c r="AS651" s="1" t="s">
        <v>74</v>
      </c>
      <c r="AT651" s="1" t="s">
        <v>398</v>
      </c>
      <c r="AU651" s="1">
        <v>2020.0</v>
      </c>
      <c r="AV651" s="1">
        <v>12.0</v>
      </c>
      <c r="AW651" s="1">
        <v>2.0</v>
      </c>
      <c r="AX651" s="1" t="s">
        <v>74</v>
      </c>
      <c r="AY651" s="1" t="s">
        <v>74</v>
      </c>
      <c r="AZ651" s="1" t="s">
        <v>74</v>
      </c>
      <c r="BA651" s="1" t="s">
        <v>74</v>
      </c>
      <c r="BB651" s="1" t="s">
        <v>74</v>
      </c>
      <c r="BC651" s="1" t="s">
        <v>74</v>
      </c>
      <c r="BD651" s="1">
        <v>567.0</v>
      </c>
      <c r="BE651" s="1" t="s">
        <v>6571</v>
      </c>
      <c r="BF651" s="2" t="str">
        <f>HYPERLINK("http://dx.doi.org/10.3390/nu12020567","http://dx.doi.org/10.3390/nu12020567")</f>
        <v>http://dx.doi.org/10.3390/nu12020567</v>
      </c>
      <c r="BG651" s="1" t="s">
        <v>74</v>
      </c>
      <c r="BH651" s="1" t="s">
        <v>74</v>
      </c>
      <c r="BI651" s="1" t="s">
        <v>74</v>
      </c>
      <c r="BJ651" s="1" t="s">
        <v>74</v>
      </c>
      <c r="BK651" s="1" t="s">
        <v>74</v>
      </c>
      <c r="BL651" s="1" t="s">
        <v>74</v>
      </c>
      <c r="BM651" s="1" t="s">
        <v>74</v>
      </c>
      <c r="BN651" s="1">
        <v>3.2098325E7</v>
      </c>
      <c r="BO651" s="1" t="s">
        <v>74</v>
      </c>
      <c r="BP651" s="1" t="s">
        <v>74</v>
      </c>
      <c r="BQ651" s="1" t="s">
        <v>74</v>
      </c>
      <c r="BR651" s="1" t="s">
        <v>74</v>
      </c>
      <c r="BS651" s="1" t="s">
        <v>6572</v>
      </c>
      <c r="BT651" s="1" t="str">
        <f>HYPERLINK("https%3A%2F%2Fwww.webofscience.com%2Fwos%2Fwoscc%2Ffull-record%2FWOS:000522458700294","View Full Record in Web of Science")</f>
        <v>View Full Record in Web of Science</v>
      </c>
    </row>
    <row r="652" ht="12.75" customHeight="1">
      <c r="A652" s="1" t="s">
        <v>72</v>
      </c>
      <c r="B652" s="1" t="s">
        <v>6573</v>
      </c>
      <c r="C652" s="1" t="s">
        <v>74</v>
      </c>
      <c r="D652" s="1" t="s">
        <v>74</v>
      </c>
      <c r="E652" s="1" t="s">
        <v>74</v>
      </c>
      <c r="F652" s="1" t="s">
        <v>6574</v>
      </c>
      <c r="G652" s="1" t="s">
        <v>74</v>
      </c>
      <c r="H652" s="1" t="s">
        <v>74</v>
      </c>
      <c r="I652" s="1" t="s">
        <v>6575</v>
      </c>
      <c r="J652" s="1" t="s">
        <v>1072</v>
      </c>
      <c r="K652" s="1" t="s">
        <v>74</v>
      </c>
      <c r="L652" s="1" t="s">
        <v>74</v>
      </c>
      <c r="M652" s="1" t="s">
        <v>74</v>
      </c>
      <c r="N652" s="1" t="s">
        <v>74</v>
      </c>
      <c r="O652" s="1" t="s">
        <v>74</v>
      </c>
      <c r="P652" s="1" t="s">
        <v>74</v>
      </c>
      <c r="Q652" s="1" t="s">
        <v>74</v>
      </c>
      <c r="R652" s="1" t="s">
        <v>74</v>
      </c>
      <c r="S652" s="1" t="s">
        <v>74</v>
      </c>
      <c r="T652" s="1" t="s">
        <v>74</v>
      </c>
      <c r="U652" s="1" t="s">
        <v>74</v>
      </c>
      <c r="V652" s="1" t="s">
        <v>6576</v>
      </c>
      <c r="W652" s="1" t="s">
        <v>74</v>
      </c>
      <c r="X652" s="1" t="s">
        <v>74</v>
      </c>
      <c r="Y652" s="1" t="s">
        <v>74</v>
      </c>
      <c r="Z652" s="1" t="s">
        <v>74</v>
      </c>
      <c r="AA652" s="1" t="s">
        <v>74</v>
      </c>
      <c r="AB652" s="1" t="s">
        <v>74</v>
      </c>
      <c r="AC652" s="1" t="s">
        <v>74</v>
      </c>
      <c r="AD652" s="1" t="s">
        <v>74</v>
      </c>
      <c r="AE652" s="1" t="s">
        <v>74</v>
      </c>
      <c r="AF652" s="1" t="s">
        <v>74</v>
      </c>
      <c r="AG652" s="1" t="s">
        <v>74</v>
      </c>
      <c r="AH652" s="1" t="s">
        <v>74</v>
      </c>
      <c r="AI652" s="1" t="s">
        <v>74</v>
      </c>
      <c r="AJ652" s="1" t="s">
        <v>74</v>
      </c>
      <c r="AK652" s="1" t="s">
        <v>74</v>
      </c>
      <c r="AL652" s="1" t="s">
        <v>74</v>
      </c>
      <c r="AM652" s="1" t="s">
        <v>74</v>
      </c>
      <c r="AN652" s="1" t="s">
        <v>74</v>
      </c>
      <c r="AO652" s="1" t="s">
        <v>1075</v>
      </c>
      <c r="AP652" s="1" t="s">
        <v>1076</v>
      </c>
      <c r="AQ652" s="1" t="s">
        <v>74</v>
      </c>
      <c r="AR652" s="1" t="s">
        <v>74</v>
      </c>
      <c r="AS652" s="1" t="s">
        <v>74</v>
      </c>
      <c r="AT652" s="1" t="s">
        <v>74</v>
      </c>
      <c r="AU652" s="1">
        <v>2020.0</v>
      </c>
      <c r="AV652" s="1" t="s">
        <v>74</v>
      </c>
      <c r="AW652" s="1">
        <v>37.0</v>
      </c>
      <c r="AX652" s="1" t="s">
        <v>74</v>
      </c>
      <c r="AY652" s="1" t="s">
        <v>74</v>
      </c>
      <c r="AZ652" s="1" t="s">
        <v>74</v>
      </c>
      <c r="BA652" s="1" t="s">
        <v>74</v>
      </c>
      <c r="BB652" s="1">
        <v>320.0</v>
      </c>
      <c r="BC652" s="1">
        <v>325.0</v>
      </c>
      <c r="BD652" s="1" t="s">
        <v>74</v>
      </c>
      <c r="BE652" s="1" t="s">
        <v>74</v>
      </c>
      <c r="BF652" s="1" t="s">
        <v>74</v>
      </c>
      <c r="BG652" s="1" t="s">
        <v>74</v>
      </c>
      <c r="BH652" s="1" t="s">
        <v>74</v>
      </c>
      <c r="BI652" s="1" t="s">
        <v>74</v>
      </c>
      <c r="BJ652" s="1" t="s">
        <v>74</v>
      </c>
      <c r="BK652" s="1" t="s">
        <v>74</v>
      </c>
      <c r="BL652" s="1" t="s">
        <v>74</v>
      </c>
      <c r="BM652" s="1" t="s">
        <v>74</v>
      </c>
      <c r="BN652" s="1" t="s">
        <v>74</v>
      </c>
      <c r="BO652" s="1" t="s">
        <v>74</v>
      </c>
      <c r="BP652" s="1" t="s">
        <v>74</v>
      </c>
      <c r="BQ652" s="1" t="s">
        <v>74</v>
      </c>
      <c r="BR652" s="1" t="s">
        <v>74</v>
      </c>
      <c r="BS652" s="1" t="s">
        <v>6577</v>
      </c>
      <c r="BT652" s="1" t="str">
        <f>HYPERLINK("https%3A%2F%2Fwww.webofscience.com%2Fwos%2Fwoscc%2Ffull-record%2FWOS:000519562000047","View Full Record in Web of Science")</f>
        <v>View Full Record in Web of Science</v>
      </c>
    </row>
    <row r="653" ht="12.75" customHeight="1">
      <c r="A653" s="1" t="s">
        <v>647</v>
      </c>
      <c r="B653" s="1" t="s">
        <v>6578</v>
      </c>
      <c r="C653" s="1" t="s">
        <v>74</v>
      </c>
      <c r="D653" s="1" t="s">
        <v>74</v>
      </c>
      <c r="E653" s="1" t="s">
        <v>649</v>
      </c>
      <c r="F653" s="1" t="s">
        <v>6579</v>
      </c>
      <c r="G653" s="1" t="s">
        <v>74</v>
      </c>
      <c r="H653" s="1" t="s">
        <v>74</v>
      </c>
      <c r="I653" s="1" t="s">
        <v>6580</v>
      </c>
      <c r="J653" s="1" t="s">
        <v>6581</v>
      </c>
      <c r="K653" s="1" t="s">
        <v>6582</v>
      </c>
      <c r="L653" s="1" t="s">
        <v>74</v>
      </c>
      <c r="M653" s="1" t="s">
        <v>74</v>
      </c>
      <c r="N653" s="1" t="s">
        <v>74</v>
      </c>
      <c r="O653" s="1" t="s">
        <v>6583</v>
      </c>
      <c r="P653" s="1" t="s">
        <v>6584</v>
      </c>
      <c r="Q653" s="1" t="s">
        <v>6585</v>
      </c>
      <c r="R653" s="1" t="s">
        <v>649</v>
      </c>
      <c r="S653" s="1" t="s">
        <v>74</v>
      </c>
      <c r="T653" s="1" t="s">
        <v>74</v>
      </c>
      <c r="U653" s="1" t="s">
        <v>74</v>
      </c>
      <c r="V653" s="1" t="s">
        <v>6586</v>
      </c>
      <c r="W653" s="1" t="s">
        <v>74</v>
      </c>
      <c r="X653" s="1" t="s">
        <v>74</v>
      </c>
      <c r="Y653" s="1" t="s">
        <v>74</v>
      </c>
      <c r="Z653" s="1" t="s">
        <v>74</v>
      </c>
      <c r="AA653" s="1" t="s">
        <v>6587</v>
      </c>
      <c r="AB653" s="1" t="s">
        <v>6588</v>
      </c>
      <c r="AC653" s="1" t="s">
        <v>74</v>
      </c>
      <c r="AD653" s="1" t="s">
        <v>74</v>
      </c>
      <c r="AE653" s="1" t="s">
        <v>74</v>
      </c>
      <c r="AF653" s="1" t="s">
        <v>74</v>
      </c>
      <c r="AG653" s="1" t="s">
        <v>74</v>
      </c>
      <c r="AH653" s="1" t="s">
        <v>74</v>
      </c>
      <c r="AI653" s="1" t="s">
        <v>74</v>
      </c>
      <c r="AJ653" s="1" t="s">
        <v>74</v>
      </c>
      <c r="AK653" s="1" t="s">
        <v>74</v>
      </c>
      <c r="AL653" s="1" t="s">
        <v>74</v>
      </c>
      <c r="AM653" s="1" t="s">
        <v>74</v>
      </c>
      <c r="AN653" s="1" t="s">
        <v>74</v>
      </c>
      <c r="AO653" s="1" t="s">
        <v>6589</v>
      </c>
      <c r="AP653" s="1" t="s">
        <v>74</v>
      </c>
      <c r="AQ653" s="1" t="s">
        <v>6590</v>
      </c>
      <c r="AR653" s="1" t="s">
        <v>74</v>
      </c>
      <c r="AS653" s="1" t="s">
        <v>74</v>
      </c>
      <c r="AT653" s="1" t="s">
        <v>74</v>
      </c>
      <c r="AU653" s="1">
        <v>2020.0</v>
      </c>
      <c r="AV653" s="1" t="s">
        <v>74</v>
      </c>
      <c r="AW653" s="1" t="s">
        <v>74</v>
      </c>
      <c r="AX653" s="1" t="s">
        <v>74</v>
      </c>
      <c r="AY653" s="1" t="s">
        <v>74</v>
      </c>
      <c r="AZ653" s="1" t="s">
        <v>74</v>
      </c>
      <c r="BA653" s="1" t="s">
        <v>74</v>
      </c>
      <c r="BB653" s="1">
        <v>837.0</v>
      </c>
      <c r="BC653" s="1">
        <v>842.0</v>
      </c>
      <c r="BD653" s="1" t="s">
        <v>74</v>
      </c>
      <c r="BE653" s="1" t="s">
        <v>6591</v>
      </c>
      <c r="BF653" s="2" t="str">
        <f>HYPERLINK("http://dx.doi.org/10.1109/ICIT45562.2020.9067144","http://dx.doi.org/10.1109/ICIT45562.2020.9067144")</f>
        <v>http://dx.doi.org/10.1109/ICIT45562.2020.9067144</v>
      </c>
      <c r="BG653" s="1" t="s">
        <v>74</v>
      </c>
      <c r="BH653" s="1" t="s">
        <v>74</v>
      </c>
      <c r="BI653" s="1" t="s">
        <v>74</v>
      </c>
      <c r="BJ653" s="1" t="s">
        <v>74</v>
      </c>
      <c r="BK653" s="1" t="s">
        <v>74</v>
      </c>
      <c r="BL653" s="1" t="s">
        <v>74</v>
      </c>
      <c r="BM653" s="1" t="s">
        <v>74</v>
      </c>
      <c r="BN653" s="1" t="s">
        <v>74</v>
      </c>
      <c r="BO653" s="1" t="s">
        <v>74</v>
      </c>
      <c r="BP653" s="1" t="s">
        <v>74</v>
      </c>
      <c r="BQ653" s="1" t="s">
        <v>74</v>
      </c>
      <c r="BR653" s="1" t="s">
        <v>74</v>
      </c>
      <c r="BS653" s="1" t="s">
        <v>6592</v>
      </c>
      <c r="BT653" s="1" t="str">
        <f>HYPERLINK("https%3A%2F%2Fwww.webofscience.com%2Fwos%2Fwoscc%2Ffull-record%2FWOS:000560681600127","View Full Record in Web of Science")</f>
        <v>View Full Record in Web of Science</v>
      </c>
    </row>
    <row r="654" ht="12.75" customHeight="1">
      <c r="A654" s="1" t="s">
        <v>72</v>
      </c>
      <c r="B654" s="1" t="s">
        <v>6593</v>
      </c>
      <c r="C654" s="1" t="s">
        <v>74</v>
      </c>
      <c r="D654" s="1" t="s">
        <v>74</v>
      </c>
      <c r="E654" s="1" t="s">
        <v>74</v>
      </c>
      <c r="F654" s="1" t="s">
        <v>6594</v>
      </c>
      <c r="G654" s="1" t="s">
        <v>74</v>
      </c>
      <c r="H654" s="1" t="s">
        <v>74</v>
      </c>
      <c r="I654" s="1" t="s">
        <v>6595</v>
      </c>
      <c r="J654" s="1" t="s">
        <v>6596</v>
      </c>
      <c r="K654" s="1" t="s">
        <v>74</v>
      </c>
      <c r="L654" s="1" t="s">
        <v>74</v>
      </c>
      <c r="M654" s="1" t="s">
        <v>74</v>
      </c>
      <c r="N654" s="1" t="s">
        <v>74</v>
      </c>
      <c r="O654" s="1" t="s">
        <v>74</v>
      </c>
      <c r="P654" s="1" t="s">
        <v>74</v>
      </c>
      <c r="Q654" s="1" t="s">
        <v>74</v>
      </c>
      <c r="R654" s="1" t="s">
        <v>74</v>
      </c>
      <c r="S654" s="1" t="s">
        <v>74</v>
      </c>
      <c r="T654" s="1" t="s">
        <v>74</v>
      </c>
      <c r="U654" s="1" t="s">
        <v>74</v>
      </c>
      <c r="V654" s="1" t="s">
        <v>6597</v>
      </c>
      <c r="W654" s="1" t="s">
        <v>74</v>
      </c>
      <c r="X654" s="1" t="s">
        <v>74</v>
      </c>
      <c r="Y654" s="1" t="s">
        <v>74</v>
      </c>
      <c r="Z654" s="1" t="s">
        <v>74</v>
      </c>
      <c r="AA654" s="1" t="s">
        <v>6598</v>
      </c>
      <c r="AB654" s="1" t="s">
        <v>6599</v>
      </c>
      <c r="AC654" s="1" t="s">
        <v>74</v>
      </c>
      <c r="AD654" s="1" t="s">
        <v>74</v>
      </c>
      <c r="AE654" s="1" t="s">
        <v>74</v>
      </c>
      <c r="AF654" s="1" t="s">
        <v>74</v>
      </c>
      <c r="AG654" s="1" t="s">
        <v>74</v>
      </c>
      <c r="AH654" s="1" t="s">
        <v>74</v>
      </c>
      <c r="AI654" s="1" t="s">
        <v>74</v>
      </c>
      <c r="AJ654" s="1" t="s">
        <v>74</v>
      </c>
      <c r="AK654" s="1" t="s">
        <v>74</v>
      </c>
      <c r="AL654" s="1" t="s">
        <v>74</v>
      </c>
      <c r="AM654" s="1" t="s">
        <v>74</v>
      </c>
      <c r="AN654" s="1" t="s">
        <v>74</v>
      </c>
      <c r="AO654" s="1" t="s">
        <v>6600</v>
      </c>
      <c r="AP654" s="1" t="s">
        <v>6601</v>
      </c>
      <c r="AQ654" s="1" t="s">
        <v>74</v>
      </c>
      <c r="AR654" s="1" t="s">
        <v>74</v>
      </c>
      <c r="AS654" s="1" t="s">
        <v>74</v>
      </c>
      <c r="AT654" s="1" t="s">
        <v>411</v>
      </c>
      <c r="AU654" s="1">
        <v>2019.0</v>
      </c>
      <c r="AV654" s="1">
        <v>166.0</v>
      </c>
      <c r="AW654" s="1" t="s">
        <v>74</v>
      </c>
      <c r="AX654" s="1" t="s">
        <v>74</v>
      </c>
      <c r="AY654" s="1" t="s">
        <v>74</v>
      </c>
      <c r="AZ654" s="1" t="s">
        <v>74</v>
      </c>
      <c r="BA654" s="1" t="s">
        <v>74</v>
      </c>
      <c r="BB654" s="1">
        <v>286.0</v>
      </c>
      <c r="BC654" s="1">
        <v>292.0</v>
      </c>
      <c r="BD654" s="1" t="s">
        <v>74</v>
      </c>
      <c r="BE654" s="1" t="s">
        <v>6602</v>
      </c>
      <c r="BF654" s="2" t="str">
        <f>HYPERLINK("http://dx.doi.org/10.1016/j.biochi.2019.06.009","http://dx.doi.org/10.1016/j.biochi.2019.06.009")</f>
        <v>http://dx.doi.org/10.1016/j.biochi.2019.06.009</v>
      </c>
      <c r="BG654" s="1" t="s">
        <v>74</v>
      </c>
      <c r="BH654" s="1" t="s">
        <v>74</v>
      </c>
      <c r="BI654" s="1" t="s">
        <v>74</v>
      </c>
      <c r="BJ654" s="1" t="s">
        <v>74</v>
      </c>
      <c r="BK654" s="1" t="s">
        <v>74</v>
      </c>
      <c r="BL654" s="1" t="s">
        <v>74</v>
      </c>
      <c r="BM654" s="1" t="s">
        <v>74</v>
      </c>
      <c r="BN654" s="1">
        <v>3.1212039E7</v>
      </c>
      <c r="BO654" s="1" t="s">
        <v>74</v>
      </c>
      <c r="BP654" s="1" t="s">
        <v>74</v>
      </c>
      <c r="BQ654" s="1" t="s">
        <v>74</v>
      </c>
      <c r="BR654" s="1" t="s">
        <v>74</v>
      </c>
      <c r="BS654" s="1" t="s">
        <v>6603</v>
      </c>
      <c r="BT654" s="1" t="str">
        <f>HYPERLINK("https%3A%2F%2Fwww.webofscience.com%2Fwos%2Fwoscc%2Ffull-record%2FWOS:000492314700025","View Full Record in Web of Science")</f>
        <v>View Full Record in Web of Science</v>
      </c>
    </row>
    <row r="655" ht="12.75" customHeight="1">
      <c r="A655" s="1" t="s">
        <v>72</v>
      </c>
      <c r="B655" s="1" t="s">
        <v>6604</v>
      </c>
      <c r="C655" s="1" t="s">
        <v>74</v>
      </c>
      <c r="D655" s="1" t="s">
        <v>74</v>
      </c>
      <c r="E655" s="1" t="s">
        <v>74</v>
      </c>
      <c r="F655" s="1" t="s">
        <v>6605</v>
      </c>
      <c r="G655" s="1" t="s">
        <v>74</v>
      </c>
      <c r="H655" s="1" t="s">
        <v>74</v>
      </c>
      <c r="I655" s="1" t="s">
        <v>6606</v>
      </c>
      <c r="J655" s="1" t="s">
        <v>6607</v>
      </c>
      <c r="K655" s="1" t="s">
        <v>74</v>
      </c>
      <c r="L655" s="1" t="s">
        <v>74</v>
      </c>
      <c r="M655" s="1" t="s">
        <v>74</v>
      </c>
      <c r="N655" s="1" t="s">
        <v>74</v>
      </c>
      <c r="O655" s="1" t="s">
        <v>74</v>
      </c>
      <c r="P655" s="1" t="s">
        <v>74</v>
      </c>
      <c r="Q655" s="1" t="s">
        <v>74</v>
      </c>
      <c r="R655" s="1" t="s">
        <v>74</v>
      </c>
      <c r="S655" s="1" t="s">
        <v>74</v>
      </c>
      <c r="T655" s="1" t="s">
        <v>74</v>
      </c>
      <c r="U655" s="1" t="s">
        <v>74</v>
      </c>
      <c r="V655" s="1" t="s">
        <v>6608</v>
      </c>
      <c r="W655" s="1" t="s">
        <v>74</v>
      </c>
      <c r="X655" s="1" t="s">
        <v>74</v>
      </c>
      <c r="Y655" s="1" t="s">
        <v>74</v>
      </c>
      <c r="Z655" s="1" t="s">
        <v>74</v>
      </c>
      <c r="AA655" s="1" t="s">
        <v>6609</v>
      </c>
      <c r="AB655" s="1" t="s">
        <v>6610</v>
      </c>
      <c r="AC655" s="1" t="s">
        <v>74</v>
      </c>
      <c r="AD655" s="1" t="s">
        <v>74</v>
      </c>
      <c r="AE655" s="1" t="s">
        <v>74</v>
      </c>
      <c r="AF655" s="1" t="s">
        <v>74</v>
      </c>
      <c r="AG655" s="1" t="s">
        <v>74</v>
      </c>
      <c r="AH655" s="1" t="s">
        <v>74</v>
      </c>
      <c r="AI655" s="1" t="s">
        <v>74</v>
      </c>
      <c r="AJ655" s="1" t="s">
        <v>74</v>
      </c>
      <c r="AK655" s="1" t="s">
        <v>74</v>
      </c>
      <c r="AL655" s="1" t="s">
        <v>74</v>
      </c>
      <c r="AM655" s="1" t="s">
        <v>74</v>
      </c>
      <c r="AN655" s="1" t="s">
        <v>74</v>
      </c>
      <c r="AO655" s="1" t="s">
        <v>6611</v>
      </c>
      <c r="AP655" s="1" t="s">
        <v>6612</v>
      </c>
      <c r="AQ655" s="1" t="s">
        <v>74</v>
      </c>
      <c r="AR655" s="1" t="s">
        <v>74</v>
      </c>
      <c r="AS655" s="1" t="s">
        <v>74</v>
      </c>
      <c r="AT655" s="1" t="s">
        <v>411</v>
      </c>
      <c r="AU655" s="1">
        <v>2019.0</v>
      </c>
      <c r="AV655" s="1">
        <v>47.0</v>
      </c>
      <c r="AW655" s="1" t="s">
        <v>74</v>
      </c>
      <c r="AX655" s="1" t="s">
        <v>74</v>
      </c>
      <c r="AY655" s="1" t="s">
        <v>74</v>
      </c>
      <c r="AZ655" s="1" t="s">
        <v>74</v>
      </c>
      <c r="BA655" s="1" t="s">
        <v>74</v>
      </c>
      <c r="BB655" s="1" t="s">
        <v>74</v>
      </c>
      <c r="BC655" s="1" t="s">
        <v>74</v>
      </c>
      <c r="BD655" s="1">
        <v>100792.0</v>
      </c>
      <c r="BE655" s="1" t="s">
        <v>6613</v>
      </c>
      <c r="BF655" s="2" t="str">
        <f>HYPERLINK("http://dx.doi.org/10.1016/j.ienj.2019.100792","http://dx.doi.org/10.1016/j.ienj.2019.100792")</f>
        <v>http://dx.doi.org/10.1016/j.ienj.2019.100792</v>
      </c>
      <c r="BG655" s="1" t="s">
        <v>74</v>
      </c>
      <c r="BH655" s="1" t="s">
        <v>74</v>
      </c>
      <c r="BI655" s="1" t="s">
        <v>74</v>
      </c>
      <c r="BJ655" s="1" t="s">
        <v>74</v>
      </c>
      <c r="BK655" s="1" t="s">
        <v>74</v>
      </c>
      <c r="BL655" s="1" t="s">
        <v>74</v>
      </c>
      <c r="BM655" s="1" t="s">
        <v>74</v>
      </c>
      <c r="BN655" s="1">
        <v>3.1679969E7</v>
      </c>
      <c r="BO655" s="1" t="s">
        <v>74</v>
      </c>
      <c r="BP655" s="1" t="s">
        <v>74</v>
      </c>
      <c r="BQ655" s="1" t="s">
        <v>74</v>
      </c>
      <c r="BR655" s="1" t="s">
        <v>74</v>
      </c>
      <c r="BS655" s="1" t="s">
        <v>6614</v>
      </c>
      <c r="BT655" s="1" t="str">
        <f>HYPERLINK("https%3A%2F%2Fwww.webofscience.com%2Fwos%2Fwoscc%2Ffull-record%2FWOS:000498027000007","View Full Record in Web of Science")</f>
        <v>View Full Record in Web of Science</v>
      </c>
    </row>
    <row r="656" ht="12.75" customHeight="1">
      <c r="A656" s="1" t="s">
        <v>72</v>
      </c>
      <c r="B656" s="1" t="s">
        <v>6615</v>
      </c>
      <c r="C656" s="1" t="s">
        <v>74</v>
      </c>
      <c r="D656" s="1" t="s">
        <v>74</v>
      </c>
      <c r="E656" s="1" t="s">
        <v>74</v>
      </c>
      <c r="F656" s="1" t="s">
        <v>6616</v>
      </c>
      <c r="G656" s="1" t="s">
        <v>74</v>
      </c>
      <c r="H656" s="1" t="s">
        <v>74</v>
      </c>
      <c r="I656" s="1" t="s">
        <v>6617</v>
      </c>
      <c r="J656" s="1" t="s">
        <v>6618</v>
      </c>
      <c r="K656" s="1" t="s">
        <v>74</v>
      </c>
      <c r="L656" s="1" t="s">
        <v>74</v>
      </c>
      <c r="M656" s="1" t="s">
        <v>74</v>
      </c>
      <c r="N656" s="1" t="s">
        <v>74</v>
      </c>
      <c r="O656" s="1" t="s">
        <v>74</v>
      </c>
      <c r="P656" s="1" t="s">
        <v>74</v>
      </c>
      <c r="Q656" s="1" t="s">
        <v>74</v>
      </c>
      <c r="R656" s="1" t="s">
        <v>74</v>
      </c>
      <c r="S656" s="1" t="s">
        <v>74</v>
      </c>
      <c r="T656" s="1" t="s">
        <v>74</v>
      </c>
      <c r="U656" s="1" t="s">
        <v>74</v>
      </c>
      <c r="V656" s="1" t="s">
        <v>6619</v>
      </c>
      <c r="W656" s="1" t="s">
        <v>74</v>
      </c>
      <c r="X656" s="1" t="s">
        <v>74</v>
      </c>
      <c r="Y656" s="1" t="s">
        <v>74</v>
      </c>
      <c r="Z656" s="1" t="s">
        <v>74</v>
      </c>
      <c r="AA656" s="1" t="s">
        <v>6620</v>
      </c>
      <c r="AB656" s="1" t="s">
        <v>6621</v>
      </c>
      <c r="AC656" s="1" t="s">
        <v>74</v>
      </c>
      <c r="AD656" s="1" t="s">
        <v>74</v>
      </c>
      <c r="AE656" s="1" t="s">
        <v>74</v>
      </c>
      <c r="AF656" s="1" t="s">
        <v>74</v>
      </c>
      <c r="AG656" s="1" t="s">
        <v>74</v>
      </c>
      <c r="AH656" s="1" t="s">
        <v>74</v>
      </c>
      <c r="AI656" s="1" t="s">
        <v>74</v>
      </c>
      <c r="AJ656" s="1" t="s">
        <v>74</v>
      </c>
      <c r="AK656" s="1" t="s">
        <v>74</v>
      </c>
      <c r="AL656" s="1" t="s">
        <v>74</v>
      </c>
      <c r="AM656" s="1" t="s">
        <v>74</v>
      </c>
      <c r="AN656" s="1" t="s">
        <v>74</v>
      </c>
      <c r="AO656" s="1" t="s">
        <v>6622</v>
      </c>
      <c r="AP656" s="1" t="s">
        <v>6623</v>
      </c>
      <c r="AQ656" s="1" t="s">
        <v>74</v>
      </c>
      <c r="AR656" s="1" t="s">
        <v>74</v>
      </c>
      <c r="AS656" s="1" t="s">
        <v>74</v>
      </c>
      <c r="AT656" s="1" t="s">
        <v>3560</v>
      </c>
      <c r="AU656" s="1">
        <v>2019.0</v>
      </c>
      <c r="AV656" s="1">
        <v>572.0</v>
      </c>
      <c r="AW656" s="1" t="s">
        <v>74</v>
      </c>
      <c r="AX656" s="1" t="s">
        <v>74</v>
      </c>
      <c r="AY656" s="1" t="s">
        <v>74</v>
      </c>
      <c r="AZ656" s="1" t="s">
        <v>74</v>
      </c>
      <c r="BA656" s="1" t="s">
        <v>74</v>
      </c>
      <c r="BB656" s="1">
        <v>214.0</v>
      </c>
      <c r="BC656" s="1">
        <v>219.0</v>
      </c>
      <c r="BD656" s="1" t="s">
        <v>74</v>
      </c>
      <c r="BE656" s="1" t="s">
        <v>6624</v>
      </c>
      <c r="BF656" s="2" t="str">
        <f>HYPERLINK("http://dx.doi.org/10.1016/j.physb.2019.08.007","http://dx.doi.org/10.1016/j.physb.2019.08.007")</f>
        <v>http://dx.doi.org/10.1016/j.physb.2019.08.007</v>
      </c>
      <c r="BG656" s="1" t="s">
        <v>74</v>
      </c>
      <c r="BH656" s="1" t="s">
        <v>74</v>
      </c>
      <c r="BI656" s="1" t="s">
        <v>74</v>
      </c>
      <c r="BJ656" s="1" t="s">
        <v>74</v>
      </c>
      <c r="BK656" s="1" t="s">
        <v>74</v>
      </c>
      <c r="BL656" s="1" t="s">
        <v>74</v>
      </c>
      <c r="BM656" s="1" t="s">
        <v>74</v>
      </c>
      <c r="BN656" s="1" t="s">
        <v>74</v>
      </c>
      <c r="BO656" s="1" t="s">
        <v>74</v>
      </c>
      <c r="BP656" s="1" t="s">
        <v>74</v>
      </c>
      <c r="BQ656" s="1" t="s">
        <v>74</v>
      </c>
      <c r="BR656" s="1" t="s">
        <v>74</v>
      </c>
      <c r="BS656" s="1" t="s">
        <v>6625</v>
      </c>
      <c r="BT656" s="1" t="str">
        <f>HYPERLINK("https%3A%2F%2Fwww.webofscience.com%2Fwos%2Fwoscc%2Ffull-record%2FWOS:000485002600032","View Full Record in Web of Science")</f>
        <v>View Full Record in Web of Science</v>
      </c>
    </row>
    <row r="657" ht="12.75" customHeight="1">
      <c r="A657" s="1" t="s">
        <v>72</v>
      </c>
      <c r="B657" s="1" t="s">
        <v>6626</v>
      </c>
      <c r="C657" s="1" t="s">
        <v>74</v>
      </c>
      <c r="D657" s="1" t="s">
        <v>74</v>
      </c>
      <c r="E657" s="1" t="s">
        <v>74</v>
      </c>
      <c r="F657" s="1" t="s">
        <v>6627</v>
      </c>
      <c r="G657" s="1" t="s">
        <v>74</v>
      </c>
      <c r="H657" s="1" t="s">
        <v>74</v>
      </c>
      <c r="I657" s="1" t="s">
        <v>6628</v>
      </c>
      <c r="J657" s="1" t="s">
        <v>2493</v>
      </c>
      <c r="K657" s="1" t="s">
        <v>74</v>
      </c>
      <c r="L657" s="1" t="s">
        <v>74</v>
      </c>
      <c r="M657" s="1" t="s">
        <v>74</v>
      </c>
      <c r="N657" s="1" t="s">
        <v>74</v>
      </c>
      <c r="O657" s="1" t="s">
        <v>74</v>
      </c>
      <c r="P657" s="1" t="s">
        <v>74</v>
      </c>
      <c r="Q657" s="1" t="s">
        <v>74</v>
      </c>
      <c r="R657" s="1" t="s">
        <v>74</v>
      </c>
      <c r="S657" s="1" t="s">
        <v>74</v>
      </c>
      <c r="T657" s="1" t="s">
        <v>74</v>
      </c>
      <c r="U657" s="1" t="s">
        <v>74</v>
      </c>
      <c r="V657" s="1" t="s">
        <v>6629</v>
      </c>
      <c r="W657" s="1" t="s">
        <v>74</v>
      </c>
      <c r="X657" s="1" t="s">
        <v>74</v>
      </c>
      <c r="Y657" s="1" t="s">
        <v>74</v>
      </c>
      <c r="Z657" s="1" t="s">
        <v>74</v>
      </c>
      <c r="AA657" s="1" t="s">
        <v>6630</v>
      </c>
      <c r="AB657" s="1" t="s">
        <v>6631</v>
      </c>
      <c r="AC657" s="1" t="s">
        <v>74</v>
      </c>
      <c r="AD657" s="1" t="s">
        <v>74</v>
      </c>
      <c r="AE657" s="1" t="s">
        <v>74</v>
      </c>
      <c r="AF657" s="1" t="s">
        <v>74</v>
      </c>
      <c r="AG657" s="1" t="s">
        <v>74</v>
      </c>
      <c r="AH657" s="1" t="s">
        <v>74</v>
      </c>
      <c r="AI657" s="1" t="s">
        <v>74</v>
      </c>
      <c r="AJ657" s="1" t="s">
        <v>74</v>
      </c>
      <c r="AK657" s="1" t="s">
        <v>74</v>
      </c>
      <c r="AL657" s="1" t="s">
        <v>74</v>
      </c>
      <c r="AM657" s="1" t="s">
        <v>74</v>
      </c>
      <c r="AN657" s="1" t="s">
        <v>74</v>
      </c>
      <c r="AO657" s="1" t="s">
        <v>2497</v>
      </c>
      <c r="AP657" s="1" t="s">
        <v>2498</v>
      </c>
      <c r="AQ657" s="1" t="s">
        <v>74</v>
      </c>
      <c r="AR657" s="1" t="s">
        <v>74</v>
      </c>
      <c r="AS657" s="1" t="s">
        <v>74</v>
      </c>
      <c r="AT657" s="1" t="s">
        <v>6632</v>
      </c>
      <c r="AU657" s="1">
        <v>2019.0</v>
      </c>
      <c r="AV657" s="1">
        <v>55.0</v>
      </c>
      <c r="AW657" s="1">
        <v>84.0</v>
      </c>
      <c r="AX657" s="1" t="s">
        <v>74</v>
      </c>
      <c r="AY657" s="1" t="s">
        <v>74</v>
      </c>
      <c r="AZ657" s="1" t="s">
        <v>74</v>
      </c>
      <c r="BA657" s="1" t="s">
        <v>74</v>
      </c>
      <c r="BB657" s="1">
        <v>12721.0</v>
      </c>
      <c r="BC657" s="1">
        <v>12722.0</v>
      </c>
      <c r="BD657" s="1" t="s">
        <v>74</v>
      </c>
      <c r="BE657" s="1" t="s">
        <v>6633</v>
      </c>
      <c r="BF657" s="2" t="str">
        <f>HYPERLINK("http://dx.doi.org/10.1039/c9cc06470b","http://dx.doi.org/10.1039/c9cc06470b")</f>
        <v>http://dx.doi.org/10.1039/c9cc06470b</v>
      </c>
      <c r="BG657" s="1" t="s">
        <v>74</v>
      </c>
      <c r="BH657" s="1" t="s">
        <v>74</v>
      </c>
      <c r="BI657" s="1" t="s">
        <v>74</v>
      </c>
      <c r="BJ657" s="1" t="s">
        <v>74</v>
      </c>
      <c r="BK657" s="1" t="s">
        <v>74</v>
      </c>
      <c r="BL657" s="1" t="s">
        <v>74</v>
      </c>
      <c r="BM657" s="1" t="s">
        <v>74</v>
      </c>
      <c r="BN657" s="1" t="s">
        <v>74</v>
      </c>
      <c r="BO657" s="1" t="s">
        <v>74</v>
      </c>
      <c r="BP657" s="1" t="s">
        <v>74</v>
      </c>
      <c r="BQ657" s="1" t="s">
        <v>74</v>
      </c>
      <c r="BR657" s="1" t="s">
        <v>74</v>
      </c>
      <c r="BS657" s="1" t="s">
        <v>6634</v>
      </c>
      <c r="BT657" s="1" t="str">
        <f>HYPERLINK("https%3A%2F%2Fwww.webofscience.com%2Fwos%2Fwoscc%2Ffull-record%2FWOS:000490779100029","View Full Record in Web of Science")</f>
        <v>View Full Record in Web of Science</v>
      </c>
    </row>
    <row r="658" ht="12.75" customHeight="1">
      <c r="A658" s="1" t="s">
        <v>72</v>
      </c>
      <c r="B658" s="1" t="s">
        <v>6635</v>
      </c>
      <c r="C658" s="1" t="s">
        <v>74</v>
      </c>
      <c r="D658" s="1" t="s">
        <v>74</v>
      </c>
      <c r="E658" s="1" t="s">
        <v>74</v>
      </c>
      <c r="F658" s="1" t="s">
        <v>6636</v>
      </c>
      <c r="G658" s="1" t="s">
        <v>74</v>
      </c>
      <c r="H658" s="1" t="s">
        <v>74</v>
      </c>
      <c r="I658" s="1" t="s">
        <v>6637</v>
      </c>
      <c r="J658" s="1" t="s">
        <v>6638</v>
      </c>
      <c r="K658" s="1" t="s">
        <v>74</v>
      </c>
      <c r="L658" s="1" t="s">
        <v>74</v>
      </c>
      <c r="M658" s="1" t="s">
        <v>74</v>
      </c>
      <c r="N658" s="1" t="s">
        <v>74</v>
      </c>
      <c r="O658" s="1" t="s">
        <v>74</v>
      </c>
      <c r="P658" s="1" t="s">
        <v>74</v>
      </c>
      <c r="Q658" s="1" t="s">
        <v>74</v>
      </c>
      <c r="R658" s="1" t="s">
        <v>74</v>
      </c>
      <c r="S658" s="1" t="s">
        <v>74</v>
      </c>
      <c r="T658" s="1" t="s">
        <v>74</v>
      </c>
      <c r="U658" s="1" t="s">
        <v>74</v>
      </c>
      <c r="V658" s="1" t="s">
        <v>6639</v>
      </c>
      <c r="W658" s="1" t="s">
        <v>74</v>
      </c>
      <c r="X658" s="1" t="s">
        <v>74</v>
      </c>
      <c r="Y658" s="1" t="s">
        <v>74</v>
      </c>
      <c r="Z658" s="1" t="s">
        <v>74</v>
      </c>
      <c r="AA658" s="1" t="s">
        <v>74</v>
      </c>
      <c r="AB658" s="1" t="s">
        <v>6640</v>
      </c>
      <c r="AC658" s="1" t="s">
        <v>74</v>
      </c>
      <c r="AD658" s="1" t="s">
        <v>74</v>
      </c>
      <c r="AE658" s="1" t="s">
        <v>74</v>
      </c>
      <c r="AF658" s="1" t="s">
        <v>74</v>
      </c>
      <c r="AG658" s="1" t="s">
        <v>74</v>
      </c>
      <c r="AH658" s="1" t="s">
        <v>74</v>
      </c>
      <c r="AI658" s="1" t="s">
        <v>74</v>
      </c>
      <c r="AJ658" s="1" t="s">
        <v>74</v>
      </c>
      <c r="AK658" s="1" t="s">
        <v>74</v>
      </c>
      <c r="AL658" s="1" t="s">
        <v>74</v>
      </c>
      <c r="AM658" s="1" t="s">
        <v>74</v>
      </c>
      <c r="AN658" s="1" t="s">
        <v>74</v>
      </c>
      <c r="AO658" s="1" t="s">
        <v>6641</v>
      </c>
      <c r="AP658" s="1" t="s">
        <v>74</v>
      </c>
      <c r="AQ658" s="1" t="s">
        <v>74</v>
      </c>
      <c r="AR658" s="1" t="s">
        <v>74</v>
      </c>
      <c r="AS658" s="1" t="s">
        <v>74</v>
      </c>
      <c r="AT658" s="1" t="s">
        <v>203</v>
      </c>
      <c r="AU658" s="1">
        <v>2019.0</v>
      </c>
      <c r="AV658" s="1">
        <v>13.0</v>
      </c>
      <c r="AW658" s="1" t="s">
        <v>74</v>
      </c>
      <c r="AX658" s="1" t="s">
        <v>74</v>
      </c>
      <c r="AY658" s="1" t="s">
        <v>74</v>
      </c>
      <c r="AZ658" s="1" t="s">
        <v>74</v>
      </c>
      <c r="BA658" s="1" t="s">
        <v>74</v>
      </c>
      <c r="BB658" s="1" t="s">
        <v>74</v>
      </c>
      <c r="BC658" s="1" t="s">
        <v>74</v>
      </c>
      <c r="BD658" s="1">
        <v>69.0</v>
      </c>
      <c r="BE658" s="1" t="s">
        <v>6642</v>
      </c>
      <c r="BF658" s="2" t="str">
        <f>HYPERLINK("http://dx.doi.org/10.3389/fncel.2019.00069","http://dx.doi.org/10.3389/fncel.2019.00069")</f>
        <v>http://dx.doi.org/10.3389/fncel.2019.00069</v>
      </c>
      <c r="BG658" s="1" t="s">
        <v>74</v>
      </c>
      <c r="BH658" s="1" t="s">
        <v>74</v>
      </c>
      <c r="BI658" s="1" t="s">
        <v>74</v>
      </c>
      <c r="BJ658" s="1" t="s">
        <v>74</v>
      </c>
      <c r="BK658" s="1" t="s">
        <v>74</v>
      </c>
      <c r="BL658" s="1" t="s">
        <v>74</v>
      </c>
      <c r="BM658" s="1" t="s">
        <v>74</v>
      </c>
      <c r="BN658" s="1">
        <v>3.0881289E7</v>
      </c>
      <c r="BO658" s="1" t="s">
        <v>74</v>
      </c>
      <c r="BP658" s="1" t="s">
        <v>74</v>
      </c>
      <c r="BQ658" s="1" t="s">
        <v>74</v>
      </c>
      <c r="BR658" s="1" t="s">
        <v>74</v>
      </c>
      <c r="BS658" s="1" t="s">
        <v>6643</v>
      </c>
      <c r="BT658" s="1" t="str">
        <f>HYPERLINK("https%3A%2F%2Fwww.webofscience.com%2Fwos%2Fwoscc%2Ffull-record%2FWOS:000460027100001","View Full Record in Web of Science")</f>
        <v>View Full Record in Web of Science</v>
      </c>
    </row>
    <row r="659" ht="12.75" customHeight="1">
      <c r="A659" s="1" t="s">
        <v>72</v>
      </c>
      <c r="B659" s="1" t="s">
        <v>6644</v>
      </c>
      <c r="C659" s="1" t="s">
        <v>74</v>
      </c>
      <c r="D659" s="1" t="s">
        <v>74</v>
      </c>
      <c r="E659" s="1" t="s">
        <v>74</v>
      </c>
      <c r="F659" s="1" t="s">
        <v>6645</v>
      </c>
      <c r="G659" s="1" t="s">
        <v>74</v>
      </c>
      <c r="H659" s="1" t="s">
        <v>74</v>
      </c>
      <c r="I659" s="1" t="s">
        <v>6646</v>
      </c>
      <c r="J659" s="1" t="s">
        <v>6647</v>
      </c>
      <c r="K659" s="1" t="s">
        <v>74</v>
      </c>
      <c r="L659" s="1" t="s">
        <v>74</v>
      </c>
      <c r="M659" s="1" t="s">
        <v>74</v>
      </c>
      <c r="N659" s="1" t="s">
        <v>74</v>
      </c>
      <c r="O659" s="1" t="s">
        <v>74</v>
      </c>
      <c r="P659" s="1" t="s">
        <v>74</v>
      </c>
      <c r="Q659" s="1" t="s">
        <v>74</v>
      </c>
      <c r="R659" s="1" t="s">
        <v>74</v>
      </c>
      <c r="S659" s="1" t="s">
        <v>74</v>
      </c>
      <c r="T659" s="1" t="s">
        <v>74</v>
      </c>
      <c r="U659" s="1" t="s">
        <v>74</v>
      </c>
      <c r="V659" s="1" t="s">
        <v>6648</v>
      </c>
      <c r="W659" s="1" t="s">
        <v>74</v>
      </c>
      <c r="X659" s="1" t="s">
        <v>74</v>
      </c>
      <c r="Y659" s="1" t="s">
        <v>74</v>
      </c>
      <c r="Z659" s="1" t="s">
        <v>74</v>
      </c>
      <c r="AA659" s="1" t="s">
        <v>6649</v>
      </c>
      <c r="AB659" s="1" t="s">
        <v>6650</v>
      </c>
      <c r="AC659" s="1" t="s">
        <v>74</v>
      </c>
      <c r="AD659" s="1" t="s">
        <v>74</v>
      </c>
      <c r="AE659" s="1" t="s">
        <v>74</v>
      </c>
      <c r="AF659" s="1" t="s">
        <v>74</v>
      </c>
      <c r="AG659" s="1" t="s">
        <v>74</v>
      </c>
      <c r="AH659" s="1" t="s">
        <v>74</v>
      </c>
      <c r="AI659" s="1" t="s">
        <v>74</v>
      </c>
      <c r="AJ659" s="1" t="s">
        <v>74</v>
      </c>
      <c r="AK659" s="1" t="s">
        <v>74</v>
      </c>
      <c r="AL659" s="1" t="s">
        <v>74</v>
      </c>
      <c r="AM659" s="1" t="s">
        <v>74</v>
      </c>
      <c r="AN659" s="1" t="s">
        <v>74</v>
      </c>
      <c r="AO659" s="1" t="s">
        <v>6651</v>
      </c>
      <c r="AP659" s="1" t="s">
        <v>6652</v>
      </c>
      <c r="AQ659" s="1" t="s">
        <v>74</v>
      </c>
      <c r="AR659" s="1" t="s">
        <v>74</v>
      </c>
      <c r="AS659" s="1" t="s">
        <v>74</v>
      </c>
      <c r="AT659" s="1" t="s">
        <v>250</v>
      </c>
      <c r="AU659" s="1">
        <v>2018.0</v>
      </c>
      <c r="AV659" s="1">
        <v>14.0</v>
      </c>
      <c r="AW659" s="1">
        <v>9.0</v>
      </c>
      <c r="AX659" s="1" t="s">
        <v>74</v>
      </c>
      <c r="AY659" s="1" t="s">
        <v>74</v>
      </c>
      <c r="AZ659" s="1" t="s">
        <v>74</v>
      </c>
      <c r="BA659" s="1" t="s">
        <v>74</v>
      </c>
      <c r="BB659" s="1">
        <v>948.0</v>
      </c>
      <c r="BC659" s="1">
        <v>953.0</v>
      </c>
      <c r="BD659" s="1" t="s">
        <v>74</v>
      </c>
      <c r="BE659" s="1" t="s">
        <v>6653</v>
      </c>
      <c r="BF659" s="2" t="str">
        <f>HYPERLINK("http://dx.doi.org/10.1038/s41567-018-0193-x","http://dx.doi.org/10.1038/s41567-018-0193-x")</f>
        <v>http://dx.doi.org/10.1038/s41567-018-0193-x</v>
      </c>
      <c r="BG659" s="1" t="s">
        <v>74</v>
      </c>
      <c r="BH659" s="1" t="s">
        <v>74</v>
      </c>
      <c r="BI659" s="1" t="s">
        <v>74</v>
      </c>
      <c r="BJ659" s="1" t="s">
        <v>74</v>
      </c>
      <c r="BK659" s="1" t="s">
        <v>74</v>
      </c>
      <c r="BL659" s="1" t="s">
        <v>74</v>
      </c>
      <c r="BM659" s="1" t="s">
        <v>74</v>
      </c>
      <c r="BN659" s="1">
        <v>3.905578E7</v>
      </c>
      <c r="BO659" s="1" t="s">
        <v>74</v>
      </c>
      <c r="BP659" s="1" t="s">
        <v>74</v>
      </c>
      <c r="BQ659" s="1" t="s">
        <v>74</v>
      </c>
      <c r="BR659" s="1" t="s">
        <v>74</v>
      </c>
      <c r="BS659" s="1" t="s">
        <v>6654</v>
      </c>
      <c r="BT659" s="1" t="str">
        <f>HYPERLINK("https%3A%2F%2Fwww.webofscience.com%2Fwos%2Fwoscc%2Ffull-record%2FWOS:000443584000028","View Full Record in Web of Science")</f>
        <v>View Full Record in Web of Science</v>
      </c>
    </row>
    <row r="660" ht="12.75" customHeight="1">
      <c r="A660" s="1" t="s">
        <v>72</v>
      </c>
      <c r="B660" s="1" t="s">
        <v>6655</v>
      </c>
      <c r="C660" s="1" t="s">
        <v>74</v>
      </c>
      <c r="D660" s="1" t="s">
        <v>74</v>
      </c>
      <c r="E660" s="1" t="s">
        <v>74</v>
      </c>
      <c r="F660" s="1" t="s">
        <v>6656</v>
      </c>
      <c r="G660" s="1" t="s">
        <v>74</v>
      </c>
      <c r="H660" s="1" t="s">
        <v>74</v>
      </c>
      <c r="I660" s="1" t="s">
        <v>6657</v>
      </c>
      <c r="J660" s="1" t="s">
        <v>174</v>
      </c>
      <c r="K660" s="1" t="s">
        <v>74</v>
      </c>
      <c r="L660" s="1" t="s">
        <v>74</v>
      </c>
      <c r="M660" s="1" t="s">
        <v>74</v>
      </c>
      <c r="N660" s="1" t="s">
        <v>74</v>
      </c>
      <c r="O660" s="1" t="s">
        <v>74</v>
      </c>
      <c r="P660" s="1" t="s">
        <v>74</v>
      </c>
      <c r="Q660" s="1" t="s">
        <v>74</v>
      </c>
      <c r="R660" s="1" t="s">
        <v>74</v>
      </c>
      <c r="S660" s="1" t="s">
        <v>74</v>
      </c>
      <c r="T660" s="1" t="s">
        <v>74</v>
      </c>
      <c r="U660" s="1" t="s">
        <v>74</v>
      </c>
      <c r="V660" s="1" t="s">
        <v>6658</v>
      </c>
      <c r="W660" s="1" t="s">
        <v>74</v>
      </c>
      <c r="X660" s="1" t="s">
        <v>74</v>
      </c>
      <c r="Y660" s="1" t="s">
        <v>74</v>
      </c>
      <c r="Z660" s="1" t="s">
        <v>74</v>
      </c>
      <c r="AA660" s="1" t="s">
        <v>6659</v>
      </c>
      <c r="AB660" s="1" t="s">
        <v>6660</v>
      </c>
      <c r="AC660" s="1" t="s">
        <v>74</v>
      </c>
      <c r="AD660" s="1" t="s">
        <v>74</v>
      </c>
      <c r="AE660" s="1" t="s">
        <v>74</v>
      </c>
      <c r="AF660" s="1" t="s">
        <v>74</v>
      </c>
      <c r="AG660" s="1" t="s">
        <v>74</v>
      </c>
      <c r="AH660" s="1" t="s">
        <v>74</v>
      </c>
      <c r="AI660" s="1" t="s">
        <v>74</v>
      </c>
      <c r="AJ660" s="1" t="s">
        <v>74</v>
      </c>
      <c r="AK660" s="1" t="s">
        <v>74</v>
      </c>
      <c r="AL660" s="1" t="s">
        <v>74</v>
      </c>
      <c r="AM660" s="1" t="s">
        <v>74</v>
      </c>
      <c r="AN660" s="1" t="s">
        <v>74</v>
      </c>
      <c r="AO660" s="1" t="s">
        <v>178</v>
      </c>
      <c r="AP660" s="1" t="s">
        <v>74</v>
      </c>
      <c r="AQ660" s="1" t="s">
        <v>74</v>
      </c>
      <c r="AR660" s="1" t="s">
        <v>74</v>
      </c>
      <c r="AS660" s="1" t="s">
        <v>74</v>
      </c>
      <c r="AT660" s="1" t="s">
        <v>6661</v>
      </c>
      <c r="AU660" s="1">
        <v>2018.0</v>
      </c>
      <c r="AV660" s="1">
        <v>13.0</v>
      </c>
      <c r="AW660" s="1">
        <v>7.0</v>
      </c>
      <c r="AX660" s="1" t="s">
        <v>74</v>
      </c>
      <c r="AY660" s="1" t="s">
        <v>74</v>
      </c>
      <c r="AZ660" s="1" t="s">
        <v>74</v>
      </c>
      <c r="BA660" s="1" t="s">
        <v>74</v>
      </c>
      <c r="BB660" s="1" t="s">
        <v>74</v>
      </c>
      <c r="BC660" s="1" t="s">
        <v>74</v>
      </c>
      <c r="BD660" s="1" t="s">
        <v>6662</v>
      </c>
      <c r="BE660" s="1" t="s">
        <v>6663</v>
      </c>
      <c r="BF660" s="2" t="str">
        <f>HYPERLINK("http://dx.doi.org/10.1371/journal.pone.0200455","http://dx.doi.org/10.1371/journal.pone.0200455")</f>
        <v>http://dx.doi.org/10.1371/journal.pone.0200455</v>
      </c>
      <c r="BG660" s="1" t="s">
        <v>74</v>
      </c>
      <c r="BH660" s="1" t="s">
        <v>74</v>
      </c>
      <c r="BI660" s="1" t="s">
        <v>74</v>
      </c>
      <c r="BJ660" s="1" t="s">
        <v>74</v>
      </c>
      <c r="BK660" s="1" t="s">
        <v>74</v>
      </c>
      <c r="BL660" s="1" t="s">
        <v>74</v>
      </c>
      <c r="BM660" s="1" t="s">
        <v>74</v>
      </c>
      <c r="BN660" s="1">
        <v>3.0024914E7</v>
      </c>
      <c r="BO660" s="1" t="s">
        <v>74</v>
      </c>
      <c r="BP660" s="1" t="s">
        <v>74</v>
      </c>
      <c r="BQ660" s="1" t="s">
        <v>74</v>
      </c>
      <c r="BR660" s="1" t="s">
        <v>74</v>
      </c>
      <c r="BS660" s="1" t="s">
        <v>6664</v>
      </c>
      <c r="BT660" s="1" t="str">
        <f>HYPERLINK("https%3A%2F%2Fwww.webofscience.com%2Fwos%2Fwoscc%2Ffull-record%2FWOS:000439120000020","View Full Record in Web of Science")</f>
        <v>View Full Record in Web of Science</v>
      </c>
    </row>
    <row r="661" ht="12.75" customHeight="1">
      <c r="A661" s="1" t="s">
        <v>72</v>
      </c>
      <c r="B661" s="1" t="s">
        <v>6665</v>
      </c>
      <c r="C661" s="1" t="s">
        <v>74</v>
      </c>
      <c r="D661" s="1" t="s">
        <v>74</v>
      </c>
      <c r="E661" s="1" t="s">
        <v>74</v>
      </c>
      <c r="F661" s="1" t="s">
        <v>6666</v>
      </c>
      <c r="G661" s="1" t="s">
        <v>74</v>
      </c>
      <c r="H661" s="1" t="s">
        <v>74</v>
      </c>
      <c r="I661" s="1" t="s">
        <v>6667</v>
      </c>
      <c r="J661" s="1" t="s">
        <v>4353</v>
      </c>
      <c r="K661" s="1" t="s">
        <v>74</v>
      </c>
      <c r="L661" s="1" t="s">
        <v>74</v>
      </c>
      <c r="M661" s="1" t="s">
        <v>74</v>
      </c>
      <c r="N661" s="1" t="s">
        <v>74</v>
      </c>
      <c r="O661" s="1" t="s">
        <v>74</v>
      </c>
      <c r="P661" s="1" t="s">
        <v>74</v>
      </c>
      <c r="Q661" s="1" t="s">
        <v>74</v>
      </c>
      <c r="R661" s="1" t="s">
        <v>74</v>
      </c>
      <c r="S661" s="1" t="s">
        <v>74</v>
      </c>
      <c r="T661" s="1" t="s">
        <v>74</v>
      </c>
      <c r="U661" s="1" t="s">
        <v>74</v>
      </c>
      <c r="V661" s="1" t="s">
        <v>6668</v>
      </c>
      <c r="W661" s="1" t="s">
        <v>74</v>
      </c>
      <c r="X661" s="1" t="s">
        <v>74</v>
      </c>
      <c r="Y661" s="1" t="s">
        <v>74</v>
      </c>
      <c r="Z661" s="1" t="s">
        <v>74</v>
      </c>
      <c r="AA661" s="1" t="s">
        <v>6669</v>
      </c>
      <c r="AB661" s="1" t="s">
        <v>6670</v>
      </c>
      <c r="AC661" s="1" t="s">
        <v>74</v>
      </c>
      <c r="AD661" s="1" t="s">
        <v>74</v>
      </c>
      <c r="AE661" s="1" t="s">
        <v>74</v>
      </c>
      <c r="AF661" s="1" t="s">
        <v>74</v>
      </c>
      <c r="AG661" s="1" t="s">
        <v>74</v>
      </c>
      <c r="AH661" s="1" t="s">
        <v>74</v>
      </c>
      <c r="AI661" s="1" t="s">
        <v>74</v>
      </c>
      <c r="AJ661" s="1" t="s">
        <v>74</v>
      </c>
      <c r="AK661" s="1" t="s">
        <v>74</v>
      </c>
      <c r="AL661" s="1" t="s">
        <v>74</v>
      </c>
      <c r="AM661" s="1" t="s">
        <v>74</v>
      </c>
      <c r="AN661" s="1" t="s">
        <v>74</v>
      </c>
      <c r="AO661" s="1" t="s">
        <v>4357</v>
      </c>
      <c r="AP661" s="1" t="s">
        <v>74</v>
      </c>
      <c r="AQ661" s="1" t="s">
        <v>74</v>
      </c>
      <c r="AR661" s="1" t="s">
        <v>74</v>
      </c>
      <c r="AS661" s="1" t="s">
        <v>74</v>
      </c>
      <c r="AT661" s="1" t="s">
        <v>6671</v>
      </c>
      <c r="AU661" s="1">
        <v>2018.0</v>
      </c>
      <c r="AV661" s="1">
        <v>9.0</v>
      </c>
      <c r="AW661" s="1" t="s">
        <v>74</v>
      </c>
      <c r="AX661" s="1" t="s">
        <v>74</v>
      </c>
      <c r="AY661" s="1" t="s">
        <v>74</v>
      </c>
      <c r="AZ661" s="1" t="s">
        <v>74</v>
      </c>
      <c r="BA661" s="1" t="s">
        <v>74</v>
      </c>
      <c r="BB661" s="1" t="s">
        <v>74</v>
      </c>
      <c r="BC661" s="1" t="s">
        <v>74</v>
      </c>
      <c r="BD661" s="1">
        <v>825.0</v>
      </c>
      <c r="BE661" s="1" t="s">
        <v>6672</v>
      </c>
      <c r="BF661" s="2" t="str">
        <f>HYPERLINK("http://dx.doi.org/10.3389/fpsyg.2018.00825","http://dx.doi.org/10.3389/fpsyg.2018.00825")</f>
        <v>http://dx.doi.org/10.3389/fpsyg.2018.00825</v>
      </c>
      <c r="BG661" s="1" t="s">
        <v>74</v>
      </c>
      <c r="BH661" s="1" t="s">
        <v>74</v>
      </c>
      <c r="BI661" s="1" t="s">
        <v>74</v>
      </c>
      <c r="BJ661" s="1" t="s">
        <v>74</v>
      </c>
      <c r="BK661" s="1" t="s">
        <v>74</v>
      </c>
      <c r="BL661" s="1" t="s">
        <v>74</v>
      </c>
      <c r="BM661" s="1" t="s">
        <v>74</v>
      </c>
      <c r="BN661" s="1">
        <v>3.0022957E7</v>
      </c>
      <c r="BO661" s="1" t="s">
        <v>74</v>
      </c>
      <c r="BP661" s="1" t="s">
        <v>74</v>
      </c>
      <c r="BQ661" s="1" t="s">
        <v>74</v>
      </c>
      <c r="BR661" s="1" t="s">
        <v>74</v>
      </c>
      <c r="BS661" s="1" t="s">
        <v>6673</v>
      </c>
      <c r="BT661" s="1" t="str">
        <f>HYPERLINK("https%3A%2F%2Fwww.webofscience.com%2Fwos%2Fwoscc%2Ffull-record%2FWOS:000437319500001","View Full Record in Web of Science")</f>
        <v>View Full Record in Web of Science</v>
      </c>
    </row>
    <row r="662" ht="12.75" customHeight="1">
      <c r="A662" s="1" t="s">
        <v>72</v>
      </c>
      <c r="B662" s="1" t="s">
        <v>6674</v>
      </c>
      <c r="C662" s="1" t="s">
        <v>74</v>
      </c>
      <c r="D662" s="1" t="s">
        <v>74</v>
      </c>
      <c r="E662" s="1" t="s">
        <v>74</v>
      </c>
      <c r="F662" s="1" t="s">
        <v>6675</v>
      </c>
      <c r="G662" s="1" t="s">
        <v>74</v>
      </c>
      <c r="H662" s="1" t="s">
        <v>74</v>
      </c>
      <c r="I662" s="1" t="s">
        <v>6676</v>
      </c>
      <c r="J662" s="1" t="s">
        <v>6677</v>
      </c>
      <c r="K662" s="1" t="s">
        <v>74</v>
      </c>
      <c r="L662" s="1" t="s">
        <v>74</v>
      </c>
      <c r="M662" s="1" t="s">
        <v>74</v>
      </c>
      <c r="N662" s="1" t="s">
        <v>74</v>
      </c>
      <c r="O662" s="1" t="s">
        <v>74</v>
      </c>
      <c r="P662" s="1" t="s">
        <v>74</v>
      </c>
      <c r="Q662" s="1" t="s">
        <v>74</v>
      </c>
      <c r="R662" s="1" t="s">
        <v>74</v>
      </c>
      <c r="S662" s="1" t="s">
        <v>74</v>
      </c>
      <c r="T662" s="1" t="s">
        <v>74</v>
      </c>
      <c r="U662" s="1" t="s">
        <v>74</v>
      </c>
      <c r="V662" s="1" t="s">
        <v>6678</v>
      </c>
      <c r="W662" s="1" t="s">
        <v>74</v>
      </c>
      <c r="X662" s="1" t="s">
        <v>74</v>
      </c>
      <c r="Y662" s="1" t="s">
        <v>74</v>
      </c>
      <c r="Z662" s="1" t="s">
        <v>74</v>
      </c>
      <c r="AA662" s="1" t="s">
        <v>6679</v>
      </c>
      <c r="AB662" s="1" t="s">
        <v>6680</v>
      </c>
      <c r="AC662" s="1" t="s">
        <v>74</v>
      </c>
      <c r="AD662" s="1" t="s">
        <v>74</v>
      </c>
      <c r="AE662" s="1" t="s">
        <v>74</v>
      </c>
      <c r="AF662" s="1" t="s">
        <v>74</v>
      </c>
      <c r="AG662" s="1" t="s">
        <v>74</v>
      </c>
      <c r="AH662" s="1" t="s">
        <v>74</v>
      </c>
      <c r="AI662" s="1" t="s">
        <v>74</v>
      </c>
      <c r="AJ662" s="1" t="s">
        <v>74</v>
      </c>
      <c r="AK662" s="1" t="s">
        <v>74</v>
      </c>
      <c r="AL662" s="1" t="s">
        <v>74</v>
      </c>
      <c r="AM662" s="1" t="s">
        <v>74</v>
      </c>
      <c r="AN662" s="1" t="s">
        <v>74</v>
      </c>
      <c r="AO662" s="1" t="s">
        <v>6681</v>
      </c>
      <c r="AP662" s="1" t="s">
        <v>6682</v>
      </c>
      <c r="AQ662" s="1" t="s">
        <v>74</v>
      </c>
      <c r="AR662" s="1" t="s">
        <v>74</v>
      </c>
      <c r="AS662" s="1" t="s">
        <v>74</v>
      </c>
      <c r="AT662" s="1" t="s">
        <v>74</v>
      </c>
      <c r="AU662" s="1">
        <v>2018.0</v>
      </c>
      <c r="AV662" s="1">
        <v>15.0</v>
      </c>
      <c r="AW662" s="1" t="s">
        <v>6683</v>
      </c>
      <c r="AX662" s="1" t="s">
        <v>74</v>
      </c>
      <c r="AY662" s="1" t="s">
        <v>74</v>
      </c>
      <c r="AZ662" s="1" t="s">
        <v>74</v>
      </c>
      <c r="BA662" s="1" t="s">
        <v>74</v>
      </c>
      <c r="BB662" s="1">
        <v>492.0</v>
      </c>
      <c r="BC662" s="1">
        <v>499.0</v>
      </c>
      <c r="BD662" s="1" t="s">
        <v>74</v>
      </c>
      <c r="BE662" s="1" t="s">
        <v>6684</v>
      </c>
      <c r="BF662" s="2" t="str">
        <f>HYPERLINK("http://dx.doi.org/10.1080/15476286.2017.1408765","http://dx.doi.org/10.1080/15476286.2017.1408765")</f>
        <v>http://dx.doi.org/10.1080/15476286.2017.1408765</v>
      </c>
      <c r="BG662" s="1" t="s">
        <v>74</v>
      </c>
      <c r="BH662" s="1" t="s">
        <v>74</v>
      </c>
      <c r="BI662" s="1" t="s">
        <v>74</v>
      </c>
      <c r="BJ662" s="1" t="s">
        <v>74</v>
      </c>
      <c r="BK662" s="1" t="s">
        <v>74</v>
      </c>
      <c r="BL662" s="1" t="s">
        <v>74</v>
      </c>
      <c r="BM662" s="1" t="s">
        <v>74</v>
      </c>
      <c r="BN662" s="1">
        <v>2.9168417E7</v>
      </c>
      <c r="BO662" s="1" t="s">
        <v>74</v>
      </c>
      <c r="BP662" s="1" t="s">
        <v>74</v>
      </c>
      <c r="BQ662" s="1" t="s">
        <v>74</v>
      </c>
      <c r="BR662" s="1" t="s">
        <v>74</v>
      </c>
      <c r="BS662" s="1" t="s">
        <v>6685</v>
      </c>
      <c r="BT662" s="1" t="str">
        <f>HYPERLINK("https%3A%2F%2Fwww.webofscience.com%2Fwos%2Fwoscc%2Ffull-record%2FWOS:000441672400008","View Full Record in Web of Science")</f>
        <v>View Full Record in Web of Science</v>
      </c>
    </row>
    <row r="663" ht="12.75" customHeight="1">
      <c r="A663" s="1" t="s">
        <v>647</v>
      </c>
      <c r="B663" s="1" t="s">
        <v>6686</v>
      </c>
      <c r="C663" s="1" t="s">
        <v>74</v>
      </c>
      <c r="D663" s="1" t="s">
        <v>74</v>
      </c>
      <c r="E663" s="1" t="s">
        <v>649</v>
      </c>
      <c r="F663" s="1" t="s">
        <v>6687</v>
      </c>
      <c r="G663" s="1" t="s">
        <v>74</v>
      </c>
      <c r="H663" s="1" t="s">
        <v>74</v>
      </c>
      <c r="I663" s="1" t="s">
        <v>6688</v>
      </c>
      <c r="J663" s="1" t="s">
        <v>6689</v>
      </c>
      <c r="K663" s="1" t="s">
        <v>6690</v>
      </c>
      <c r="L663" s="1" t="s">
        <v>74</v>
      </c>
      <c r="M663" s="1" t="s">
        <v>74</v>
      </c>
      <c r="N663" s="1" t="s">
        <v>74</v>
      </c>
      <c r="O663" s="1" t="s">
        <v>6691</v>
      </c>
      <c r="P663" s="1" t="s">
        <v>6692</v>
      </c>
      <c r="Q663" s="1" t="s">
        <v>6693</v>
      </c>
      <c r="R663" s="1" t="s">
        <v>649</v>
      </c>
      <c r="S663" s="1" t="s">
        <v>74</v>
      </c>
      <c r="T663" s="1" t="s">
        <v>74</v>
      </c>
      <c r="U663" s="1" t="s">
        <v>74</v>
      </c>
      <c r="V663" s="1" t="s">
        <v>6694</v>
      </c>
      <c r="W663" s="1" t="s">
        <v>74</v>
      </c>
      <c r="X663" s="1" t="s">
        <v>74</v>
      </c>
      <c r="Y663" s="1" t="s">
        <v>74</v>
      </c>
      <c r="Z663" s="1" t="s">
        <v>74</v>
      </c>
      <c r="AA663" s="1" t="s">
        <v>6695</v>
      </c>
      <c r="AB663" s="1" t="s">
        <v>6696</v>
      </c>
      <c r="AC663" s="1" t="s">
        <v>74</v>
      </c>
      <c r="AD663" s="1" t="s">
        <v>74</v>
      </c>
      <c r="AE663" s="1" t="s">
        <v>74</v>
      </c>
      <c r="AF663" s="1" t="s">
        <v>74</v>
      </c>
      <c r="AG663" s="1" t="s">
        <v>74</v>
      </c>
      <c r="AH663" s="1" t="s">
        <v>74</v>
      </c>
      <c r="AI663" s="1" t="s">
        <v>74</v>
      </c>
      <c r="AJ663" s="1" t="s">
        <v>74</v>
      </c>
      <c r="AK663" s="1" t="s">
        <v>74</v>
      </c>
      <c r="AL663" s="1" t="s">
        <v>74</v>
      </c>
      <c r="AM663" s="1" t="s">
        <v>74</v>
      </c>
      <c r="AN663" s="1" t="s">
        <v>74</v>
      </c>
      <c r="AO663" s="1" t="s">
        <v>6697</v>
      </c>
      <c r="AP663" s="1" t="s">
        <v>74</v>
      </c>
      <c r="AQ663" s="1" t="s">
        <v>6698</v>
      </c>
      <c r="AR663" s="1" t="s">
        <v>74</v>
      </c>
      <c r="AS663" s="1" t="s">
        <v>74</v>
      </c>
      <c r="AT663" s="1" t="s">
        <v>74</v>
      </c>
      <c r="AU663" s="1">
        <v>2017.0</v>
      </c>
      <c r="AV663" s="1" t="s">
        <v>74</v>
      </c>
      <c r="AW663" s="1" t="s">
        <v>74</v>
      </c>
      <c r="AX663" s="1" t="s">
        <v>74</v>
      </c>
      <c r="AY663" s="1" t="s">
        <v>74</v>
      </c>
      <c r="AZ663" s="1" t="s">
        <v>74</v>
      </c>
      <c r="BA663" s="1" t="s">
        <v>74</v>
      </c>
      <c r="BB663" s="1" t="s">
        <v>74</v>
      </c>
      <c r="BC663" s="1" t="s">
        <v>74</v>
      </c>
      <c r="BD663" s="1" t="s">
        <v>74</v>
      </c>
      <c r="BE663" s="1" t="s">
        <v>74</v>
      </c>
      <c r="BF663" s="1" t="s">
        <v>74</v>
      </c>
      <c r="BG663" s="1" t="s">
        <v>74</v>
      </c>
      <c r="BH663" s="1" t="s">
        <v>74</v>
      </c>
      <c r="BI663" s="1" t="s">
        <v>74</v>
      </c>
      <c r="BJ663" s="1" t="s">
        <v>74</v>
      </c>
      <c r="BK663" s="1" t="s">
        <v>74</v>
      </c>
      <c r="BL663" s="1" t="s">
        <v>74</v>
      </c>
      <c r="BM663" s="1" t="s">
        <v>74</v>
      </c>
      <c r="BN663" s="1" t="s">
        <v>74</v>
      </c>
      <c r="BO663" s="1" t="s">
        <v>74</v>
      </c>
      <c r="BP663" s="1" t="s">
        <v>74</v>
      </c>
      <c r="BQ663" s="1" t="s">
        <v>74</v>
      </c>
      <c r="BR663" s="1" t="s">
        <v>74</v>
      </c>
      <c r="BS663" s="1" t="s">
        <v>6699</v>
      </c>
      <c r="BT663" s="1" t="str">
        <f>HYPERLINK("https%3A%2F%2Fwww.webofscience.com%2Fwos%2Fwoscc%2Ffull-record%2FWOS:000426109600006","View Full Record in Web of Science")</f>
        <v>View Full Record in Web of Science</v>
      </c>
    </row>
    <row r="664" ht="12.75" customHeight="1">
      <c r="A664" s="1" t="s">
        <v>72</v>
      </c>
      <c r="B664" s="1" t="s">
        <v>4256</v>
      </c>
      <c r="C664" s="1" t="s">
        <v>74</v>
      </c>
      <c r="D664" s="1" t="s">
        <v>74</v>
      </c>
      <c r="E664" s="1" t="s">
        <v>74</v>
      </c>
      <c r="F664" s="1" t="s">
        <v>6700</v>
      </c>
      <c r="G664" s="1" t="s">
        <v>74</v>
      </c>
      <c r="H664" s="1" t="s">
        <v>74</v>
      </c>
      <c r="I664" s="1" t="s">
        <v>6701</v>
      </c>
      <c r="J664" s="1" t="s">
        <v>6702</v>
      </c>
      <c r="K664" s="1" t="s">
        <v>74</v>
      </c>
      <c r="L664" s="1" t="s">
        <v>74</v>
      </c>
      <c r="M664" s="1" t="s">
        <v>74</v>
      </c>
      <c r="N664" s="1" t="s">
        <v>74</v>
      </c>
      <c r="O664" s="1" t="s">
        <v>74</v>
      </c>
      <c r="P664" s="1" t="s">
        <v>74</v>
      </c>
      <c r="Q664" s="1" t="s">
        <v>74</v>
      </c>
      <c r="R664" s="1" t="s">
        <v>74</v>
      </c>
      <c r="S664" s="1" t="s">
        <v>74</v>
      </c>
      <c r="T664" s="1" t="s">
        <v>74</v>
      </c>
      <c r="U664" s="1" t="s">
        <v>74</v>
      </c>
      <c r="V664" s="1" t="s">
        <v>6703</v>
      </c>
      <c r="W664" s="1" t="s">
        <v>74</v>
      </c>
      <c r="X664" s="1" t="s">
        <v>74</v>
      </c>
      <c r="Y664" s="1" t="s">
        <v>74</v>
      </c>
      <c r="Z664" s="1" t="s">
        <v>74</v>
      </c>
      <c r="AA664" s="1" t="s">
        <v>4261</v>
      </c>
      <c r="AB664" s="1" t="s">
        <v>4262</v>
      </c>
      <c r="AC664" s="1" t="s">
        <v>74</v>
      </c>
      <c r="AD664" s="1" t="s">
        <v>74</v>
      </c>
      <c r="AE664" s="1" t="s">
        <v>74</v>
      </c>
      <c r="AF664" s="1" t="s">
        <v>74</v>
      </c>
      <c r="AG664" s="1" t="s">
        <v>74</v>
      </c>
      <c r="AH664" s="1" t="s">
        <v>74</v>
      </c>
      <c r="AI664" s="1" t="s">
        <v>74</v>
      </c>
      <c r="AJ664" s="1" t="s">
        <v>74</v>
      </c>
      <c r="AK664" s="1" t="s">
        <v>74</v>
      </c>
      <c r="AL664" s="1" t="s">
        <v>74</v>
      </c>
      <c r="AM664" s="1" t="s">
        <v>74</v>
      </c>
      <c r="AN664" s="1" t="s">
        <v>74</v>
      </c>
      <c r="AO664" s="1" t="s">
        <v>6704</v>
      </c>
      <c r="AP664" s="1" t="s">
        <v>6705</v>
      </c>
      <c r="AQ664" s="1" t="s">
        <v>74</v>
      </c>
      <c r="AR664" s="1" t="s">
        <v>74</v>
      </c>
      <c r="AS664" s="1" t="s">
        <v>74</v>
      </c>
      <c r="AT664" s="1" t="s">
        <v>6706</v>
      </c>
      <c r="AU664" s="1">
        <v>2016.0</v>
      </c>
      <c r="AV664" s="1">
        <v>61.0</v>
      </c>
      <c r="AW664" s="1">
        <v>3.0</v>
      </c>
      <c r="AX664" s="1" t="s">
        <v>74</v>
      </c>
      <c r="AY664" s="1" t="s">
        <v>74</v>
      </c>
      <c r="AZ664" s="1" t="s">
        <v>74</v>
      </c>
      <c r="BA664" s="1" t="s">
        <v>74</v>
      </c>
      <c r="BB664" s="1">
        <v>297.0</v>
      </c>
      <c r="BC664" s="1">
        <v>314.0</v>
      </c>
      <c r="BD664" s="1" t="s">
        <v>74</v>
      </c>
      <c r="BE664" s="1" t="s">
        <v>6707</v>
      </c>
      <c r="BF664" s="2" t="str">
        <f>HYPERLINK("http://dx.doi.org/10.1080/17476933.2015.1064404","http://dx.doi.org/10.1080/17476933.2015.1064404")</f>
        <v>http://dx.doi.org/10.1080/17476933.2015.1064404</v>
      </c>
      <c r="BG664" s="1" t="s">
        <v>74</v>
      </c>
      <c r="BH664" s="1" t="s">
        <v>74</v>
      </c>
      <c r="BI664" s="1" t="s">
        <v>74</v>
      </c>
      <c r="BJ664" s="1" t="s">
        <v>74</v>
      </c>
      <c r="BK664" s="1" t="s">
        <v>74</v>
      </c>
      <c r="BL664" s="1" t="s">
        <v>74</v>
      </c>
      <c r="BM664" s="1" t="s">
        <v>74</v>
      </c>
      <c r="BN664" s="1" t="s">
        <v>74</v>
      </c>
      <c r="BO664" s="1" t="s">
        <v>74</v>
      </c>
      <c r="BP664" s="1" t="s">
        <v>74</v>
      </c>
      <c r="BQ664" s="1" t="s">
        <v>74</v>
      </c>
      <c r="BR664" s="1" t="s">
        <v>74</v>
      </c>
      <c r="BS664" s="1" t="s">
        <v>6708</v>
      </c>
      <c r="BT664" s="1" t="str">
        <f>HYPERLINK("https%3A%2F%2Fwww.webofscience.com%2Fwos%2Fwoscc%2Ffull-record%2FWOS:000369711900001","View Full Record in Web of Science")</f>
        <v>View Full Record in Web of Science</v>
      </c>
    </row>
    <row r="665" ht="12.75" customHeight="1">
      <c r="A665" s="1" t="s">
        <v>72</v>
      </c>
      <c r="B665" s="1" t="s">
        <v>6709</v>
      </c>
      <c r="C665" s="1" t="s">
        <v>74</v>
      </c>
      <c r="D665" s="1" t="s">
        <v>74</v>
      </c>
      <c r="E665" s="1" t="s">
        <v>74</v>
      </c>
      <c r="F665" s="1" t="s">
        <v>6710</v>
      </c>
      <c r="G665" s="1" t="s">
        <v>74</v>
      </c>
      <c r="H665" s="1" t="s">
        <v>74</v>
      </c>
      <c r="I665" s="1" t="s">
        <v>6711</v>
      </c>
      <c r="J665" s="1" t="s">
        <v>174</v>
      </c>
      <c r="K665" s="1" t="s">
        <v>74</v>
      </c>
      <c r="L665" s="1" t="s">
        <v>74</v>
      </c>
      <c r="M665" s="1" t="s">
        <v>74</v>
      </c>
      <c r="N665" s="1" t="s">
        <v>74</v>
      </c>
      <c r="O665" s="1" t="s">
        <v>74</v>
      </c>
      <c r="P665" s="1" t="s">
        <v>74</v>
      </c>
      <c r="Q665" s="1" t="s">
        <v>74</v>
      </c>
      <c r="R665" s="1" t="s">
        <v>74</v>
      </c>
      <c r="S665" s="1" t="s">
        <v>74</v>
      </c>
      <c r="T665" s="1" t="s">
        <v>74</v>
      </c>
      <c r="U665" s="1" t="s">
        <v>74</v>
      </c>
      <c r="V665" s="1" t="s">
        <v>6712</v>
      </c>
      <c r="W665" s="1" t="s">
        <v>74</v>
      </c>
      <c r="X665" s="1" t="s">
        <v>74</v>
      </c>
      <c r="Y665" s="1" t="s">
        <v>74</v>
      </c>
      <c r="Z665" s="1" t="s">
        <v>74</v>
      </c>
      <c r="AA665" s="1" t="s">
        <v>6713</v>
      </c>
      <c r="AB665" s="1" t="s">
        <v>6714</v>
      </c>
      <c r="AC665" s="1" t="s">
        <v>74</v>
      </c>
      <c r="AD665" s="1" t="s">
        <v>74</v>
      </c>
      <c r="AE665" s="1" t="s">
        <v>74</v>
      </c>
      <c r="AF665" s="1" t="s">
        <v>74</v>
      </c>
      <c r="AG665" s="1" t="s">
        <v>74</v>
      </c>
      <c r="AH665" s="1" t="s">
        <v>74</v>
      </c>
      <c r="AI665" s="1" t="s">
        <v>74</v>
      </c>
      <c r="AJ665" s="1" t="s">
        <v>74</v>
      </c>
      <c r="AK665" s="1" t="s">
        <v>74</v>
      </c>
      <c r="AL665" s="1" t="s">
        <v>74</v>
      </c>
      <c r="AM665" s="1" t="s">
        <v>74</v>
      </c>
      <c r="AN665" s="1" t="s">
        <v>74</v>
      </c>
      <c r="AO665" s="1" t="s">
        <v>178</v>
      </c>
      <c r="AP665" s="1" t="s">
        <v>74</v>
      </c>
      <c r="AQ665" s="1" t="s">
        <v>74</v>
      </c>
      <c r="AR665" s="1" t="s">
        <v>74</v>
      </c>
      <c r="AS665" s="1" t="s">
        <v>74</v>
      </c>
      <c r="AT665" s="1" t="s">
        <v>6715</v>
      </c>
      <c r="AU665" s="1">
        <v>2015.0</v>
      </c>
      <c r="AV665" s="1">
        <v>10.0</v>
      </c>
      <c r="AW665" s="1">
        <v>8.0</v>
      </c>
      <c r="AX665" s="1" t="s">
        <v>74</v>
      </c>
      <c r="AY665" s="1" t="s">
        <v>74</v>
      </c>
      <c r="AZ665" s="1" t="s">
        <v>74</v>
      </c>
      <c r="BA665" s="1" t="s">
        <v>74</v>
      </c>
      <c r="BB665" s="1" t="s">
        <v>74</v>
      </c>
      <c r="BC665" s="1" t="s">
        <v>74</v>
      </c>
      <c r="BD665" s="1" t="s">
        <v>6716</v>
      </c>
      <c r="BE665" s="1" t="s">
        <v>6717</v>
      </c>
      <c r="BF665" s="2" t="str">
        <f>HYPERLINK("http://dx.doi.org/10.1371/journal.pone.0136842","http://dx.doi.org/10.1371/journal.pone.0136842")</f>
        <v>http://dx.doi.org/10.1371/journal.pone.0136842</v>
      </c>
      <c r="BG665" s="1" t="s">
        <v>74</v>
      </c>
      <c r="BH665" s="1" t="s">
        <v>74</v>
      </c>
      <c r="BI665" s="1" t="s">
        <v>74</v>
      </c>
      <c r="BJ665" s="1" t="s">
        <v>74</v>
      </c>
      <c r="BK665" s="1" t="s">
        <v>74</v>
      </c>
      <c r="BL665" s="1" t="s">
        <v>74</v>
      </c>
      <c r="BM665" s="1" t="s">
        <v>74</v>
      </c>
      <c r="BN665" s="1">
        <v>2.6317404E7</v>
      </c>
      <c r="BO665" s="1" t="s">
        <v>74</v>
      </c>
      <c r="BP665" s="1" t="s">
        <v>74</v>
      </c>
      <c r="BQ665" s="1" t="s">
        <v>74</v>
      </c>
      <c r="BR665" s="1" t="s">
        <v>74</v>
      </c>
      <c r="BS665" s="1" t="s">
        <v>6718</v>
      </c>
      <c r="BT665" s="1" t="str">
        <f>HYPERLINK("https%3A%2F%2Fwww.webofscience.com%2Fwos%2Fwoscc%2Ffull-record%2FWOS:000360299100148","View Full Record in Web of Science")</f>
        <v>View Full Record in Web of Science</v>
      </c>
    </row>
    <row r="666" ht="12.75" customHeight="1">
      <c r="A666" s="1" t="s">
        <v>72</v>
      </c>
      <c r="B666" s="1" t="s">
        <v>6719</v>
      </c>
      <c r="C666" s="1" t="s">
        <v>74</v>
      </c>
      <c r="D666" s="1" t="s">
        <v>74</v>
      </c>
      <c r="E666" s="1" t="s">
        <v>74</v>
      </c>
      <c r="F666" s="1" t="s">
        <v>6720</v>
      </c>
      <c r="G666" s="1" t="s">
        <v>74</v>
      </c>
      <c r="H666" s="1" t="s">
        <v>74</v>
      </c>
      <c r="I666" s="1" t="s">
        <v>6721</v>
      </c>
      <c r="J666" s="1" t="s">
        <v>1954</v>
      </c>
      <c r="K666" s="1" t="s">
        <v>74</v>
      </c>
      <c r="L666" s="1" t="s">
        <v>74</v>
      </c>
      <c r="M666" s="1" t="s">
        <v>74</v>
      </c>
      <c r="N666" s="1" t="s">
        <v>74</v>
      </c>
      <c r="O666" s="1" t="s">
        <v>74</v>
      </c>
      <c r="P666" s="1" t="s">
        <v>74</v>
      </c>
      <c r="Q666" s="1" t="s">
        <v>74</v>
      </c>
      <c r="R666" s="1" t="s">
        <v>74</v>
      </c>
      <c r="S666" s="1" t="s">
        <v>74</v>
      </c>
      <c r="T666" s="1" t="s">
        <v>74</v>
      </c>
      <c r="U666" s="1" t="s">
        <v>74</v>
      </c>
      <c r="V666" s="1" t="s">
        <v>6722</v>
      </c>
      <c r="W666" s="1" t="s">
        <v>74</v>
      </c>
      <c r="X666" s="1" t="s">
        <v>74</v>
      </c>
      <c r="Y666" s="1" t="s">
        <v>74</v>
      </c>
      <c r="Z666" s="1" t="s">
        <v>74</v>
      </c>
      <c r="AA666" s="1" t="s">
        <v>6723</v>
      </c>
      <c r="AB666" s="1" t="s">
        <v>6724</v>
      </c>
      <c r="AC666" s="1" t="s">
        <v>74</v>
      </c>
      <c r="AD666" s="1" t="s">
        <v>74</v>
      </c>
      <c r="AE666" s="1" t="s">
        <v>74</v>
      </c>
      <c r="AF666" s="1" t="s">
        <v>74</v>
      </c>
      <c r="AG666" s="1" t="s">
        <v>74</v>
      </c>
      <c r="AH666" s="1" t="s">
        <v>74</v>
      </c>
      <c r="AI666" s="1" t="s">
        <v>74</v>
      </c>
      <c r="AJ666" s="1" t="s">
        <v>74</v>
      </c>
      <c r="AK666" s="1" t="s">
        <v>74</v>
      </c>
      <c r="AL666" s="1" t="s">
        <v>74</v>
      </c>
      <c r="AM666" s="1" t="s">
        <v>74</v>
      </c>
      <c r="AN666" s="1" t="s">
        <v>74</v>
      </c>
      <c r="AO666" s="1" t="s">
        <v>1958</v>
      </c>
      <c r="AP666" s="1" t="s">
        <v>1959</v>
      </c>
      <c r="AQ666" s="1" t="s">
        <v>74</v>
      </c>
      <c r="AR666" s="1" t="s">
        <v>74</v>
      </c>
      <c r="AS666" s="1" t="s">
        <v>74</v>
      </c>
      <c r="AT666" s="1" t="s">
        <v>96</v>
      </c>
      <c r="AU666" s="1">
        <v>2015.0</v>
      </c>
      <c r="AV666" s="1">
        <v>33.0</v>
      </c>
      <c r="AW666" s="1">
        <v>1.0</v>
      </c>
      <c r="AX666" s="1" t="s">
        <v>74</v>
      </c>
      <c r="AY666" s="1" t="s">
        <v>74</v>
      </c>
      <c r="AZ666" s="1" t="s">
        <v>74</v>
      </c>
      <c r="BA666" s="1" t="s">
        <v>74</v>
      </c>
      <c r="BB666" s="1">
        <v>285.0</v>
      </c>
      <c r="BC666" s="1">
        <v>290.0</v>
      </c>
      <c r="BD666" s="1" t="s">
        <v>74</v>
      </c>
      <c r="BE666" s="1" t="s">
        <v>6725</v>
      </c>
      <c r="BF666" s="2" t="str">
        <f>HYPERLINK("http://dx.doi.org/10.4067/S0717-95022015000100045","http://dx.doi.org/10.4067/S0717-95022015000100045")</f>
        <v>http://dx.doi.org/10.4067/S0717-95022015000100045</v>
      </c>
      <c r="BG666" s="1" t="s">
        <v>74</v>
      </c>
      <c r="BH666" s="1" t="s">
        <v>74</v>
      </c>
      <c r="BI666" s="1" t="s">
        <v>74</v>
      </c>
      <c r="BJ666" s="1" t="s">
        <v>74</v>
      </c>
      <c r="BK666" s="1" t="s">
        <v>74</v>
      </c>
      <c r="BL666" s="1" t="s">
        <v>74</v>
      </c>
      <c r="BM666" s="1" t="s">
        <v>74</v>
      </c>
      <c r="BN666" s="1" t="s">
        <v>74</v>
      </c>
      <c r="BO666" s="1" t="s">
        <v>74</v>
      </c>
      <c r="BP666" s="1" t="s">
        <v>74</v>
      </c>
      <c r="BQ666" s="1" t="s">
        <v>74</v>
      </c>
      <c r="BR666" s="1" t="s">
        <v>74</v>
      </c>
      <c r="BS666" s="1" t="s">
        <v>6726</v>
      </c>
      <c r="BT666" s="1" t="str">
        <f>HYPERLINK("https%3A%2F%2Fwww.webofscience.com%2Fwos%2Fwoscc%2Ffull-record%2FWOS:000353626300045","View Full Record in Web of Science")</f>
        <v>View Full Record in Web of Science</v>
      </c>
    </row>
    <row r="667" ht="12.75" customHeight="1">
      <c r="A667" s="1" t="s">
        <v>72</v>
      </c>
      <c r="B667" s="1" t="s">
        <v>6727</v>
      </c>
      <c r="C667" s="1" t="s">
        <v>74</v>
      </c>
      <c r="D667" s="1" t="s">
        <v>74</v>
      </c>
      <c r="E667" s="1" t="s">
        <v>74</v>
      </c>
      <c r="F667" s="1" t="s">
        <v>6728</v>
      </c>
      <c r="G667" s="1" t="s">
        <v>74</v>
      </c>
      <c r="H667" s="1" t="s">
        <v>74</v>
      </c>
      <c r="I667" s="1" t="s">
        <v>6729</v>
      </c>
      <c r="J667" s="1" t="s">
        <v>3280</v>
      </c>
      <c r="K667" s="1" t="s">
        <v>74</v>
      </c>
      <c r="L667" s="1" t="s">
        <v>74</v>
      </c>
      <c r="M667" s="1" t="s">
        <v>74</v>
      </c>
      <c r="N667" s="1" t="s">
        <v>74</v>
      </c>
      <c r="O667" s="1" t="s">
        <v>3281</v>
      </c>
      <c r="P667" s="1" t="s">
        <v>3282</v>
      </c>
      <c r="Q667" s="1" t="s">
        <v>3283</v>
      </c>
      <c r="R667" s="1" t="s">
        <v>3284</v>
      </c>
      <c r="S667" s="1" t="s">
        <v>74</v>
      </c>
      <c r="T667" s="1" t="s">
        <v>74</v>
      </c>
      <c r="U667" s="1" t="s">
        <v>74</v>
      </c>
      <c r="V667" s="1" t="s">
        <v>74</v>
      </c>
      <c r="W667" s="1" t="s">
        <v>74</v>
      </c>
      <c r="X667" s="1" t="s">
        <v>74</v>
      </c>
      <c r="Y667" s="1" t="s">
        <v>74</v>
      </c>
      <c r="Z667" s="1" t="s">
        <v>74</v>
      </c>
      <c r="AA667" s="1" t="s">
        <v>6730</v>
      </c>
      <c r="AB667" s="1" t="s">
        <v>74</v>
      </c>
      <c r="AC667" s="1" t="s">
        <v>74</v>
      </c>
      <c r="AD667" s="1" t="s">
        <v>74</v>
      </c>
      <c r="AE667" s="1" t="s">
        <v>74</v>
      </c>
      <c r="AF667" s="1" t="s">
        <v>74</v>
      </c>
      <c r="AG667" s="1" t="s">
        <v>74</v>
      </c>
      <c r="AH667" s="1" t="s">
        <v>74</v>
      </c>
      <c r="AI667" s="1" t="s">
        <v>74</v>
      </c>
      <c r="AJ667" s="1" t="s">
        <v>74</v>
      </c>
      <c r="AK667" s="1" t="s">
        <v>74</v>
      </c>
      <c r="AL667" s="1" t="s">
        <v>74</v>
      </c>
      <c r="AM667" s="1" t="s">
        <v>74</v>
      </c>
      <c r="AN667" s="1" t="s">
        <v>74</v>
      </c>
      <c r="AO667" s="1" t="s">
        <v>3286</v>
      </c>
      <c r="AP667" s="1" t="s">
        <v>3287</v>
      </c>
      <c r="AQ667" s="1" t="s">
        <v>74</v>
      </c>
      <c r="AR667" s="1" t="s">
        <v>74</v>
      </c>
      <c r="AS667" s="1" t="s">
        <v>74</v>
      </c>
      <c r="AT667" s="1" t="s">
        <v>377</v>
      </c>
      <c r="AU667" s="1">
        <v>2014.0</v>
      </c>
      <c r="AV667" s="1">
        <v>55.0</v>
      </c>
      <c r="AW667" s="1" t="s">
        <v>74</v>
      </c>
      <c r="AX667" s="1" t="s">
        <v>74</v>
      </c>
      <c r="AY667" s="1">
        <v>1.0</v>
      </c>
      <c r="AZ667" s="1" t="s">
        <v>74</v>
      </c>
      <c r="BA667" s="1">
        <v>1829.0</v>
      </c>
      <c r="BB667" s="1" t="s">
        <v>74</v>
      </c>
      <c r="BC667" s="1" t="s">
        <v>74</v>
      </c>
      <c r="BD667" s="1" t="s">
        <v>74</v>
      </c>
      <c r="BE667" s="1" t="s">
        <v>74</v>
      </c>
      <c r="BF667" s="1" t="s">
        <v>74</v>
      </c>
      <c r="BG667" s="1" t="s">
        <v>74</v>
      </c>
      <c r="BH667" s="1" t="s">
        <v>74</v>
      </c>
      <c r="BI667" s="1" t="s">
        <v>74</v>
      </c>
      <c r="BJ667" s="1" t="s">
        <v>74</v>
      </c>
      <c r="BK667" s="1" t="s">
        <v>74</v>
      </c>
      <c r="BL667" s="1" t="s">
        <v>74</v>
      </c>
      <c r="BM667" s="1" t="s">
        <v>74</v>
      </c>
      <c r="BN667" s="1" t="s">
        <v>74</v>
      </c>
      <c r="BO667" s="1" t="s">
        <v>74</v>
      </c>
      <c r="BP667" s="1" t="s">
        <v>74</v>
      </c>
      <c r="BQ667" s="1" t="s">
        <v>74</v>
      </c>
      <c r="BR667" s="1" t="s">
        <v>74</v>
      </c>
      <c r="BS667" s="1" t="s">
        <v>6731</v>
      </c>
      <c r="BT667" s="1" t="str">
        <f>HYPERLINK("https%3A%2F%2Fwww.webofscience.com%2Fwos%2Fwoscc%2Ffull-record%2FWOS:000361438102495","View Full Record in Web of Science")</f>
        <v>View Full Record in Web of Science</v>
      </c>
    </row>
    <row r="668" ht="12.75" customHeight="1">
      <c r="A668" s="1" t="s">
        <v>72</v>
      </c>
      <c r="B668" s="1" t="s">
        <v>6732</v>
      </c>
      <c r="C668" s="1" t="s">
        <v>74</v>
      </c>
      <c r="D668" s="1" t="s">
        <v>74</v>
      </c>
      <c r="E668" s="1" t="s">
        <v>74</v>
      </c>
      <c r="F668" s="1" t="s">
        <v>6733</v>
      </c>
      <c r="G668" s="1" t="s">
        <v>74</v>
      </c>
      <c r="H668" s="1" t="s">
        <v>74</v>
      </c>
      <c r="I668" s="1" t="s">
        <v>6734</v>
      </c>
      <c r="J668" s="1" t="s">
        <v>6735</v>
      </c>
      <c r="K668" s="1" t="s">
        <v>74</v>
      </c>
      <c r="L668" s="1" t="s">
        <v>74</v>
      </c>
      <c r="M668" s="1" t="s">
        <v>74</v>
      </c>
      <c r="N668" s="1" t="s">
        <v>74</v>
      </c>
      <c r="O668" s="1" t="s">
        <v>74</v>
      </c>
      <c r="P668" s="1" t="s">
        <v>74</v>
      </c>
      <c r="Q668" s="1" t="s">
        <v>74</v>
      </c>
      <c r="R668" s="1" t="s">
        <v>74</v>
      </c>
      <c r="S668" s="1" t="s">
        <v>74</v>
      </c>
      <c r="T668" s="1" t="s">
        <v>74</v>
      </c>
      <c r="U668" s="1" t="s">
        <v>74</v>
      </c>
      <c r="V668" s="1" t="s">
        <v>6736</v>
      </c>
      <c r="W668" s="1" t="s">
        <v>74</v>
      </c>
      <c r="X668" s="1" t="s">
        <v>74</v>
      </c>
      <c r="Y668" s="1" t="s">
        <v>74</v>
      </c>
      <c r="Z668" s="1" t="s">
        <v>74</v>
      </c>
      <c r="AA668" s="1" t="s">
        <v>6737</v>
      </c>
      <c r="AB668" s="1" t="s">
        <v>6738</v>
      </c>
      <c r="AC668" s="1" t="s">
        <v>74</v>
      </c>
      <c r="AD668" s="1" t="s">
        <v>74</v>
      </c>
      <c r="AE668" s="1" t="s">
        <v>74</v>
      </c>
      <c r="AF668" s="1" t="s">
        <v>74</v>
      </c>
      <c r="AG668" s="1" t="s">
        <v>74</v>
      </c>
      <c r="AH668" s="1" t="s">
        <v>74</v>
      </c>
      <c r="AI668" s="1" t="s">
        <v>74</v>
      </c>
      <c r="AJ668" s="1" t="s">
        <v>74</v>
      </c>
      <c r="AK668" s="1" t="s">
        <v>74</v>
      </c>
      <c r="AL668" s="1" t="s">
        <v>74</v>
      </c>
      <c r="AM668" s="1" t="s">
        <v>74</v>
      </c>
      <c r="AN668" s="1" t="s">
        <v>74</v>
      </c>
      <c r="AO668" s="1" t="s">
        <v>6739</v>
      </c>
      <c r="AP668" s="1" t="s">
        <v>6740</v>
      </c>
      <c r="AQ668" s="1" t="s">
        <v>74</v>
      </c>
      <c r="AR668" s="1" t="s">
        <v>74</v>
      </c>
      <c r="AS668" s="1" t="s">
        <v>74</v>
      </c>
      <c r="AT668" s="1" t="s">
        <v>559</v>
      </c>
      <c r="AU668" s="1">
        <v>2013.0</v>
      </c>
      <c r="AV668" s="1">
        <v>25.0</v>
      </c>
      <c r="AW668" s="1">
        <v>6.0</v>
      </c>
      <c r="AX668" s="1" t="s">
        <v>74</v>
      </c>
      <c r="AY668" s="1" t="s">
        <v>74</v>
      </c>
      <c r="AZ668" s="1" t="s">
        <v>74</v>
      </c>
      <c r="BA668" s="1" t="s">
        <v>74</v>
      </c>
      <c r="BB668" s="1">
        <v>791.0</v>
      </c>
      <c r="BC668" s="1">
        <v>803.0</v>
      </c>
      <c r="BD668" s="1" t="s">
        <v>74</v>
      </c>
      <c r="BE668" s="1" t="s">
        <v>6741</v>
      </c>
      <c r="BF668" s="2" t="str">
        <f>HYPERLINK("http://dx.doi.org/10.1017/S0954102013000175","http://dx.doi.org/10.1017/S0954102013000175")</f>
        <v>http://dx.doi.org/10.1017/S0954102013000175</v>
      </c>
      <c r="BG668" s="1" t="s">
        <v>74</v>
      </c>
      <c r="BH668" s="1" t="s">
        <v>74</v>
      </c>
      <c r="BI668" s="1" t="s">
        <v>74</v>
      </c>
      <c r="BJ668" s="1" t="s">
        <v>74</v>
      </c>
      <c r="BK668" s="1" t="s">
        <v>74</v>
      </c>
      <c r="BL668" s="1" t="s">
        <v>74</v>
      </c>
      <c r="BM668" s="1" t="s">
        <v>74</v>
      </c>
      <c r="BN668" s="1" t="s">
        <v>74</v>
      </c>
      <c r="BO668" s="1" t="s">
        <v>74</v>
      </c>
      <c r="BP668" s="1" t="s">
        <v>74</v>
      </c>
      <c r="BQ668" s="1" t="s">
        <v>74</v>
      </c>
      <c r="BR668" s="1" t="s">
        <v>74</v>
      </c>
      <c r="BS668" s="1" t="s">
        <v>6742</v>
      </c>
      <c r="BT668" s="1" t="str">
        <f>HYPERLINK("https%3A%2F%2Fwww.webofscience.com%2Fwos%2Fwoscc%2Ffull-record%2FWOS:000328547200007","View Full Record in Web of Science")</f>
        <v>View Full Record in Web of Science</v>
      </c>
    </row>
    <row r="669" ht="12.75" customHeight="1">
      <c r="A669" s="1" t="s">
        <v>72</v>
      </c>
      <c r="B669" s="1" t="s">
        <v>6743</v>
      </c>
      <c r="C669" s="1" t="s">
        <v>74</v>
      </c>
      <c r="D669" s="1" t="s">
        <v>74</v>
      </c>
      <c r="E669" s="1" t="s">
        <v>74</v>
      </c>
      <c r="F669" s="1" t="s">
        <v>6744</v>
      </c>
      <c r="G669" s="1" t="s">
        <v>74</v>
      </c>
      <c r="H669" s="1" t="s">
        <v>74</v>
      </c>
      <c r="I669" s="1" t="s">
        <v>6745</v>
      </c>
      <c r="J669" s="1" t="s">
        <v>6746</v>
      </c>
      <c r="K669" s="1" t="s">
        <v>74</v>
      </c>
      <c r="L669" s="1" t="s">
        <v>74</v>
      </c>
      <c r="M669" s="1" t="s">
        <v>74</v>
      </c>
      <c r="N669" s="1" t="s">
        <v>74</v>
      </c>
      <c r="O669" s="1" t="s">
        <v>74</v>
      </c>
      <c r="P669" s="1" t="s">
        <v>74</v>
      </c>
      <c r="Q669" s="1" t="s">
        <v>74</v>
      </c>
      <c r="R669" s="1" t="s">
        <v>74</v>
      </c>
      <c r="S669" s="1" t="s">
        <v>74</v>
      </c>
      <c r="T669" s="1" t="s">
        <v>74</v>
      </c>
      <c r="U669" s="1" t="s">
        <v>74</v>
      </c>
      <c r="V669" s="1" t="s">
        <v>6747</v>
      </c>
      <c r="W669" s="1" t="s">
        <v>74</v>
      </c>
      <c r="X669" s="1" t="s">
        <v>74</v>
      </c>
      <c r="Y669" s="1" t="s">
        <v>74</v>
      </c>
      <c r="Z669" s="1" t="s">
        <v>74</v>
      </c>
      <c r="AA669" s="1" t="s">
        <v>74</v>
      </c>
      <c r="AB669" s="1" t="s">
        <v>6748</v>
      </c>
      <c r="AC669" s="1" t="s">
        <v>74</v>
      </c>
      <c r="AD669" s="1" t="s">
        <v>74</v>
      </c>
      <c r="AE669" s="1" t="s">
        <v>74</v>
      </c>
      <c r="AF669" s="1" t="s">
        <v>74</v>
      </c>
      <c r="AG669" s="1" t="s">
        <v>74</v>
      </c>
      <c r="AH669" s="1" t="s">
        <v>74</v>
      </c>
      <c r="AI669" s="1" t="s">
        <v>74</v>
      </c>
      <c r="AJ669" s="1" t="s">
        <v>74</v>
      </c>
      <c r="AK669" s="1" t="s">
        <v>74</v>
      </c>
      <c r="AL669" s="1" t="s">
        <v>74</v>
      </c>
      <c r="AM669" s="1" t="s">
        <v>74</v>
      </c>
      <c r="AN669" s="1" t="s">
        <v>74</v>
      </c>
      <c r="AO669" s="1" t="s">
        <v>6749</v>
      </c>
      <c r="AP669" s="1" t="s">
        <v>74</v>
      </c>
      <c r="AQ669" s="1" t="s">
        <v>74</v>
      </c>
      <c r="AR669" s="1" t="s">
        <v>74</v>
      </c>
      <c r="AS669" s="1" t="s">
        <v>74</v>
      </c>
      <c r="AT669" s="1" t="s">
        <v>377</v>
      </c>
      <c r="AU669" s="1">
        <v>2013.0</v>
      </c>
      <c r="AV669" s="1">
        <v>41.0</v>
      </c>
      <c r="AW669" s="1" t="s">
        <v>6750</v>
      </c>
      <c r="AX669" s="1" t="s">
        <v>74</v>
      </c>
      <c r="AY669" s="1" t="s">
        <v>74</v>
      </c>
      <c r="AZ669" s="1" t="s">
        <v>74</v>
      </c>
      <c r="BA669" s="1" t="s">
        <v>74</v>
      </c>
      <c r="BB669" s="1">
        <v>2066.0</v>
      </c>
      <c r="BC669" s="1">
        <v>2089.0</v>
      </c>
      <c r="BD669" s="1" t="s">
        <v>74</v>
      </c>
      <c r="BE669" s="1" t="s">
        <v>6751</v>
      </c>
      <c r="BF669" s="2" t="str">
        <f>HYPERLINK("http://dx.doi.org/10.1214/12-AOP784","http://dx.doi.org/10.1214/12-AOP784")</f>
        <v>http://dx.doi.org/10.1214/12-AOP784</v>
      </c>
      <c r="BG669" s="1" t="s">
        <v>74</v>
      </c>
      <c r="BH669" s="1" t="s">
        <v>74</v>
      </c>
      <c r="BI669" s="1" t="s">
        <v>74</v>
      </c>
      <c r="BJ669" s="1" t="s">
        <v>74</v>
      </c>
      <c r="BK669" s="1" t="s">
        <v>74</v>
      </c>
      <c r="BL669" s="1" t="s">
        <v>74</v>
      </c>
      <c r="BM669" s="1" t="s">
        <v>74</v>
      </c>
      <c r="BN669" s="1" t="s">
        <v>74</v>
      </c>
      <c r="BO669" s="1" t="s">
        <v>74</v>
      </c>
      <c r="BP669" s="1" t="s">
        <v>74</v>
      </c>
      <c r="BQ669" s="1" t="s">
        <v>74</v>
      </c>
      <c r="BR669" s="1" t="s">
        <v>74</v>
      </c>
      <c r="BS669" s="1" t="s">
        <v>6752</v>
      </c>
      <c r="BT669" s="1" t="str">
        <f>HYPERLINK("https%3A%2F%2Fwww.webofscience.com%2Fwos%2Fwoscc%2Ffull-record%2FWOS:000320069500010","View Full Record in Web of Science")</f>
        <v>View Full Record in Web of Science</v>
      </c>
    </row>
    <row r="670" ht="12.75" customHeight="1">
      <c r="A670" s="1" t="s">
        <v>72</v>
      </c>
      <c r="B670" s="1" t="s">
        <v>6753</v>
      </c>
      <c r="C670" s="1" t="s">
        <v>74</v>
      </c>
      <c r="D670" s="1" t="s">
        <v>74</v>
      </c>
      <c r="E670" s="1" t="s">
        <v>74</v>
      </c>
      <c r="F670" s="1" t="s">
        <v>6754</v>
      </c>
      <c r="G670" s="1" t="s">
        <v>74</v>
      </c>
      <c r="H670" s="1" t="s">
        <v>74</v>
      </c>
      <c r="I670" s="1" t="s">
        <v>6755</v>
      </c>
      <c r="J670" s="1" t="s">
        <v>1385</v>
      </c>
      <c r="K670" s="1" t="s">
        <v>74</v>
      </c>
      <c r="L670" s="1" t="s">
        <v>74</v>
      </c>
      <c r="M670" s="1" t="s">
        <v>74</v>
      </c>
      <c r="N670" s="1" t="s">
        <v>74</v>
      </c>
      <c r="O670" s="1" t="s">
        <v>74</v>
      </c>
      <c r="P670" s="1" t="s">
        <v>74</v>
      </c>
      <c r="Q670" s="1" t="s">
        <v>74</v>
      </c>
      <c r="R670" s="1" t="s">
        <v>74</v>
      </c>
      <c r="S670" s="1" t="s">
        <v>74</v>
      </c>
      <c r="T670" s="1" t="s">
        <v>74</v>
      </c>
      <c r="U670" s="1" t="s">
        <v>74</v>
      </c>
      <c r="V670" s="1" t="s">
        <v>6756</v>
      </c>
      <c r="W670" s="1" t="s">
        <v>74</v>
      </c>
      <c r="X670" s="1" t="s">
        <v>74</v>
      </c>
      <c r="Y670" s="1" t="s">
        <v>74</v>
      </c>
      <c r="Z670" s="1" t="s">
        <v>74</v>
      </c>
      <c r="AA670" s="1" t="s">
        <v>6757</v>
      </c>
      <c r="AB670" s="1" t="s">
        <v>6758</v>
      </c>
      <c r="AC670" s="1" t="s">
        <v>74</v>
      </c>
      <c r="AD670" s="1" t="s">
        <v>74</v>
      </c>
      <c r="AE670" s="1" t="s">
        <v>74</v>
      </c>
      <c r="AF670" s="1" t="s">
        <v>74</v>
      </c>
      <c r="AG670" s="1" t="s">
        <v>74</v>
      </c>
      <c r="AH670" s="1" t="s">
        <v>74</v>
      </c>
      <c r="AI670" s="1" t="s">
        <v>74</v>
      </c>
      <c r="AJ670" s="1" t="s">
        <v>74</v>
      </c>
      <c r="AK670" s="1" t="s">
        <v>74</v>
      </c>
      <c r="AL670" s="1" t="s">
        <v>74</v>
      </c>
      <c r="AM670" s="1" t="s">
        <v>74</v>
      </c>
      <c r="AN670" s="1" t="s">
        <v>74</v>
      </c>
      <c r="AO670" s="1" t="s">
        <v>1627</v>
      </c>
      <c r="AP670" s="1" t="s">
        <v>74</v>
      </c>
      <c r="AQ670" s="1" t="s">
        <v>74</v>
      </c>
      <c r="AR670" s="1" t="s">
        <v>74</v>
      </c>
      <c r="AS670" s="1" t="s">
        <v>74</v>
      </c>
      <c r="AT670" s="1" t="s">
        <v>155</v>
      </c>
      <c r="AU670" s="1">
        <v>2010.0</v>
      </c>
      <c r="AV670" s="1">
        <v>55.0</v>
      </c>
      <c r="AW670" s="1">
        <v>2.0</v>
      </c>
      <c r="AX670" s="1" t="s">
        <v>74</v>
      </c>
      <c r="AY670" s="1" t="s">
        <v>74</v>
      </c>
      <c r="AZ670" s="1" t="s">
        <v>74</v>
      </c>
      <c r="BA670" s="1" t="s">
        <v>74</v>
      </c>
      <c r="BB670" s="1">
        <v>253.0</v>
      </c>
      <c r="BC670" s="1">
        <v>256.0</v>
      </c>
      <c r="BD670" s="1" t="s">
        <v>74</v>
      </c>
      <c r="BE670" s="1" t="s">
        <v>74</v>
      </c>
      <c r="BF670" s="1" t="s">
        <v>74</v>
      </c>
      <c r="BG670" s="1" t="s">
        <v>74</v>
      </c>
      <c r="BH670" s="1" t="s">
        <v>74</v>
      </c>
      <c r="BI670" s="1" t="s">
        <v>74</v>
      </c>
      <c r="BJ670" s="1" t="s">
        <v>74</v>
      </c>
      <c r="BK670" s="1" t="s">
        <v>74</v>
      </c>
      <c r="BL670" s="1" t="s">
        <v>74</v>
      </c>
      <c r="BM670" s="1" t="s">
        <v>74</v>
      </c>
      <c r="BN670" s="1" t="s">
        <v>74</v>
      </c>
      <c r="BO670" s="1" t="s">
        <v>74</v>
      </c>
      <c r="BP670" s="1" t="s">
        <v>74</v>
      </c>
      <c r="BQ670" s="1" t="s">
        <v>74</v>
      </c>
      <c r="BR670" s="1" t="s">
        <v>74</v>
      </c>
      <c r="BS670" s="1" t="s">
        <v>6759</v>
      </c>
      <c r="BT670" s="1" t="str">
        <f>HYPERLINK("https%3A%2F%2Fwww.webofscience.com%2Fwos%2Fwoscc%2Ffull-record%2FWOS:000279984400024","View Full Record in Web of Science")</f>
        <v>View Full Record in Web of Science</v>
      </c>
    </row>
    <row r="671" ht="12.75" customHeight="1">
      <c r="A671" s="1" t="s">
        <v>72</v>
      </c>
      <c r="B671" s="1" t="s">
        <v>6760</v>
      </c>
      <c r="C671" s="1" t="s">
        <v>74</v>
      </c>
      <c r="D671" s="1" t="s">
        <v>74</v>
      </c>
      <c r="E671" s="1" t="s">
        <v>74</v>
      </c>
      <c r="F671" s="1" t="s">
        <v>6760</v>
      </c>
      <c r="G671" s="1" t="s">
        <v>74</v>
      </c>
      <c r="H671" s="1" t="s">
        <v>74</v>
      </c>
      <c r="I671" s="1" t="s">
        <v>6761</v>
      </c>
      <c r="J671" s="1" t="s">
        <v>2969</v>
      </c>
      <c r="K671" s="1" t="s">
        <v>74</v>
      </c>
      <c r="L671" s="1" t="s">
        <v>74</v>
      </c>
      <c r="M671" s="1" t="s">
        <v>74</v>
      </c>
      <c r="N671" s="1" t="s">
        <v>74</v>
      </c>
      <c r="O671" s="1" t="s">
        <v>74</v>
      </c>
      <c r="P671" s="1" t="s">
        <v>74</v>
      </c>
      <c r="Q671" s="1" t="s">
        <v>74</v>
      </c>
      <c r="R671" s="1" t="s">
        <v>74</v>
      </c>
      <c r="S671" s="1" t="s">
        <v>74</v>
      </c>
      <c r="T671" s="1" t="s">
        <v>74</v>
      </c>
      <c r="U671" s="1" t="s">
        <v>74</v>
      </c>
      <c r="V671" s="1" t="s">
        <v>6762</v>
      </c>
      <c r="W671" s="1" t="s">
        <v>74</v>
      </c>
      <c r="X671" s="1" t="s">
        <v>74</v>
      </c>
      <c r="Y671" s="1" t="s">
        <v>74</v>
      </c>
      <c r="Z671" s="1" t="s">
        <v>74</v>
      </c>
      <c r="AA671" s="1" t="s">
        <v>6763</v>
      </c>
      <c r="AB671" s="1" t="s">
        <v>6764</v>
      </c>
      <c r="AC671" s="1" t="s">
        <v>74</v>
      </c>
      <c r="AD671" s="1" t="s">
        <v>74</v>
      </c>
      <c r="AE671" s="1" t="s">
        <v>74</v>
      </c>
      <c r="AF671" s="1" t="s">
        <v>74</v>
      </c>
      <c r="AG671" s="1" t="s">
        <v>74</v>
      </c>
      <c r="AH671" s="1" t="s">
        <v>74</v>
      </c>
      <c r="AI671" s="1" t="s">
        <v>74</v>
      </c>
      <c r="AJ671" s="1" t="s">
        <v>74</v>
      </c>
      <c r="AK671" s="1" t="s">
        <v>74</v>
      </c>
      <c r="AL671" s="1" t="s">
        <v>74</v>
      </c>
      <c r="AM671" s="1" t="s">
        <v>74</v>
      </c>
      <c r="AN671" s="1" t="s">
        <v>74</v>
      </c>
      <c r="AO671" s="1" t="s">
        <v>2973</v>
      </c>
      <c r="AP671" s="1" t="s">
        <v>2974</v>
      </c>
      <c r="AQ671" s="1" t="s">
        <v>74</v>
      </c>
      <c r="AR671" s="1" t="s">
        <v>74</v>
      </c>
      <c r="AS671" s="1" t="s">
        <v>74</v>
      </c>
      <c r="AT671" s="1" t="s">
        <v>398</v>
      </c>
      <c r="AU671" s="1">
        <v>2006.0</v>
      </c>
      <c r="AV671" s="1">
        <v>10.0</v>
      </c>
      <c r="AW671" s="1">
        <v>2.0</v>
      </c>
      <c r="AX671" s="1" t="s">
        <v>74</v>
      </c>
      <c r="AY671" s="1" t="s">
        <v>74</v>
      </c>
      <c r="AZ671" s="1" t="s">
        <v>74</v>
      </c>
      <c r="BA671" s="1" t="s">
        <v>74</v>
      </c>
      <c r="BB671" s="1">
        <v>83.0</v>
      </c>
      <c r="BC671" s="1">
        <v>90.0</v>
      </c>
      <c r="BD671" s="1" t="s">
        <v>74</v>
      </c>
      <c r="BE671" s="1" t="s">
        <v>6765</v>
      </c>
      <c r="BF671" s="2" t="str">
        <f>HYPERLINK("http://dx.doi.org/10.1007/s10008-005-0659-5","http://dx.doi.org/10.1007/s10008-005-0659-5")</f>
        <v>http://dx.doi.org/10.1007/s10008-005-0659-5</v>
      </c>
      <c r="BG671" s="1" t="s">
        <v>74</v>
      </c>
      <c r="BH671" s="1" t="s">
        <v>74</v>
      </c>
      <c r="BI671" s="1" t="s">
        <v>74</v>
      </c>
      <c r="BJ671" s="1" t="s">
        <v>74</v>
      </c>
      <c r="BK671" s="1" t="s">
        <v>74</v>
      </c>
      <c r="BL671" s="1" t="s">
        <v>74</v>
      </c>
      <c r="BM671" s="1" t="s">
        <v>74</v>
      </c>
      <c r="BN671" s="1" t="s">
        <v>74</v>
      </c>
      <c r="BO671" s="1" t="s">
        <v>74</v>
      </c>
      <c r="BP671" s="1" t="s">
        <v>74</v>
      </c>
      <c r="BQ671" s="1" t="s">
        <v>74</v>
      </c>
      <c r="BR671" s="1" t="s">
        <v>74</v>
      </c>
      <c r="BS671" s="1" t="s">
        <v>6766</v>
      </c>
      <c r="BT671" s="1" t="str">
        <f>HYPERLINK("https%3A%2F%2Fwww.webofscience.com%2Fwos%2Fwoscc%2Ffull-record%2FWOS:000233466400004","View Full Record in Web of Science")</f>
        <v>View Full Record in Web of Science</v>
      </c>
    </row>
    <row r="672" ht="12.75" customHeight="1">
      <c r="A672" s="1" t="s">
        <v>72</v>
      </c>
      <c r="B672" s="1" t="s">
        <v>6767</v>
      </c>
      <c r="C672" s="1" t="s">
        <v>74</v>
      </c>
      <c r="D672" s="1" t="s">
        <v>74</v>
      </c>
      <c r="E672" s="1" t="s">
        <v>74</v>
      </c>
      <c r="F672" s="1" t="s">
        <v>6768</v>
      </c>
      <c r="G672" s="1" t="s">
        <v>74</v>
      </c>
      <c r="H672" s="1" t="s">
        <v>74</v>
      </c>
      <c r="I672" s="1" t="s">
        <v>6769</v>
      </c>
      <c r="J672" s="1" t="s">
        <v>6770</v>
      </c>
      <c r="K672" s="1" t="s">
        <v>74</v>
      </c>
      <c r="L672" s="1" t="s">
        <v>74</v>
      </c>
      <c r="M672" s="1" t="s">
        <v>74</v>
      </c>
      <c r="N672" s="1" t="s">
        <v>74</v>
      </c>
      <c r="O672" s="1" t="s">
        <v>74</v>
      </c>
      <c r="P672" s="1" t="s">
        <v>74</v>
      </c>
      <c r="Q672" s="1" t="s">
        <v>74</v>
      </c>
      <c r="R672" s="1" t="s">
        <v>74</v>
      </c>
      <c r="S672" s="1" t="s">
        <v>74</v>
      </c>
      <c r="T672" s="1" t="s">
        <v>74</v>
      </c>
      <c r="U672" s="1" t="s">
        <v>74</v>
      </c>
      <c r="V672" s="1" t="s">
        <v>6771</v>
      </c>
      <c r="W672" s="1" t="s">
        <v>74</v>
      </c>
      <c r="X672" s="1" t="s">
        <v>74</v>
      </c>
      <c r="Y672" s="1" t="s">
        <v>74</v>
      </c>
      <c r="Z672" s="1" t="s">
        <v>74</v>
      </c>
      <c r="AA672" s="1" t="s">
        <v>6772</v>
      </c>
      <c r="AB672" s="1" t="s">
        <v>6773</v>
      </c>
      <c r="AC672" s="1" t="s">
        <v>74</v>
      </c>
      <c r="AD672" s="1" t="s">
        <v>74</v>
      </c>
      <c r="AE672" s="1" t="s">
        <v>74</v>
      </c>
      <c r="AF672" s="1" t="s">
        <v>74</v>
      </c>
      <c r="AG672" s="1" t="s">
        <v>74</v>
      </c>
      <c r="AH672" s="1" t="s">
        <v>74</v>
      </c>
      <c r="AI672" s="1" t="s">
        <v>74</v>
      </c>
      <c r="AJ672" s="1" t="s">
        <v>74</v>
      </c>
      <c r="AK672" s="1" t="s">
        <v>74</v>
      </c>
      <c r="AL672" s="1" t="s">
        <v>74</v>
      </c>
      <c r="AM672" s="1" t="s">
        <v>74</v>
      </c>
      <c r="AN672" s="1" t="s">
        <v>74</v>
      </c>
      <c r="AO672" s="1" t="s">
        <v>6774</v>
      </c>
      <c r="AP672" s="1" t="s">
        <v>6775</v>
      </c>
      <c r="AQ672" s="1" t="s">
        <v>74</v>
      </c>
      <c r="AR672" s="1" t="s">
        <v>74</v>
      </c>
      <c r="AS672" s="1" t="s">
        <v>74</v>
      </c>
      <c r="AT672" s="1" t="s">
        <v>559</v>
      </c>
      <c r="AU672" s="1">
        <v>2002.0</v>
      </c>
      <c r="AV672" s="1">
        <v>1.0</v>
      </c>
      <c r="AW672" s="1">
        <v>12.0</v>
      </c>
      <c r="AX672" s="1" t="s">
        <v>74</v>
      </c>
      <c r="AY672" s="1" t="s">
        <v>74</v>
      </c>
      <c r="AZ672" s="1" t="s">
        <v>74</v>
      </c>
      <c r="BA672" s="1" t="s">
        <v>74</v>
      </c>
      <c r="BB672" s="1">
        <v>269.0</v>
      </c>
      <c r="BC672" s="1">
        <v>273.0</v>
      </c>
      <c r="BD672" s="1" t="s">
        <v>74</v>
      </c>
      <c r="BE672" s="1" t="s">
        <v>6776</v>
      </c>
      <c r="BF672" s="2" t="str">
        <f>HYPERLINK("http://dx.doi.org/10.1039/c1pp05227f","http://dx.doi.org/10.1039/c1pp05227f")</f>
        <v>http://dx.doi.org/10.1039/c1pp05227f</v>
      </c>
      <c r="BG672" s="1" t="s">
        <v>74</v>
      </c>
      <c r="BH672" s="1" t="s">
        <v>74</v>
      </c>
      <c r="BI672" s="1" t="s">
        <v>74</v>
      </c>
      <c r="BJ672" s="1" t="s">
        <v>74</v>
      </c>
      <c r="BK672" s="1" t="s">
        <v>74</v>
      </c>
      <c r="BL672" s="1" t="s">
        <v>74</v>
      </c>
      <c r="BM672" s="1" t="s">
        <v>74</v>
      </c>
      <c r="BN672" s="1">
        <v>2.2025106E7</v>
      </c>
      <c r="BO672" s="1" t="s">
        <v>74</v>
      </c>
      <c r="BP672" s="1" t="s">
        <v>74</v>
      </c>
      <c r="BQ672" s="1" t="s">
        <v>74</v>
      </c>
      <c r="BR672" s="1" t="s">
        <v>74</v>
      </c>
      <c r="BS672" s="1" t="s">
        <v>6777</v>
      </c>
      <c r="BT672" s="1" t="str">
        <f>HYPERLINK("https%3A%2F%2Fwww.webofscience.com%2Fwos%2Fwoscc%2Ffull-record%2FWOS:000692416700003","View Full Record in Web of Science")</f>
        <v>View Full Record in Web of Science</v>
      </c>
    </row>
    <row r="673" ht="12.75" customHeight="1">
      <c r="A673" s="1" t="s">
        <v>72</v>
      </c>
      <c r="B673" s="1" t="s">
        <v>6778</v>
      </c>
      <c r="C673" s="1" t="s">
        <v>74</v>
      </c>
      <c r="D673" s="1" t="s">
        <v>74</v>
      </c>
      <c r="E673" s="1" t="s">
        <v>74</v>
      </c>
      <c r="F673" s="1" t="s">
        <v>6778</v>
      </c>
      <c r="G673" s="1" t="s">
        <v>74</v>
      </c>
      <c r="H673" s="1" t="s">
        <v>74</v>
      </c>
      <c r="I673" s="1" t="s">
        <v>6779</v>
      </c>
      <c r="J673" s="1" t="s">
        <v>6780</v>
      </c>
      <c r="K673" s="1" t="s">
        <v>74</v>
      </c>
      <c r="L673" s="1" t="s">
        <v>74</v>
      </c>
      <c r="M673" s="1" t="s">
        <v>74</v>
      </c>
      <c r="N673" s="1" t="s">
        <v>74</v>
      </c>
      <c r="O673" s="1" t="s">
        <v>74</v>
      </c>
      <c r="P673" s="1" t="s">
        <v>74</v>
      </c>
      <c r="Q673" s="1" t="s">
        <v>74</v>
      </c>
      <c r="R673" s="1" t="s">
        <v>74</v>
      </c>
      <c r="S673" s="1" t="s">
        <v>74</v>
      </c>
      <c r="T673" s="1" t="s">
        <v>74</v>
      </c>
      <c r="U673" s="1" t="s">
        <v>74</v>
      </c>
      <c r="V673" s="1" t="s">
        <v>6781</v>
      </c>
      <c r="W673" s="1" t="s">
        <v>74</v>
      </c>
      <c r="X673" s="1" t="s">
        <v>74</v>
      </c>
      <c r="Y673" s="1" t="s">
        <v>74</v>
      </c>
      <c r="Z673" s="1" t="s">
        <v>74</v>
      </c>
      <c r="AA673" s="1" t="s">
        <v>6782</v>
      </c>
      <c r="AB673" s="1" t="s">
        <v>6783</v>
      </c>
      <c r="AC673" s="1" t="s">
        <v>74</v>
      </c>
      <c r="AD673" s="1" t="s">
        <v>74</v>
      </c>
      <c r="AE673" s="1" t="s">
        <v>74</v>
      </c>
      <c r="AF673" s="1" t="s">
        <v>74</v>
      </c>
      <c r="AG673" s="1" t="s">
        <v>74</v>
      </c>
      <c r="AH673" s="1" t="s">
        <v>74</v>
      </c>
      <c r="AI673" s="1" t="s">
        <v>74</v>
      </c>
      <c r="AJ673" s="1" t="s">
        <v>74</v>
      </c>
      <c r="AK673" s="1" t="s">
        <v>74</v>
      </c>
      <c r="AL673" s="1" t="s">
        <v>74</v>
      </c>
      <c r="AM673" s="1" t="s">
        <v>74</v>
      </c>
      <c r="AN673" s="1" t="s">
        <v>74</v>
      </c>
      <c r="AO673" s="1" t="s">
        <v>6784</v>
      </c>
      <c r="AP673" s="1" t="s">
        <v>6785</v>
      </c>
      <c r="AQ673" s="1" t="s">
        <v>74</v>
      </c>
      <c r="AR673" s="1" t="s">
        <v>74</v>
      </c>
      <c r="AS673" s="1" t="s">
        <v>74</v>
      </c>
      <c r="AT673" s="1" t="s">
        <v>6786</v>
      </c>
      <c r="AU673" s="1">
        <v>1993.0</v>
      </c>
      <c r="AV673" s="1">
        <v>5.0</v>
      </c>
      <c r="AW673" s="1" t="s">
        <v>74</v>
      </c>
      <c r="AX673" s="1" t="s">
        <v>74</v>
      </c>
      <c r="AY673" s="1" t="s">
        <v>6787</v>
      </c>
      <c r="AZ673" s="1" t="s">
        <v>74</v>
      </c>
      <c r="BA673" s="1" t="s">
        <v>74</v>
      </c>
      <c r="BB673" s="1" t="s">
        <v>6788</v>
      </c>
      <c r="BC673" s="1" t="s">
        <v>6789</v>
      </c>
      <c r="BD673" s="1" t="s">
        <v>74</v>
      </c>
      <c r="BE673" s="1" t="s">
        <v>6790</v>
      </c>
      <c r="BF673" s="2" t="str">
        <f>HYPERLINK("http://dx.doi.org/10.1088/0953-8984/5/33A/102","http://dx.doi.org/10.1088/0953-8984/5/33A/102")</f>
        <v>http://dx.doi.org/10.1088/0953-8984/5/33A/102</v>
      </c>
      <c r="BG673" s="1" t="s">
        <v>74</v>
      </c>
      <c r="BH673" s="1" t="s">
        <v>74</v>
      </c>
      <c r="BI673" s="1" t="s">
        <v>74</v>
      </c>
      <c r="BJ673" s="1" t="s">
        <v>74</v>
      </c>
      <c r="BK673" s="1" t="s">
        <v>74</v>
      </c>
      <c r="BL673" s="1" t="s">
        <v>74</v>
      </c>
      <c r="BM673" s="1" t="s">
        <v>74</v>
      </c>
      <c r="BN673" s="1" t="s">
        <v>74</v>
      </c>
      <c r="BO673" s="1" t="s">
        <v>74</v>
      </c>
      <c r="BP673" s="1" t="s">
        <v>74</v>
      </c>
      <c r="BQ673" s="1" t="s">
        <v>74</v>
      </c>
      <c r="BR673" s="1" t="s">
        <v>74</v>
      </c>
      <c r="BS673" s="1" t="s">
        <v>6791</v>
      </c>
      <c r="BT673" s="1" t="str">
        <f>HYPERLINK("https%3A%2F%2Fwww.webofscience.com%2Fwos%2Fwoscc%2Ffull-record%2FWOS:A1993LV24500104","View Full Record in Web of Science")</f>
        <v>View Full Record in Web of Science</v>
      </c>
    </row>
    <row r="674" ht="12.75" customHeight="1">
      <c r="A674" s="1" t="s">
        <v>72</v>
      </c>
      <c r="B674" s="1" t="s">
        <v>4980</v>
      </c>
      <c r="C674" s="1" t="s">
        <v>74</v>
      </c>
      <c r="D674" s="1" t="s">
        <v>74</v>
      </c>
      <c r="E674" s="1" t="s">
        <v>74</v>
      </c>
      <c r="F674" s="1" t="s">
        <v>4981</v>
      </c>
      <c r="G674" s="1" t="s">
        <v>74</v>
      </c>
      <c r="H674" s="1" t="s">
        <v>74</v>
      </c>
      <c r="I674" s="1" t="s">
        <v>6792</v>
      </c>
      <c r="J674" s="1" t="s">
        <v>864</v>
      </c>
      <c r="K674" s="1" t="s">
        <v>74</v>
      </c>
      <c r="L674" s="1" t="s">
        <v>74</v>
      </c>
      <c r="M674" s="1" t="s">
        <v>74</v>
      </c>
      <c r="N674" s="1" t="s">
        <v>74</v>
      </c>
      <c r="O674" s="1" t="s">
        <v>74</v>
      </c>
      <c r="P674" s="1" t="s">
        <v>74</v>
      </c>
      <c r="Q674" s="1" t="s">
        <v>74</v>
      </c>
      <c r="R674" s="1" t="s">
        <v>74</v>
      </c>
      <c r="S674" s="1" t="s">
        <v>74</v>
      </c>
      <c r="T674" s="1" t="s">
        <v>74</v>
      </c>
      <c r="U674" s="1" t="s">
        <v>74</v>
      </c>
      <c r="V674" s="1" t="s">
        <v>74</v>
      </c>
      <c r="W674" s="1" t="s">
        <v>74</v>
      </c>
      <c r="X674" s="1" t="s">
        <v>74</v>
      </c>
      <c r="Y674" s="1" t="s">
        <v>74</v>
      </c>
      <c r="Z674" s="1" t="s">
        <v>74</v>
      </c>
      <c r="AA674" s="1" t="s">
        <v>4984</v>
      </c>
      <c r="AB674" s="1" t="s">
        <v>6793</v>
      </c>
      <c r="AC674" s="1" t="s">
        <v>74</v>
      </c>
      <c r="AD674" s="1" t="s">
        <v>74</v>
      </c>
      <c r="AE674" s="1" t="s">
        <v>74</v>
      </c>
      <c r="AF674" s="1" t="s">
        <v>74</v>
      </c>
      <c r="AG674" s="1" t="s">
        <v>74</v>
      </c>
      <c r="AH674" s="1" t="s">
        <v>74</v>
      </c>
      <c r="AI674" s="1" t="s">
        <v>74</v>
      </c>
      <c r="AJ674" s="1" t="s">
        <v>74</v>
      </c>
      <c r="AK674" s="1" t="s">
        <v>74</v>
      </c>
      <c r="AL674" s="1" t="s">
        <v>74</v>
      </c>
      <c r="AM674" s="1" t="s">
        <v>74</v>
      </c>
      <c r="AN674" s="1" t="s">
        <v>74</v>
      </c>
      <c r="AO674" s="1" t="s">
        <v>1906</v>
      </c>
      <c r="AP674" s="1" t="s">
        <v>868</v>
      </c>
      <c r="AQ674" s="1" t="s">
        <v>74</v>
      </c>
      <c r="AR674" s="1" t="s">
        <v>74</v>
      </c>
      <c r="AS674" s="1" t="s">
        <v>74</v>
      </c>
      <c r="AT674" s="1" t="s">
        <v>559</v>
      </c>
      <c r="AU674" s="1">
        <v>2024.0</v>
      </c>
      <c r="AV674" s="1">
        <v>25.0</v>
      </c>
      <c r="AW674" s="1">
        <v>23.0</v>
      </c>
      <c r="AX674" s="1" t="s">
        <v>74</v>
      </c>
      <c r="AY674" s="1" t="s">
        <v>74</v>
      </c>
      <c r="AZ674" s="1" t="s">
        <v>74</v>
      </c>
      <c r="BA674" s="1" t="s">
        <v>74</v>
      </c>
      <c r="BB674" s="1" t="s">
        <v>74</v>
      </c>
      <c r="BC674" s="1" t="s">
        <v>74</v>
      </c>
      <c r="BD674" s="1">
        <v>12489.0</v>
      </c>
      <c r="BE674" s="1" t="s">
        <v>6794</v>
      </c>
      <c r="BF674" s="2" t="str">
        <f>HYPERLINK("http://dx.doi.org/10.3390/ijms252312489","http://dx.doi.org/10.3390/ijms252312489")</f>
        <v>http://dx.doi.org/10.3390/ijms252312489</v>
      </c>
      <c r="BG674" s="1" t="s">
        <v>74</v>
      </c>
      <c r="BH674" s="1" t="s">
        <v>74</v>
      </c>
      <c r="BI674" s="1" t="s">
        <v>74</v>
      </c>
      <c r="BJ674" s="1" t="s">
        <v>74</v>
      </c>
      <c r="BK674" s="1" t="s">
        <v>74</v>
      </c>
      <c r="BL674" s="1" t="s">
        <v>74</v>
      </c>
      <c r="BM674" s="1" t="s">
        <v>74</v>
      </c>
      <c r="BN674" s="1">
        <v>3.968494E7</v>
      </c>
      <c r="BO674" s="1" t="s">
        <v>74</v>
      </c>
      <c r="BP674" s="1" t="s">
        <v>74</v>
      </c>
      <c r="BQ674" s="1" t="s">
        <v>74</v>
      </c>
      <c r="BR674" s="1" t="s">
        <v>74</v>
      </c>
      <c r="BS674" s="1" t="s">
        <v>6795</v>
      </c>
      <c r="BT674" s="1" t="str">
        <f>HYPERLINK("https%3A%2F%2Fwww.webofscience.com%2Fwos%2Fwoscc%2Ffull-record%2FWOS:001377199000001","View Full Record in Web of Science")</f>
        <v>View Full Record in Web of Science</v>
      </c>
    </row>
    <row r="675" ht="12.75" customHeight="1">
      <c r="A675" s="1" t="s">
        <v>72</v>
      </c>
      <c r="B675" s="1" t="s">
        <v>6796</v>
      </c>
      <c r="C675" s="1" t="s">
        <v>74</v>
      </c>
      <c r="D675" s="1" t="s">
        <v>74</v>
      </c>
      <c r="E675" s="1" t="s">
        <v>74</v>
      </c>
      <c r="F675" s="1" t="s">
        <v>6797</v>
      </c>
      <c r="G675" s="1" t="s">
        <v>74</v>
      </c>
      <c r="H675" s="1" t="s">
        <v>74</v>
      </c>
      <c r="I675" s="1" t="s">
        <v>6798</v>
      </c>
      <c r="J675" s="1" t="s">
        <v>1072</v>
      </c>
      <c r="K675" s="1" t="s">
        <v>74</v>
      </c>
      <c r="L675" s="1" t="s">
        <v>74</v>
      </c>
      <c r="M675" s="1" t="s">
        <v>74</v>
      </c>
      <c r="N675" s="1" t="s">
        <v>74</v>
      </c>
      <c r="O675" s="1" t="s">
        <v>74</v>
      </c>
      <c r="P675" s="1" t="s">
        <v>74</v>
      </c>
      <c r="Q675" s="1" t="s">
        <v>74</v>
      </c>
      <c r="R675" s="1" t="s">
        <v>74</v>
      </c>
      <c r="S675" s="1" t="s">
        <v>74</v>
      </c>
      <c r="T675" s="1" t="s">
        <v>74</v>
      </c>
      <c r="U675" s="1" t="s">
        <v>74</v>
      </c>
      <c r="V675" s="1" t="s">
        <v>6799</v>
      </c>
      <c r="W675" s="1" t="s">
        <v>74</v>
      </c>
      <c r="X675" s="1" t="s">
        <v>74</v>
      </c>
      <c r="Y675" s="1" t="s">
        <v>74</v>
      </c>
      <c r="Z675" s="1" t="s">
        <v>74</v>
      </c>
      <c r="AA675" s="1" t="s">
        <v>6800</v>
      </c>
      <c r="AB675" s="1" t="s">
        <v>74</v>
      </c>
      <c r="AC675" s="1" t="s">
        <v>74</v>
      </c>
      <c r="AD675" s="1" t="s">
        <v>74</v>
      </c>
      <c r="AE675" s="1" t="s">
        <v>74</v>
      </c>
      <c r="AF675" s="1" t="s">
        <v>74</v>
      </c>
      <c r="AG675" s="1" t="s">
        <v>74</v>
      </c>
      <c r="AH675" s="1" t="s">
        <v>74</v>
      </c>
      <c r="AI675" s="1" t="s">
        <v>74</v>
      </c>
      <c r="AJ675" s="1" t="s">
        <v>74</v>
      </c>
      <c r="AK675" s="1" t="s">
        <v>74</v>
      </c>
      <c r="AL675" s="1" t="s">
        <v>74</v>
      </c>
      <c r="AM675" s="1" t="s">
        <v>74</v>
      </c>
      <c r="AN675" s="1" t="s">
        <v>74</v>
      </c>
      <c r="AO675" s="1" t="s">
        <v>1075</v>
      </c>
      <c r="AP675" s="1" t="s">
        <v>1076</v>
      </c>
      <c r="AQ675" s="1" t="s">
        <v>74</v>
      </c>
      <c r="AR675" s="1" t="s">
        <v>74</v>
      </c>
      <c r="AS675" s="1" t="s">
        <v>74</v>
      </c>
      <c r="AT675" s="1" t="s">
        <v>74</v>
      </c>
      <c r="AU675" s="1">
        <v>2024.0</v>
      </c>
      <c r="AV675" s="1" t="s">
        <v>74</v>
      </c>
      <c r="AW675" s="1">
        <v>61.0</v>
      </c>
      <c r="AX675" s="1" t="s">
        <v>74</v>
      </c>
      <c r="AY675" s="1" t="s">
        <v>74</v>
      </c>
      <c r="AZ675" s="1" t="s">
        <v>74</v>
      </c>
      <c r="BA675" s="1" t="s">
        <v>74</v>
      </c>
      <c r="BB675" s="1" t="s">
        <v>74</v>
      </c>
      <c r="BC675" s="1" t="s">
        <v>74</v>
      </c>
      <c r="BD675" s="1" t="s">
        <v>74</v>
      </c>
      <c r="BE675" s="1" t="s">
        <v>74</v>
      </c>
      <c r="BF675" s="1" t="s">
        <v>74</v>
      </c>
      <c r="BG675" s="1" t="s">
        <v>74</v>
      </c>
      <c r="BH675" s="1" t="s">
        <v>74</v>
      </c>
      <c r="BI675" s="1" t="s">
        <v>74</v>
      </c>
      <c r="BJ675" s="1" t="s">
        <v>74</v>
      </c>
      <c r="BK675" s="1" t="s">
        <v>74</v>
      </c>
      <c r="BL675" s="1" t="s">
        <v>74</v>
      </c>
      <c r="BM675" s="1" t="s">
        <v>74</v>
      </c>
      <c r="BN675" s="1" t="s">
        <v>74</v>
      </c>
      <c r="BO675" s="1" t="s">
        <v>74</v>
      </c>
      <c r="BP675" s="1" t="s">
        <v>74</v>
      </c>
      <c r="BQ675" s="1" t="s">
        <v>74</v>
      </c>
      <c r="BR675" s="1" t="s">
        <v>74</v>
      </c>
      <c r="BS675" s="1" t="s">
        <v>6801</v>
      </c>
      <c r="BT675" s="1" t="str">
        <f>HYPERLINK("https%3A%2F%2Fwww.webofscience.com%2Fwos%2Fwoscc%2Ffull-record%2FWOS:001335698900001","View Full Record in Web of Science")</f>
        <v>View Full Record in Web of Science</v>
      </c>
    </row>
    <row r="676" ht="12.75" customHeight="1">
      <c r="A676" s="1" t="s">
        <v>72</v>
      </c>
      <c r="B676" s="1" t="s">
        <v>3555</v>
      </c>
      <c r="C676" s="1" t="s">
        <v>74</v>
      </c>
      <c r="D676" s="1" t="s">
        <v>74</v>
      </c>
      <c r="E676" s="1" t="s">
        <v>74</v>
      </c>
      <c r="F676" s="1" t="s">
        <v>3556</v>
      </c>
      <c r="G676" s="1" t="s">
        <v>74</v>
      </c>
      <c r="H676" s="1" t="s">
        <v>74</v>
      </c>
      <c r="I676" s="1" t="s">
        <v>6802</v>
      </c>
      <c r="J676" s="1" t="s">
        <v>6803</v>
      </c>
      <c r="K676" s="1" t="s">
        <v>74</v>
      </c>
      <c r="L676" s="1" t="s">
        <v>74</v>
      </c>
      <c r="M676" s="1" t="s">
        <v>74</v>
      </c>
      <c r="N676" s="1" t="s">
        <v>74</v>
      </c>
      <c r="O676" s="1" t="s">
        <v>74</v>
      </c>
      <c r="P676" s="1" t="s">
        <v>74</v>
      </c>
      <c r="Q676" s="1" t="s">
        <v>74</v>
      </c>
      <c r="R676" s="1" t="s">
        <v>74</v>
      </c>
      <c r="S676" s="1" t="s">
        <v>74</v>
      </c>
      <c r="T676" s="1" t="s">
        <v>74</v>
      </c>
      <c r="U676" s="1" t="s">
        <v>74</v>
      </c>
      <c r="V676" s="1" t="s">
        <v>6804</v>
      </c>
      <c r="W676" s="1" t="s">
        <v>74</v>
      </c>
      <c r="X676" s="1" t="s">
        <v>74</v>
      </c>
      <c r="Y676" s="1" t="s">
        <v>74</v>
      </c>
      <c r="Z676" s="1" t="s">
        <v>74</v>
      </c>
      <c r="AA676" s="1" t="s">
        <v>74</v>
      </c>
      <c r="AB676" s="1" t="s">
        <v>3559</v>
      </c>
      <c r="AC676" s="1" t="s">
        <v>74</v>
      </c>
      <c r="AD676" s="1" t="s">
        <v>74</v>
      </c>
      <c r="AE676" s="1" t="s">
        <v>74</v>
      </c>
      <c r="AF676" s="1" t="s">
        <v>74</v>
      </c>
      <c r="AG676" s="1" t="s">
        <v>74</v>
      </c>
      <c r="AH676" s="1" t="s">
        <v>74</v>
      </c>
      <c r="AI676" s="1" t="s">
        <v>74</v>
      </c>
      <c r="AJ676" s="1" t="s">
        <v>74</v>
      </c>
      <c r="AK676" s="1" t="s">
        <v>74</v>
      </c>
      <c r="AL676" s="1" t="s">
        <v>74</v>
      </c>
      <c r="AM676" s="1" t="s">
        <v>74</v>
      </c>
      <c r="AN676" s="1" t="s">
        <v>74</v>
      </c>
      <c r="AO676" s="1" t="s">
        <v>6805</v>
      </c>
      <c r="AP676" s="1" t="s">
        <v>6806</v>
      </c>
      <c r="AQ676" s="1" t="s">
        <v>74</v>
      </c>
      <c r="AR676" s="1" t="s">
        <v>74</v>
      </c>
      <c r="AS676" s="1" t="s">
        <v>74</v>
      </c>
      <c r="AT676" s="1" t="s">
        <v>719</v>
      </c>
      <c r="AU676" s="1">
        <v>2024.0</v>
      </c>
      <c r="AV676" s="1">
        <v>23.0</v>
      </c>
      <c r="AW676" s="1">
        <v>4.0</v>
      </c>
      <c r="AX676" s="1" t="s">
        <v>74</v>
      </c>
      <c r="AY676" s="1" t="s">
        <v>74</v>
      </c>
      <c r="AZ676" s="1" t="s">
        <v>74</v>
      </c>
      <c r="BA676" s="1" t="s">
        <v>74</v>
      </c>
      <c r="BB676" s="1">
        <v>1821.0</v>
      </c>
      <c r="BC676" s="1">
        <v>1855.0</v>
      </c>
      <c r="BD676" s="1" t="s">
        <v>74</v>
      </c>
      <c r="BE676" s="1" t="s">
        <v>6807</v>
      </c>
      <c r="BF676" s="2" t="str">
        <f>HYPERLINK("http://dx.doi.org/10.1017/S1474748023000403","http://dx.doi.org/10.1017/S1474748023000403")</f>
        <v>http://dx.doi.org/10.1017/S1474748023000403</v>
      </c>
      <c r="BG676" s="1" t="s">
        <v>74</v>
      </c>
      <c r="BH676" s="1" t="s">
        <v>4319</v>
      </c>
      <c r="BI676" s="1" t="s">
        <v>74</v>
      </c>
      <c r="BJ676" s="1" t="s">
        <v>74</v>
      </c>
      <c r="BK676" s="1" t="s">
        <v>74</v>
      </c>
      <c r="BL676" s="1" t="s">
        <v>74</v>
      </c>
      <c r="BM676" s="1" t="s">
        <v>74</v>
      </c>
      <c r="BN676" s="1" t="s">
        <v>74</v>
      </c>
      <c r="BO676" s="1" t="s">
        <v>74</v>
      </c>
      <c r="BP676" s="1" t="s">
        <v>74</v>
      </c>
      <c r="BQ676" s="1" t="s">
        <v>74</v>
      </c>
      <c r="BR676" s="1" t="s">
        <v>74</v>
      </c>
      <c r="BS676" s="1" t="s">
        <v>6808</v>
      </c>
      <c r="BT676" s="1" t="str">
        <f>HYPERLINK("https%3A%2F%2Fwww.webofscience.com%2Fwos%2Fwoscc%2Ffull-record%2FWOS:001112768300001","View Full Record in Web of Science")</f>
        <v>View Full Record in Web of Science</v>
      </c>
    </row>
    <row r="677" ht="12.75" customHeight="1">
      <c r="A677" s="1" t="s">
        <v>72</v>
      </c>
      <c r="B677" s="1" t="s">
        <v>6809</v>
      </c>
      <c r="C677" s="1" t="s">
        <v>74</v>
      </c>
      <c r="D677" s="1" t="s">
        <v>74</v>
      </c>
      <c r="E677" s="1" t="s">
        <v>74</v>
      </c>
      <c r="F677" s="1" t="s">
        <v>6810</v>
      </c>
      <c r="G677" s="1" t="s">
        <v>74</v>
      </c>
      <c r="H677" s="1" t="s">
        <v>74</v>
      </c>
      <c r="I677" s="1" t="s">
        <v>6811</v>
      </c>
      <c r="J677" s="1" t="s">
        <v>6812</v>
      </c>
      <c r="K677" s="1" t="s">
        <v>74</v>
      </c>
      <c r="L677" s="1" t="s">
        <v>74</v>
      </c>
      <c r="M677" s="1" t="s">
        <v>74</v>
      </c>
      <c r="N677" s="1" t="s">
        <v>74</v>
      </c>
      <c r="O677" s="1" t="s">
        <v>74</v>
      </c>
      <c r="P677" s="1" t="s">
        <v>74</v>
      </c>
      <c r="Q677" s="1" t="s">
        <v>74</v>
      </c>
      <c r="R677" s="1" t="s">
        <v>74</v>
      </c>
      <c r="S677" s="1" t="s">
        <v>74</v>
      </c>
      <c r="T677" s="1" t="s">
        <v>74</v>
      </c>
      <c r="U677" s="1" t="s">
        <v>74</v>
      </c>
      <c r="V677" s="1" t="s">
        <v>6813</v>
      </c>
      <c r="W677" s="1" t="s">
        <v>74</v>
      </c>
      <c r="X677" s="1" t="s">
        <v>74</v>
      </c>
      <c r="Y677" s="1" t="s">
        <v>74</v>
      </c>
      <c r="Z677" s="1" t="s">
        <v>74</v>
      </c>
      <c r="AA677" s="1" t="s">
        <v>6814</v>
      </c>
      <c r="AB677" s="1" t="s">
        <v>6815</v>
      </c>
      <c r="AC677" s="1" t="s">
        <v>74</v>
      </c>
      <c r="AD677" s="1" t="s">
        <v>74</v>
      </c>
      <c r="AE677" s="1" t="s">
        <v>74</v>
      </c>
      <c r="AF677" s="1" t="s">
        <v>74</v>
      </c>
      <c r="AG677" s="1" t="s">
        <v>74</v>
      </c>
      <c r="AH677" s="1" t="s">
        <v>74</v>
      </c>
      <c r="AI677" s="1" t="s">
        <v>74</v>
      </c>
      <c r="AJ677" s="1" t="s">
        <v>74</v>
      </c>
      <c r="AK677" s="1" t="s">
        <v>74</v>
      </c>
      <c r="AL677" s="1" t="s">
        <v>74</v>
      </c>
      <c r="AM677" s="1" t="s">
        <v>74</v>
      </c>
      <c r="AN677" s="1" t="s">
        <v>74</v>
      </c>
      <c r="AO677" s="1" t="s">
        <v>6816</v>
      </c>
      <c r="AP677" s="1" t="s">
        <v>6817</v>
      </c>
      <c r="AQ677" s="1" t="s">
        <v>74</v>
      </c>
      <c r="AR677" s="1" t="s">
        <v>74</v>
      </c>
      <c r="AS677" s="1" t="s">
        <v>74</v>
      </c>
      <c r="AT677" s="1" t="s">
        <v>3873</v>
      </c>
      <c r="AU677" s="1">
        <v>2023.0</v>
      </c>
      <c r="AV677" s="1">
        <v>34.0</v>
      </c>
      <c r="AW677" s="1">
        <v>6.0</v>
      </c>
      <c r="AX677" s="1" t="s">
        <v>74</v>
      </c>
      <c r="AY677" s="1" t="s">
        <v>74</v>
      </c>
      <c r="AZ677" s="1" t="s">
        <v>74</v>
      </c>
      <c r="BA677" s="1" t="s">
        <v>74</v>
      </c>
      <c r="BB677" s="1">
        <v>1051.0</v>
      </c>
      <c r="BC677" s="1">
        <v>1069.0</v>
      </c>
      <c r="BD677" s="1" t="s">
        <v>74</v>
      </c>
      <c r="BE677" s="1" t="s">
        <v>6818</v>
      </c>
      <c r="BF677" s="2" t="str">
        <f>HYPERLINK("http://dx.doi.org/10.1108/JMTM-01-2023-0010","http://dx.doi.org/10.1108/JMTM-01-2023-0010")</f>
        <v>http://dx.doi.org/10.1108/JMTM-01-2023-0010</v>
      </c>
      <c r="BG677" s="1" t="s">
        <v>74</v>
      </c>
      <c r="BH677" s="1" t="s">
        <v>2828</v>
      </c>
      <c r="BI677" s="1" t="s">
        <v>74</v>
      </c>
      <c r="BJ677" s="1" t="s">
        <v>74</v>
      </c>
      <c r="BK677" s="1" t="s">
        <v>74</v>
      </c>
      <c r="BL677" s="1" t="s">
        <v>74</v>
      </c>
      <c r="BM677" s="1" t="s">
        <v>74</v>
      </c>
      <c r="BN677" s="1" t="s">
        <v>74</v>
      </c>
      <c r="BO677" s="1" t="s">
        <v>74</v>
      </c>
      <c r="BP677" s="1" t="s">
        <v>74</v>
      </c>
      <c r="BQ677" s="1" t="s">
        <v>74</v>
      </c>
      <c r="BR677" s="1" t="s">
        <v>74</v>
      </c>
      <c r="BS677" s="1" t="s">
        <v>6819</v>
      </c>
      <c r="BT677" s="1" t="str">
        <f>HYPERLINK("https%3A%2F%2Fwww.webofscience.com%2Fwos%2Fwoscc%2Ffull-record%2FWOS:001033203100001","View Full Record in Web of Science")</f>
        <v>View Full Record in Web of Science</v>
      </c>
    </row>
    <row r="678" ht="12.75" customHeight="1">
      <c r="A678" s="1" t="s">
        <v>72</v>
      </c>
      <c r="B678" s="1" t="s">
        <v>6820</v>
      </c>
      <c r="C678" s="1" t="s">
        <v>74</v>
      </c>
      <c r="D678" s="1" t="s">
        <v>74</v>
      </c>
      <c r="E678" s="1" t="s">
        <v>74</v>
      </c>
      <c r="F678" s="1" t="s">
        <v>6821</v>
      </c>
      <c r="G678" s="1" t="s">
        <v>74</v>
      </c>
      <c r="H678" s="1" t="s">
        <v>74</v>
      </c>
      <c r="I678" s="1" t="s">
        <v>6822</v>
      </c>
      <c r="J678" s="1" t="s">
        <v>332</v>
      </c>
      <c r="K678" s="1" t="s">
        <v>74</v>
      </c>
      <c r="L678" s="1" t="s">
        <v>74</v>
      </c>
      <c r="M678" s="1" t="s">
        <v>74</v>
      </c>
      <c r="N678" s="1" t="s">
        <v>74</v>
      </c>
      <c r="O678" s="1" t="s">
        <v>74</v>
      </c>
      <c r="P678" s="1" t="s">
        <v>74</v>
      </c>
      <c r="Q678" s="1" t="s">
        <v>74</v>
      </c>
      <c r="R678" s="1" t="s">
        <v>74</v>
      </c>
      <c r="S678" s="1" t="s">
        <v>74</v>
      </c>
      <c r="T678" s="1" t="s">
        <v>74</v>
      </c>
      <c r="U678" s="1" t="s">
        <v>74</v>
      </c>
      <c r="V678" s="1" t="s">
        <v>6823</v>
      </c>
      <c r="W678" s="1" t="s">
        <v>74</v>
      </c>
      <c r="X678" s="1" t="s">
        <v>74</v>
      </c>
      <c r="Y678" s="1" t="s">
        <v>74</v>
      </c>
      <c r="Z678" s="1" t="s">
        <v>74</v>
      </c>
      <c r="AA678" s="1" t="s">
        <v>6824</v>
      </c>
      <c r="AB678" s="1" t="s">
        <v>6825</v>
      </c>
      <c r="AC678" s="1" t="s">
        <v>74</v>
      </c>
      <c r="AD678" s="1" t="s">
        <v>74</v>
      </c>
      <c r="AE678" s="1" t="s">
        <v>74</v>
      </c>
      <c r="AF678" s="1" t="s">
        <v>74</v>
      </c>
      <c r="AG678" s="1" t="s">
        <v>74</v>
      </c>
      <c r="AH678" s="1" t="s">
        <v>74</v>
      </c>
      <c r="AI678" s="1" t="s">
        <v>74</v>
      </c>
      <c r="AJ678" s="1" t="s">
        <v>74</v>
      </c>
      <c r="AK678" s="1" t="s">
        <v>74</v>
      </c>
      <c r="AL678" s="1" t="s">
        <v>74</v>
      </c>
      <c r="AM678" s="1" t="s">
        <v>74</v>
      </c>
      <c r="AN678" s="1" t="s">
        <v>74</v>
      </c>
      <c r="AO678" s="1" t="s">
        <v>336</v>
      </c>
      <c r="AP678" s="1" t="s">
        <v>337</v>
      </c>
      <c r="AQ678" s="1" t="s">
        <v>74</v>
      </c>
      <c r="AR678" s="1" t="s">
        <v>74</v>
      </c>
      <c r="AS678" s="1" t="s">
        <v>74</v>
      </c>
      <c r="AT678" s="1" t="s">
        <v>2283</v>
      </c>
      <c r="AU678" s="1">
        <v>2022.0</v>
      </c>
      <c r="AV678" s="1">
        <v>434.0</v>
      </c>
      <c r="AW678" s="1" t="s">
        <v>74</v>
      </c>
      <c r="AX678" s="1" t="s">
        <v>74</v>
      </c>
      <c r="AY678" s="1" t="s">
        <v>74</v>
      </c>
      <c r="AZ678" s="1" t="s">
        <v>74</v>
      </c>
      <c r="BA678" s="1" t="s">
        <v>74</v>
      </c>
      <c r="BB678" s="1" t="s">
        <v>74</v>
      </c>
      <c r="BC678" s="1" t="s">
        <v>74</v>
      </c>
      <c r="BD678" s="1">
        <v>141304.0</v>
      </c>
      <c r="BE678" s="1" t="s">
        <v>6826</v>
      </c>
      <c r="BF678" s="2" t="str">
        <f>HYPERLINK("http://dx.doi.org/10.1016/j.electacta.2022.141304","http://dx.doi.org/10.1016/j.electacta.2022.141304")</f>
        <v>http://dx.doi.org/10.1016/j.electacta.2022.141304</v>
      </c>
      <c r="BG678" s="1" t="s">
        <v>74</v>
      </c>
      <c r="BH678" s="1" t="s">
        <v>2179</v>
      </c>
      <c r="BI678" s="1" t="s">
        <v>74</v>
      </c>
      <c r="BJ678" s="1" t="s">
        <v>74</v>
      </c>
      <c r="BK678" s="1" t="s">
        <v>74</v>
      </c>
      <c r="BL678" s="1" t="s">
        <v>74</v>
      </c>
      <c r="BM678" s="1" t="s">
        <v>74</v>
      </c>
      <c r="BN678" s="1" t="s">
        <v>74</v>
      </c>
      <c r="BO678" s="1" t="s">
        <v>74</v>
      </c>
      <c r="BP678" s="1" t="s">
        <v>74</v>
      </c>
      <c r="BQ678" s="1" t="s">
        <v>74</v>
      </c>
      <c r="BR678" s="1" t="s">
        <v>74</v>
      </c>
      <c r="BS678" s="1" t="s">
        <v>6827</v>
      </c>
      <c r="BT678" s="1" t="str">
        <f>HYPERLINK("https%3A%2F%2Fwww.webofscience.com%2Fwos%2Fwoscc%2Ffull-record%2FWOS:000877516400005","View Full Record in Web of Science")</f>
        <v>View Full Record in Web of Science</v>
      </c>
    </row>
    <row r="679" ht="12.75" customHeight="1">
      <c r="A679" s="1" t="s">
        <v>72</v>
      </c>
      <c r="B679" s="1" t="s">
        <v>6828</v>
      </c>
      <c r="C679" s="1" t="s">
        <v>74</v>
      </c>
      <c r="D679" s="1" t="s">
        <v>74</v>
      </c>
      <c r="E679" s="1" t="s">
        <v>74</v>
      </c>
      <c r="F679" s="1" t="s">
        <v>6829</v>
      </c>
      <c r="G679" s="1" t="s">
        <v>74</v>
      </c>
      <c r="H679" s="1" t="s">
        <v>74</v>
      </c>
      <c r="I679" s="1" t="s">
        <v>6830</v>
      </c>
      <c r="J679" s="1" t="s">
        <v>864</v>
      </c>
      <c r="K679" s="1" t="s">
        <v>74</v>
      </c>
      <c r="L679" s="1" t="s">
        <v>74</v>
      </c>
      <c r="M679" s="1" t="s">
        <v>74</v>
      </c>
      <c r="N679" s="1" t="s">
        <v>74</v>
      </c>
      <c r="O679" s="1" t="s">
        <v>74</v>
      </c>
      <c r="P679" s="1" t="s">
        <v>74</v>
      </c>
      <c r="Q679" s="1" t="s">
        <v>74</v>
      </c>
      <c r="R679" s="1" t="s">
        <v>74</v>
      </c>
      <c r="S679" s="1" t="s">
        <v>74</v>
      </c>
      <c r="T679" s="1" t="s">
        <v>74</v>
      </c>
      <c r="U679" s="1" t="s">
        <v>74</v>
      </c>
      <c r="V679" s="1" t="s">
        <v>6831</v>
      </c>
      <c r="W679" s="1" t="s">
        <v>74</v>
      </c>
      <c r="X679" s="1" t="s">
        <v>74</v>
      </c>
      <c r="Y679" s="1" t="s">
        <v>74</v>
      </c>
      <c r="Z679" s="1" t="s">
        <v>74</v>
      </c>
      <c r="AA679" s="1" t="s">
        <v>6832</v>
      </c>
      <c r="AB679" s="1" t="s">
        <v>6833</v>
      </c>
      <c r="AC679" s="1" t="s">
        <v>74</v>
      </c>
      <c r="AD679" s="1" t="s">
        <v>74</v>
      </c>
      <c r="AE679" s="1" t="s">
        <v>74</v>
      </c>
      <c r="AF679" s="1" t="s">
        <v>74</v>
      </c>
      <c r="AG679" s="1" t="s">
        <v>74</v>
      </c>
      <c r="AH679" s="1" t="s">
        <v>74</v>
      </c>
      <c r="AI679" s="1" t="s">
        <v>74</v>
      </c>
      <c r="AJ679" s="1" t="s">
        <v>74</v>
      </c>
      <c r="AK679" s="1" t="s">
        <v>74</v>
      </c>
      <c r="AL679" s="1" t="s">
        <v>74</v>
      </c>
      <c r="AM679" s="1" t="s">
        <v>74</v>
      </c>
      <c r="AN679" s="1" t="s">
        <v>74</v>
      </c>
      <c r="AO679" s="1" t="s">
        <v>1906</v>
      </c>
      <c r="AP679" s="1" t="s">
        <v>868</v>
      </c>
      <c r="AQ679" s="1" t="s">
        <v>74</v>
      </c>
      <c r="AR679" s="1" t="s">
        <v>74</v>
      </c>
      <c r="AS679" s="1" t="s">
        <v>74</v>
      </c>
      <c r="AT679" s="1" t="s">
        <v>719</v>
      </c>
      <c r="AU679" s="1">
        <v>2022.0</v>
      </c>
      <c r="AV679" s="1">
        <v>23.0</v>
      </c>
      <c r="AW679" s="1">
        <v>13.0</v>
      </c>
      <c r="AX679" s="1" t="s">
        <v>74</v>
      </c>
      <c r="AY679" s="1" t="s">
        <v>74</v>
      </c>
      <c r="AZ679" s="1" t="s">
        <v>74</v>
      </c>
      <c r="BA679" s="1" t="s">
        <v>74</v>
      </c>
      <c r="BB679" s="1" t="s">
        <v>74</v>
      </c>
      <c r="BC679" s="1" t="s">
        <v>74</v>
      </c>
      <c r="BD679" s="1">
        <v>7356.0</v>
      </c>
      <c r="BE679" s="1" t="s">
        <v>6834</v>
      </c>
      <c r="BF679" s="2" t="str">
        <f>HYPERLINK("http://dx.doi.org/10.3390/ijms23137356","http://dx.doi.org/10.3390/ijms23137356")</f>
        <v>http://dx.doi.org/10.3390/ijms23137356</v>
      </c>
      <c r="BG679" s="1" t="s">
        <v>74</v>
      </c>
      <c r="BH679" s="1" t="s">
        <v>74</v>
      </c>
      <c r="BI679" s="1" t="s">
        <v>74</v>
      </c>
      <c r="BJ679" s="1" t="s">
        <v>74</v>
      </c>
      <c r="BK679" s="1" t="s">
        <v>74</v>
      </c>
      <c r="BL679" s="1" t="s">
        <v>74</v>
      </c>
      <c r="BM679" s="1" t="s">
        <v>74</v>
      </c>
      <c r="BN679" s="1">
        <v>3.580636E7</v>
      </c>
      <c r="BO679" s="1" t="s">
        <v>74</v>
      </c>
      <c r="BP679" s="1" t="s">
        <v>74</v>
      </c>
      <c r="BQ679" s="1" t="s">
        <v>74</v>
      </c>
      <c r="BR679" s="1" t="s">
        <v>74</v>
      </c>
      <c r="BS679" s="1" t="s">
        <v>6835</v>
      </c>
      <c r="BT679" s="1" t="str">
        <f>HYPERLINK("https%3A%2F%2Fwww.webofscience.com%2Fwos%2Fwoscc%2Ffull-record%2FWOS:000824090300001","View Full Record in Web of Science")</f>
        <v>View Full Record in Web of Science</v>
      </c>
    </row>
    <row r="680" ht="12.75" customHeight="1">
      <c r="A680" s="1" t="s">
        <v>72</v>
      </c>
      <c r="B680" s="1" t="s">
        <v>6836</v>
      </c>
      <c r="C680" s="1" t="s">
        <v>74</v>
      </c>
      <c r="D680" s="1" t="s">
        <v>74</v>
      </c>
      <c r="E680" s="1" t="s">
        <v>74</v>
      </c>
      <c r="F680" s="1" t="s">
        <v>6837</v>
      </c>
      <c r="G680" s="1" t="s">
        <v>74</v>
      </c>
      <c r="H680" s="1" t="s">
        <v>74</v>
      </c>
      <c r="I680" s="1" t="s">
        <v>6838</v>
      </c>
      <c r="J680" s="1" t="s">
        <v>6839</v>
      </c>
      <c r="K680" s="1" t="s">
        <v>74</v>
      </c>
      <c r="L680" s="1" t="s">
        <v>74</v>
      </c>
      <c r="M680" s="1" t="s">
        <v>74</v>
      </c>
      <c r="N680" s="1" t="s">
        <v>74</v>
      </c>
      <c r="O680" s="1" t="s">
        <v>74</v>
      </c>
      <c r="P680" s="1" t="s">
        <v>74</v>
      </c>
      <c r="Q680" s="1" t="s">
        <v>74</v>
      </c>
      <c r="R680" s="1" t="s">
        <v>74</v>
      </c>
      <c r="S680" s="1" t="s">
        <v>74</v>
      </c>
      <c r="T680" s="1" t="s">
        <v>74</v>
      </c>
      <c r="U680" s="1" t="s">
        <v>74</v>
      </c>
      <c r="V680" s="1" t="s">
        <v>6840</v>
      </c>
      <c r="W680" s="1" t="s">
        <v>74</v>
      </c>
      <c r="X680" s="1" t="s">
        <v>74</v>
      </c>
      <c r="Y680" s="1" t="s">
        <v>74</v>
      </c>
      <c r="Z680" s="1" t="s">
        <v>74</v>
      </c>
      <c r="AA680" s="1" t="s">
        <v>6841</v>
      </c>
      <c r="AB680" s="1" t="s">
        <v>6842</v>
      </c>
      <c r="AC680" s="1" t="s">
        <v>74</v>
      </c>
      <c r="AD680" s="1" t="s">
        <v>74</v>
      </c>
      <c r="AE680" s="1" t="s">
        <v>74</v>
      </c>
      <c r="AF680" s="1" t="s">
        <v>74</v>
      </c>
      <c r="AG680" s="1" t="s">
        <v>74</v>
      </c>
      <c r="AH680" s="1" t="s">
        <v>74</v>
      </c>
      <c r="AI680" s="1" t="s">
        <v>74</v>
      </c>
      <c r="AJ680" s="1" t="s">
        <v>74</v>
      </c>
      <c r="AK680" s="1" t="s">
        <v>74</v>
      </c>
      <c r="AL680" s="1" t="s">
        <v>74</v>
      </c>
      <c r="AM680" s="1" t="s">
        <v>74</v>
      </c>
      <c r="AN680" s="1" t="s">
        <v>74</v>
      </c>
      <c r="AO680" s="1" t="s">
        <v>6843</v>
      </c>
      <c r="AP680" s="1" t="s">
        <v>6844</v>
      </c>
      <c r="AQ680" s="1" t="s">
        <v>74</v>
      </c>
      <c r="AR680" s="1" t="s">
        <v>74</v>
      </c>
      <c r="AS680" s="1" t="s">
        <v>74</v>
      </c>
      <c r="AT680" s="1" t="s">
        <v>398</v>
      </c>
      <c r="AU680" s="1">
        <v>2022.0</v>
      </c>
      <c r="AV680" s="1">
        <v>145.0</v>
      </c>
      <c r="AW680" s="1" t="s">
        <v>74</v>
      </c>
      <c r="AX680" s="1" t="s">
        <v>74</v>
      </c>
      <c r="AY680" s="1" t="s">
        <v>74</v>
      </c>
      <c r="AZ680" s="1" t="s">
        <v>74</v>
      </c>
      <c r="BA680" s="1" t="s">
        <v>74</v>
      </c>
      <c r="BB680" s="1" t="s">
        <v>74</v>
      </c>
      <c r="BC680" s="1" t="s">
        <v>74</v>
      </c>
      <c r="BD680" s="1">
        <v>154101.0</v>
      </c>
      <c r="BE680" s="1" t="s">
        <v>6845</v>
      </c>
      <c r="BF680" s="2" t="str">
        <f>HYPERLINK("http://dx.doi.org/10.1016/j.aeue.2021.154101","http://dx.doi.org/10.1016/j.aeue.2021.154101")</f>
        <v>http://dx.doi.org/10.1016/j.aeue.2021.154101</v>
      </c>
      <c r="BG680" s="1" t="s">
        <v>74</v>
      </c>
      <c r="BH680" s="1" t="s">
        <v>1143</v>
      </c>
      <c r="BI680" s="1" t="s">
        <v>74</v>
      </c>
      <c r="BJ680" s="1" t="s">
        <v>74</v>
      </c>
      <c r="BK680" s="1" t="s">
        <v>74</v>
      </c>
      <c r="BL680" s="1" t="s">
        <v>74</v>
      </c>
      <c r="BM680" s="1" t="s">
        <v>74</v>
      </c>
      <c r="BN680" s="1" t="s">
        <v>74</v>
      </c>
      <c r="BO680" s="1" t="s">
        <v>74</v>
      </c>
      <c r="BP680" s="1" t="s">
        <v>74</v>
      </c>
      <c r="BQ680" s="1" t="s">
        <v>74</v>
      </c>
      <c r="BR680" s="1" t="s">
        <v>74</v>
      </c>
      <c r="BS680" s="1" t="s">
        <v>6846</v>
      </c>
      <c r="BT680" s="1" t="str">
        <f>HYPERLINK("https%3A%2F%2Fwww.webofscience.com%2Fwos%2Fwoscc%2Ffull-record%2FWOS:000795779000001","View Full Record in Web of Science")</f>
        <v>View Full Record in Web of Science</v>
      </c>
    </row>
    <row r="681" ht="12.75" customHeight="1">
      <c r="A681" s="1" t="s">
        <v>72</v>
      </c>
      <c r="B681" s="1" t="s">
        <v>6847</v>
      </c>
      <c r="C681" s="1" t="s">
        <v>74</v>
      </c>
      <c r="D681" s="1" t="s">
        <v>74</v>
      </c>
      <c r="E681" s="1" t="s">
        <v>74</v>
      </c>
      <c r="F681" s="1" t="s">
        <v>6848</v>
      </c>
      <c r="G681" s="1" t="s">
        <v>74</v>
      </c>
      <c r="H681" s="1" t="s">
        <v>74</v>
      </c>
      <c r="I681" s="1" t="s">
        <v>6849</v>
      </c>
      <c r="J681" s="1" t="s">
        <v>5045</v>
      </c>
      <c r="K681" s="1" t="s">
        <v>74</v>
      </c>
      <c r="L681" s="1" t="s">
        <v>74</v>
      </c>
      <c r="M681" s="1" t="s">
        <v>74</v>
      </c>
      <c r="N681" s="1" t="s">
        <v>74</v>
      </c>
      <c r="O681" s="1" t="s">
        <v>74</v>
      </c>
      <c r="P681" s="1" t="s">
        <v>74</v>
      </c>
      <c r="Q681" s="1" t="s">
        <v>74</v>
      </c>
      <c r="R681" s="1" t="s">
        <v>74</v>
      </c>
      <c r="S681" s="1" t="s">
        <v>74</v>
      </c>
      <c r="T681" s="1" t="s">
        <v>74</v>
      </c>
      <c r="U681" s="1" t="s">
        <v>74</v>
      </c>
      <c r="V681" s="1" t="s">
        <v>6850</v>
      </c>
      <c r="W681" s="1" t="s">
        <v>74</v>
      </c>
      <c r="X681" s="1" t="s">
        <v>74</v>
      </c>
      <c r="Y681" s="1" t="s">
        <v>74</v>
      </c>
      <c r="Z681" s="1" t="s">
        <v>74</v>
      </c>
      <c r="AA681" s="1" t="s">
        <v>6851</v>
      </c>
      <c r="AB681" s="1" t="s">
        <v>6852</v>
      </c>
      <c r="AC681" s="1" t="s">
        <v>74</v>
      </c>
      <c r="AD681" s="1" t="s">
        <v>74</v>
      </c>
      <c r="AE681" s="1" t="s">
        <v>74</v>
      </c>
      <c r="AF681" s="1" t="s">
        <v>74</v>
      </c>
      <c r="AG681" s="1" t="s">
        <v>74</v>
      </c>
      <c r="AH681" s="1" t="s">
        <v>74</v>
      </c>
      <c r="AI681" s="1" t="s">
        <v>74</v>
      </c>
      <c r="AJ681" s="1" t="s">
        <v>74</v>
      </c>
      <c r="AK681" s="1" t="s">
        <v>74</v>
      </c>
      <c r="AL681" s="1" t="s">
        <v>74</v>
      </c>
      <c r="AM681" s="1" t="s">
        <v>74</v>
      </c>
      <c r="AN681" s="1" t="s">
        <v>74</v>
      </c>
      <c r="AO681" s="1" t="s">
        <v>5048</v>
      </c>
      <c r="AP681" s="1" t="s">
        <v>5049</v>
      </c>
      <c r="AQ681" s="1" t="s">
        <v>74</v>
      </c>
      <c r="AR681" s="1" t="s">
        <v>74</v>
      </c>
      <c r="AS681" s="1" t="s">
        <v>74</v>
      </c>
      <c r="AT681" s="1" t="s">
        <v>74</v>
      </c>
      <c r="AU681" s="1">
        <v>2021.0</v>
      </c>
      <c r="AV681" s="1">
        <v>41.0</v>
      </c>
      <c r="AW681" s="1">
        <v>3.0</v>
      </c>
      <c r="AX681" s="1" t="s">
        <v>74</v>
      </c>
      <c r="AY681" s="1" t="s">
        <v>74</v>
      </c>
      <c r="AZ681" s="1" t="s">
        <v>74</v>
      </c>
      <c r="BA681" s="1" t="s">
        <v>74</v>
      </c>
      <c r="BB681" s="1">
        <v>194.0</v>
      </c>
      <c r="BC681" s="1">
        <v>200.0</v>
      </c>
      <c r="BD681" s="1" t="s">
        <v>74</v>
      </c>
      <c r="BE681" s="1" t="s">
        <v>6853</v>
      </c>
      <c r="BF681" s="2" t="str">
        <f>HYPERLINK("http://dx.doi.org/10.12873/413aravena","http://dx.doi.org/10.12873/413aravena")</f>
        <v>http://dx.doi.org/10.12873/413aravena</v>
      </c>
      <c r="BG681" s="1" t="s">
        <v>74</v>
      </c>
      <c r="BH681" s="1" t="s">
        <v>74</v>
      </c>
      <c r="BI681" s="1" t="s">
        <v>74</v>
      </c>
      <c r="BJ681" s="1" t="s">
        <v>74</v>
      </c>
      <c r="BK681" s="1" t="s">
        <v>74</v>
      </c>
      <c r="BL681" s="1" t="s">
        <v>74</v>
      </c>
      <c r="BM681" s="1" t="s">
        <v>74</v>
      </c>
      <c r="BN681" s="1" t="s">
        <v>74</v>
      </c>
      <c r="BO681" s="1" t="s">
        <v>74</v>
      </c>
      <c r="BP681" s="1" t="s">
        <v>74</v>
      </c>
      <c r="BQ681" s="1" t="s">
        <v>74</v>
      </c>
      <c r="BR681" s="1" t="s">
        <v>74</v>
      </c>
      <c r="BS681" s="1" t="s">
        <v>6854</v>
      </c>
      <c r="BT681" s="1" t="str">
        <f>HYPERLINK("https%3A%2F%2Fwww.webofscience.com%2Fwos%2Fwoscc%2Ffull-record%2FWOS:000753524800023","View Full Record in Web of Science")</f>
        <v>View Full Record in Web of Science</v>
      </c>
    </row>
    <row r="682" ht="12.75" customHeight="1">
      <c r="A682" s="1" t="s">
        <v>72</v>
      </c>
      <c r="B682" s="1" t="s">
        <v>6855</v>
      </c>
      <c r="C682" s="1" t="s">
        <v>74</v>
      </c>
      <c r="D682" s="1" t="s">
        <v>74</v>
      </c>
      <c r="E682" s="1" t="s">
        <v>74</v>
      </c>
      <c r="F682" s="1" t="s">
        <v>6856</v>
      </c>
      <c r="G682" s="1" t="s">
        <v>74</v>
      </c>
      <c r="H682" s="1" t="s">
        <v>74</v>
      </c>
      <c r="I682" s="1" t="s">
        <v>6857</v>
      </c>
      <c r="J682" s="1" t="s">
        <v>6858</v>
      </c>
      <c r="K682" s="1" t="s">
        <v>74</v>
      </c>
      <c r="L682" s="1" t="s">
        <v>74</v>
      </c>
      <c r="M682" s="1" t="s">
        <v>74</v>
      </c>
      <c r="N682" s="1" t="s">
        <v>74</v>
      </c>
      <c r="O682" s="1" t="s">
        <v>74</v>
      </c>
      <c r="P682" s="1" t="s">
        <v>74</v>
      </c>
      <c r="Q682" s="1" t="s">
        <v>74</v>
      </c>
      <c r="R682" s="1" t="s">
        <v>74</v>
      </c>
      <c r="S682" s="1" t="s">
        <v>74</v>
      </c>
      <c r="T682" s="1" t="s">
        <v>74</v>
      </c>
      <c r="U682" s="1" t="s">
        <v>74</v>
      </c>
      <c r="V682" s="1" t="s">
        <v>6859</v>
      </c>
      <c r="W682" s="1" t="s">
        <v>74</v>
      </c>
      <c r="X682" s="1" t="s">
        <v>74</v>
      </c>
      <c r="Y682" s="1" t="s">
        <v>74</v>
      </c>
      <c r="Z682" s="1" t="s">
        <v>74</v>
      </c>
      <c r="AA682" s="1" t="s">
        <v>6860</v>
      </c>
      <c r="AB682" s="1" t="s">
        <v>74</v>
      </c>
      <c r="AC682" s="1" t="s">
        <v>74</v>
      </c>
      <c r="AD682" s="1" t="s">
        <v>74</v>
      </c>
      <c r="AE682" s="1" t="s">
        <v>74</v>
      </c>
      <c r="AF682" s="1" t="s">
        <v>74</v>
      </c>
      <c r="AG682" s="1" t="s">
        <v>74</v>
      </c>
      <c r="AH682" s="1" t="s">
        <v>74</v>
      </c>
      <c r="AI682" s="1" t="s">
        <v>74</v>
      </c>
      <c r="AJ682" s="1" t="s">
        <v>74</v>
      </c>
      <c r="AK682" s="1" t="s">
        <v>74</v>
      </c>
      <c r="AL682" s="1" t="s">
        <v>74</v>
      </c>
      <c r="AM682" s="1" t="s">
        <v>74</v>
      </c>
      <c r="AN682" s="1" t="s">
        <v>74</v>
      </c>
      <c r="AO682" s="1" t="s">
        <v>6861</v>
      </c>
      <c r="AP682" s="1" t="s">
        <v>6862</v>
      </c>
      <c r="AQ682" s="1" t="s">
        <v>74</v>
      </c>
      <c r="AR682" s="1" t="s">
        <v>74</v>
      </c>
      <c r="AS682" s="1" t="s">
        <v>74</v>
      </c>
      <c r="AT682" s="1" t="s">
        <v>74</v>
      </c>
      <c r="AU682" s="1">
        <v>2019.0</v>
      </c>
      <c r="AV682" s="1">
        <v>39.0</v>
      </c>
      <c r="AW682" s="1">
        <v>3.0</v>
      </c>
      <c r="AX682" s="1" t="s">
        <v>74</v>
      </c>
      <c r="AY682" s="1" t="s">
        <v>74</v>
      </c>
      <c r="AZ682" s="1" t="s">
        <v>74</v>
      </c>
      <c r="BA682" s="1" t="s">
        <v>74</v>
      </c>
      <c r="BB682" s="1">
        <v>443.0</v>
      </c>
      <c r="BC682" s="1">
        <v>446.0</v>
      </c>
      <c r="BD682" s="1" t="s">
        <v>74</v>
      </c>
      <c r="BE682" s="1" t="s">
        <v>6863</v>
      </c>
      <c r="BF682" s="2" t="str">
        <f>HYPERLINK("http://dx.doi.org/10.29261/pakvetj/2019.093","http://dx.doi.org/10.29261/pakvetj/2019.093")</f>
        <v>http://dx.doi.org/10.29261/pakvetj/2019.093</v>
      </c>
      <c r="BG682" s="1" t="s">
        <v>74</v>
      </c>
      <c r="BH682" s="1" t="s">
        <v>74</v>
      </c>
      <c r="BI682" s="1" t="s">
        <v>74</v>
      </c>
      <c r="BJ682" s="1" t="s">
        <v>74</v>
      </c>
      <c r="BK682" s="1" t="s">
        <v>74</v>
      </c>
      <c r="BL682" s="1" t="s">
        <v>74</v>
      </c>
      <c r="BM682" s="1" t="s">
        <v>74</v>
      </c>
      <c r="BN682" s="1" t="s">
        <v>74</v>
      </c>
      <c r="BO682" s="1" t="s">
        <v>74</v>
      </c>
      <c r="BP682" s="1" t="s">
        <v>74</v>
      </c>
      <c r="BQ682" s="1" t="s">
        <v>74</v>
      </c>
      <c r="BR682" s="1" t="s">
        <v>74</v>
      </c>
      <c r="BS682" s="1" t="s">
        <v>6864</v>
      </c>
      <c r="BT682" s="1" t="str">
        <f>HYPERLINK("https%3A%2F%2Fwww.webofscience.com%2Fwos%2Fwoscc%2Ffull-record%2FWOS:000483997500022","View Full Record in Web of Science")</f>
        <v>View Full Record in Web of Science</v>
      </c>
    </row>
    <row r="683" ht="12.75" customHeight="1">
      <c r="A683" s="1" t="s">
        <v>72</v>
      </c>
      <c r="B683" s="1" t="s">
        <v>6865</v>
      </c>
      <c r="C683" s="1" t="s">
        <v>74</v>
      </c>
      <c r="D683" s="1" t="s">
        <v>74</v>
      </c>
      <c r="E683" s="1" t="s">
        <v>74</v>
      </c>
      <c r="F683" s="1" t="s">
        <v>6866</v>
      </c>
      <c r="G683" s="1" t="s">
        <v>74</v>
      </c>
      <c r="H683" s="1" t="s">
        <v>74</v>
      </c>
      <c r="I683" s="1" t="s">
        <v>6867</v>
      </c>
      <c r="J683" s="1" t="s">
        <v>6868</v>
      </c>
      <c r="K683" s="1" t="s">
        <v>74</v>
      </c>
      <c r="L683" s="1" t="s">
        <v>74</v>
      </c>
      <c r="M683" s="1" t="s">
        <v>74</v>
      </c>
      <c r="N683" s="1" t="s">
        <v>74</v>
      </c>
      <c r="O683" s="1" t="s">
        <v>74</v>
      </c>
      <c r="P683" s="1" t="s">
        <v>74</v>
      </c>
      <c r="Q683" s="1" t="s">
        <v>74</v>
      </c>
      <c r="R683" s="1" t="s">
        <v>74</v>
      </c>
      <c r="S683" s="1" t="s">
        <v>74</v>
      </c>
      <c r="T683" s="1" t="s">
        <v>74</v>
      </c>
      <c r="U683" s="1" t="s">
        <v>74</v>
      </c>
      <c r="V683" s="1" t="s">
        <v>6869</v>
      </c>
      <c r="W683" s="1" t="s">
        <v>74</v>
      </c>
      <c r="X683" s="1" t="s">
        <v>74</v>
      </c>
      <c r="Y683" s="1" t="s">
        <v>74</v>
      </c>
      <c r="Z683" s="1" t="s">
        <v>74</v>
      </c>
      <c r="AA683" s="1" t="s">
        <v>6870</v>
      </c>
      <c r="AB683" s="1" t="s">
        <v>6871</v>
      </c>
      <c r="AC683" s="1" t="s">
        <v>74</v>
      </c>
      <c r="AD683" s="1" t="s">
        <v>74</v>
      </c>
      <c r="AE683" s="1" t="s">
        <v>74</v>
      </c>
      <c r="AF683" s="1" t="s">
        <v>74</v>
      </c>
      <c r="AG683" s="1" t="s">
        <v>74</v>
      </c>
      <c r="AH683" s="1" t="s">
        <v>74</v>
      </c>
      <c r="AI683" s="1" t="s">
        <v>74</v>
      </c>
      <c r="AJ683" s="1" t="s">
        <v>74</v>
      </c>
      <c r="AK683" s="1" t="s">
        <v>74</v>
      </c>
      <c r="AL683" s="1" t="s">
        <v>74</v>
      </c>
      <c r="AM683" s="1" t="s">
        <v>74</v>
      </c>
      <c r="AN683" s="1" t="s">
        <v>74</v>
      </c>
      <c r="AO683" s="1" t="s">
        <v>6872</v>
      </c>
      <c r="AP683" s="1" t="s">
        <v>6873</v>
      </c>
      <c r="AQ683" s="1" t="s">
        <v>74</v>
      </c>
      <c r="AR683" s="1" t="s">
        <v>74</v>
      </c>
      <c r="AS683" s="1" t="s">
        <v>74</v>
      </c>
      <c r="AT683" s="1" t="s">
        <v>377</v>
      </c>
      <c r="AU683" s="1">
        <v>2017.0</v>
      </c>
      <c r="AV683" s="1">
        <v>92.0</v>
      </c>
      <c r="AW683" s="1">
        <v>2.0</v>
      </c>
      <c r="AX683" s="1" t="s">
        <v>74</v>
      </c>
      <c r="AY683" s="1" t="s">
        <v>74</v>
      </c>
      <c r="AZ683" s="1" t="s">
        <v>74</v>
      </c>
      <c r="BA683" s="1" t="s">
        <v>74</v>
      </c>
      <c r="BB683" s="1">
        <v>673.0</v>
      </c>
      <c r="BC683" s="1">
        <v>683.0</v>
      </c>
      <c r="BD683" s="1" t="s">
        <v>74</v>
      </c>
      <c r="BE683" s="1" t="s">
        <v>6874</v>
      </c>
      <c r="BF683" s="2" t="str">
        <f>HYPERLINK("http://dx.doi.org/10.1111/brv.12249","http://dx.doi.org/10.1111/brv.12249")</f>
        <v>http://dx.doi.org/10.1111/brv.12249</v>
      </c>
      <c r="BG683" s="1" t="s">
        <v>74</v>
      </c>
      <c r="BH683" s="1" t="s">
        <v>74</v>
      </c>
      <c r="BI683" s="1" t="s">
        <v>74</v>
      </c>
      <c r="BJ683" s="1" t="s">
        <v>74</v>
      </c>
      <c r="BK683" s="1" t="s">
        <v>74</v>
      </c>
      <c r="BL683" s="1" t="s">
        <v>74</v>
      </c>
      <c r="BM683" s="1" t="s">
        <v>74</v>
      </c>
      <c r="BN683" s="1">
        <v>2.6824703E7</v>
      </c>
      <c r="BO683" s="1" t="s">
        <v>74</v>
      </c>
      <c r="BP683" s="1" t="s">
        <v>74</v>
      </c>
      <c r="BQ683" s="1" t="s">
        <v>74</v>
      </c>
      <c r="BR683" s="1" t="s">
        <v>74</v>
      </c>
      <c r="BS683" s="1" t="s">
        <v>6875</v>
      </c>
      <c r="BT683" s="1" t="str">
        <f>HYPERLINK("https%3A%2F%2Fwww.webofscience.com%2Fwos%2Fwoscc%2Ffull-record%2FWOS:000398567200004","View Full Record in Web of Science")</f>
        <v>View Full Record in Web of Science</v>
      </c>
    </row>
    <row r="684" ht="12.75" customHeight="1">
      <c r="A684" s="1" t="s">
        <v>72</v>
      </c>
      <c r="B684" s="1" t="s">
        <v>6876</v>
      </c>
      <c r="C684" s="1" t="s">
        <v>74</v>
      </c>
      <c r="D684" s="1" t="s">
        <v>74</v>
      </c>
      <c r="E684" s="1" t="s">
        <v>74</v>
      </c>
      <c r="F684" s="1" t="s">
        <v>6877</v>
      </c>
      <c r="G684" s="1" t="s">
        <v>74</v>
      </c>
      <c r="H684" s="1" t="s">
        <v>74</v>
      </c>
      <c r="I684" s="1" t="s">
        <v>6878</v>
      </c>
      <c r="J684" s="1" t="s">
        <v>3605</v>
      </c>
      <c r="K684" s="1" t="s">
        <v>74</v>
      </c>
      <c r="L684" s="1" t="s">
        <v>74</v>
      </c>
      <c r="M684" s="1" t="s">
        <v>74</v>
      </c>
      <c r="N684" s="1" t="s">
        <v>74</v>
      </c>
      <c r="O684" s="1" t="s">
        <v>74</v>
      </c>
      <c r="P684" s="1" t="s">
        <v>74</v>
      </c>
      <c r="Q684" s="1" t="s">
        <v>74</v>
      </c>
      <c r="R684" s="1" t="s">
        <v>74</v>
      </c>
      <c r="S684" s="1" t="s">
        <v>74</v>
      </c>
      <c r="T684" s="1" t="s">
        <v>74</v>
      </c>
      <c r="U684" s="1" t="s">
        <v>74</v>
      </c>
      <c r="V684" s="1" t="s">
        <v>6879</v>
      </c>
      <c r="W684" s="1" t="s">
        <v>74</v>
      </c>
      <c r="X684" s="1" t="s">
        <v>74</v>
      </c>
      <c r="Y684" s="1" t="s">
        <v>74</v>
      </c>
      <c r="Z684" s="1" t="s">
        <v>74</v>
      </c>
      <c r="AA684" s="1" t="s">
        <v>6880</v>
      </c>
      <c r="AB684" s="1" t="s">
        <v>6881</v>
      </c>
      <c r="AC684" s="1" t="s">
        <v>74</v>
      </c>
      <c r="AD684" s="1" t="s">
        <v>74</v>
      </c>
      <c r="AE684" s="1" t="s">
        <v>74</v>
      </c>
      <c r="AF684" s="1" t="s">
        <v>74</v>
      </c>
      <c r="AG684" s="1" t="s">
        <v>74</v>
      </c>
      <c r="AH684" s="1" t="s">
        <v>74</v>
      </c>
      <c r="AI684" s="1" t="s">
        <v>74</v>
      </c>
      <c r="AJ684" s="1" t="s">
        <v>74</v>
      </c>
      <c r="AK684" s="1" t="s">
        <v>74</v>
      </c>
      <c r="AL684" s="1" t="s">
        <v>74</v>
      </c>
      <c r="AM684" s="1" t="s">
        <v>74</v>
      </c>
      <c r="AN684" s="1" t="s">
        <v>74</v>
      </c>
      <c r="AO684" s="1" t="s">
        <v>3608</v>
      </c>
      <c r="AP684" s="1" t="s">
        <v>74</v>
      </c>
      <c r="AQ684" s="1" t="s">
        <v>74</v>
      </c>
      <c r="AR684" s="1" t="s">
        <v>74</v>
      </c>
      <c r="AS684" s="1" t="s">
        <v>74</v>
      </c>
      <c r="AT684" s="1" t="s">
        <v>74</v>
      </c>
      <c r="AU684" s="1">
        <v>2016.0</v>
      </c>
      <c r="AV684" s="1">
        <v>15.0</v>
      </c>
      <c r="AW684" s="1">
        <v>1.0</v>
      </c>
      <c r="AX684" s="1" t="s">
        <v>74</v>
      </c>
      <c r="AY684" s="1" t="s">
        <v>74</v>
      </c>
      <c r="AZ684" s="1" t="s">
        <v>74</v>
      </c>
      <c r="BA684" s="1" t="s">
        <v>74</v>
      </c>
      <c r="BB684" s="1">
        <v>99.0</v>
      </c>
      <c r="BC684" s="1">
        <v>115.0</v>
      </c>
      <c r="BD684" s="1" t="s">
        <v>74</v>
      </c>
      <c r="BE684" s="1" t="s">
        <v>6882</v>
      </c>
      <c r="BF684" s="2" t="str">
        <f>HYPERLINK("http://dx.doi.org/10.11144/Javeriana.upsy15-1.cvee","http://dx.doi.org/10.11144/Javeriana.upsy15-1.cvee")</f>
        <v>http://dx.doi.org/10.11144/Javeriana.upsy15-1.cvee</v>
      </c>
      <c r="BG684" s="1" t="s">
        <v>74</v>
      </c>
      <c r="BH684" s="1" t="s">
        <v>74</v>
      </c>
      <c r="BI684" s="1" t="s">
        <v>74</v>
      </c>
      <c r="BJ684" s="1" t="s">
        <v>74</v>
      </c>
      <c r="BK684" s="1" t="s">
        <v>74</v>
      </c>
      <c r="BL684" s="1" t="s">
        <v>74</v>
      </c>
      <c r="BM684" s="1" t="s">
        <v>74</v>
      </c>
      <c r="BN684" s="1" t="s">
        <v>74</v>
      </c>
      <c r="BO684" s="1" t="s">
        <v>74</v>
      </c>
      <c r="BP684" s="1" t="s">
        <v>74</v>
      </c>
      <c r="BQ684" s="1" t="s">
        <v>74</v>
      </c>
      <c r="BR684" s="1" t="s">
        <v>74</v>
      </c>
      <c r="BS684" s="1" t="s">
        <v>6883</v>
      </c>
      <c r="BT684" s="1" t="str">
        <f>HYPERLINK("https%3A%2F%2Fwww.webofscience.com%2Fwos%2Fwoscc%2Ffull-record%2FWOS:000393472600010","View Full Record in Web of Science")</f>
        <v>View Full Record in Web of Science</v>
      </c>
    </row>
    <row r="685" ht="12.75" customHeight="1">
      <c r="A685" s="1" t="s">
        <v>72</v>
      </c>
      <c r="B685" s="1" t="s">
        <v>6884</v>
      </c>
      <c r="C685" s="1" t="s">
        <v>74</v>
      </c>
      <c r="D685" s="1" t="s">
        <v>74</v>
      </c>
      <c r="E685" s="1" t="s">
        <v>74</v>
      </c>
      <c r="F685" s="1" t="s">
        <v>6885</v>
      </c>
      <c r="G685" s="1" t="s">
        <v>74</v>
      </c>
      <c r="H685" s="1" t="s">
        <v>74</v>
      </c>
      <c r="I685" s="1" t="s">
        <v>6886</v>
      </c>
      <c r="J685" s="1" t="s">
        <v>1332</v>
      </c>
      <c r="K685" s="1" t="s">
        <v>74</v>
      </c>
      <c r="L685" s="1" t="s">
        <v>74</v>
      </c>
      <c r="M685" s="1" t="s">
        <v>74</v>
      </c>
      <c r="N685" s="1" t="s">
        <v>74</v>
      </c>
      <c r="O685" s="1" t="s">
        <v>6887</v>
      </c>
      <c r="P685" s="1" t="s">
        <v>6888</v>
      </c>
      <c r="Q685" s="1" t="s">
        <v>6889</v>
      </c>
      <c r="R685" s="1" t="s">
        <v>1336</v>
      </c>
      <c r="S685" s="1" t="s">
        <v>74</v>
      </c>
      <c r="T685" s="1" t="s">
        <v>74</v>
      </c>
      <c r="U685" s="1" t="s">
        <v>74</v>
      </c>
      <c r="V685" s="1" t="s">
        <v>74</v>
      </c>
      <c r="W685" s="1" t="s">
        <v>74</v>
      </c>
      <c r="X685" s="1" t="s">
        <v>74</v>
      </c>
      <c r="Y685" s="1" t="s">
        <v>74</v>
      </c>
      <c r="Z685" s="1" t="s">
        <v>74</v>
      </c>
      <c r="AA685" s="1" t="s">
        <v>6890</v>
      </c>
      <c r="AB685" s="1" t="s">
        <v>74</v>
      </c>
      <c r="AC685" s="1" t="s">
        <v>74</v>
      </c>
      <c r="AD685" s="1" t="s">
        <v>74</v>
      </c>
      <c r="AE685" s="1" t="s">
        <v>74</v>
      </c>
      <c r="AF685" s="1" t="s">
        <v>74</v>
      </c>
      <c r="AG685" s="1" t="s">
        <v>74</v>
      </c>
      <c r="AH685" s="1" t="s">
        <v>74</v>
      </c>
      <c r="AI685" s="1" t="s">
        <v>74</v>
      </c>
      <c r="AJ685" s="1" t="s">
        <v>74</v>
      </c>
      <c r="AK685" s="1" t="s">
        <v>74</v>
      </c>
      <c r="AL685" s="1" t="s">
        <v>74</v>
      </c>
      <c r="AM685" s="1" t="s">
        <v>74</v>
      </c>
      <c r="AN685" s="1" t="s">
        <v>74</v>
      </c>
      <c r="AO685" s="1" t="s">
        <v>1338</v>
      </c>
      <c r="AP685" s="1" t="s">
        <v>1339</v>
      </c>
      <c r="AQ685" s="1" t="s">
        <v>74</v>
      </c>
      <c r="AR685" s="1" t="s">
        <v>74</v>
      </c>
      <c r="AS685" s="1" t="s">
        <v>74</v>
      </c>
      <c r="AT685" s="1" t="s">
        <v>316</v>
      </c>
      <c r="AU685" s="1">
        <v>2015.0</v>
      </c>
      <c r="AV685" s="1">
        <v>42.0</v>
      </c>
      <c r="AW685" s="1" t="s">
        <v>74</v>
      </c>
      <c r="AX685" s="1" t="s">
        <v>74</v>
      </c>
      <c r="AY685" s="1">
        <v>1.0</v>
      </c>
      <c r="AZ685" s="1" t="s">
        <v>74</v>
      </c>
      <c r="BA685" s="1" t="s">
        <v>6891</v>
      </c>
      <c r="BB685" s="1" t="s">
        <v>6892</v>
      </c>
      <c r="BC685" s="1" t="s">
        <v>6892</v>
      </c>
      <c r="BD685" s="1" t="s">
        <v>74</v>
      </c>
      <c r="BE685" s="1" t="s">
        <v>74</v>
      </c>
      <c r="BF685" s="1" t="s">
        <v>74</v>
      </c>
      <c r="BG685" s="1" t="s">
        <v>74</v>
      </c>
      <c r="BH685" s="1" t="s">
        <v>74</v>
      </c>
      <c r="BI685" s="1" t="s">
        <v>74</v>
      </c>
      <c r="BJ685" s="1" t="s">
        <v>74</v>
      </c>
      <c r="BK685" s="1" t="s">
        <v>74</v>
      </c>
      <c r="BL685" s="1" t="s">
        <v>74</v>
      </c>
      <c r="BM685" s="1" t="s">
        <v>74</v>
      </c>
      <c r="BN685" s="1" t="s">
        <v>74</v>
      </c>
      <c r="BO685" s="1" t="s">
        <v>74</v>
      </c>
      <c r="BP685" s="1" t="s">
        <v>74</v>
      </c>
      <c r="BQ685" s="1" t="s">
        <v>74</v>
      </c>
      <c r="BR685" s="1" t="s">
        <v>74</v>
      </c>
      <c r="BS685" s="1" t="s">
        <v>6893</v>
      </c>
      <c r="BT685" s="1" t="str">
        <f>HYPERLINK("https%3A%2F%2Fwww.webofscience.com%2Fwos%2Fwoscc%2Ffull-record%2FWOS:000363013202260","View Full Record in Web of Science")</f>
        <v>View Full Record in Web of Science</v>
      </c>
    </row>
    <row r="686" ht="12.75" customHeight="1">
      <c r="A686" s="1" t="s">
        <v>72</v>
      </c>
      <c r="B686" s="1" t="s">
        <v>6894</v>
      </c>
      <c r="C686" s="1" t="s">
        <v>74</v>
      </c>
      <c r="D686" s="1" t="s">
        <v>74</v>
      </c>
      <c r="E686" s="1" t="s">
        <v>74</v>
      </c>
      <c r="F686" s="1" t="s">
        <v>6895</v>
      </c>
      <c r="G686" s="1" t="s">
        <v>74</v>
      </c>
      <c r="H686" s="1" t="s">
        <v>74</v>
      </c>
      <c r="I686" s="1" t="s">
        <v>6896</v>
      </c>
      <c r="J686" s="1" t="s">
        <v>786</v>
      </c>
      <c r="K686" s="1" t="s">
        <v>74</v>
      </c>
      <c r="L686" s="1" t="s">
        <v>74</v>
      </c>
      <c r="M686" s="1" t="s">
        <v>74</v>
      </c>
      <c r="N686" s="1" t="s">
        <v>74</v>
      </c>
      <c r="O686" s="1" t="s">
        <v>74</v>
      </c>
      <c r="P686" s="1" t="s">
        <v>74</v>
      </c>
      <c r="Q686" s="1" t="s">
        <v>74</v>
      </c>
      <c r="R686" s="1" t="s">
        <v>74</v>
      </c>
      <c r="S686" s="1" t="s">
        <v>74</v>
      </c>
      <c r="T686" s="1" t="s">
        <v>74</v>
      </c>
      <c r="U686" s="1" t="s">
        <v>74</v>
      </c>
      <c r="V686" s="1" t="s">
        <v>6897</v>
      </c>
      <c r="W686" s="1" t="s">
        <v>74</v>
      </c>
      <c r="X686" s="1" t="s">
        <v>74</v>
      </c>
      <c r="Y686" s="1" t="s">
        <v>74</v>
      </c>
      <c r="Z686" s="1" t="s">
        <v>74</v>
      </c>
      <c r="AA686" s="1" t="s">
        <v>6898</v>
      </c>
      <c r="AB686" s="1" t="s">
        <v>6899</v>
      </c>
      <c r="AC686" s="1" t="s">
        <v>74</v>
      </c>
      <c r="AD686" s="1" t="s">
        <v>74</v>
      </c>
      <c r="AE686" s="1" t="s">
        <v>74</v>
      </c>
      <c r="AF686" s="1" t="s">
        <v>74</v>
      </c>
      <c r="AG686" s="1" t="s">
        <v>74</v>
      </c>
      <c r="AH686" s="1" t="s">
        <v>74</v>
      </c>
      <c r="AI686" s="1" t="s">
        <v>74</v>
      </c>
      <c r="AJ686" s="1" t="s">
        <v>74</v>
      </c>
      <c r="AK686" s="1" t="s">
        <v>74</v>
      </c>
      <c r="AL686" s="1" t="s">
        <v>74</v>
      </c>
      <c r="AM686" s="1" t="s">
        <v>74</v>
      </c>
      <c r="AN686" s="1" t="s">
        <v>74</v>
      </c>
      <c r="AO686" s="1" t="s">
        <v>790</v>
      </c>
      <c r="AP686" s="1" t="s">
        <v>74</v>
      </c>
      <c r="AQ686" s="1" t="s">
        <v>74</v>
      </c>
      <c r="AR686" s="1" t="s">
        <v>74</v>
      </c>
      <c r="AS686" s="1" t="s">
        <v>74</v>
      </c>
      <c r="AT686" s="1" t="s">
        <v>6900</v>
      </c>
      <c r="AU686" s="1">
        <v>2015.0</v>
      </c>
      <c r="AV686" s="1">
        <v>85.0</v>
      </c>
      <c r="AW686" s="1" t="s">
        <v>74</v>
      </c>
      <c r="AX686" s="1" t="s">
        <v>74</v>
      </c>
      <c r="AY686" s="1" t="s">
        <v>74</v>
      </c>
      <c r="AZ686" s="1" t="s">
        <v>74</v>
      </c>
      <c r="BA686" s="1" t="s">
        <v>74</v>
      </c>
      <c r="BB686" s="1">
        <v>405.0</v>
      </c>
      <c r="BC686" s="1">
        <v>411.0</v>
      </c>
      <c r="BD686" s="1" t="s">
        <v>74</v>
      </c>
      <c r="BE686" s="1" t="s">
        <v>6901</v>
      </c>
      <c r="BF686" s="2" t="str">
        <f>HYPERLINK("http://dx.doi.org/10.1016/j.poly.2014.08.055","http://dx.doi.org/10.1016/j.poly.2014.08.055")</f>
        <v>http://dx.doi.org/10.1016/j.poly.2014.08.055</v>
      </c>
      <c r="BG686" s="1" t="s">
        <v>74</v>
      </c>
      <c r="BH686" s="1" t="s">
        <v>74</v>
      </c>
      <c r="BI686" s="1" t="s">
        <v>74</v>
      </c>
      <c r="BJ686" s="1" t="s">
        <v>74</v>
      </c>
      <c r="BK686" s="1" t="s">
        <v>74</v>
      </c>
      <c r="BL686" s="1" t="s">
        <v>74</v>
      </c>
      <c r="BM686" s="1" t="s">
        <v>74</v>
      </c>
      <c r="BN686" s="1" t="s">
        <v>74</v>
      </c>
      <c r="BO686" s="1" t="s">
        <v>74</v>
      </c>
      <c r="BP686" s="1" t="s">
        <v>74</v>
      </c>
      <c r="BQ686" s="1" t="s">
        <v>74</v>
      </c>
      <c r="BR686" s="1" t="s">
        <v>74</v>
      </c>
      <c r="BS686" s="1" t="s">
        <v>6902</v>
      </c>
      <c r="BT686" s="1" t="str">
        <f>HYPERLINK("https%3A%2F%2Fwww.webofscience.com%2Fwos%2Fwoscc%2Ffull-record%2FWOS:000347582900051","View Full Record in Web of Science")</f>
        <v>View Full Record in Web of Science</v>
      </c>
    </row>
    <row r="687" ht="12.75" customHeight="1">
      <c r="A687" s="1" t="s">
        <v>72</v>
      </c>
      <c r="B687" s="1" t="s">
        <v>6903</v>
      </c>
      <c r="C687" s="1" t="s">
        <v>74</v>
      </c>
      <c r="D687" s="1" t="s">
        <v>74</v>
      </c>
      <c r="E687" s="1" t="s">
        <v>74</v>
      </c>
      <c r="F687" s="1" t="s">
        <v>6904</v>
      </c>
      <c r="G687" s="1" t="s">
        <v>74</v>
      </c>
      <c r="H687" s="1" t="s">
        <v>74</v>
      </c>
      <c r="I687" s="1" t="s">
        <v>6905</v>
      </c>
      <c r="J687" s="1" t="s">
        <v>2133</v>
      </c>
      <c r="K687" s="1" t="s">
        <v>74</v>
      </c>
      <c r="L687" s="1" t="s">
        <v>74</v>
      </c>
      <c r="M687" s="1" t="s">
        <v>74</v>
      </c>
      <c r="N687" s="1" t="s">
        <v>74</v>
      </c>
      <c r="O687" s="1" t="s">
        <v>74</v>
      </c>
      <c r="P687" s="1" t="s">
        <v>74</v>
      </c>
      <c r="Q687" s="1" t="s">
        <v>74</v>
      </c>
      <c r="R687" s="1" t="s">
        <v>74</v>
      </c>
      <c r="S687" s="1" t="s">
        <v>74</v>
      </c>
      <c r="T687" s="1" t="s">
        <v>74</v>
      </c>
      <c r="U687" s="1" t="s">
        <v>74</v>
      </c>
      <c r="V687" s="1" t="s">
        <v>6906</v>
      </c>
      <c r="W687" s="1" t="s">
        <v>74</v>
      </c>
      <c r="X687" s="1" t="s">
        <v>74</v>
      </c>
      <c r="Y687" s="1" t="s">
        <v>74</v>
      </c>
      <c r="Z687" s="1" t="s">
        <v>74</v>
      </c>
      <c r="AA687" s="1" t="s">
        <v>6907</v>
      </c>
      <c r="AB687" s="1" t="s">
        <v>6908</v>
      </c>
      <c r="AC687" s="1" t="s">
        <v>74</v>
      </c>
      <c r="AD687" s="1" t="s">
        <v>74</v>
      </c>
      <c r="AE687" s="1" t="s">
        <v>74</v>
      </c>
      <c r="AF687" s="1" t="s">
        <v>74</v>
      </c>
      <c r="AG687" s="1" t="s">
        <v>74</v>
      </c>
      <c r="AH687" s="1" t="s">
        <v>74</v>
      </c>
      <c r="AI687" s="1" t="s">
        <v>74</v>
      </c>
      <c r="AJ687" s="1" t="s">
        <v>74</v>
      </c>
      <c r="AK687" s="1" t="s">
        <v>74</v>
      </c>
      <c r="AL687" s="1" t="s">
        <v>74</v>
      </c>
      <c r="AM687" s="1" t="s">
        <v>74</v>
      </c>
      <c r="AN687" s="1" t="s">
        <v>74</v>
      </c>
      <c r="AO687" s="1" t="s">
        <v>2136</v>
      </c>
      <c r="AP687" s="1" t="s">
        <v>2137</v>
      </c>
      <c r="AQ687" s="1" t="s">
        <v>74</v>
      </c>
      <c r="AR687" s="1" t="s">
        <v>74</v>
      </c>
      <c r="AS687" s="1" t="s">
        <v>74</v>
      </c>
      <c r="AT687" s="1" t="s">
        <v>96</v>
      </c>
      <c r="AU687" s="1">
        <v>2014.0</v>
      </c>
      <c r="AV687" s="1">
        <v>211.0</v>
      </c>
      <c r="AW687" s="1" t="s">
        <v>74</v>
      </c>
      <c r="AX687" s="1" t="s">
        <v>74</v>
      </c>
      <c r="AY687" s="1" t="s">
        <v>74</v>
      </c>
      <c r="AZ687" s="1" t="s">
        <v>74</v>
      </c>
      <c r="BA687" s="1" t="s">
        <v>74</v>
      </c>
      <c r="BB687" s="1">
        <v>212.0</v>
      </c>
      <c r="BC687" s="1">
        <v>218.0</v>
      </c>
      <c r="BD687" s="1" t="s">
        <v>74</v>
      </c>
      <c r="BE687" s="1" t="s">
        <v>6909</v>
      </c>
      <c r="BF687" s="2" t="str">
        <f>HYPERLINK("http://dx.doi.org/10.1016/j.jssc.2013.12.019","http://dx.doi.org/10.1016/j.jssc.2013.12.019")</f>
        <v>http://dx.doi.org/10.1016/j.jssc.2013.12.019</v>
      </c>
      <c r="BG687" s="1" t="s">
        <v>74</v>
      </c>
      <c r="BH687" s="1" t="s">
        <v>74</v>
      </c>
      <c r="BI687" s="1" t="s">
        <v>74</v>
      </c>
      <c r="BJ687" s="1" t="s">
        <v>74</v>
      </c>
      <c r="BK687" s="1" t="s">
        <v>74</v>
      </c>
      <c r="BL687" s="1" t="s">
        <v>74</v>
      </c>
      <c r="BM687" s="1" t="s">
        <v>74</v>
      </c>
      <c r="BN687" s="1" t="s">
        <v>74</v>
      </c>
      <c r="BO687" s="1" t="s">
        <v>74</v>
      </c>
      <c r="BP687" s="1" t="s">
        <v>74</v>
      </c>
      <c r="BQ687" s="1" t="s">
        <v>74</v>
      </c>
      <c r="BR687" s="1" t="s">
        <v>74</v>
      </c>
      <c r="BS687" s="1" t="s">
        <v>6910</v>
      </c>
      <c r="BT687" s="1" t="str">
        <f>HYPERLINK("https%3A%2F%2Fwww.webofscience.com%2Fwos%2Fwoscc%2Ffull-record%2FWOS:000331686400030","View Full Record in Web of Science")</f>
        <v>View Full Record in Web of Science</v>
      </c>
    </row>
    <row r="688" ht="12.75" customHeight="1">
      <c r="A688" s="1" t="s">
        <v>72</v>
      </c>
      <c r="B688" s="1" t="s">
        <v>6911</v>
      </c>
      <c r="C688" s="1" t="s">
        <v>74</v>
      </c>
      <c r="D688" s="1" t="s">
        <v>74</v>
      </c>
      <c r="E688" s="1" t="s">
        <v>74</v>
      </c>
      <c r="F688" s="1" t="s">
        <v>6912</v>
      </c>
      <c r="G688" s="1" t="s">
        <v>74</v>
      </c>
      <c r="H688" s="1" t="s">
        <v>74</v>
      </c>
      <c r="I688" s="1" t="s">
        <v>6913</v>
      </c>
      <c r="J688" s="1" t="s">
        <v>6914</v>
      </c>
      <c r="K688" s="1" t="s">
        <v>74</v>
      </c>
      <c r="L688" s="1" t="s">
        <v>74</v>
      </c>
      <c r="M688" s="1" t="s">
        <v>74</v>
      </c>
      <c r="N688" s="1" t="s">
        <v>74</v>
      </c>
      <c r="O688" s="1" t="s">
        <v>74</v>
      </c>
      <c r="P688" s="1" t="s">
        <v>74</v>
      </c>
      <c r="Q688" s="1" t="s">
        <v>74</v>
      </c>
      <c r="R688" s="1" t="s">
        <v>74</v>
      </c>
      <c r="S688" s="1" t="s">
        <v>74</v>
      </c>
      <c r="T688" s="1" t="s">
        <v>74</v>
      </c>
      <c r="U688" s="1" t="s">
        <v>74</v>
      </c>
      <c r="V688" s="1" t="s">
        <v>6915</v>
      </c>
      <c r="W688" s="1" t="s">
        <v>74</v>
      </c>
      <c r="X688" s="1" t="s">
        <v>74</v>
      </c>
      <c r="Y688" s="1" t="s">
        <v>74</v>
      </c>
      <c r="Z688" s="1" t="s">
        <v>74</v>
      </c>
      <c r="AA688" s="1" t="s">
        <v>74</v>
      </c>
      <c r="AB688" s="1" t="s">
        <v>6916</v>
      </c>
      <c r="AC688" s="1" t="s">
        <v>74</v>
      </c>
      <c r="AD688" s="1" t="s">
        <v>74</v>
      </c>
      <c r="AE688" s="1" t="s">
        <v>74</v>
      </c>
      <c r="AF688" s="1" t="s">
        <v>74</v>
      </c>
      <c r="AG688" s="1" t="s">
        <v>74</v>
      </c>
      <c r="AH688" s="1" t="s">
        <v>74</v>
      </c>
      <c r="AI688" s="1" t="s">
        <v>74</v>
      </c>
      <c r="AJ688" s="1" t="s">
        <v>74</v>
      </c>
      <c r="AK688" s="1" t="s">
        <v>74</v>
      </c>
      <c r="AL688" s="1" t="s">
        <v>74</v>
      </c>
      <c r="AM688" s="1" t="s">
        <v>74</v>
      </c>
      <c r="AN688" s="1" t="s">
        <v>74</v>
      </c>
      <c r="AO688" s="1" t="s">
        <v>6917</v>
      </c>
      <c r="AP688" s="1" t="s">
        <v>6918</v>
      </c>
      <c r="AQ688" s="1" t="s">
        <v>74</v>
      </c>
      <c r="AR688" s="1" t="s">
        <v>74</v>
      </c>
      <c r="AS688" s="1" t="s">
        <v>74</v>
      </c>
      <c r="AT688" s="1" t="s">
        <v>250</v>
      </c>
      <c r="AU688" s="1">
        <v>2013.0</v>
      </c>
      <c r="AV688" s="1">
        <v>179.0</v>
      </c>
      <c r="AW688" s="1">
        <v>3.0</v>
      </c>
      <c r="AX688" s="1" t="s">
        <v>74</v>
      </c>
      <c r="AY688" s="1" t="s">
        <v>74</v>
      </c>
      <c r="AZ688" s="1" t="s">
        <v>74</v>
      </c>
      <c r="BA688" s="1" t="s">
        <v>74</v>
      </c>
      <c r="BB688" s="1">
        <v>198.0</v>
      </c>
      <c r="BC688" s="1">
        <v>210.0</v>
      </c>
      <c r="BD688" s="1" t="s">
        <v>74</v>
      </c>
      <c r="BE688" s="1" t="s">
        <v>6919</v>
      </c>
      <c r="BF688" s="2" t="str">
        <f>HYPERLINK("http://dx.doi.org/10.1111/geoj.12000","http://dx.doi.org/10.1111/geoj.12000")</f>
        <v>http://dx.doi.org/10.1111/geoj.12000</v>
      </c>
      <c r="BG688" s="1" t="s">
        <v>74</v>
      </c>
      <c r="BH688" s="1" t="s">
        <v>74</v>
      </c>
      <c r="BI688" s="1" t="s">
        <v>74</v>
      </c>
      <c r="BJ688" s="1" t="s">
        <v>74</v>
      </c>
      <c r="BK688" s="1" t="s">
        <v>74</v>
      </c>
      <c r="BL688" s="1" t="s">
        <v>74</v>
      </c>
      <c r="BM688" s="1" t="s">
        <v>74</v>
      </c>
      <c r="BN688" s="1" t="s">
        <v>74</v>
      </c>
      <c r="BO688" s="1" t="s">
        <v>74</v>
      </c>
      <c r="BP688" s="1" t="s">
        <v>74</v>
      </c>
      <c r="BQ688" s="1" t="s">
        <v>74</v>
      </c>
      <c r="BR688" s="1" t="s">
        <v>74</v>
      </c>
      <c r="BS688" s="1" t="s">
        <v>6920</v>
      </c>
      <c r="BT688" s="1" t="str">
        <f>HYPERLINK("https%3A%2F%2Fwww.webofscience.com%2Fwos%2Fwoscc%2Ffull-record%2FWOS:000329306300001","View Full Record in Web of Science")</f>
        <v>View Full Record in Web of Science</v>
      </c>
    </row>
    <row r="689" ht="12.75" customHeight="1">
      <c r="A689" s="1" t="s">
        <v>72</v>
      </c>
      <c r="B689" s="1" t="s">
        <v>6921</v>
      </c>
      <c r="C689" s="1" t="s">
        <v>74</v>
      </c>
      <c r="D689" s="1" t="s">
        <v>74</v>
      </c>
      <c r="E689" s="1" t="s">
        <v>74</v>
      </c>
      <c r="F689" s="1" t="s">
        <v>6922</v>
      </c>
      <c r="G689" s="1" t="s">
        <v>74</v>
      </c>
      <c r="H689" s="1" t="s">
        <v>74</v>
      </c>
      <c r="I689" s="1" t="s">
        <v>6923</v>
      </c>
      <c r="J689" s="1" t="s">
        <v>6924</v>
      </c>
      <c r="K689" s="1" t="s">
        <v>74</v>
      </c>
      <c r="L689" s="1" t="s">
        <v>74</v>
      </c>
      <c r="M689" s="1" t="s">
        <v>74</v>
      </c>
      <c r="N689" s="1" t="s">
        <v>74</v>
      </c>
      <c r="O689" s="1" t="s">
        <v>74</v>
      </c>
      <c r="P689" s="1" t="s">
        <v>74</v>
      </c>
      <c r="Q689" s="1" t="s">
        <v>74</v>
      </c>
      <c r="R689" s="1" t="s">
        <v>74</v>
      </c>
      <c r="S689" s="1" t="s">
        <v>74</v>
      </c>
      <c r="T689" s="1" t="s">
        <v>74</v>
      </c>
      <c r="U689" s="1" t="s">
        <v>74</v>
      </c>
      <c r="V689" s="1" t="s">
        <v>6925</v>
      </c>
      <c r="W689" s="1" t="s">
        <v>74</v>
      </c>
      <c r="X689" s="1" t="s">
        <v>74</v>
      </c>
      <c r="Y689" s="1" t="s">
        <v>74</v>
      </c>
      <c r="Z689" s="1" t="s">
        <v>74</v>
      </c>
      <c r="AA689" s="1" t="s">
        <v>6926</v>
      </c>
      <c r="AB689" s="1" t="s">
        <v>6927</v>
      </c>
      <c r="AC689" s="1" t="s">
        <v>74</v>
      </c>
      <c r="AD689" s="1" t="s">
        <v>74</v>
      </c>
      <c r="AE689" s="1" t="s">
        <v>74</v>
      </c>
      <c r="AF689" s="1" t="s">
        <v>74</v>
      </c>
      <c r="AG689" s="1" t="s">
        <v>74</v>
      </c>
      <c r="AH689" s="1" t="s">
        <v>74</v>
      </c>
      <c r="AI689" s="1" t="s">
        <v>74</v>
      </c>
      <c r="AJ689" s="1" t="s">
        <v>74</v>
      </c>
      <c r="AK689" s="1" t="s">
        <v>74</v>
      </c>
      <c r="AL689" s="1" t="s">
        <v>74</v>
      </c>
      <c r="AM689" s="1" t="s">
        <v>74</v>
      </c>
      <c r="AN689" s="1" t="s">
        <v>74</v>
      </c>
      <c r="AO689" s="1" t="s">
        <v>74</v>
      </c>
      <c r="AP689" s="1" t="s">
        <v>6928</v>
      </c>
      <c r="AQ689" s="1" t="s">
        <v>74</v>
      </c>
      <c r="AR689" s="1" t="s">
        <v>74</v>
      </c>
      <c r="AS689" s="1" t="s">
        <v>74</v>
      </c>
      <c r="AT689" s="1" t="s">
        <v>2069</v>
      </c>
      <c r="AU689" s="1">
        <v>2013.0</v>
      </c>
      <c r="AV689" s="1">
        <v>4.0</v>
      </c>
      <c r="AW689" s="1" t="s">
        <v>74</v>
      </c>
      <c r="AX689" s="1" t="s">
        <v>74</v>
      </c>
      <c r="AY689" s="1" t="s">
        <v>74</v>
      </c>
      <c r="AZ689" s="1" t="s">
        <v>74</v>
      </c>
      <c r="BA689" s="1" t="s">
        <v>74</v>
      </c>
      <c r="BB689" s="1" t="s">
        <v>74</v>
      </c>
      <c r="BC689" s="1" t="s">
        <v>74</v>
      </c>
      <c r="BD689" s="1">
        <v>65.0</v>
      </c>
      <c r="BE689" s="1" t="s">
        <v>6929</v>
      </c>
      <c r="BF689" s="2" t="str">
        <f>HYPERLINK("http://dx.doi.org/10.1186/scrt216","http://dx.doi.org/10.1186/scrt216")</f>
        <v>http://dx.doi.org/10.1186/scrt216</v>
      </c>
      <c r="BG689" s="1" t="s">
        <v>74</v>
      </c>
      <c r="BH689" s="1" t="s">
        <v>74</v>
      </c>
      <c r="BI689" s="1" t="s">
        <v>74</v>
      </c>
      <c r="BJ689" s="1" t="s">
        <v>74</v>
      </c>
      <c r="BK689" s="1" t="s">
        <v>74</v>
      </c>
      <c r="BL689" s="1" t="s">
        <v>74</v>
      </c>
      <c r="BM689" s="1" t="s">
        <v>74</v>
      </c>
      <c r="BN689" s="1">
        <v>2.373478E7</v>
      </c>
      <c r="BO689" s="1" t="s">
        <v>74</v>
      </c>
      <c r="BP689" s="1" t="s">
        <v>74</v>
      </c>
      <c r="BQ689" s="1" t="s">
        <v>74</v>
      </c>
      <c r="BR689" s="1" t="s">
        <v>74</v>
      </c>
      <c r="BS689" s="1" t="s">
        <v>6930</v>
      </c>
      <c r="BT689" s="1" t="str">
        <f>HYPERLINK("https%3A%2F%2Fwww.webofscience.com%2Fwos%2Fwoscc%2Ffull-record%2FWOS:000320781800001","View Full Record in Web of Science")</f>
        <v>View Full Record in Web of Science</v>
      </c>
    </row>
    <row r="690" ht="12.75" customHeight="1">
      <c r="A690" s="1" t="s">
        <v>72</v>
      </c>
      <c r="B690" s="1" t="s">
        <v>6931</v>
      </c>
      <c r="C690" s="1" t="s">
        <v>74</v>
      </c>
      <c r="D690" s="1" t="s">
        <v>74</v>
      </c>
      <c r="E690" s="1" t="s">
        <v>74</v>
      </c>
      <c r="F690" s="1" t="s">
        <v>6932</v>
      </c>
      <c r="G690" s="1" t="s">
        <v>74</v>
      </c>
      <c r="H690" s="1" t="s">
        <v>74</v>
      </c>
      <c r="I690" s="1" t="s">
        <v>6933</v>
      </c>
      <c r="J690" s="1" t="s">
        <v>4568</v>
      </c>
      <c r="K690" s="1" t="s">
        <v>74</v>
      </c>
      <c r="L690" s="1" t="s">
        <v>74</v>
      </c>
      <c r="M690" s="1" t="s">
        <v>74</v>
      </c>
      <c r="N690" s="1" t="s">
        <v>74</v>
      </c>
      <c r="O690" s="1" t="s">
        <v>74</v>
      </c>
      <c r="P690" s="1" t="s">
        <v>74</v>
      </c>
      <c r="Q690" s="1" t="s">
        <v>74</v>
      </c>
      <c r="R690" s="1" t="s">
        <v>74</v>
      </c>
      <c r="S690" s="1" t="s">
        <v>74</v>
      </c>
      <c r="T690" s="1" t="s">
        <v>74</v>
      </c>
      <c r="U690" s="1" t="s">
        <v>74</v>
      </c>
      <c r="V690" s="1" t="s">
        <v>6934</v>
      </c>
      <c r="W690" s="1" t="s">
        <v>74</v>
      </c>
      <c r="X690" s="1" t="s">
        <v>74</v>
      </c>
      <c r="Y690" s="1" t="s">
        <v>74</v>
      </c>
      <c r="Z690" s="1" t="s">
        <v>74</v>
      </c>
      <c r="AA690" s="1" t="s">
        <v>6935</v>
      </c>
      <c r="AB690" s="1" t="s">
        <v>6936</v>
      </c>
      <c r="AC690" s="1" t="s">
        <v>74</v>
      </c>
      <c r="AD690" s="1" t="s">
        <v>74</v>
      </c>
      <c r="AE690" s="1" t="s">
        <v>74</v>
      </c>
      <c r="AF690" s="1" t="s">
        <v>74</v>
      </c>
      <c r="AG690" s="1" t="s">
        <v>74</v>
      </c>
      <c r="AH690" s="1" t="s">
        <v>74</v>
      </c>
      <c r="AI690" s="1" t="s">
        <v>74</v>
      </c>
      <c r="AJ690" s="1" t="s">
        <v>74</v>
      </c>
      <c r="AK690" s="1" t="s">
        <v>74</v>
      </c>
      <c r="AL690" s="1" t="s">
        <v>74</v>
      </c>
      <c r="AM690" s="1" t="s">
        <v>74</v>
      </c>
      <c r="AN690" s="1" t="s">
        <v>74</v>
      </c>
      <c r="AO690" s="1" t="s">
        <v>4572</v>
      </c>
      <c r="AP690" s="1" t="s">
        <v>4573</v>
      </c>
      <c r="AQ690" s="1" t="s">
        <v>74</v>
      </c>
      <c r="AR690" s="1" t="s">
        <v>74</v>
      </c>
      <c r="AS690" s="1" t="s">
        <v>74</v>
      </c>
      <c r="AT690" s="1" t="s">
        <v>438</v>
      </c>
      <c r="AU690" s="1">
        <v>2011.0</v>
      </c>
      <c r="AV690" s="1">
        <v>46.0</v>
      </c>
      <c r="AW690" s="1">
        <v>4.0</v>
      </c>
      <c r="AX690" s="1" t="s">
        <v>74</v>
      </c>
      <c r="AY690" s="1" t="s">
        <v>74</v>
      </c>
      <c r="AZ690" s="1" t="s">
        <v>74</v>
      </c>
      <c r="BA690" s="1" t="s">
        <v>74</v>
      </c>
      <c r="BB690" s="1">
        <v>746.0</v>
      </c>
      <c r="BC690" s="1">
        <v>753.0</v>
      </c>
      <c r="BD690" s="1" t="s">
        <v>74</v>
      </c>
      <c r="BE690" s="1" t="s">
        <v>6937</v>
      </c>
      <c r="BF690" s="2" t="str">
        <f>HYPERLINK("http://dx.doi.org/10.1111/j.1365-2621.2011.02555.x","http://dx.doi.org/10.1111/j.1365-2621.2011.02555.x")</f>
        <v>http://dx.doi.org/10.1111/j.1365-2621.2011.02555.x</v>
      </c>
      <c r="BG690" s="1" t="s">
        <v>74</v>
      </c>
      <c r="BH690" s="1" t="s">
        <v>74</v>
      </c>
      <c r="BI690" s="1" t="s">
        <v>74</v>
      </c>
      <c r="BJ690" s="1" t="s">
        <v>74</v>
      </c>
      <c r="BK690" s="1" t="s">
        <v>74</v>
      </c>
      <c r="BL690" s="1" t="s">
        <v>74</v>
      </c>
      <c r="BM690" s="1" t="s">
        <v>74</v>
      </c>
      <c r="BN690" s="1" t="s">
        <v>74</v>
      </c>
      <c r="BO690" s="1" t="s">
        <v>74</v>
      </c>
      <c r="BP690" s="1" t="s">
        <v>74</v>
      </c>
      <c r="BQ690" s="1" t="s">
        <v>74</v>
      </c>
      <c r="BR690" s="1" t="s">
        <v>74</v>
      </c>
      <c r="BS690" s="1" t="s">
        <v>6938</v>
      </c>
      <c r="BT690" s="1" t="str">
        <f>HYPERLINK("https%3A%2F%2Fwww.webofscience.com%2Fwos%2Fwoscc%2Ffull-record%2FWOS:000288555900011","View Full Record in Web of Science")</f>
        <v>View Full Record in Web of Science</v>
      </c>
    </row>
    <row r="691" ht="12.75" customHeight="1">
      <c r="A691" s="1" t="s">
        <v>72</v>
      </c>
      <c r="B691" s="1" t="s">
        <v>6939</v>
      </c>
      <c r="C691" s="1" t="s">
        <v>74</v>
      </c>
      <c r="D691" s="1" t="s">
        <v>74</v>
      </c>
      <c r="E691" s="1" t="s">
        <v>74</v>
      </c>
      <c r="F691" s="1" t="s">
        <v>6940</v>
      </c>
      <c r="G691" s="1" t="s">
        <v>74</v>
      </c>
      <c r="H691" s="1" t="s">
        <v>74</v>
      </c>
      <c r="I691" s="1" t="s">
        <v>6941</v>
      </c>
      <c r="J691" s="1" t="s">
        <v>1734</v>
      </c>
      <c r="K691" s="1" t="s">
        <v>74</v>
      </c>
      <c r="L691" s="1" t="s">
        <v>74</v>
      </c>
      <c r="M691" s="1" t="s">
        <v>74</v>
      </c>
      <c r="N691" s="1" t="s">
        <v>74</v>
      </c>
      <c r="O691" s="1" t="s">
        <v>74</v>
      </c>
      <c r="P691" s="1" t="s">
        <v>74</v>
      </c>
      <c r="Q691" s="1" t="s">
        <v>74</v>
      </c>
      <c r="R691" s="1" t="s">
        <v>74</v>
      </c>
      <c r="S691" s="1" t="s">
        <v>74</v>
      </c>
      <c r="T691" s="1" t="s">
        <v>74</v>
      </c>
      <c r="U691" s="1" t="s">
        <v>74</v>
      </c>
      <c r="V691" s="1" t="s">
        <v>6942</v>
      </c>
      <c r="W691" s="1" t="s">
        <v>74</v>
      </c>
      <c r="X691" s="1" t="s">
        <v>74</v>
      </c>
      <c r="Y691" s="1" t="s">
        <v>74</v>
      </c>
      <c r="Z691" s="1" t="s">
        <v>74</v>
      </c>
      <c r="AA691" s="1" t="s">
        <v>6943</v>
      </c>
      <c r="AB691" s="1" t="s">
        <v>6944</v>
      </c>
      <c r="AC691" s="1" t="s">
        <v>74</v>
      </c>
      <c r="AD691" s="1" t="s">
        <v>74</v>
      </c>
      <c r="AE691" s="1" t="s">
        <v>74</v>
      </c>
      <c r="AF691" s="1" t="s">
        <v>74</v>
      </c>
      <c r="AG691" s="1" t="s">
        <v>74</v>
      </c>
      <c r="AH691" s="1" t="s">
        <v>74</v>
      </c>
      <c r="AI691" s="1" t="s">
        <v>74</v>
      </c>
      <c r="AJ691" s="1" t="s">
        <v>74</v>
      </c>
      <c r="AK691" s="1" t="s">
        <v>74</v>
      </c>
      <c r="AL691" s="1" t="s">
        <v>74</v>
      </c>
      <c r="AM691" s="1" t="s">
        <v>74</v>
      </c>
      <c r="AN691" s="1" t="s">
        <v>74</v>
      </c>
      <c r="AO691" s="1" t="s">
        <v>1737</v>
      </c>
      <c r="AP691" s="1" t="s">
        <v>1738</v>
      </c>
      <c r="AQ691" s="1" t="s">
        <v>74</v>
      </c>
      <c r="AR691" s="1" t="s">
        <v>74</v>
      </c>
      <c r="AS691" s="1" t="s">
        <v>74</v>
      </c>
      <c r="AT691" s="1" t="s">
        <v>155</v>
      </c>
      <c r="AU691" s="1">
        <v>2010.0</v>
      </c>
      <c r="AV691" s="1">
        <v>138.0</v>
      </c>
      <c r="AW691" s="1">
        <v>6.0</v>
      </c>
      <c r="AX691" s="1" t="s">
        <v>74</v>
      </c>
      <c r="AY691" s="1" t="s">
        <v>74</v>
      </c>
      <c r="AZ691" s="1" t="s">
        <v>74</v>
      </c>
      <c r="BA691" s="1" t="s">
        <v>74</v>
      </c>
      <c r="BB691" s="1">
        <v>677.0</v>
      </c>
      <c r="BC691" s="1">
        <v>684.0</v>
      </c>
      <c r="BD691" s="1" t="s">
        <v>74</v>
      </c>
      <c r="BE691" s="1" t="s">
        <v>74</v>
      </c>
      <c r="BF691" s="1" t="s">
        <v>74</v>
      </c>
      <c r="BG691" s="1" t="s">
        <v>74</v>
      </c>
      <c r="BH691" s="1" t="s">
        <v>74</v>
      </c>
      <c r="BI691" s="1" t="s">
        <v>74</v>
      </c>
      <c r="BJ691" s="1" t="s">
        <v>74</v>
      </c>
      <c r="BK691" s="1" t="s">
        <v>74</v>
      </c>
      <c r="BL691" s="1" t="s">
        <v>74</v>
      </c>
      <c r="BM691" s="1" t="s">
        <v>74</v>
      </c>
      <c r="BN691" s="1">
        <v>2.0919476E7</v>
      </c>
      <c r="BO691" s="1" t="s">
        <v>74</v>
      </c>
      <c r="BP691" s="1" t="s">
        <v>74</v>
      </c>
      <c r="BQ691" s="1" t="s">
        <v>74</v>
      </c>
      <c r="BR691" s="1" t="s">
        <v>74</v>
      </c>
      <c r="BS691" s="1" t="s">
        <v>6945</v>
      </c>
      <c r="BT691" s="1" t="str">
        <f>HYPERLINK("https%3A%2F%2Fwww.webofscience.com%2Fwos%2Fwoscc%2Ffull-record%2FWOS:000280179200003","View Full Record in Web of Science")</f>
        <v>View Full Record in Web of Science</v>
      </c>
    </row>
    <row r="692" ht="12.75" customHeight="1">
      <c r="A692" s="1" t="s">
        <v>72</v>
      </c>
      <c r="B692" s="1" t="s">
        <v>6946</v>
      </c>
      <c r="C692" s="1" t="s">
        <v>74</v>
      </c>
      <c r="D692" s="1" t="s">
        <v>74</v>
      </c>
      <c r="E692" s="1" t="s">
        <v>74</v>
      </c>
      <c r="F692" s="1" t="s">
        <v>6947</v>
      </c>
      <c r="G692" s="1" t="s">
        <v>74</v>
      </c>
      <c r="H692" s="1" t="s">
        <v>74</v>
      </c>
      <c r="I692" s="1" t="s">
        <v>6948</v>
      </c>
      <c r="J692" s="1" t="s">
        <v>2545</v>
      </c>
      <c r="K692" s="1" t="s">
        <v>74</v>
      </c>
      <c r="L692" s="1" t="s">
        <v>74</v>
      </c>
      <c r="M692" s="1" t="s">
        <v>74</v>
      </c>
      <c r="N692" s="1" t="s">
        <v>74</v>
      </c>
      <c r="O692" s="1" t="s">
        <v>74</v>
      </c>
      <c r="P692" s="1" t="s">
        <v>74</v>
      </c>
      <c r="Q692" s="1" t="s">
        <v>74</v>
      </c>
      <c r="R692" s="1" t="s">
        <v>74</v>
      </c>
      <c r="S692" s="1" t="s">
        <v>74</v>
      </c>
      <c r="T692" s="1" t="s">
        <v>74</v>
      </c>
      <c r="U692" s="1" t="s">
        <v>74</v>
      </c>
      <c r="V692" s="1" t="s">
        <v>6949</v>
      </c>
      <c r="W692" s="1" t="s">
        <v>74</v>
      </c>
      <c r="X692" s="1" t="s">
        <v>74</v>
      </c>
      <c r="Y692" s="1" t="s">
        <v>74</v>
      </c>
      <c r="Z692" s="1" t="s">
        <v>74</v>
      </c>
      <c r="AA692" s="1" t="s">
        <v>6950</v>
      </c>
      <c r="AB692" s="1" t="s">
        <v>6951</v>
      </c>
      <c r="AC692" s="1" t="s">
        <v>74</v>
      </c>
      <c r="AD692" s="1" t="s">
        <v>74</v>
      </c>
      <c r="AE692" s="1" t="s">
        <v>74</v>
      </c>
      <c r="AF692" s="1" t="s">
        <v>74</v>
      </c>
      <c r="AG692" s="1" t="s">
        <v>74</v>
      </c>
      <c r="AH692" s="1" t="s">
        <v>74</v>
      </c>
      <c r="AI692" s="1" t="s">
        <v>74</v>
      </c>
      <c r="AJ692" s="1" t="s">
        <v>74</v>
      </c>
      <c r="AK692" s="1" t="s">
        <v>74</v>
      </c>
      <c r="AL692" s="1" t="s">
        <v>74</v>
      </c>
      <c r="AM692" s="1" t="s">
        <v>74</v>
      </c>
      <c r="AN692" s="1" t="s">
        <v>74</v>
      </c>
      <c r="AO692" s="1" t="s">
        <v>2549</v>
      </c>
      <c r="AP692" s="1" t="s">
        <v>2550</v>
      </c>
      <c r="AQ692" s="1" t="s">
        <v>74</v>
      </c>
      <c r="AR692" s="1" t="s">
        <v>74</v>
      </c>
      <c r="AS692" s="1" t="s">
        <v>74</v>
      </c>
      <c r="AT692" s="1" t="s">
        <v>377</v>
      </c>
      <c r="AU692" s="1">
        <v>2007.0</v>
      </c>
      <c r="AV692" s="1">
        <v>18.0</v>
      </c>
      <c r="AW692" s="1">
        <v>3.0</v>
      </c>
      <c r="AX692" s="1" t="s">
        <v>74</v>
      </c>
      <c r="AY692" s="1" t="s">
        <v>74</v>
      </c>
      <c r="AZ692" s="1" t="s">
        <v>74</v>
      </c>
      <c r="BA692" s="1" t="s">
        <v>74</v>
      </c>
      <c r="BB692" s="1">
        <v>181.0</v>
      </c>
      <c r="BC692" s="1">
        <v>187.0</v>
      </c>
      <c r="BD692" s="1" t="s">
        <v>74</v>
      </c>
      <c r="BE692" s="1" t="s">
        <v>6952</v>
      </c>
      <c r="BF692" s="2" t="str">
        <f>HYPERLINK("http://dx.doi.org/10.1111/j.1399-3038.2006.00507.x","http://dx.doi.org/10.1111/j.1399-3038.2006.00507.x")</f>
        <v>http://dx.doi.org/10.1111/j.1399-3038.2006.00507.x</v>
      </c>
      <c r="BG692" s="1" t="s">
        <v>74</v>
      </c>
      <c r="BH692" s="1" t="s">
        <v>74</v>
      </c>
      <c r="BI692" s="1" t="s">
        <v>74</v>
      </c>
      <c r="BJ692" s="1" t="s">
        <v>74</v>
      </c>
      <c r="BK692" s="1" t="s">
        <v>74</v>
      </c>
      <c r="BL692" s="1" t="s">
        <v>74</v>
      </c>
      <c r="BM692" s="1" t="s">
        <v>74</v>
      </c>
      <c r="BN692" s="1">
        <v>1.7346301E7</v>
      </c>
      <c r="BO692" s="1" t="s">
        <v>74</v>
      </c>
      <c r="BP692" s="1" t="s">
        <v>74</v>
      </c>
      <c r="BQ692" s="1" t="s">
        <v>74</v>
      </c>
      <c r="BR692" s="1" t="s">
        <v>74</v>
      </c>
      <c r="BS692" s="1" t="s">
        <v>6953</v>
      </c>
      <c r="BT692" s="1" t="str">
        <f>HYPERLINK("https%3A%2F%2Fwww.webofscience.com%2Fwos%2Fwoscc%2Ffull-record%2FWOS:000245642800001","View Full Record in Web of Science")</f>
        <v>View Full Record in Web of Science</v>
      </c>
    </row>
    <row r="693" ht="12.75" customHeight="1">
      <c r="A693" s="1" t="s">
        <v>72</v>
      </c>
      <c r="B693" s="1" t="s">
        <v>6954</v>
      </c>
      <c r="C693" s="1" t="s">
        <v>74</v>
      </c>
      <c r="D693" s="1" t="s">
        <v>74</v>
      </c>
      <c r="E693" s="1" t="s">
        <v>74</v>
      </c>
      <c r="F693" s="1" t="s">
        <v>6954</v>
      </c>
      <c r="G693" s="1" t="s">
        <v>74</v>
      </c>
      <c r="H693" s="1" t="s">
        <v>74</v>
      </c>
      <c r="I693" s="1" t="s">
        <v>6955</v>
      </c>
      <c r="J693" s="1" t="s">
        <v>6956</v>
      </c>
      <c r="K693" s="1" t="s">
        <v>74</v>
      </c>
      <c r="L693" s="1" t="s">
        <v>74</v>
      </c>
      <c r="M693" s="1" t="s">
        <v>74</v>
      </c>
      <c r="N693" s="1" t="s">
        <v>74</v>
      </c>
      <c r="O693" s="1" t="s">
        <v>74</v>
      </c>
      <c r="P693" s="1" t="s">
        <v>74</v>
      </c>
      <c r="Q693" s="1" t="s">
        <v>74</v>
      </c>
      <c r="R693" s="1" t="s">
        <v>74</v>
      </c>
      <c r="S693" s="1" t="s">
        <v>74</v>
      </c>
      <c r="T693" s="1" t="s">
        <v>74</v>
      </c>
      <c r="U693" s="1" t="s">
        <v>74</v>
      </c>
      <c r="V693" s="1" t="s">
        <v>6957</v>
      </c>
      <c r="W693" s="1" t="s">
        <v>74</v>
      </c>
      <c r="X693" s="1" t="s">
        <v>74</v>
      </c>
      <c r="Y693" s="1" t="s">
        <v>74</v>
      </c>
      <c r="Z693" s="1" t="s">
        <v>74</v>
      </c>
      <c r="AA693" s="1" t="s">
        <v>6958</v>
      </c>
      <c r="AB693" s="1" t="s">
        <v>6959</v>
      </c>
      <c r="AC693" s="1" t="s">
        <v>74</v>
      </c>
      <c r="AD693" s="1" t="s">
        <v>74</v>
      </c>
      <c r="AE693" s="1" t="s">
        <v>74</v>
      </c>
      <c r="AF693" s="1" t="s">
        <v>74</v>
      </c>
      <c r="AG693" s="1" t="s">
        <v>74</v>
      </c>
      <c r="AH693" s="1" t="s">
        <v>74</v>
      </c>
      <c r="AI693" s="1" t="s">
        <v>74</v>
      </c>
      <c r="AJ693" s="1" t="s">
        <v>74</v>
      </c>
      <c r="AK693" s="1" t="s">
        <v>74</v>
      </c>
      <c r="AL693" s="1" t="s">
        <v>74</v>
      </c>
      <c r="AM693" s="1" t="s">
        <v>74</v>
      </c>
      <c r="AN693" s="1" t="s">
        <v>74</v>
      </c>
      <c r="AO693" s="1" t="s">
        <v>6960</v>
      </c>
      <c r="AP693" s="1" t="s">
        <v>74</v>
      </c>
      <c r="AQ693" s="1" t="s">
        <v>74</v>
      </c>
      <c r="AR693" s="1" t="s">
        <v>74</v>
      </c>
      <c r="AS693" s="1" t="s">
        <v>74</v>
      </c>
      <c r="AT693" s="1" t="s">
        <v>377</v>
      </c>
      <c r="AU693" s="1">
        <v>2005.0</v>
      </c>
      <c r="AV693" s="1">
        <v>61.0</v>
      </c>
      <c r="AW693" s="1" t="s">
        <v>74</v>
      </c>
      <c r="AX693" s="1">
        <v>5.0</v>
      </c>
      <c r="AY693" s="1" t="s">
        <v>74</v>
      </c>
      <c r="AZ693" s="1" t="s">
        <v>74</v>
      </c>
      <c r="BA693" s="1" t="s">
        <v>74</v>
      </c>
      <c r="BB693" s="1" t="s">
        <v>6961</v>
      </c>
      <c r="BC693" s="1" t="s">
        <v>6962</v>
      </c>
      <c r="BD693" s="1" t="s">
        <v>74</v>
      </c>
      <c r="BE693" s="1" t="s">
        <v>6963</v>
      </c>
      <c r="BF693" s="2" t="str">
        <f>HYPERLINK("http://dx.doi.org/10.1107/S0108270105008498","http://dx.doi.org/10.1107/S0108270105008498")</f>
        <v>http://dx.doi.org/10.1107/S0108270105008498</v>
      </c>
      <c r="BG693" s="1" t="s">
        <v>74</v>
      </c>
      <c r="BH693" s="1" t="s">
        <v>74</v>
      </c>
      <c r="BI693" s="1" t="s">
        <v>74</v>
      </c>
      <c r="BJ693" s="1" t="s">
        <v>74</v>
      </c>
      <c r="BK693" s="1" t="s">
        <v>74</v>
      </c>
      <c r="BL693" s="1" t="s">
        <v>74</v>
      </c>
      <c r="BM693" s="1" t="s">
        <v>74</v>
      </c>
      <c r="BN693" s="1">
        <v>1.5876723E7</v>
      </c>
      <c r="BO693" s="1" t="s">
        <v>74</v>
      </c>
      <c r="BP693" s="1" t="s">
        <v>74</v>
      </c>
      <c r="BQ693" s="1" t="s">
        <v>74</v>
      </c>
      <c r="BR693" s="1" t="s">
        <v>74</v>
      </c>
      <c r="BS693" s="1" t="s">
        <v>6964</v>
      </c>
      <c r="BT693" s="1" t="str">
        <f>HYPERLINK("https%3A%2F%2Fwww.webofscience.com%2Fwos%2Fwoscc%2Ffull-record%2FWOS:000228915400030","View Full Record in Web of Science")</f>
        <v>View Full Record in Web of Science</v>
      </c>
    </row>
    <row r="694" ht="12.75" customHeight="1">
      <c r="A694" s="1" t="s">
        <v>72</v>
      </c>
      <c r="B694" s="1" t="s">
        <v>2752</v>
      </c>
      <c r="C694" s="1" t="s">
        <v>74</v>
      </c>
      <c r="D694" s="1" t="s">
        <v>74</v>
      </c>
      <c r="E694" s="1" t="s">
        <v>74</v>
      </c>
      <c r="F694" s="1" t="s">
        <v>2752</v>
      </c>
      <c r="G694" s="1" t="s">
        <v>74</v>
      </c>
      <c r="H694" s="1" t="s">
        <v>74</v>
      </c>
      <c r="I694" s="1" t="s">
        <v>6965</v>
      </c>
      <c r="J694" s="1" t="s">
        <v>6780</v>
      </c>
      <c r="K694" s="1" t="s">
        <v>74</v>
      </c>
      <c r="L694" s="1" t="s">
        <v>74</v>
      </c>
      <c r="M694" s="1" t="s">
        <v>74</v>
      </c>
      <c r="N694" s="1" t="s">
        <v>74</v>
      </c>
      <c r="O694" s="1" t="s">
        <v>74</v>
      </c>
      <c r="P694" s="1" t="s">
        <v>74</v>
      </c>
      <c r="Q694" s="1" t="s">
        <v>74</v>
      </c>
      <c r="R694" s="1" t="s">
        <v>74</v>
      </c>
      <c r="S694" s="1" t="s">
        <v>74</v>
      </c>
      <c r="T694" s="1" t="s">
        <v>74</v>
      </c>
      <c r="U694" s="1" t="s">
        <v>74</v>
      </c>
      <c r="V694" s="1" t="s">
        <v>6966</v>
      </c>
      <c r="W694" s="1" t="s">
        <v>74</v>
      </c>
      <c r="X694" s="1" t="s">
        <v>74</v>
      </c>
      <c r="Y694" s="1" t="s">
        <v>74</v>
      </c>
      <c r="Z694" s="1" t="s">
        <v>74</v>
      </c>
      <c r="AA694" s="1" t="s">
        <v>2756</v>
      </c>
      <c r="AB694" s="1" t="s">
        <v>2757</v>
      </c>
      <c r="AC694" s="1" t="s">
        <v>74</v>
      </c>
      <c r="AD694" s="1" t="s">
        <v>74</v>
      </c>
      <c r="AE694" s="1" t="s">
        <v>74</v>
      </c>
      <c r="AF694" s="1" t="s">
        <v>74</v>
      </c>
      <c r="AG694" s="1" t="s">
        <v>74</v>
      </c>
      <c r="AH694" s="1" t="s">
        <v>74</v>
      </c>
      <c r="AI694" s="1" t="s">
        <v>74</v>
      </c>
      <c r="AJ694" s="1" t="s">
        <v>74</v>
      </c>
      <c r="AK694" s="1" t="s">
        <v>74</v>
      </c>
      <c r="AL694" s="1" t="s">
        <v>74</v>
      </c>
      <c r="AM694" s="1" t="s">
        <v>74</v>
      </c>
      <c r="AN694" s="1" t="s">
        <v>74</v>
      </c>
      <c r="AO694" s="1" t="s">
        <v>6784</v>
      </c>
      <c r="AP694" s="1" t="s">
        <v>74</v>
      </c>
      <c r="AQ694" s="1" t="s">
        <v>74</v>
      </c>
      <c r="AR694" s="1" t="s">
        <v>74</v>
      </c>
      <c r="AS694" s="1" t="s">
        <v>74</v>
      </c>
      <c r="AT694" s="1" t="s">
        <v>6967</v>
      </c>
      <c r="AU694" s="1">
        <v>2002.0</v>
      </c>
      <c r="AV694" s="1">
        <v>14.0</v>
      </c>
      <c r="AW694" s="1">
        <v>5.0</v>
      </c>
      <c r="AX694" s="1" t="s">
        <v>74</v>
      </c>
      <c r="AY694" s="1" t="s">
        <v>74</v>
      </c>
      <c r="AZ694" s="1" t="s">
        <v>74</v>
      </c>
      <c r="BA694" s="1" t="s">
        <v>74</v>
      </c>
      <c r="BB694" s="1">
        <v>1021.0</v>
      </c>
      <c r="BC694" s="1">
        <v>1033.0</v>
      </c>
      <c r="BD694" s="1" t="s">
        <v>6968</v>
      </c>
      <c r="BE694" s="1" t="s">
        <v>6969</v>
      </c>
      <c r="BF694" s="2" t="str">
        <f>HYPERLINK("http://dx.doi.org/10.1088/0953-8984/14/5/307","http://dx.doi.org/10.1088/0953-8984/14/5/307")</f>
        <v>http://dx.doi.org/10.1088/0953-8984/14/5/307</v>
      </c>
      <c r="BG694" s="1" t="s">
        <v>74</v>
      </c>
      <c r="BH694" s="1" t="s">
        <v>74</v>
      </c>
      <c r="BI694" s="1" t="s">
        <v>74</v>
      </c>
      <c r="BJ694" s="1" t="s">
        <v>74</v>
      </c>
      <c r="BK694" s="1" t="s">
        <v>74</v>
      </c>
      <c r="BL694" s="1" t="s">
        <v>74</v>
      </c>
      <c r="BM694" s="1" t="s">
        <v>74</v>
      </c>
      <c r="BN694" s="1" t="s">
        <v>74</v>
      </c>
      <c r="BO694" s="1" t="s">
        <v>74</v>
      </c>
      <c r="BP694" s="1" t="s">
        <v>74</v>
      </c>
      <c r="BQ694" s="1" t="s">
        <v>74</v>
      </c>
      <c r="BR694" s="1" t="s">
        <v>74</v>
      </c>
      <c r="BS694" s="1" t="s">
        <v>6970</v>
      </c>
      <c r="BT694" s="1" t="str">
        <f>HYPERLINK("https%3A%2F%2Fwww.webofscience.com%2Fwos%2Fwoscc%2Ffull-record%2FWOS:000174218100010","View Full Record in Web of Science")</f>
        <v>View Full Record in Web of Science</v>
      </c>
    </row>
    <row r="695" ht="12.75" customHeight="1">
      <c r="A695" s="1" t="s">
        <v>72</v>
      </c>
      <c r="B695" s="1" t="s">
        <v>6971</v>
      </c>
      <c r="C695" s="1" t="s">
        <v>74</v>
      </c>
      <c r="D695" s="1" t="s">
        <v>74</v>
      </c>
      <c r="E695" s="1" t="s">
        <v>74</v>
      </c>
      <c r="F695" s="1" t="s">
        <v>6972</v>
      </c>
      <c r="G695" s="1" t="s">
        <v>74</v>
      </c>
      <c r="H695" s="1" t="s">
        <v>74</v>
      </c>
      <c r="I695" s="1" t="s">
        <v>6973</v>
      </c>
      <c r="J695" s="1" t="s">
        <v>6974</v>
      </c>
      <c r="K695" s="1" t="s">
        <v>74</v>
      </c>
      <c r="L695" s="1" t="s">
        <v>74</v>
      </c>
      <c r="M695" s="1" t="s">
        <v>74</v>
      </c>
      <c r="N695" s="1" t="s">
        <v>74</v>
      </c>
      <c r="O695" s="1" t="s">
        <v>74</v>
      </c>
      <c r="P695" s="1" t="s">
        <v>74</v>
      </c>
      <c r="Q695" s="1" t="s">
        <v>74</v>
      </c>
      <c r="R695" s="1" t="s">
        <v>74</v>
      </c>
      <c r="S695" s="1" t="s">
        <v>74</v>
      </c>
      <c r="T695" s="1" t="s">
        <v>74</v>
      </c>
      <c r="U695" s="1" t="s">
        <v>74</v>
      </c>
      <c r="V695" s="1" t="s">
        <v>6975</v>
      </c>
      <c r="W695" s="1" t="s">
        <v>74</v>
      </c>
      <c r="X695" s="1" t="s">
        <v>74</v>
      </c>
      <c r="Y695" s="1" t="s">
        <v>74</v>
      </c>
      <c r="Z695" s="1" t="s">
        <v>74</v>
      </c>
      <c r="AA695" s="1" t="s">
        <v>6976</v>
      </c>
      <c r="AB695" s="1" t="s">
        <v>6977</v>
      </c>
      <c r="AC695" s="1" t="s">
        <v>74</v>
      </c>
      <c r="AD695" s="1" t="s">
        <v>74</v>
      </c>
      <c r="AE695" s="1" t="s">
        <v>74</v>
      </c>
      <c r="AF695" s="1" t="s">
        <v>74</v>
      </c>
      <c r="AG695" s="1" t="s">
        <v>74</v>
      </c>
      <c r="AH695" s="1" t="s">
        <v>74</v>
      </c>
      <c r="AI695" s="1" t="s">
        <v>74</v>
      </c>
      <c r="AJ695" s="1" t="s">
        <v>74</v>
      </c>
      <c r="AK695" s="1" t="s">
        <v>74</v>
      </c>
      <c r="AL695" s="1" t="s">
        <v>74</v>
      </c>
      <c r="AM695" s="1" t="s">
        <v>74</v>
      </c>
      <c r="AN695" s="1" t="s">
        <v>74</v>
      </c>
      <c r="AO695" s="1" t="s">
        <v>74</v>
      </c>
      <c r="AP695" s="1" t="s">
        <v>6978</v>
      </c>
      <c r="AQ695" s="1" t="s">
        <v>74</v>
      </c>
      <c r="AR695" s="1" t="s">
        <v>74</v>
      </c>
      <c r="AS695" s="1" t="s">
        <v>74</v>
      </c>
      <c r="AT695" s="1" t="s">
        <v>719</v>
      </c>
      <c r="AU695" s="1">
        <v>2024.0</v>
      </c>
      <c r="AV695" s="1">
        <v>14.0</v>
      </c>
      <c r="AW695" s="1">
        <v>13.0</v>
      </c>
      <c r="AX695" s="1" t="s">
        <v>74</v>
      </c>
      <c r="AY695" s="1" t="s">
        <v>74</v>
      </c>
      <c r="AZ695" s="1" t="s">
        <v>74</v>
      </c>
      <c r="BA695" s="1" t="s">
        <v>74</v>
      </c>
      <c r="BB695" s="1" t="s">
        <v>74</v>
      </c>
      <c r="BC695" s="1" t="s">
        <v>74</v>
      </c>
      <c r="BD695" s="1">
        <v>5783.0</v>
      </c>
      <c r="BE695" s="1" t="s">
        <v>6979</v>
      </c>
      <c r="BF695" s="2" t="str">
        <f>HYPERLINK("http://dx.doi.org/10.3390/app14135783","http://dx.doi.org/10.3390/app14135783")</f>
        <v>http://dx.doi.org/10.3390/app14135783</v>
      </c>
      <c r="BG695" s="1" t="s">
        <v>74</v>
      </c>
      <c r="BH695" s="1" t="s">
        <v>74</v>
      </c>
      <c r="BI695" s="1" t="s">
        <v>74</v>
      </c>
      <c r="BJ695" s="1" t="s">
        <v>74</v>
      </c>
      <c r="BK695" s="1" t="s">
        <v>74</v>
      </c>
      <c r="BL695" s="1" t="s">
        <v>74</v>
      </c>
      <c r="BM695" s="1" t="s">
        <v>74</v>
      </c>
      <c r="BN695" s="1" t="s">
        <v>74</v>
      </c>
      <c r="BO695" s="1" t="s">
        <v>74</v>
      </c>
      <c r="BP695" s="1" t="s">
        <v>74</v>
      </c>
      <c r="BQ695" s="1" t="s">
        <v>74</v>
      </c>
      <c r="BR695" s="1" t="s">
        <v>74</v>
      </c>
      <c r="BS695" s="1" t="s">
        <v>6980</v>
      </c>
      <c r="BT695" s="1" t="str">
        <f>HYPERLINK("https%3A%2F%2Fwww.webofscience.com%2Fwos%2Fwoscc%2Ffull-record%2FWOS:001269406300001","View Full Record in Web of Science")</f>
        <v>View Full Record in Web of Science</v>
      </c>
    </row>
    <row r="696" ht="12.75" customHeight="1">
      <c r="A696" s="1" t="s">
        <v>72</v>
      </c>
      <c r="B696" s="1" t="s">
        <v>6981</v>
      </c>
      <c r="C696" s="1" t="s">
        <v>74</v>
      </c>
      <c r="D696" s="1" t="s">
        <v>74</v>
      </c>
      <c r="E696" s="1" t="s">
        <v>74</v>
      </c>
      <c r="F696" s="1" t="s">
        <v>6982</v>
      </c>
      <c r="G696" s="1" t="s">
        <v>74</v>
      </c>
      <c r="H696" s="1" t="s">
        <v>74</v>
      </c>
      <c r="I696" s="1" t="s">
        <v>6983</v>
      </c>
      <c r="J696" s="1" t="s">
        <v>6984</v>
      </c>
      <c r="K696" s="1" t="s">
        <v>74</v>
      </c>
      <c r="L696" s="1" t="s">
        <v>74</v>
      </c>
      <c r="M696" s="1" t="s">
        <v>74</v>
      </c>
      <c r="N696" s="1" t="s">
        <v>74</v>
      </c>
      <c r="O696" s="1" t="s">
        <v>74</v>
      </c>
      <c r="P696" s="1" t="s">
        <v>74</v>
      </c>
      <c r="Q696" s="1" t="s">
        <v>74</v>
      </c>
      <c r="R696" s="1" t="s">
        <v>74</v>
      </c>
      <c r="S696" s="1" t="s">
        <v>74</v>
      </c>
      <c r="T696" s="1" t="s">
        <v>74</v>
      </c>
      <c r="U696" s="1" t="s">
        <v>74</v>
      </c>
      <c r="V696" s="1" t="s">
        <v>6985</v>
      </c>
      <c r="W696" s="1" t="s">
        <v>74</v>
      </c>
      <c r="X696" s="1" t="s">
        <v>74</v>
      </c>
      <c r="Y696" s="1" t="s">
        <v>74</v>
      </c>
      <c r="Z696" s="1" t="s">
        <v>74</v>
      </c>
      <c r="AA696" s="1" t="s">
        <v>6986</v>
      </c>
      <c r="AB696" s="1" t="s">
        <v>6987</v>
      </c>
      <c r="AC696" s="1" t="s">
        <v>74</v>
      </c>
      <c r="AD696" s="1" t="s">
        <v>74</v>
      </c>
      <c r="AE696" s="1" t="s">
        <v>74</v>
      </c>
      <c r="AF696" s="1" t="s">
        <v>74</v>
      </c>
      <c r="AG696" s="1" t="s">
        <v>74</v>
      </c>
      <c r="AH696" s="1" t="s">
        <v>74</v>
      </c>
      <c r="AI696" s="1" t="s">
        <v>74</v>
      </c>
      <c r="AJ696" s="1" t="s">
        <v>74</v>
      </c>
      <c r="AK696" s="1" t="s">
        <v>74</v>
      </c>
      <c r="AL696" s="1" t="s">
        <v>74</v>
      </c>
      <c r="AM696" s="1" t="s">
        <v>74</v>
      </c>
      <c r="AN696" s="1" t="s">
        <v>74</v>
      </c>
      <c r="AO696" s="1" t="s">
        <v>6988</v>
      </c>
      <c r="AP696" s="1" t="s">
        <v>74</v>
      </c>
      <c r="AQ696" s="1" t="s">
        <v>74</v>
      </c>
      <c r="AR696" s="1" t="s">
        <v>74</v>
      </c>
      <c r="AS696" s="1" t="s">
        <v>74</v>
      </c>
      <c r="AT696" s="1" t="s">
        <v>155</v>
      </c>
      <c r="AU696" s="1">
        <v>2024.0</v>
      </c>
      <c r="AV696" s="1">
        <v>5.0</v>
      </c>
      <c r="AW696" s="1" t="s">
        <v>74</v>
      </c>
      <c r="AX696" s="1" t="s">
        <v>74</v>
      </c>
      <c r="AY696" s="1" t="s">
        <v>74</v>
      </c>
      <c r="AZ696" s="1" t="s">
        <v>74</v>
      </c>
      <c r="BA696" s="1" t="s">
        <v>74</v>
      </c>
      <c r="BB696" s="1" t="s">
        <v>74</v>
      </c>
      <c r="BC696" s="1" t="s">
        <v>74</v>
      </c>
      <c r="BD696" s="1">
        <v>100080.0</v>
      </c>
      <c r="BE696" s="1" t="s">
        <v>6989</v>
      </c>
      <c r="BF696" s="2" t="str">
        <f>HYPERLINK("http://dx.doi.org/10.1016/j.urbmob.2024.100080","http://dx.doi.org/10.1016/j.urbmob.2024.100080")</f>
        <v>http://dx.doi.org/10.1016/j.urbmob.2024.100080</v>
      </c>
      <c r="BG696" s="1" t="s">
        <v>74</v>
      </c>
      <c r="BH696" s="1" t="s">
        <v>6990</v>
      </c>
      <c r="BI696" s="1" t="s">
        <v>74</v>
      </c>
      <c r="BJ696" s="1" t="s">
        <v>74</v>
      </c>
      <c r="BK696" s="1" t="s">
        <v>74</v>
      </c>
      <c r="BL696" s="1" t="s">
        <v>74</v>
      </c>
      <c r="BM696" s="1" t="s">
        <v>74</v>
      </c>
      <c r="BN696" s="1" t="s">
        <v>74</v>
      </c>
      <c r="BO696" s="1" t="s">
        <v>74</v>
      </c>
      <c r="BP696" s="1" t="s">
        <v>74</v>
      </c>
      <c r="BQ696" s="1" t="s">
        <v>74</v>
      </c>
      <c r="BR696" s="1" t="s">
        <v>74</v>
      </c>
      <c r="BS696" s="1" t="s">
        <v>6991</v>
      </c>
      <c r="BT696" s="1" t="str">
        <f>HYPERLINK("https%3A%2F%2Fwww.webofscience.com%2Fwos%2Fwoscc%2Ffull-record%2FWOS:001256580900001","View Full Record in Web of Science")</f>
        <v>View Full Record in Web of Science</v>
      </c>
    </row>
    <row r="697" ht="12.75" customHeight="1">
      <c r="A697" s="1" t="s">
        <v>72</v>
      </c>
      <c r="B697" s="1" t="s">
        <v>6992</v>
      </c>
      <c r="C697" s="1" t="s">
        <v>74</v>
      </c>
      <c r="D697" s="1" t="s">
        <v>74</v>
      </c>
      <c r="E697" s="1" t="s">
        <v>74</v>
      </c>
      <c r="F697" s="1" t="s">
        <v>6993</v>
      </c>
      <c r="G697" s="1" t="s">
        <v>74</v>
      </c>
      <c r="H697" s="1" t="s">
        <v>74</v>
      </c>
      <c r="I697" s="1" t="s">
        <v>6994</v>
      </c>
      <c r="J697" s="1" t="s">
        <v>332</v>
      </c>
      <c r="K697" s="1" t="s">
        <v>74</v>
      </c>
      <c r="L697" s="1" t="s">
        <v>74</v>
      </c>
      <c r="M697" s="1" t="s">
        <v>74</v>
      </c>
      <c r="N697" s="1" t="s">
        <v>74</v>
      </c>
      <c r="O697" s="1" t="s">
        <v>74</v>
      </c>
      <c r="P697" s="1" t="s">
        <v>74</v>
      </c>
      <c r="Q697" s="1" t="s">
        <v>74</v>
      </c>
      <c r="R697" s="1" t="s">
        <v>74</v>
      </c>
      <c r="S697" s="1" t="s">
        <v>74</v>
      </c>
      <c r="T697" s="1" t="s">
        <v>74</v>
      </c>
      <c r="U697" s="1" t="s">
        <v>74</v>
      </c>
      <c r="V697" s="1" t="s">
        <v>6995</v>
      </c>
      <c r="W697" s="1" t="s">
        <v>74</v>
      </c>
      <c r="X697" s="1" t="s">
        <v>74</v>
      </c>
      <c r="Y697" s="1" t="s">
        <v>74</v>
      </c>
      <c r="Z697" s="1" t="s">
        <v>74</v>
      </c>
      <c r="AA697" s="1" t="s">
        <v>6996</v>
      </c>
      <c r="AB697" s="1" t="s">
        <v>6997</v>
      </c>
      <c r="AC697" s="1" t="s">
        <v>74</v>
      </c>
      <c r="AD697" s="1" t="s">
        <v>74</v>
      </c>
      <c r="AE697" s="1" t="s">
        <v>74</v>
      </c>
      <c r="AF697" s="1" t="s">
        <v>74</v>
      </c>
      <c r="AG697" s="1" t="s">
        <v>74</v>
      </c>
      <c r="AH697" s="1" t="s">
        <v>74</v>
      </c>
      <c r="AI697" s="1" t="s">
        <v>74</v>
      </c>
      <c r="AJ697" s="1" t="s">
        <v>74</v>
      </c>
      <c r="AK697" s="1" t="s">
        <v>74</v>
      </c>
      <c r="AL697" s="1" t="s">
        <v>74</v>
      </c>
      <c r="AM697" s="1" t="s">
        <v>74</v>
      </c>
      <c r="AN697" s="1" t="s">
        <v>74</v>
      </c>
      <c r="AO697" s="1" t="s">
        <v>336</v>
      </c>
      <c r="AP697" s="1" t="s">
        <v>337</v>
      </c>
      <c r="AQ697" s="1" t="s">
        <v>74</v>
      </c>
      <c r="AR697" s="1" t="s">
        <v>74</v>
      </c>
      <c r="AS697" s="1" t="s">
        <v>74</v>
      </c>
      <c r="AT697" s="1" t="s">
        <v>6998</v>
      </c>
      <c r="AU697" s="1">
        <v>2023.0</v>
      </c>
      <c r="AV697" s="1">
        <v>468.0</v>
      </c>
      <c r="AW697" s="1" t="s">
        <v>74</v>
      </c>
      <c r="AX697" s="1" t="s">
        <v>74</v>
      </c>
      <c r="AY697" s="1" t="s">
        <v>74</v>
      </c>
      <c r="AZ697" s="1" t="s">
        <v>74</v>
      </c>
      <c r="BA697" s="1" t="s">
        <v>74</v>
      </c>
      <c r="BB697" s="1" t="s">
        <v>74</v>
      </c>
      <c r="BC697" s="1" t="s">
        <v>74</v>
      </c>
      <c r="BD697" s="1">
        <v>143160.0</v>
      </c>
      <c r="BE697" s="1" t="s">
        <v>6999</v>
      </c>
      <c r="BF697" s="2" t="str">
        <f>HYPERLINK("http://dx.doi.org/10.1016/j.electacta.2023.143160","http://dx.doi.org/10.1016/j.electacta.2023.143160")</f>
        <v>http://dx.doi.org/10.1016/j.electacta.2023.143160</v>
      </c>
      <c r="BG697" s="1" t="s">
        <v>74</v>
      </c>
      <c r="BH697" s="1" t="s">
        <v>1439</v>
      </c>
      <c r="BI697" s="1" t="s">
        <v>74</v>
      </c>
      <c r="BJ697" s="1" t="s">
        <v>74</v>
      </c>
      <c r="BK697" s="1" t="s">
        <v>74</v>
      </c>
      <c r="BL697" s="1" t="s">
        <v>74</v>
      </c>
      <c r="BM697" s="1" t="s">
        <v>74</v>
      </c>
      <c r="BN697" s="1" t="s">
        <v>74</v>
      </c>
      <c r="BO697" s="1" t="s">
        <v>74</v>
      </c>
      <c r="BP697" s="1" t="s">
        <v>74</v>
      </c>
      <c r="BQ697" s="1" t="s">
        <v>74</v>
      </c>
      <c r="BR697" s="1" t="s">
        <v>74</v>
      </c>
      <c r="BS697" s="1" t="s">
        <v>7000</v>
      </c>
      <c r="BT697" s="1" t="str">
        <f>HYPERLINK("https%3A%2F%2Fwww.webofscience.com%2Fwos%2Fwoscc%2Ffull-record%2FWOS:001079801400001","View Full Record in Web of Science")</f>
        <v>View Full Record in Web of Science</v>
      </c>
    </row>
    <row r="698" ht="12.75" customHeight="1">
      <c r="A698" s="1" t="s">
        <v>72</v>
      </c>
      <c r="B698" s="1" t="s">
        <v>7001</v>
      </c>
      <c r="C698" s="1" t="s">
        <v>74</v>
      </c>
      <c r="D698" s="1" t="s">
        <v>74</v>
      </c>
      <c r="E698" s="1" t="s">
        <v>74</v>
      </c>
      <c r="F698" s="1" t="s">
        <v>7002</v>
      </c>
      <c r="G698" s="1" t="s">
        <v>74</v>
      </c>
      <c r="H698" s="1" t="s">
        <v>74</v>
      </c>
      <c r="I698" s="1" t="s">
        <v>7003</v>
      </c>
      <c r="J698" s="1" t="s">
        <v>7004</v>
      </c>
      <c r="K698" s="1" t="s">
        <v>74</v>
      </c>
      <c r="L698" s="1" t="s">
        <v>74</v>
      </c>
      <c r="M698" s="1" t="s">
        <v>74</v>
      </c>
      <c r="N698" s="1" t="s">
        <v>74</v>
      </c>
      <c r="O698" s="1" t="s">
        <v>74</v>
      </c>
      <c r="P698" s="1" t="s">
        <v>74</v>
      </c>
      <c r="Q698" s="1" t="s">
        <v>74</v>
      </c>
      <c r="R698" s="1" t="s">
        <v>74</v>
      </c>
      <c r="S698" s="1" t="s">
        <v>74</v>
      </c>
      <c r="T698" s="1" t="s">
        <v>74</v>
      </c>
      <c r="U698" s="1" t="s">
        <v>74</v>
      </c>
      <c r="V698" s="1" t="s">
        <v>7005</v>
      </c>
      <c r="W698" s="1" t="s">
        <v>74</v>
      </c>
      <c r="X698" s="1" t="s">
        <v>74</v>
      </c>
      <c r="Y698" s="1" t="s">
        <v>74</v>
      </c>
      <c r="Z698" s="1" t="s">
        <v>74</v>
      </c>
      <c r="AA698" s="1" t="s">
        <v>7006</v>
      </c>
      <c r="AB698" s="1" t="s">
        <v>7007</v>
      </c>
      <c r="AC698" s="1" t="s">
        <v>74</v>
      </c>
      <c r="AD698" s="1" t="s">
        <v>74</v>
      </c>
      <c r="AE698" s="1" t="s">
        <v>74</v>
      </c>
      <c r="AF698" s="1" t="s">
        <v>74</v>
      </c>
      <c r="AG698" s="1" t="s">
        <v>74</v>
      </c>
      <c r="AH698" s="1" t="s">
        <v>74</v>
      </c>
      <c r="AI698" s="1" t="s">
        <v>74</v>
      </c>
      <c r="AJ698" s="1" t="s">
        <v>74</v>
      </c>
      <c r="AK698" s="1" t="s">
        <v>74</v>
      </c>
      <c r="AL698" s="1" t="s">
        <v>74</v>
      </c>
      <c r="AM698" s="1" t="s">
        <v>74</v>
      </c>
      <c r="AN698" s="1" t="s">
        <v>74</v>
      </c>
      <c r="AO698" s="1" t="s">
        <v>74</v>
      </c>
      <c r="AP698" s="1" t="s">
        <v>7008</v>
      </c>
      <c r="AQ698" s="1" t="s">
        <v>74</v>
      </c>
      <c r="AR698" s="1" t="s">
        <v>74</v>
      </c>
      <c r="AS698" s="1" t="s">
        <v>74</v>
      </c>
      <c r="AT698" s="1" t="s">
        <v>250</v>
      </c>
      <c r="AU698" s="1">
        <v>2023.0</v>
      </c>
      <c r="AV698" s="1">
        <v>13.0</v>
      </c>
      <c r="AW698" s="1">
        <v>9.0</v>
      </c>
      <c r="AX698" s="1" t="s">
        <v>74</v>
      </c>
      <c r="AY698" s="1" t="s">
        <v>74</v>
      </c>
      <c r="AZ698" s="1" t="s">
        <v>74</v>
      </c>
      <c r="BA698" s="1" t="s">
        <v>74</v>
      </c>
      <c r="BB698" s="1">
        <v>1776.0</v>
      </c>
      <c r="BC698" s="1">
        <v>1786.0</v>
      </c>
      <c r="BD698" s="1" t="s">
        <v>74</v>
      </c>
      <c r="BE698" s="1" t="s">
        <v>7009</v>
      </c>
      <c r="BF698" s="2" t="str">
        <f>HYPERLINK("http://dx.doi.org/10.3390/ejihpe13090129","http://dx.doi.org/10.3390/ejihpe13090129")</f>
        <v>http://dx.doi.org/10.3390/ejihpe13090129</v>
      </c>
      <c r="BG698" s="1" t="s">
        <v>74</v>
      </c>
      <c r="BH698" s="1" t="s">
        <v>74</v>
      </c>
      <c r="BI698" s="1" t="s">
        <v>74</v>
      </c>
      <c r="BJ698" s="1" t="s">
        <v>74</v>
      </c>
      <c r="BK698" s="1" t="s">
        <v>74</v>
      </c>
      <c r="BL698" s="1" t="s">
        <v>74</v>
      </c>
      <c r="BM698" s="1" t="s">
        <v>74</v>
      </c>
      <c r="BN698" s="1">
        <v>3.7754468E7</v>
      </c>
      <c r="BO698" s="1" t="s">
        <v>74</v>
      </c>
      <c r="BP698" s="1" t="s">
        <v>74</v>
      </c>
      <c r="BQ698" s="1" t="s">
        <v>74</v>
      </c>
      <c r="BR698" s="1" t="s">
        <v>74</v>
      </c>
      <c r="BS698" s="1" t="s">
        <v>7010</v>
      </c>
      <c r="BT698" s="1" t="str">
        <f>HYPERLINK("https%3A%2F%2Fwww.webofscience.com%2Fwos%2Fwoscc%2Ffull-record%2FWOS:001073447900001","View Full Record in Web of Science")</f>
        <v>View Full Record in Web of Science</v>
      </c>
    </row>
    <row r="699" ht="12.75" customHeight="1">
      <c r="A699" s="1" t="s">
        <v>72</v>
      </c>
      <c r="B699" s="1" t="s">
        <v>7011</v>
      </c>
      <c r="C699" s="1" t="s">
        <v>74</v>
      </c>
      <c r="D699" s="1" t="s">
        <v>74</v>
      </c>
      <c r="E699" s="1" t="s">
        <v>74</v>
      </c>
      <c r="F699" s="1" t="s">
        <v>7012</v>
      </c>
      <c r="G699" s="1" t="s">
        <v>74</v>
      </c>
      <c r="H699" s="1" t="s">
        <v>74</v>
      </c>
      <c r="I699" s="1" t="s">
        <v>7013</v>
      </c>
      <c r="J699" s="1" t="s">
        <v>7014</v>
      </c>
      <c r="K699" s="1" t="s">
        <v>74</v>
      </c>
      <c r="L699" s="1" t="s">
        <v>74</v>
      </c>
      <c r="M699" s="1" t="s">
        <v>74</v>
      </c>
      <c r="N699" s="1" t="s">
        <v>74</v>
      </c>
      <c r="O699" s="1" t="s">
        <v>74</v>
      </c>
      <c r="P699" s="1" t="s">
        <v>74</v>
      </c>
      <c r="Q699" s="1" t="s">
        <v>74</v>
      </c>
      <c r="R699" s="1" t="s">
        <v>74</v>
      </c>
      <c r="S699" s="1" t="s">
        <v>74</v>
      </c>
      <c r="T699" s="1" t="s">
        <v>74</v>
      </c>
      <c r="U699" s="1" t="s">
        <v>74</v>
      </c>
      <c r="V699" s="1" t="s">
        <v>7015</v>
      </c>
      <c r="W699" s="1" t="s">
        <v>74</v>
      </c>
      <c r="X699" s="1" t="s">
        <v>74</v>
      </c>
      <c r="Y699" s="1" t="s">
        <v>74</v>
      </c>
      <c r="Z699" s="1" t="s">
        <v>74</v>
      </c>
      <c r="AA699" s="1" t="s">
        <v>7016</v>
      </c>
      <c r="AB699" s="1" t="s">
        <v>7017</v>
      </c>
      <c r="AC699" s="1" t="s">
        <v>74</v>
      </c>
      <c r="AD699" s="1" t="s">
        <v>74</v>
      </c>
      <c r="AE699" s="1" t="s">
        <v>74</v>
      </c>
      <c r="AF699" s="1" t="s">
        <v>74</v>
      </c>
      <c r="AG699" s="1" t="s">
        <v>74</v>
      </c>
      <c r="AH699" s="1" t="s">
        <v>74</v>
      </c>
      <c r="AI699" s="1" t="s">
        <v>74</v>
      </c>
      <c r="AJ699" s="1" t="s">
        <v>74</v>
      </c>
      <c r="AK699" s="1" t="s">
        <v>74</v>
      </c>
      <c r="AL699" s="1" t="s">
        <v>74</v>
      </c>
      <c r="AM699" s="1" t="s">
        <v>74</v>
      </c>
      <c r="AN699" s="1" t="s">
        <v>74</v>
      </c>
      <c r="AO699" s="1" t="s">
        <v>7018</v>
      </c>
      <c r="AP699" s="1" t="s">
        <v>7019</v>
      </c>
      <c r="AQ699" s="1" t="s">
        <v>74</v>
      </c>
      <c r="AR699" s="1" t="s">
        <v>74</v>
      </c>
      <c r="AS699" s="1" t="s">
        <v>74</v>
      </c>
      <c r="AT699" s="1" t="s">
        <v>377</v>
      </c>
      <c r="AU699" s="1">
        <v>2023.0</v>
      </c>
      <c r="AV699" s="1">
        <v>30.0</v>
      </c>
      <c r="AW699" s="1">
        <v>25.0</v>
      </c>
      <c r="AX699" s="1" t="s">
        <v>74</v>
      </c>
      <c r="AY699" s="1" t="s">
        <v>74</v>
      </c>
      <c r="AZ699" s="1" t="s">
        <v>74</v>
      </c>
      <c r="BA699" s="1" t="s">
        <v>74</v>
      </c>
      <c r="BB699" s="1">
        <v>67513.0</v>
      </c>
      <c r="BC699" s="1">
        <v>67524.0</v>
      </c>
      <c r="BD699" s="1" t="s">
        <v>74</v>
      </c>
      <c r="BE699" s="1" t="s">
        <v>7020</v>
      </c>
      <c r="BF699" s="2" t="str">
        <f>HYPERLINK("http://dx.doi.org/10.1007/s11356-023-27127-6","http://dx.doi.org/10.1007/s11356-023-27127-6")</f>
        <v>http://dx.doi.org/10.1007/s11356-023-27127-6</v>
      </c>
      <c r="BG699" s="1" t="s">
        <v>74</v>
      </c>
      <c r="BH699" s="1" t="s">
        <v>1941</v>
      </c>
      <c r="BI699" s="1" t="s">
        <v>74</v>
      </c>
      <c r="BJ699" s="1" t="s">
        <v>74</v>
      </c>
      <c r="BK699" s="1" t="s">
        <v>74</v>
      </c>
      <c r="BL699" s="1" t="s">
        <v>74</v>
      </c>
      <c r="BM699" s="1" t="s">
        <v>74</v>
      </c>
      <c r="BN699" s="1">
        <v>3.7115441E7</v>
      </c>
      <c r="BO699" s="1" t="s">
        <v>74</v>
      </c>
      <c r="BP699" s="1" t="s">
        <v>74</v>
      </c>
      <c r="BQ699" s="1" t="s">
        <v>74</v>
      </c>
      <c r="BR699" s="1" t="s">
        <v>74</v>
      </c>
      <c r="BS699" s="1" t="s">
        <v>7021</v>
      </c>
      <c r="BT699" s="1" t="str">
        <f>HYPERLINK("https%3A%2F%2Fwww.webofscience.com%2Fwos%2Fwoscc%2Ffull-record%2FWOS:000985150800006","View Full Record in Web of Science")</f>
        <v>View Full Record in Web of Science</v>
      </c>
    </row>
    <row r="700" ht="12.75" customHeight="1">
      <c r="A700" s="1" t="s">
        <v>72</v>
      </c>
      <c r="B700" s="1" t="s">
        <v>7022</v>
      </c>
      <c r="C700" s="1" t="s">
        <v>74</v>
      </c>
      <c r="D700" s="1" t="s">
        <v>74</v>
      </c>
      <c r="E700" s="1" t="s">
        <v>74</v>
      </c>
      <c r="F700" s="1" t="s">
        <v>7023</v>
      </c>
      <c r="G700" s="1" t="s">
        <v>74</v>
      </c>
      <c r="H700" s="1" t="s">
        <v>74</v>
      </c>
      <c r="I700" s="1" t="s">
        <v>7024</v>
      </c>
      <c r="J700" s="1" t="s">
        <v>7025</v>
      </c>
      <c r="K700" s="1" t="s">
        <v>74</v>
      </c>
      <c r="L700" s="1" t="s">
        <v>74</v>
      </c>
      <c r="M700" s="1" t="s">
        <v>74</v>
      </c>
      <c r="N700" s="1" t="s">
        <v>74</v>
      </c>
      <c r="O700" s="1" t="s">
        <v>74</v>
      </c>
      <c r="P700" s="1" t="s">
        <v>74</v>
      </c>
      <c r="Q700" s="1" t="s">
        <v>74</v>
      </c>
      <c r="R700" s="1" t="s">
        <v>74</v>
      </c>
      <c r="S700" s="1" t="s">
        <v>74</v>
      </c>
      <c r="T700" s="1" t="s">
        <v>74</v>
      </c>
      <c r="U700" s="1" t="s">
        <v>74</v>
      </c>
      <c r="V700" s="1" t="s">
        <v>7026</v>
      </c>
      <c r="W700" s="1" t="s">
        <v>74</v>
      </c>
      <c r="X700" s="1" t="s">
        <v>74</v>
      </c>
      <c r="Y700" s="1" t="s">
        <v>74</v>
      </c>
      <c r="Z700" s="1" t="s">
        <v>74</v>
      </c>
      <c r="AA700" s="1" t="s">
        <v>74</v>
      </c>
      <c r="AB700" s="1" t="s">
        <v>74</v>
      </c>
      <c r="AC700" s="1" t="s">
        <v>74</v>
      </c>
      <c r="AD700" s="1" t="s">
        <v>74</v>
      </c>
      <c r="AE700" s="1" t="s">
        <v>74</v>
      </c>
      <c r="AF700" s="1" t="s">
        <v>74</v>
      </c>
      <c r="AG700" s="1" t="s">
        <v>74</v>
      </c>
      <c r="AH700" s="1" t="s">
        <v>74</v>
      </c>
      <c r="AI700" s="1" t="s">
        <v>74</v>
      </c>
      <c r="AJ700" s="1" t="s">
        <v>74</v>
      </c>
      <c r="AK700" s="1" t="s">
        <v>74</v>
      </c>
      <c r="AL700" s="1" t="s">
        <v>74</v>
      </c>
      <c r="AM700" s="1" t="s">
        <v>74</v>
      </c>
      <c r="AN700" s="1" t="s">
        <v>74</v>
      </c>
      <c r="AO700" s="1" t="s">
        <v>7027</v>
      </c>
      <c r="AP700" s="1" t="s">
        <v>7028</v>
      </c>
      <c r="AQ700" s="1" t="s">
        <v>74</v>
      </c>
      <c r="AR700" s="1" t="s">
        <v>74</v>
      </c>
      <c r="AS700" s="1" t="s">
        <v>74</v>
      </c>
      <c r="AT700" s="1" t="s">
        <v>7029</v>
      </c>
      <c r="AU700" s="1">
        <v>2023.0</v>
      </c>
      <c r="AV700" s="1">
        <v>51.0</v>
      </c>
      <c r="AW700" s="1">
        <v>1.0</v>
      </c>
      <c r="AX700" s="1" t="s">
        <v>74</v>
      </c>
      <c r="AY700" s="1" t="s">
        <v>74</v>
      </c>
      <c r="AZ700" s="1" t="s">
        <v>74</v>
      </c>
      <c r="BA700" s="1" t="s">
        <v>74</v>
      </c>
      <c r="BB700" s="1" t="s">
        <v>74</v>
      </c>
      <c r="BC700" s="1" t="s">
        <v>74</v>
      </c>
      <c r="BD700" s="1">
        <v>21.0</v>
      </c>
      <c r="BE700" s="1" t="s">
        <v>7030</v>
      </c>
      <c r="BF700" s="2" t="str">
        <f>HYPERLINK("http://dx.doi.org/10.1186/s41182-023-00513-z","http://dx.doi.org/10.1186/s41182-023-00513-z")</f>
        <v>http://dx.doi.org/10.1186/s41182-023-00513-z</v>
      </c>
      <c r="BG700" s="1" t="s">
        <v>74</v>
      </c>
      <c r="BH700" s="1" t="s">
        <v>74</v>
      </c>
      <c r="BI700" s="1" t="s">
        <v>74</v>
      </c>
      <c r="BJ700" s="1" t="s">
        <v>74</v>
      </c>
      <c r="BK700" s="1" t="s">
        <v>74</v>
      </c>
      <c r="BL700" s="1" t="s">
        <v>74</v>
      </c>
      <c r="BM700" s="1" t="s">
        <v>74</v>
      </c>
      <c r="BN700" s="1">
        <v>3.7069696E7</v>
      </c>
      <c r="BO700" s="1" t="s">
        <v>74</v>
      </c>
      <c r="BP700" s="1" t="s">
        <v>74</v>
      </c>
      <c r="BQ700" s="1" t="s">
        <v>74</v>
      </c>
      <c r="BR700" s="1" t="s">
        <v>74</v>
      </c>
      <c r="BS700" s="1" t="s">
        <v>7031</v>
      </c>
      <c r="BT700" s="1" t="str">
        <f>HYPERLINK("https%3A%2F%2Fwww.webofscience.com%2Fwos%2Fwoscc%2Ffull-record%2FWOS:000970747700001","View Full Record in Web of Science")</f>
        <v>View Full Record in Web of Science</v>
      </c>
    </row>
    <row r="701" ht="12.75" customHeight="1">
      <c r="A701" s="1" t="s">
        <v>72</v>
      </c>
      <c r="B701" s="1" t="s">
        <v>7032</v>
      </c>
      <c r="C701" s="1" t="s">
        <v>74</v>
      </c>
      <c r="D701" s="1" t="s">
        <v>74</v>
      </c>
      <c r="E701" s="1" t="s">
        <v>74</v>
      </c>
      <c r="F701" s="1" t="s">
        <v>7033</v>
      </c>
      <c r="G701" s="1" t="s">
        <v>74</v>
      </c>
      <c r="H701" s="1" t="s">
        <v>74</v>
      </c>
      <c r="I701" s="1" t="s">
        <v>7034</v>
      </c>
      <c r="J701" s="1" t="s">
        <v>910</v>
      </c>
      <c r="K701" s="1" t="s">
        <v>74</v>
      </c>
      <c r="L701" s="1" t="s">
        <v>74</v>
      </c>
      <c r="M701" s="1" t="s">
        <v>74</v>
      </c>
      <c r="N701" s="1" t="s">
        <v>74</v>
      </c>
      <c r="O701" s="1" t="s">
        <v>74</v>
      </c>
      <c r="P701" s="1" t="s">
        <v>74</v>
      </c>
      <c r="Q701" s="1" t="s">
        <v>74</v>
      </c>
      <c r="R701" s="1" t="s">
        <v>74</v>
      </c>
      <c r="S701" s="1" t="s">
        <v>74</v>
      </c>
      <c r="T701" s="1" t="s">
        <v>74</v>
      </c>
      <c r="U701" s="1" t="s">
        <v>74</v>
      </c>
      <c r="V701" s="1" t="s">
        <v>7035</v>
      </c>
      <c r="W701" s="1" t="s">
        <v>74</v>
      </c>
      <c r="X701" s="1" t="s">
        <v>74</v>
      </c>
      <c r="Y701" s="1" t="s">
        <v>74</v>
      </c>
      <c r="Z701" s="1" t="s">
        <v>74</v>
      </c>
      <c r="AA701" s="1" t="s">
        <v>7036</v>
      </c>
      <c r="AB701" s="1" t="s">
        <v>7037</v>
      </c>
      <c r="AC701" s="1" t="s">
        <v>74</v>
      </c>
      <c r="AD701" s="1" t="s">
        <v>74</v>
      </c>
      <c r="AE701" s="1" t="s">
        <v>74</v>
      </c>
      <c r="AF701" s="1" t="s">
        <v>74</v>
      </c>
      <c r="AG701" s="1" t="s">
        <v>74</v>
      </c>
      <c r="AH701" s="1" t="s">
        <v>74</v>
      </c>
      <c r="AI701" s="1" t="s">
        <v>74</v>
      </c>
      <c r="AJ701" s="1" t="s">
        <v>74</v>
      </c>
      <c r="AK701" s="1" t="s">
        <v>74</v>
      </c>
      <c r="AL701" s="1" t="s">
        <v>74</v>
      </c>
      <c r="AM701" s="1" t="s">
        <v>74</v>
      </c>
      <c r="AN701" s="1" t="s">
        <v>74</v>
      </c>
      <c r="AO701" s="1" t="s">
        <v>74</v>
      </c>
      <c r="AP701" s="1" t="s">
        <v>914</v>
      </c>
      <c r="AQ701" s="1" t="s">
        <v>74</v>
      </c>
      <c r="AR701" s="1" t="s">
        <v>74</v>
      </c>
      <c r="AS701" s="1" t="s">
        <v>74</v>
      </c>
      <c r="AT701" s="1" t="s">
        <v>398</v>
      </c>
      <c r="AU701" s="1">
        <v>2022.0</v>
      </c>
      <c r="AV701" s="1">
        <v>22.0</v>
      </c>
      <c r="AW701" s="1">
        <v>3.0</v>
      </c>
      <c r="AX701" s="1" t="s">
        <v>74</v>
      </c>
      <c r="AY701" s="1" t="s">
        <v>74</v>
      </c>
      <c r="AZ701" s="1" t="s">
        <v>74</v>
      </c>
      <c r="BA701" s="1" t="s">
        <v>74</v>
      </c>
      <c r="BB701" s="1" t="s">
        <v>74</v>
      </c>
      <c r="BC701" s="1" t="s">
        <v>74</v>
      </c>
      <c r="BD701" s="1">
        <v>1011.0</v>
      </c>
      <c r="BE701" s="1" t="s">
        <v>7038</v>
      </c>
      <c r="BF701" s="2" t="str">
        <f>HYPERLINK("http://dx.doi.org/10.3390/s22031011","http://dx.doi.org/10.3390/s22031011")</f>
        <v>http://dx.doi.org/10.3390/s22031011</v>
      </c>
      <c r="BG701" s="1" t="s">
        <v>74</v>
      </c>
      <c r="BH701" s="1" t="s">
        <v>74</v>
      </c>
      <c r="BI701" s="1" t="s">
        <v>74</v>
      </c>
      <c r="BJ701" s="1" t="s">
        <v>74</v>
      </c>
      <c r="BK701" s="1" t="s">
        <v>74</v>
      </c>
      <c r="BL701" s="1" t="s">
        <v>74</v>
      </c>
      <c r="BM701" s="1" t="s">
        <v>74</v>
      </c>
      <c r="BN701" s="1">
        <v>3.5161757E7</v>
      </c>
      <c r="BO701" s="1" t="s">
        <v>74</v>
      </c>
      <c r="BP701" s="1" t="s">
        <v>74</v>
      </c>
      <c r="BQ701" s="1" t="s">
        <v>74</v>
      </c>
      <c r="BR701" s="1" t="s">
        <v>74</v>
      </c>
      <c r="BS701" s="1" t="s">
        <v>7039</v>
      </c>
      <c r="BT701" s="1" t="str">
        <f>HYPERLINK("https%3A%2F%2Fwww.webofscience.com%2Fwos%2Fwoscc%2Ffull-record%2FWOS:000754644200001","View Full Record in Web of Science")</f>
        <v>View Full Record in Web of Science</v>
      </c>
    </row>
    <row r="702" ht="12.75" customHeight="1">
      <c r="A702" s="1" t="s">
        <v>72</v>
      </c>
      <c r="B702" s="1" t="s">
        <v>7040</v>
      </c>
      <c r="C702" s="1" t="s">
        <v>74</v>
      </c>
      <c r="D702" s="1" t="s">
        <v>74</v>
      </c>
      <c r="E702" s="1" t="s">
        <v>74</v>
      </c>
      <c r="F702" s="1" t="s">
        <v>7041</v>
      </c>
      <c r="G702" s="1" t="s">
        <v>74</v>
      </c>
      <c r="H702" s="1" t="s">
        <v>74</v>
      </c>
      <c r="I702" s="1" t="s">
        <v>7042</v>
      </c>
      <c r="J702" s="1" t="s">
        <v>321</v>
      </c>
      <c r="K702" s="1" t="s">
        <v>74</v>
      </c>
      <c r="L702" s="1" t="s">
        <v>74</v>
      </c>
      <c r="M702" s="1" t="s">
        <v>74</v>
      </c>
      <c r="N702" s="1" t="s">
        <v>74</v>
      </c>
      <c r="O702" s="1" t="s">
        <v>74</v>
      </c>
      <c r="P702" s="1" t="s">
        <v>74</v>
      </c>
      <c r="Q702" s="1" t="s">
        <v>74</v>
      </c>
      <c r="R702" s="1" t="s">
        <v>74</v>
      </c>
      <c r="S702" s="1" t="s">
        <v>74</v>
      </c>
      <c r="T702" s="1" t="s">
        <v>74</v>
      </c>
      <c r="U702" s="1" t="s">
        <v>74</v>
      </c>
      <c r="V702" s="1" t="s">
        <v>7043</v>
      </c>
      <c r="W702" s="1" t="s">
        <v>74</v>
      </c>
      <c r="X702" s="1" t="s">
        <v>74</v>
      </c>
      <c r="Y702" s="1" t="s">
        <v>74</v>
      </c>
      <c r="Z702" s="1" t="s">
        <v>74</v>
      </c>
      <c r="AA702" s="1" t="s">
        <v>7044</v>
      </c>
      <c r="AB702" s="1" t="s">
        <v>7045</v>
      </c>
      <c r="AC702" s="1" t="s">
        <v>74</v>
      </c>
      <c r="AD702" s="1" t="s">
        <v>74</v>
      </c>
      <c r="AE702" s="1" t="s">
        <v>74</v>
      </c>
      <c r="AF702" s="1" t="s">
        <v>74</v>
      </c>
      <c r="AG702" s="1" t="s">
        <v>74</v>
      </c>
      <c r="AH702" s="1" t="s">
        <v>74</v>
      </c>
      <c r="AI702" s="1" t="s">
        <v>74</v>
      </c>
      <c r="AJ702" s="1" t="s">
        <v>74</v>
      </c>
      <c r="AK702" s="1" t="s">
        <v>74</v>
      </c>
      <c r="AL702" s="1" t="s">
        <v>74</v>
      </c>
      <c r="AM702" s="1" t="s">
        <v>74</v>
      </c>
      <c r="AN702" s="1" t="s">
        <v>74</v>
      </c>
      <c r="AO702" s="1" t="s">
        <v>325</v>
      </c>
      <c r="AP702" s="1" t="s">
        <v>326</v>
      </c>
      <c r="AQ702" s="1" t="s">
        <v>74</v>
      </c>
      <c r="AR702" s="1" t="s">
        <v>74</v>
      </c>
      <c r="AS702" s="1" t="s">
        <v>74</v>
      </c>
      <c r="AT702" s="1" t="s">
        <v>7046</v>
      </c>
      <c r="AU702" s="1">
        <v>2022.0</v>
      </c>
      <c r="AV702" s="1">
        <v>105.0</v>
      </c>
      <c r="AW702" s="1">
        <v>2.0</v>
      </c>
      <c r="AX702" s="1" t="s">
        <v>74</v>
      </c>
      <c r="AY702" s="1" t="s">
        <v>74</v>
      </c>
      <c r="AZ702" s="1" t="s">
        <v>74</v>
      </c>
      <c r="BA702" s="1" t="s">
        <v>74</v>
      </c>
      <c r="BB702" s="1" t="s">
        <v>74</v>
      </c>
      <c r="BC702" s="1" t="s">
        <v>74</v>
      </c>
      <c r="BD702" s="1">
        <v>24050.0</v>
      </c>
      <c r="BE702" s="1" t="s">
        <v>7047</v>
      </c>
      <c r="BF702" s="2" t="str">
        <f>HYPERLINK("http://dx.doi.org/10.1103/PhysRevD.105.024050","http://dx.doi.org/10.1103/PhysRevD.105.024050")</f>
        <v>http://dx.doi.org/10.1103/PhysRevD.105.024050</v>
      </c>
      <c r="BG702" s="1" t="s">
        <v>74</v>
      </c>
      <c r="BH702" s="1" t="s">
        <v>74</v>
      </c>
      <c r="BI702" s="1" t="s">
        <v>74</v>
      </c>
      <c r="BJ702" s="1" t="s">
        <v>74</v>
      </c>
      <c r="BK702" s="1" t="s">
        <v>74</v>
      </c>
      <c r="BL702" s="1" t="s">
        <v>74</v>
      </c>
      <c r="BM702" s="1" t="s">
        <v>74</v>
      </c>
      <c r="BN702" s="1" t="s">
        <v>74</v>
      </c>
      <c r="BO702" s="1" t="s">
        <v>74</v>
      </c>
      <c r="BP702" s="1" t="s">
        <v>74</v>
      </c>
      <c r="BQ702" s="1" t="s">
        <v>74</v>
      </c>
      <c r="BR702" s="1" t="s">
        <v>74</v>
      </c>
      <c r="BS702" s="1" t="s">
        <v>7048</v>
      </c>
      <c r="BT702" s="1" t="str">
        <f>HYPERLINK("https%3A%2F%2Fwww.webofscience.com%2Fwos%2Fwoscc%2Ffull-record%2FWOS:000750662900006","View Full Record in Web of Science")</f>
        <v>View Full Record in Web of Science</v>
      </c>
    </row>
    <row r="703" ht="12.75" customHeight="1">
      <c r="A703" s="1" t="s">
        <v>72</v>
      </c>
      <c r="B703" s="1" t="s">
        <v>7049</v>
      </c>
      <c r="C703" s="1" t="s">
        <v>74</v>
      </c>
      <c r="D703" s="1" t="s">
        <v>74</v>
      </c>
      <c r="E703" s="1" t="s">
        <v>74</v>
      </c>
      <c r="F703" s="1" t="s">
        <v>7050</v>
      </c>
      <c r="G703" s="1" t="s">
        <v>74</v>
      </c>
      <c r="H703" s="1" t="s">
        <v>74</v>
      </c>
      <c r="I703" s="1" t="s">
        <v>7051</v>
      </c>
      <c r="J703" s="1" t="s">
        <v>7052</v>
      </c>
      <c r="K703" s="1" t="s">
        <v>74</v>
      </c>
      <c r="L703" s="1" t="s">
        <v>74</v>
      </c>
      <c r="M703" s="1" t="s">
        <v>74</v>
      </c>
      <c r="N703" s="1" t="s">
        <v>74</v>
      </c>
      <c r="O703" s="1" t="s">
        <v>74</v>
      </c>
      <c r="P703" s="1" t="s">
        <v>74</v>
      </c>
      <c r="Q703" s="1" t="s">
        <v>74</v>
      </c>
      <c r="R703" s="1" t="s">
        <v>74</v>
      </c>
      <c r="S703" s="1" t="s">
        <v>74</v>
      </c>
      <c r="T703" s="1" t="s">
        <v>74</v>
      </c>
      <c r="U703" s="1" t="s">
        <v>74</v>
      </c>
      <c r="V703" s="1" t="s">
        <v>7053</v>
      </c>
      <c r="W703" s="1" t="s">
        <v>74</v>
      </c>
      <c r="X703" s="1" t="s">
        <v>74</v>
      </c>
      <c r="Y703" s="1" t="s">
        <v>74</v>
      </c>
      <c r="Z703" s="1" t="s">
        <v>74</v>
      </c>
      <c r="AA703" s="1" t="s">
        <v>7054</v>
      </c>
      <c r="AB703" s="1" t="s">
        <v>7055</v>
      </c>
      <c r="AC703" s="1" t="s">
        <v>74</v>
      </c>
      <c r="AD703" s="1" t="s">
        <v>74</v>
      </c>
      <c r="AE703" s="1" t="s">
        <v>74</v>
      </c>
      <c r="AF703" s="1" t="s">
        <v>74</v>
      </c>
      <c r="AG703" s="1" t="s">
        <v>74</v>
      </c>
      <c r="AH703" s="1" t="s">
        <v>74</v>
      </c>
      <c r="AI703" s="1" t="s">
        <v>74</v>
      </c>
      <c r="AJ703" s="1" t="s">
        <v>74</v>
      </c>
      <c r="AK703" s="1" t="s">
        <v>74</v>
      </c>
      <c r="AL703" s="1" t="s">
        <v>74</v>
      </c>
      <c r="AM703" s="1" t="s">
        <v>74</v>
      </c>
      <c r="AN703" s="1" t="s">
        <v>74</v>
      </c>
      <c r="AO703" s="1" t="s">
        <v>7056</v>
      </c>
      <c r="AP703" s="1" t="s">
        <v>7057</v>
      </c>
      <c r="AQ703" s="1" t="s">
        <v>74</v>
      </c>
      <c r="AR703" s="1" t="s">
        <v>74</v>
      </c>
      <c r="AS703" s="1" t="s">
        <v>74</v>
      </c>
      <c r="AT703" s="1" t="s">
        <v>559</v>
      </c>
      <c r="AU703" s="1">
        <v>2021.0</v>
      </c>
      <c r="AV703" s="1">
        <v>16.0</v>
      </c>
      <c r="AW703" s="1">
        <v>28.0</v>
      </c>
      <c r="AX703" s="1" t="s">
        <v>74</v>
      </c>
      <c r="AY703" s="1" t="s">
        <v>74</v>
      </c>
      <c r="AZ703" s="1" t="s">
        <v>74</v>
      </c>
      <c r="BA703" s="1" t="s">
        <v>74</v>
      </c>
      <c r="BB703" s="1">
        <v>2521.0</v>
      </c>
      <c r="BC703" s="1">
        <v>2538.0</v>
      </c>
      <c r="BD703" s="1" t="s">
        <v>74</v>
      </c>
      <c r="BE703" s="1" t="s">
        <v>7058</v>
      </c>
      <c r="BF703" s="2" t="str">
        <f>HYPERLINK("http://dx.doi.org/10.2217/nnm-2021-0224","http://dx.doi.org/10.2217/nnm-2021-0224")</f>
        <v>http://dx.doi.org/10.2217/nnm-2021-0224</v>
      </c>
      <c r="BG703" s="1" t="s">
        <v>74</v>
      </c>
      <c r="BH703" s="1" t="s">
        <v>6153</v>
      </c>
      <c r="BI703" s="1" t="s">
        <v>74</v>
      </c>
      <c r="BJ703" s="1" t="s">
        <v>74</v>
      </c>
      <c r="BK703" s="1" t="s">
        <v>74</v>
      </c>
      <c r="BL703" s="1" t="s">
        <v>74</v>
      </c>
      <c r="BM703" s="1" t="s">
        <v>74</v>
      </c>
      <c r="BN703" s="1">
        <v>3.4743611E7</v>
      </c>
      <c r="BO703" s="1" t="s">
        <v>74</v>
      </c>
      <c r="BP703" s="1" t="s">
        <v>74</v>
      </c>
      <c r="BQ703" s="1" t="s">
        <v>74</v>
      </c>
      <c r="BR703" s="1" t="s">
        <v>74</v>
      </c>
      <c r="BS703" s="1" t="s">
        <v>7059</v>
      </c>
      <c r="BT703" s="1" t="str">
        <f>HYPERLINK("https%3A%2F%2Fwww.webofscience.com%2Fwos%2Fwoscc%2Ffull-record%2FWOS:000715288000001","View Full Record in Web of Science")</f>
        <v>View Full Record in Web of Science</v>
      </c>
    </row>
    <row r="704" ht="12.75" customHeight="1">
      <c r="A704" s="1" t="s">
        <v>72</v>
      </c>
      <c r="B704" s="1" t="s">
        <v>7060</v>
      </c>
      <c r="C704" s="1" t="s">
        <v>74</v>
      </c>
      <c r="D704" s="1" t="s">
        <v>74</v>
      </c>
      <c r="E704" s="1" t="s">
        <v>74</v>
      </c>
      <c r="F704" s="1" t="s">
        <v>7061</v>
      </c>
      <c r="G704" s="1" t="s">
        <v>74</v>
      </c>
      <c r="H704" s="1" t="s">
        <v>74</v>
      </c>
      <c r="I704" s="1" t="s">
        <v>7062</v>
      </c>
      <c r="J704" s="1" t="s">
        <v>7063</v>
      </c>
      <c r="K704" s="1" t="s">
        <v>74</v>
      </c>
      <c r="L704" s="1" t="s">
        <v>74</v>
      </c>
      <c r="M704" s="1" t="s">
        <v>74</v>
      </c>
      <c r="N704" s="1" t="s">
        <v>74</v>
      </c>
      <c r="O704" s="1" t="s">
        <v>74</v>
      </c>
      <c r="P704" s="1" t="s">
        <v>74</v>
      </c>
      <c r="Q704" s="1" t="s">
        <v>74</v>
      </c>
      <c r="R704" s="1" t="s">
        <v>74</v>
      </c>
      <c r="S704" s="1" t="s">
        <v>74</v>
      </c>
      <c r="T704" s="1" t="s">
        <v>74</v>
      </c>
      <c r="U704" s="1" t="s">
        <v>74</v>
      </c>
      <c r="V704" s="1" t="s">
        <v>7064</v>
      </c>
      <c r="W704" s="1" t="s">
        <v>74</v>
      </c>
      <c r="X704" s="1" t="s">
        <v>74</v>
      </c>
      <c r="Y704" s="1" t="s">
        <v>74</v>
      </c>
      <c r="Z704" s="1" t="s">
        <v>74</v>
      </c>
      <c r="AA704" s="1" t="s">
        <v>7065</v>
      </c>
      <c r="AB704" s="1" t="s">
        <v>7066</v>
      </c>
      <c r="AC704" s="1" t="s">
        <v>74</v>
      </c>
      <c r="AD704" s="1" t="s">
        <v>74</v>
      </c>
      <c r="AE704" s="1" t="s">
        <v>74</v>
      </c>
      <c r="AF704" s="1" t="s">
        <v>74</v>
      </c>
      <c r="AG704" s="1" t="s">
        <v>74</v>
      </c>
      <c r="AH704" s="1" t="s">
        <v>74</v>
      </c>
      <c r="AI704" s="1" t="s">
        <v>74</v>
      </c>
      <c r="AJ704" s="1" t="s">
        <v>74</v>
      </c>
      <c r="AK704" s="1" t="s">
        <v>74</v>
      </c>
      <c r="AL704" s="1" t="s">
        <v>74</v>
      </c>
      <c r="AM704" s="1" t="s">
        <v>74</v>
      </c>
      <c r="AN704" s="1" t="s">
        <v>74</v>
      </c>
      <c r="AO704" s="1" t="s">
        <v>7067</v>
      </c>
      <c r="AP704" s="1" t="s">
        <v>7068</v>
      </c>
      <c r="AQ704" s="1" t="s">
        <v>74</v>
      </c>
      <c r="AR704" s="1" t="s">
        <v>74</v>
      </c>
      <c r="AS704" s="1" t="s">
        <v>74</v>
      </c>
      <c r="AT704" s="1" t="s">
        <v>250</v>
      </c>
      <c r="AU704" s="1">
        <v>2021.0</v>
      </c>
      <c r="AV704" s="1">
        <v>778.0</v>
      </c>
      <c r="AW704" s="1" t="s">
        <v>74</v>
      </c>
      <c r="AX704" s="1" t="s">
        <v>74</v>
      </c>
      <c r="AY704" s="1" t="s">
        <v>74</v>
      </c>
      <c r="AZ704" s="1" t="s">
        <v>74</v>
      </c>
      <c r="BA704" s="1" t="s">
        <v>74</v>
      </c>
      <c r="BB704" s="1" t="s">
        <v>74</v>
      </c>
      <c r="BC704" s="1" t="s">
        <v>74</v>
      </c>
      <c r="BD704" s="1">
        <v>138825.0</v>
      </c>
      <c r="BE704" s="1" t="s">
        <v>7069</v>
      </c>
      <c r="BF704" s="2" t="str">
        <f>HYPERLINK("http://dx.doi.org/10.1016/j.cplett.2021.138825","http://dx.doi.org/10.1016/j.cplett.2021.138825")</f>
        <v>http://dx.doi.org/10.1016/j.cplett.2021.138825</v>
      </c>
      <c r="BG704" s="1" t="s">
        <v>74</v>
      </c>
      <c r="BH704" s="1" t="s">
        <v>3031</v>
      </c>
      <c r="BI704" s="1" t="s">
        <v>74</v>
      </c>
      <c r="BJ704" s="1" t="s">
        <v>74</v>
      </c>
      <c r="BK704" s="1" t="s">
        <v>74</v>
      </c>
      <c r="BL704" s="1" t="s">
        <v>74</v>
      </c>
      <c r="BM704" s="1" t="s">
        <v>74</v>
      </c>
      <c r="BN704" s="1" t="s">
        <v>74</v>
      </c>
      <c r="BO704" s="1" t="s">
        <v>74</v>
      </c>
      <c r="BP704" s="1" t="s">
        <v>74</v>
      </c>
      <c r="BQ704" s="1" t="s">
        <v>74</v>
      </c>
      <c r="BR704" s="1" t="s">
        <v>74</v>
      </c>
      <c r="BS704" s="1" t="s">
        <v>7070</v>
      </c>
      <c r="BT704" s="1" t="str">
        <f>HYPERLINK("https%3A%2F%2Fwww.webofscience.com%2Fwos%2Fwoscc%2Ffull-record%2FWOS:000674626800009","View Full Record in Web of Science")</f>
        <v>View Full Record in Web of Science</v>
      </c>
    </row>
    <row r="705" ht="12.75" customHeight="1">
      <c r="A705" s="1" t="s">
        <v>72</v>
      </c>
      <c r="B705" s="1" t="s">
        <v>7071</v>
      </c>
      <c r="C705" s="1" t="s">
        <v>74</v>
      </c>
      <c r="D705" s="1" t="s">
        <v>74</v>
      </c>
      <c r="E705" s="1" t="s">
        <v>74</v>
      </c>
      <c r="F705" s="1" t="s">
        <v>7072</v>
      </c>
      <c r="G705" s="1" t="s">
        <v>74</v>
      </c>
      <c r="H705" s="1" t="s">
        <v>74</v>
      </c>
      <c r="I705" s="1" t="s">
        <v>7073</v>
      </c>
      <c r="J705" s="1" t="s">
        <v>7074</v>
      </c>
      <c r="K705" s="1" t="s">
        <v>74</v>
      </c>
      <c r="L705" s="1" t="s">
        <v>74</v>
      </c>
      <c r="M705" s="1" t="s">
        <v>74</v>
      </c>
      <c r="N705" s="1" t="s">
        <v>74</v>
      </c>
      <c r="O705" s="1" t="s">
        <v>74</v>
      </c>
      <c r="P705" s="1" t="s">
        <v>74</v>
      </c>
      <c r="Q705" s="1" t="s">
        <v>74</v>
      </c>
      <c r="R705" s="1" t="s">
        <v>74</v>
      </c>
      <c r="S705" s="1" t="s">
        <v>74</v>
      </c>
      <c r="T705" s="1" t="s">
        <v>74</v>
      </c>
      <c r="U705" s="1" t="s">
        <v>74</v>
      </c>
      <c r="V705" s="1" t="s">
        <v>7075</v>
      </c>
      <c r="W705" s="1" t="s">
        <v>74</v>
      </c>
      <c r="X705" s="1" t="s">
        <v>74</v>
      </c>
      <c r="Y705" s="1" t="s">
        <v>74</v>
      </c>
      <c r="Z705" s="1" t="s">
        <v>74</v>
      </c>
      <c r="AA705" s="1" t="s">
        <v>7076</v>
      </c>
      <c r="AB705" s="1" t="s">
        <v>7077</v>
      </c>
      <c r="AC705" s="1" t="s">
        <v>74</v>
      </c>
      <c r="AD705" s="1" t="s">
        <v>74</v>
      </c>
      <c r="AE705" s="1" t="s">
        <v>74</v>
      </c>
      <c r="AF705" s="1" t="s">
        <v>74</v>
      </c>
      <c r="AG705" s="1" t="s">
        <v>74</v>
      </c>
      <c r="AH705" s="1" t="s">
        <v>74</v>
      </c>
      <c r="AI705" s="1" t="s">
        <v>74</v>
      </c>
      <c r="AJ705" s="1" t="s">
        <v>74</v>
      </c>
      <c r="AK705" s="1" t="s">
        <v>74</v>
      </c>
      <c r="AL705" s="1" t="s">
        <v>74</v>
      </c>
      <c r="AM705" s="1" t="s">
        <v>74</v>
      </c>
      <c r="AN705" s="1" t="s">
        <v>74</v>
      </c>
      <c r="AO705" s="1" t="s">
        <v>7078</v>
      </c>
      <c r="AP705" s="1" t="s">
        <v>7079</v>
      </c>
      <c r="AQ705" s="1" t="s">
        <v>74</v>
      </c>
      <c r="AR705" s="1" t="s">
        <v>74</v>
      </c>
      <c r="AS705" s="1" t="s">
        <v>74</v>
      </c>
      <c r="AT705" s="1" t="s">
        <v>74</v>
      </c>
      <c r="AU705" s="1">
        <v>2021.0</v>
      </c>
      <c r="AV705" s="1">
        <v>24.0</v>
      </c>
      <c r="AW705" s="1" t="s">
        <v>74</v>
      </c>
      <c r="AX705" s="1" t="s">
        <v>74</v>
      </c>
      <c r="AY705" s="1">
        <v>3.0</v>
      </c>
      <c r="AZ705" s="1" t="s">
        <v>74</v>
      </c>
      <c r="BA705" s="1" t="s">
        <v>74</v>
      </c>
      <c r="BB705" s="1">
        <v>157.0</v>
      </c>
      <c r="BC705" s="1">
        <v>170.0</v>
      </c>
      <c r="BD705" s="1" t="s">
        <v>74</v>
      </c>
      <c r="BE705" s="1" t="s">
        <v>7080</v>
      </c>
      <c r="BF705" s="2" t="str">
        <f>HYPERLINK("http://dx.doi.org/10.5802/crchim.113","http://dx.doi.org/10.5802/crchim.113")</f>
        <v>http://dx.doi.org/10.5802/crchim.113</v>
      </c>
      <c r="BG705" s="1" t="s">
        <v>74</v>
      </c>
      <c r="BH705" s="1" t="s">
        <v>74</v>
      </c>
      <c r="BI705" s="1" t="s">
        <v>74</v>
      </c>
      <c r="BJ705" s="1" t="s">
        <v>74</v>
      </c>
      <c r="BK705" s="1" t="s">
        <v>74</v>
      </c>
      <c r="BL705" s="1" t="s">
        <v>74</v>
      </c>
      <c r="BM705" s="1" t="s">
        <v>74</v>
      </c>
      <c r="BN705" s="1" t="s">
        <v>74</v>
      </c>
      <c r="BO705" s="1" t="s">
        <v>74</v>
      </c>
      <c r="BP705" s="1" t="s">
        <v>74</v>
      </c>
      <c r="BQ705" s="1" t="s">
        <v>74</v>
      </c>
      <c r="BR705" s="1" t="s">
        <v>74</v>
      </c>
      <c r="BS705" s="1" t="s">
        <v>7081</v>
      </c>
      <c r="BT705" s="1" t="str">
        <f>HYPERLINK("https%3A%2F%2Fwww.webofscience.com%2Fwos%2Fwoscc%2Ffull-record%2FWOS:000746399200014","View Full Record in Web of Science")</f>
        <v>View Full Record in Web of Science</v>
      </c>
    </row>
    <row r="706" ht="12.75" customHeight="1">
      <c r="A706" s="1" t="s">
        <v>72</v>
      </c>
      <c r="B706" s="1" t="s">
        <v>7082</v>
      </c>
      <c r="C706" s="1" t="s">
        <v>74</v>
      </c>
      <c r="D706" s="1" t="s">
        <v>74</v>
      </c>
      <c r="E706" s="1" t="s">
        <v>74</v>
      </c>
      <c r="F706" s="1" t="s">
        <v>7083</v>
      </c>
      <c r="G706" s="1" t="s">
        <v>74</v>
      </c>
      <c r="H706" s="1" t="s">
        <v>74</v>
      </c>
      <c r="I706" s="1" t="s">
        <v>7084</v>
      </c>
      <c r="J706" s="1" t="s">
        <v>7085</v>
      </c>
      <c r="K706" s="1" t="s">
        <v>74</v>
      </c>
      <c r="L706" s="1" t="s">
        <v>74</v>
      </c>
      <c r="M706" s="1" t="s">
        <v>74</v>
      </c>
      <c r="N706" s="1" t="s">
        <v>74</v>
      </c>
      <c r="O706" s="1" t="s">
        <v>74</v>
      </c>
      <c r="P706" s="1" t="s">
        <v>74</v>
      </c>
      <c r="Q706" s="1" t="s">
        <v>74</v>
      </c>
      <c r="R706" s="1" t="s">
        <v>74</v>
      </c>
      <c r="S706" s="1" t="s">
        <v>74</v>
      </c>
      <c r="T706" s="1" t="s">
        <v>74</v>
      </c>
      <c r="U706" s="1" t="s">
        <v>74</v>
      </c>
      <c r="V706" s="1" t="s">
        <v>7086</v>
      </c>
      <c r="W706" s="1" t="s">
        <v>74</v>
      </c>
      <c r="X706" s="1" t="s">
        <v>74</v>
      </c>
      <c r="Y706" s="1" t="s">
        <v>74</v>
      </c>
      <c r="Z706" s="1" t="s">
        <v>74</v>
      </c>
      <c r="AA706" s="1" t="s">
        <v>7087</v>
      </c>
      <c r="AB706" s="1" t="s">
        <v>7088</v>
      </c>
      <c r="AC706" s="1" t="s">
        <v>74</v>
      </c>
      <c r="AD706" s="1" t="s">
        <v>74</v>
      </c>
      <c r="AE706" s="1" t="s">
        <v>74</v>
      </c>
      <c r="AF706" s="1" t="s">
        <v>74</v>
      </c>
      <c r="AG706" s="1" t="s">
        <v>74</v>
      </c>
      <c r="AH706" s="1" t="s">
        <v>74</v>
      </c>
      <c r="AI706" s="1" t="s">
        <v>74</v>
      </c>
      <c r="AJ706" s="1" t="s">
        <v>74</v>
      </c>
      <c r="AK706" s="1" t="s">
        <v>74</v>
      </c>
      <c r="AL706" s="1" t="s">
        <v>74</v>
      </c>
      <c r="AM706" s="1" t="s">
        <v>74</v>
      </c>
      <c r="AN706" s="1" t="s">
        <v>74</v>
      </c>
      <c r="AO706" s="1" t="s">
        <v>7089</v>
      </c>
      <c r="AP706" s="1" t="s">
        <v>7090</v>
      </c>
      <c r="AQ706" s="1" t="s">
        <v>74</v>
      </c>
      <c r="AR706" s="1" t="s">
        <v>74</v>
      </c>
      <c r="AS706" s="1" t="s">
        <v>74</v>
      </c>
      <c r="AT706" s="1" t="s">
        <v>559</v>
      </c>
      <c r="AU706" s="1">
        <v>2020.0</v>
      </c>
      <c r="AV706" s="1">
        <v>112.0</v>
      </c>
      <c r="AW706" s="1" t="s">
        <v>74</v>
      </c>
      <c r="AX706" s="1" t="s">
        <v>74</v>
      </c>
      <c r="AY706" s="1" t="s">
        <v>74</v>
      </c>
      <c r="AZ706" s="1" t="s">
        <v>74</v>
      </c>
      <c r="BA706" s="1" t="s">
        <v>74</v>
      </c>
      <c r="BB706" s="1" t="s">
        <v>74</v>
      </c>
      <c r="BC706" s="1" t="s">
        <v>74</v>
      </c>
      <c r="BD706" s="1">
        <v>104013.0</v>
      </c>
      <c r="BE706" s="1" t="s">
        <v>7091</v>
      </c>
      <c r="BF706" s="2" t="str">
        <f>HYPERLINK("http://dx.doi.org/10.1016/j.jmbbm.2020.104013","http://dx.doi.org/10.1016/j.jmbbm.2020.104013")</f>
        <v>http://dx.doi.org/10.1016/j.jmbbm.2020.104013</v>
      </c>
      <c r="BG706" s="1" t="s">
        <v>74</v>
      </c>
      <c r="BH706" s="1" t="s">
        <v>74</v>
      </c>
      <c r="BI706" s="1" t="s">
        <v>74</v>
      </c>
      <c r="BJ706" s="1" t="s">
        <v>74</v>
      </c>
      <c r="BK706" s="1" t="s">
        <v>74</v>
      </c>
      <c r="BL706" s="1" t="s">
        <v>74</v>
      </c>
      <c r="BM706" s="1" t="s">
        <v>74</v>
      </c>
      <c r="BN706" s="1">
        <v>3.2846285E7</v>
      </c>
      <c r="BO706" s="1" t="s">
        <v>74</v>
      </c>
      <c r="BP706" s="1" t="s">
        <v>74</v>
      </c>
      <c r="BQ706" s="1" t="s">
        <v>74</v>
      </c>
      <c r="BR706" s="1" t="s">
        <v>74</v>
      </c>
      <c r="BS706" s="1" t="s">
        <v>7092</v>
      </c>
      <c r="BT706" s="1" t="str">
        <f>HYPERLINK("https%3A%2F%2Fwww.webofscience.com%2Fwos%2Fwoscc%2Ffull-record%2FWOS:000587639200001","View Full Record in Web of Science")</f>
        <v>View Full Record in Web of Science</v>
      </c>
    </row>
    <row r="707" ht="12.75" customHeight="1">
      <c r="A707" s="1" t="s">
        <v>72</v>
      </c>
      <c r="B707" s="1" t="s">
        <v>7093</v>
      </c>
      <c r="C707" s="1" t="s">
        <v>74</v>
      </c>
      <c r="D707" s="1" t="s">
        <v>74</v>
      </c>
      <c r="E707" s="1" t="s">
        <v>74</v>
      </c>
      <c r="F707" s="1" t="s">
        <v>7094</v>
      </c>
      <c r="G707" s="1" t="s">
        <v>74</v>
      </c>
      <c r="H707" s="1" t="s">
        <v>74</v>
      </c>
      <c r="I707" s="1" t="s">
        <v>7095</v>
      </c>
      <c r="J707" s="1" t="s">
        <v>444</v>
      </c>
      <c r="K707" s="1" t="s">
        <v>74</v>
      </c>
      <c r="L707" s="1" t="s">
        <v>74</v>
      </c>
      <c r="M707" s="1" t="s">
        <v>74</v>
      </c>
      <c r="N707" s="1" t="s">
        <v>74</v>
      </c>
      <c r="O707" s="1" t="s">
        <v>74</v>
      </c>
      <c r="P707" s="1" t="s">
        <v>74</v>
      </c>
      <c r="Q707" s="1" t="s">
        <v>74</v>
      </c>
      <c r="R707" s="1" t="s">
        <v>74</v>
      </c>
      <c r="S707" s="1" t="s">
        <v>74</v>
      </c>
      <c r="T707" s="1" t="s">
        <v>74</v>
      </c>
      <c r="U707" s="1" t="s">
        <v>74</v>
      </c>
      <c r="V707" s="1" t="s">
        <v>7096</v>
      </c>
      <c r="W707" s="1" t="s">
        <v>74</v>
      </c>
      <c r="X707" s="1" t="s">
        <v>74</v>
      </c>
      <c r="Y707" s="1" t="s">
        <v>74</v>
      </c>
      <c r="Z707" s="1" t="s">
        <v>74</v>
      </c>
      <c r="AA707" s="1" t="s">
        <v>7097</v>
      </c>
      <c r="AB707" s="1" t="s">
        <v>74</v>
      </c>
      <c r="AC707" s="1" t="s">
        <v>74</v>
      </c>
      <c r="AD707" s="1" t="s">
        <v>74</v>
      </c>
      <c r="AE707" s="1" t="s">
        <v>74</v>
      </c>
      <c r="AF707" s="1" t="s">
        <v>74</v>
      </c>
      <c r="AG707" s="1" t="s">
        <v>74</v>
      </c>
      <c r="AH707" s="1" t="s">
        <v>74</v>
      </c>
      <c r="AI707" s="1" t="s">
        <v>74</v>
      </c>
      <c r="AJ707" s="1" t="s">
        <v>74</v>
      </c>
      <c r="AK707" s="1" t="s">
        <v>74</v>
      </c>
      <c r="AL707" s="1" t="s">
        <v>74</v>
      </c>
      <c r="AM707" s="1" t="s">
        <v>74</v>
      </c>
      <c r="AN707" s="1" t="s">
        <v>74</v>
      </c>
      <c r="AO707" s="1" t="s">
        <v>448</v>
      </c>
      <c r="AP707" s="1" t="s">
        <v>74</v>
      </c>
      <c r="AQ707" s="1" t="s">
        <v>74</v>
      </c>
      <c r="AR707" s="1" t="s">
        <v>74</v>
      </c>
      <c r="AS707" s="1" t="s">
        <v>74</v>
      </c>
      <c r="AT707" s="1" t="s">
        <v>5929</v>
      </c>
      <c r="AU707" s="1">
        <v>2020.0</v>
      </c>
      <c r="AV707" s="1">
        <v>10.0</v>
      </c>
      <c r="AW707" s="1" t="s">
        <v>74</v>
      </c>
      <c r="AX707" s="1" t="s">
        <v>74</v>
      </c>
      <c r="AY707" s="1" t="s">
        <v>74</v>
      </c>
      <c r="AZ707" s="1" t="s">
        <v>74</v>
      </c>
      <c r="BA707" s="1" t="s">
        <v>74</v>
      </c>
      <c r="BB707" s="1" t="s">
        <v>74</v>
      </c>
      <c r="BC707" s="1" t="s">
        <v>74</v>
      </c>
      <c r="BD707" s="1">
        <v>1590.0</v>
      </c>
      <c r="BE707" s="1" t="s">
        <v>7098</v>
      </c>
      <c r="BF707" s="2" t="str">
        <f>HYPERLINK("http://dx.doi.org/10.3389/fphar.2019.01590","http://dx.doi.org/10.3389/fphar.2019.01590")</f>
        <v>http://dx.doi.org/10.3389/fphar.2019.01590</v>
      </c>
      <c r="BG707" s="1" t="s">
        <v>74</v>
      </c>
      <c r="BH707" s="1" t="s">
        <v>74</v>
      </c>
      <c r="BI707" s="1" t="s">
        <v>74</v>
      </c>
      <c r="BJ707" s="1" t="s">
        <v>74</v>
      </c>
      <c r="BK707" s="1" t="s">
        <v>74</v>
      </c>
      <c r="BL707" s="1" t="s">
        <v>74</v>
      </c>
      <c r="BM707" s="1" t="s">
        <v>74</v>
      </c>
      <c r="BN707" s="1">
        <v>3.2038257E7</v>
      </c>
      <c r="BO707" s="1" t="s">
        <v>74</v>
      </c>
      <c r="BP707" s="1" t="s">
        <v>74</v>
      </c>
      <c r="BQ707" s="1" t="s">
        <v>74</v>
      </c>
      <c r="BR707" s="1" t="s">
        <v>74</v>
      </c>
      <c r="BS707" s="1" t="s">
        <v>7099</v>
      </c>
      <c r="BT707" s="1" t="str">
        <f>HYPERLINK("https%3A%2F%2Fwww.webofscience.com%2Fwos%2Fwoscc%2Ffull-record%2FWOS:000512095900001","View Full Record in Web of Science")</f>
        <v>View Full Record in Web of Science</v>
      </c>
    </row>
    <row r="708" ht="12.75" customHeight="1">
      <c r="A708" s="1" t="s">
        <v>72</v>
      </c>
      <c r="B708" s="1" t="s">
        <v>7100</v>
      </c>
      <c r="C708" s="1" t="s">
        <v>74</v>
      </c>
      <c r="D708" s="1" t="s">
        <v>74</v>
      </c>
      <c r="E708" s="1" t="s">
        <v>74</v>
      </c>
      <c r="F708" s="1" t="s">
        <v>7101</v>
      </c>
      <c r="G708" s="1" t="s">
        <v>74</v>
      </c>
      <c r="H708" s="1" t="s">
        <v>74</v>
      </c>
      <c r="I708" s="1" t="s">
        <v>7102</v>
      </c>
      <c r="J708" s="1" t="s">
        <v>7103</v>
      </c>
      <c r="K708" s="1" t="s">
        <v>74</v>
      </c>
      <c r="L708" s="1" t="s">
        <v>74</v>
      </c>
      <c r="M708" s="1" t="s">
        <v>74</v>
      </c>
      <c r="N708" s="1" t="s">
        <v>74</v>
      </c>
      <c r="O708" s="1" t="s">
        <v>74</v>
      </c>
      <c r="P708" s="1" t="s">
        <v>74</v>
      </c>
      <c r="Q708" s="1" t="s">
        <v>74</v>
      </c>
      <c r="R708" s="1" t="s">
        <v>74</v>
      </c>
      <c r="S708" s="1" t="s">
        <v>74</v>
      </c>
      <c r="T708" s="1" t="s">
        <v>74</v>
      </c>
      <c r="U708" s="1" t="s">
        <v>74</v>
      </c>
      <c r="V708" s="1" t="s">
        <v>7104</v>
      </c>
      <c r="W708" s="1" t="s">
        <v>74</v>
      </c>
      <c r="X708" s="1" t="s">
        <v>74</v>
      </c>
      <c r="Y708" s="1" t="s">
        <v>74</v>
      </c>
      <c r="Z708" s="1" t="s">
        <v>74</v>
      </c>
      <c r="AA708" s="1" t="s">
        <v>7105</v>
      </c>
      <c r="AB708" s="1" t="s">
        <v>74</v>
      </c>
      <c r="AC708" s="1" t="s">
        <v>74</v>
      </c>
      <c r="AD708" s="1" t="s">
        <v>74</v>
      </c>
      <c r="AE708" s="1" t="s">
        <v>74</v>
      </c>
      <c r="AF708" s="1" t="s">
        <v>74</v>
      </c>
      <c r="AG708" s="1" t="s">
        <v>74</v>
      </c>
      <c r="AH708" s="1" t="s">
        <v>74</v>
      </c>
      <c r="AI708" s="1" t="s">
        <v>74</v>
      </c>
      <c r="AJ708" s="1" t="s">
        <v>74</v>
      </c>
      <c r="AK708" s="1" t="s">
        <v>74</v>
      </c>
      <c r="AL708" s="1" t="s">
        <v>74</v>
      </c>
      <c r="AM708" s="1" t="s">
        <v>74</v>
      </c>
      <c r="AN708" s="1" t="s">
        <v>74</v>
      </c>
      <c r="AO708" s="1" t="s">
        <v>7106</v>
      </c>
      <c r="AP708" s="1" t="s">
        <v>74</v>
      </c>
      <c r="AQ708" s="1" t="s">
        <v>74</v>
      </c>
      <c r="AR708" s="1" t="s">
        <v>74</v>
      </c>
      <c r="AS708" s="1" t="s">
        <v>74</v>
      </c>
      <c r="AT708" s="1" t="s">
        <v>464</v>
      </c>
      <c r="AU708" s="1">
        <v>2019.0</v>
      </c>
      <c r="AV708" s="1">
        <v>462.0</v>
      </c>
      <c r="AW708" s="1" t="s">
        <v>74</v>
      </c>
      <c r="AX708" s="1" t="s">
        <v>74</v>
      </c>
      <c r="AY708" s="1" t="s">
        <v>74</v>
      </c>
      <c r="AZ708" s="1" t="s">
        <v>74</v>
      </c>
      <c r="BA708" s="1" t="s">
        <v>74</v>
      </c>
      <c r="BB708" s="1">
        <v>126.0</v>
      </c>
      <c r="BC708" s="1">
        <v>131.0</v>
      </c>
      <c r="BD708" s="1" t="s">
        <v>74</v>
      </c>
      <c r="BE708" s="1" t="s">
        <v>7107</v>
      </c>
      <c r="BF708" s="2" t="str">
        <f>HYPERLINK("http://dx.doi.org/10.1016/j.mcat.2018.07.020","http://dx.doi.org/10.1016/j.mcat.2018.07.020")</f>
        <v>http://dx.doi.org/10.1016/j.mcat.2018.07.020</v>
      </c>
      <c r="BG708" s="1" t="s">
        <v>74</v>
      </c>
      <c r="BH708" s="1" t="s">
        <v>74</v>
      </c>
      <c r="BI708" s="1" t="s">
        <v>74</v>
      </c>
      <c r="BJ708" s="1" t="s">
        <v>74</v>
      </c>
      <c r="BK708" s="1" t="s">
        <v>74</v>
      </c>
      <c r="BL708" s="1" t="s">
        <v>74</v>
      </c>
      <c r="BM708" s="1" t="s">
        <v>74</v>
      </c>
      <c r="BN708" s="1" t="s">
        <v>74</v>
      </c>
      <c r="BO708" s="1" t="s">
        <v>74</v>
      </c>
      <c r="BP708" s="1" t="s">
        <v>74</v>
      </c>
      <c r="BQ708" s="1" t="s">
        <v>74</v>
      </c>
      <c r="BR708" s="1" t="s">
        <v>74</v>
      </c>
      <c r="BS708" s="1" t="s">
        <v>7108</v>
      </c>
      <c r="BT708" s="1" t="str">
        <f>HYPERLINK("https%3A%2F%2Fwww.webofscience.com%2Fwos%2Fwoscc%2Ffull-record%2FWOS:000452932800015","View Full Record in Web of Science")</f>
        <v>View Full Record in Web of Science</v>
      </c>
    </row>
    <row r="709" ht="12.75" customHeight="1">
      <c r="A709" s="1" t="s">
        <v>72</v>
      </c>
      <c r="B709" s="1" t="s">
        <v>7109</v>
      </c>
      <c r="C709" s="1" t="s">
        <v>74</v>
      </c>
      <c r="D709" s="1" t="s">
        <v>74</v>
      </c>
      <c r="E709" s="1" t="s">
        <v>74</v>
      </c>
      <c r="F709" s="1" t="s">
        <v>7110</v>
      </c>
      <c r="G709" s="1" t="s">
        <v>74</v>
      </c>
      <c r="H709" s="1" t="s">
        <v>74</v>
      </c>
      <c r="I709" s="1" t="s">
        <v>7111</v>
      </c>
      <c r="J709" s="1" t="s">
        <v>7112</v>
      </c>
      <c r="K709" s="1" t="s">
        <v>74</v>
      </c>
      <c r="L709" s="1" t="s">
        <v>74</v>
      </c>
      <c r="M709" s="1" t="s">
        <v>74</v>
      </c>
      <c r="N709" s="1" t="s">
        <v>74</v>
      </c>
      <c r="O709" s="1" t="s">
        <v>74</v>
      </c>
      <c r="P709" s="1" t="s">
        <v>74</v>
      </c>
      <c r="Q709" s="1" t="s">
        <v>74</v>
      </c>
      <c r="R709" s="1" t="s">
        <v>74</v>
      </c>
      <c r="S709" s="1" t="s">
        <v>74</v>
      </c>
      <c r="T709" s="1" t="s">
        <v>74</v>
      </c>
      <c r="U709" s="1" t="s">
        <v>74</v>
      </c>
      <c r="V709" s="1" t="s">
        <v>7113</v>
      </c>
      <c r="W709" s="1" t="s">
        <v>74</v>
      </c>
      <c r="X709" s="1" t="s">
        <v>74</v>
      </c>
      <c r="Y709" s="1" t="s">
        <v>74</v>
      </c>
      <c r="Z709" s="1" t="s">
        <v>74</v>
      </c>
      <c r="AA709" s="1" t="s">
        <v>7114</v>
      </c>
      <c r="AB709" s="1" t="s">
        <v>7115</v>
      </c>
      <c r="AC709" s="1" t="s">
        <v>74</v>
      </c>
      <c r="AD709" s="1" t="s">
        <v>74</v>
      </c>
      <c r="AE709" s="1" t="s">
        <v>74</v>
      </c>
      <c r="AF709" s="1" t="s">
        <v>74</v>
      </c>
      <c r="AG709" s="1" t="s">
        <v>74</v>
      </c>
      <c r="AH709" s="1" t="s">
        <v>74</v>
      </c>
      <c r="AI709" s="1" t="s">
        <v>74</v>
      </c>
      <c r="AJ709" s="1" t="s">
        <v>74</v>
      </c>
      <c r="AK709" s="1" t="s">
        <v>74</v>
      </c>
      <c r="AL709" s="1" t="s">
        <v>74</v>
      </c>
      <c r="AM709" s="1" t="s">
        <v>74</v>
      </c>
      <c r="AN709" s="1" t="s">
        <v>74</v>
      </c>
      <c r="AO709" s="1" t="s">
        <v>7116</v>
      </c>
      <c r="AP709" s="1" t="s">
        <v>7117</v>
      </c>
      <c r="AQ709" s="1" t="s">
        <v>74</v>
      </c>
      <c r="AR709" s="1" t="s">
        <v>74</v>
      </c>
      <c r="AS709" s="1" t="s">
        <v>74</v>
      </c>
      <c r="AT709" s="1" t="s">
        <v>250</v>
      </c>
      <c r="AU709" s="1">
        <v>2018.0</v>
      </c>
      <c r="AV709" s="1">
        <v>122.0</v>
      </c>
      <c r="AW709" s="1">
        <v>9.0</v>
      </c>
      <c r="AX709" s="1" t="s">
        <v>74</v>
      </c>
      <c r="AY709" s="1" t="s">
        <v>74</v>
      </c>
      <c r="AZ709" s="1" t="s">
        <v>74</v>
      </c>
      <c r="BA709" s="1" t="s">
        <v>74</v>
      </c>
      <c r="BB709" s="1">
        <v>875.0</v>
      </c>
      <c r="BC709" s="1">
        <v>882.0</v>
      </c>
      <c r="BD709" s="1" t="s">
        <v>74</v>
      </c>
      <c r="BE709" s="1" t="s">
        <v>7118</v>
      </c>
      <c r="BF709" s="2" t="str">
        <f>HYPERLINK("http://dx.doi.org/10.1016/j.funbio.2018.05.002","http://dx.doi.org/10.1016/j.funbio.2018.05.002")</f>
        <v>http://dx.doi.org/10.1016/j.funbio.2018.05.002</v>
      </c>
      <c r="BG709" s="1" t="s">
        <v>74</v>
      </c>
      <c r="BH709" s="1" t="s">
        <v>74</v>
      </c>
      <c r="BI709" s="1" t="s">
        <v>74</v>
      </c>
      <c r="BJ709" s="1" t="s">
        <v>74</v>
      </c>
      <c r="BK709" s="1" t="s">
        <v>74</v>
      </c>
      <c r="BL709" s="1" t="s">
        <v>74</v>
      </c>
      <c r="BM709" s="1" t="s">
        <v>74</v>
      </c>
      <c r="BN709" s="1">
        <v>3.0115321E7</v>
      </c>
      <c r="BO709" s="1" t="s">
        <v>74</v>
      </c>
      <c r="BP709" s="1" t="s">
        <v>74</v>
      </c>
      <c r="BQ709" s="1" t="s">
        <v>74</v>
      </c>
      <c r="BR709" s="1" t="s">
        <v>74</v>
      </c>
      <c r="BS709" s="1" t="s">
        <v>7119</v>
      </c>
      <c r="BT709" s="1" t="str">
        <f>HYPERLINK("https%3A%2F%2Fwww.webofscience.com%2Fwos%2Fwoscc%2Ffull-record%2FWOS:000442973600005","View Full Record in Web of Science")</f>
        <v>View Full Record in Web of Science</v>
      </c>
    </row>
    <row r="710" ht="12.75" customHeight="1">
      <c r="A710" s="1" t="s">
        <v>72</v>
      </c>
      <c r="B710" s="1" t="s">
        <v>7120</v>
      </c>
      <c r="C710" s="1" t="s">
        <v>74</v>
      </c>
      <c r="D710" s="1" t="s">
        <v>74</v>
      </c>
      <c r="E710" s="1" t="s">
        <v>74</v>
      </c>
      <c r="F710" s="1" t="s">
        <v>7121</v>
      </c>
      <c r="G710" s="1" t="s">
        <v>74</v>
      </c>
      <c r="H710" s="1" t="s">
        <v>74</v>
      </c>
      <c r="I710" s="1" t="s">
        <v>7122</v>
      </c>
      <c r="J710" s="1" t="s">
        <v>4674</v>
      </c>
      <c r="K710" s="1" t="s">
        <v>74</v>
      </c>
      <c r="L710" s="1" t="s">
        <v>74</v>
      </c>
      <c r="M710" s="1" t="s">
        <v>74</v>
      </c>
      <c r="N710" s="1" t="s">
        <v>74</v>
      </c>
      <c r="O710" s="1" t="s">
        <v>74</v>
      </c>
      <c r="P710" s="1" t="s">
        <v>74</v>
      </c>
      <c r="Q710" s="1" t="s">
        <v>74</v>
      </c>
      <c r="R710" s="1" t="s">
        <v>74</v>
      </c>
      <c r="S710" s="1" t="s">
        <v>74</v>
      </c>
      <c r="T710" s="1" t="s">
        <v>74</v>
      </c>
      <c r="U710" s="1" t="s">
        <v>74</v>
      </c>
      <c r="V710" s="1" t="s">
        <v>7123</v>
      </c>
      <c r="W710" s="1" t="s">
        <v>74</v>
      </c>
      <c r="X710" s="1" t="s">
        <v>74</v>
      </c>
      <c r="Y710" s="1" t="s">
        <v>74</v>
      </c>
      <c r="Z710" s="1" t="s">
        <v>74</v>
      </c>
      <c r="AA710" s="1" t="s">
        <v>7124</v>
      </c>
      <c r="AB710" s="1" t="s">
        <v>7125</v>
      </c>
      <c r="AC710" s="1" t="s">
        <v>74</v>
      </c>
      <c r="AD710" s="1" t="s">
        <v>74</v>
      </c>
      <c r="AE710" s="1" t="s">
        <v>74</v>
      </c>
      <c r="AF710" s="1" t="s">
        <v>74</v>
      </c>
      <c r="AG710" s="1" t="s">
        <v>74</v>
      </c>
      <c r="AH710" s="1" t="s">
        <v>74</v>
      </c>
      <c r="AI710" s="1" t="s">
        <v>74</v>
      </c>
      <c r="AJ710" s="1" t="s">
        <v>74</v>
      </c>
      <c r="AK710" s="1" t="s">
        <v>74</v>
      </c>
      <c r="AL710" s="1" t="s">
        <v>74</v>
      </c>
      <c r="AM710" s="1" t="s">
        <v>74</v>
      </c>
      <c r="AN710" s="1" t="s">
        <v>74</v>
      </c>
      <c r="AO710" s="1" t="s">
        <v>7126</v>
      </c>
      <c r="AP710" s="1" t="s">
        <v>7127</v>
      </c>
      <c r="AQ710" s="1" t="s">
        <v>74</v>
      </c>
      <c r="AR710" s="1" t="s">
        <v>74</v>
      </c>
      <c r="AS710" s="1" t="s">
        <v>74</v>
      </c>
      <c r="AT710" s="1" t="s">
        <v>893</v>
      </c>
      <c r="AU710" s="1">
        <v>2018.0</v>
      </c>
      <c r="AV710" s="1">
        <v>97.0</v>
      </c>
      <c r="AW710" s="1">
        <v>1.0</v>
      </c>
      <c r="AX710" s="1" t="s">
        <v>74</v>
      </c>
      <c r="AY710" s="1" t="s">
        <v>74</v>
      </c>
      <c r="AZ710" s="1" t="s">
        <v>74</v>
      </c>
      <c r="BA710" s="1" t="s">
        <v>74</v>
      </c>
      <c r="BB710" s="1" t="s">
        <v>74</v>
      </c>
      <c r="BC710" s="1" t="s">
        <v>74</v>
      </c>
      <c r="BD710" s="1">
        <v>12901.0</v>
      </c>
      <c r="BE710" s="1" t="s">
        <v>7128</v>
      </c>
      <c r="BF710" s="2" t="str">
        <f>HYPERLINK("http://dx.doi.org/10.1103/PhysRevE.97.012901","http://dx.doi.org/10.1103/PhysRevE.97.012901")</f>
        <v>http://dx.doi.org/10.1103/PhysRevE.97.012901</v>
      </c>
      <c r="BG710" s="1" t="s">
        <v>74</v>
      </c>
      <c r="BH710" s="1" t="s">
        <v>74</v>
      </c>
      <c r="BI710" s="1" t="s">
        <v>74</v>
      </c>
      <c r="BJ710" s="1" t="s">
        <v>74</v>
      </c>
      <c r="BK710" s="1" t="s">
        <v>74</v>
      </c>
      <c r="BL710" s="1" t="s">
        <v>74</v>
      </c>
      <c r="BM710" s="1" t="s">
        <v>74</v>
      </c>
      <c r="BN710" s="1">
        <v>2.9448388E7</v>
      </c>
      <c r="BO710" s="1" t="s">
        <v>74</v>
      </c>
      <c r="BP710" s="1" t="s">
        <v>74</v>
      </c>
      <c r="BQ710" s="1" t="s">
        <v>74</v>
      </c>
      <c r="BR710" s="1" t="s">
        <v>74</v>
      </c>
      <c r="BS710" s="1" t="s">
        <v>7129</v>
      </c>
      <c r="BT710" s="1" t="str">
        <f>HYPERLINK("https%3A%2F%2Fwww.webofscience.com%2Fwos%2Fwoscc%2Ffull-record%2FWOS:000419323100005","View Full Record in Web of Science")</f>
        <v>View Full Record in Web of Science</v>
      </c>
    </row>
    <row r="711" ht="12.75" customHeight="1">
      <c r="A711" s="1" t="s">
        <v>72</v>
      </c>
      <c r="B711" s="1" t="s">
        <v>7130</v>
      </c>
      <c r="C711" s="1" t="s">
        <v>74</v>
      </c>
      <c r="D711" s="1" t="s">
        <v>74</v>
      </c>
      <c r="E711" s="1" t="s">
        <v>74</v>
      </c>
      <c r="F711" s="1" t="s">
        <v>7131</v>
      </c>
      <c r="G711" s="1" t="s">
        <v>74</v>
      </c>
      <c r="H711" s="1" t="s">
        <v>74</v>
      </c>
      <c r="I711" s="1" t="s">
        <v>7132</v>
      </c>
      <c r="J711" s="1" t="s">
        <v>7133</v>
      </c>
      <c r="K711" s="1" t="s">
        <v>74</v>
      </c>
      <c r="L711" s="1" t="s">
        <v>74</v>
      </c>
      <c r="M711" s="1" t="s">
        <v>74</v>
      </c>
      <c r="N711" s="1" t="s">
        <v>74</v>
      </c>
      <c r="O711" s="1" t="s">
        <v>74</v>
      </c>
      <c r="P711" s="1" t="s">
        <v>74</v>
      </c>
      <c r="Q711" s="1" t="s">
        <v>74</v>
      </c>
      <c r="R711" s="1" t="s">
        <v>74</v>
      </c>
      <c r="S711" s="1" t="s">
        <v>74</v>
      </c>
      <c r="T711" s="1" t="s">
        <v>74</v>
      </c>
      <c r="U711" s="1" t="s">
        <v>74</v>
      </c>
      <c r="V711" s="1" t="s">
        <v>7134</v>
      </c>
      <c r="W711" s="1" t="s">
        <v>74</v>
      </c>
      <c r="X711" s="1" t="s">
        <v>74</v>
      </c>
      <c r="Y711" s="1" t="s">
        <v>74</v>
      </c>
      <c r="Z711" s="1" t="s">
        <v>74</v>
      </c>
      <c r="AA711" s="1" t="s">
        <v>7135</v>
      </c>
      <c r="AB711" s="1" t="s">
        <v>7136</v>
      </c>
      <c r="AC711" s="1" t="s">
        <v>74</v>
      </c>
      <c r="AD711" s="1" t="s">
        <v>74</v>
      </c>
      <c r="AE711" s="1" t="s">
        <v>74</v>
      </c>
      <c r="AF711" s="1" t="s">
        <v>74</v>
      </c>
      <c r="AG711" s="1" t="s">
        <v>74</v>
      </c>
      <c r="AH711" s="1" t="s">
        <v>74</v>
      </c>
      <c r="AI711" s="1" t="s">
        <v>74</v>
      </c>
      <c r="AJ711" s="1" t="s">
        <v>74</v>
      </c>
      <c r="AK711" s="1" t="s">
        <v>74</v>
      </c>
      <c r="AL711" s="1" t="s">
        <v>74</v>
      </c>
      <c r="AM711" s="1" t="s">
        <v>74</v>
      </c>
      <c r="AN711" s="1" t="s">
        <v>74</v>
      </c>
      <c r="AO711" s="1" t="s">
        <v>7137</v>
      </c>
      <c r="AP711" s="1" t="s">
        <v>7138</v>
      </c>
      <c r="AQ711" s="1" t="s">
        <v>74</v>
      </c>
      <c r="AR711" s="1" t="s">
        <v>74</v>
      </c>
      <c r="AS711" s="1" t="s">
        <v>74</v>
      </c>
      <c r="AT711" s="1" t="s">
        <v>259</v>
      </c>
      <c r="AU711" s="1">
        <v>2016.0</v>
      </c>
      <c r="AV711" s="1">
        <v>119.0</v>
      </c>
      <c r="AW711" s="1" t="s">
        <v>74</v>
      </c>
      <c r="AX711" s="1" t="s">
        <v>74</v>
      </c>
      <c r="AY711" s="1" t="s">
        <v>74</v>
      </c>
      <c r="AZ711" s="1" t="s">
        <v>74</v>
      </c>
      <c r="BA711" s="1" t="s">
        <v>74</v>
      </c>
      <c r="BB711" s="1">
        <v>59.0</v>
      </c>
      <c r="BC711" s="1">
        <v>71.0</v>
      </c>
      <c r="BD711" s="1" t="s">
        <v>74</v>
      </c>
      <c r="BE711" s="1" t="s">
        <v>7139</v>
      </c>
      <c r="BF711" s="2" t="str">
        <f>HYPERLINK("http://dx.doi.org/10.1016/j.marenvres.2016.05.008","http://dx.doi.org/10.1016/j.marenvres.2016.05.008")</f>
        <v>http://dx.doi.org/10.1016/j.marenvres.2016.05.008</v>
      </c>
      <c r="BG711" s="1" t="s">
        <v>74</v>
      </c>
      <c r="BH711" s="1" t="s">
        <v>74</v>
      </c>
      <c r="BI711" s="1" t="s">
        <v>74</v>
      </c>
      <c r="BJ711" s="1" t="s">
        <v>74</v>
      </c>
      <c r="BK711" s="1" t="s">
        <v>74</v>
      </c>
      <c r="BL711" s="1" t="s">
        <v>74</v>
      </c>
      <c r="BM711" s="1" t="s">
        <v>74</v>
      </c>
      <c r="BN711" s="1">
        <v>2.7232979E7</v>
      </c>
      <c r="BO711" s="1" t="s">
        <v>74</v>
      </c>
      <c r="BP711" s="1" t="s">
        <v>74</v>
      </c>
      <c r="BQ711" s="1" t="s">
        <v>74</v>
      </c>
      <c r="BR711" s="1" t="s">
        <v>74</v>
      </c>
      <c r="BS711" s="1" t="s">
        <v>7140</v>
      </c>
      <c r="BT711" s="1" t="str">
        <f>HYPERLINK("https%3A%2F%2Fwww.webofscience.com%2Fwos%2Fwoscc%2Ffull-record%2FWOS:000381168000007","View Full Record in Web of Science")</f>
        <v>View Full Record in Web of Science</v>
      </c>
    </row>
    <row r="712" ht="12.75" customHeight="1">
      <c r="A712" s="1" t="s">
        <v>72</v>
      </c>
      <c r="B712" s="1" t="s">
        <v>7141</v>
      </c>
      <c r="C712" s="1" t="s">
        <v>74</v>
      </c>
      <c r="D712" s="1" t="s">
        <v>74</v>
      </c>
      <c r="E712" s="1" t="s">
        <v>74</v>
      </c>
      <c r="F712" s="1" t="s">
        <v>7142</v>
      </c>
      <c r="G712" s="1" t="s">
        <v>74</v>
      </c>
      <c r="H712" s="1" t="s">
        <v>74</v>
      </c>
      <c r="I712" s="1" t="s">
        <v>7143</v>
      </c>
      <c r="J712" s="1" t="s">
        <v>3237</v>
      </c>
      <c r="K712" s="1" t="s">
        <v>74</v>
      </c>
      <c r="L712" s="1" t="s">
        <v>74</v>
      </c>
      <c r="M712" s="1" t="s">
        <v>74</v>
      </c>
      <c r="N712" s="1" t="s">
        <v>74</v>
      </c>
      <c r="O712" s="1" t="s">
        <v>74</v>
      </c>
      <c r="P712" s="1" t="s">
        <v>74</v>
      </c>
      <c r="Q712" s="1" t="s">
        <v>74</v>
      </c>
      <c r="R712" s="1" t="s">
        <v>74</v>
      </c>
      <c r="S712" s="1" t="s">
        <v>74</v>
      </c>
      <c r="T712" s="1" t="s">
        <v>74</v>
      </c>
      <c r="U712" s="1" t="s">
        <v>74</v>
      </c>
      <c r="V712" s="1" t="s">
        <v>7144</v>
      </c>
      <c r="W712" s="1" t="s">
        <v>74</v>
      </c>
      <c r="X712" s="1" t="s">
        <v>74</v>
      </c>
      <c r="Y712" s="1" t="s">
        <v>74</v>
      </c>
      <c r="Z712" s="1" t="s">
        <v>74</v>
      </c>
      <c r="AA712" s="1" t="s">
        <v>7145</v>
      </c>
      <c r="AB712" s="1" t="s">
        <v>7146</v>
      </c>
      <c r="AC712" s="1" t="s">
        <v>74</v>
      </c>
      <c r="AD712" s="1" t="s">
        <v>74</v>
      </c>
      <c r="AE712" s="1" t="s">
        <v>74</v>
      </c>
      <c r="AF712" s="1" t="s">
        <v>74</v>
      </c>
      <c r="AG712" s="1" t="s">
        <v>74</v>
      </c>
      <c r="AH712" s="1" t="s">
        <v>74</v>
      </c>
      <c r="AI712" s="1" t="s">
        <v>74</v>
      </c>
      <c r="AJ712" s="1" t="s">
        <v>74</v>
      </c>
      <c r="AK712" s="1" t="s">
        <v>74</v>
      </c>
      <c r="AL712" s="1" t="s">
        <v>74</v>
      </c>
      <c r="AM712" s="1" t="s">
        <v>74</v>
      </c>
      <c r="AN712" s="1" t="s">
        <v>74</v>
      </c>
      <c r="AO712" s="1" t="s">
        <v>3241</v>
      </c>
      <c r="AP712" s="1" t="s">
        <v>3242</v>
      </c>
      <c r="AQ712" s="1" t="s">
        <v>74</v>
      </c>
      <c r="AR712" s="1" t="s">
        <v>74</v>
      </c>
      <c r="AS712" s="1" t="s">
        <v>74</v>
      </c>
      <c r="AT712" s="1" t="s">
        <v>4657</v>
      </c>
      <c r="AU712" s="1">
        <v>2016.0</v>
      </c>
      <c r="AV712" s="1">
        <v>225.0</v>
      </c>
      <c r="AW712" s="1" t="s">
        <v>74</v>
      </c>
      <c r="AX712" s="1" t="s">
        <v>74</v>
      </c>
      <c r="AY712" s="1" t="s">
        <v>74</v>
      </c>
      <c r="AZ712" s="1" t="s">
        <v>74</v>
      </c>
      <c r="BA712" s="1" t="s">
        <v>74</v>
      </c>
      <c r="BB712" s="1">
        <v>303.0</v>
      </c>
      <c r="BC712" s="1">
        <v>311.0</v>
      </c>
      <c r="BD712" s="1" t="s">
        <v>74</v>
      </c>
      <c r="BE712" s="1" t="s">
        <v>7147</v>
      </c>
      <c r="BF712" s="2" t="str">
        <f>HYPERLINK("http://dx.doi.org/10.1016/j.micromeso.2016.01.013","http://dx.doi.org/10.1016/j.micromeso.2016.01.013")</f>
        <v>http://dx.doi.org/10.1016/j.micromeso.2016.01.013</v>
      </c>
      <c r="BG712" s="1" t="s">
        <v>74</v>
      </c>
      <c r="BH712" s="1" t="s">
        <v>74</v>
      </c>
      <c r="BI712" s="1" t="s">
        <v>74</v>
      </c>
      <c r="BJ712" s="1" t="s">
        <v>74</v>
      </c>
      <c r="BK712" s="1" t="s">
        <v>74</v>
      </c>
      <c r="BL712" s="1" t="s">
        <v>74</v>
      </c>
      <c r="BM712" s="1" t="s">
        <v>74</v>
      </c>
      <c r="BN712" s="1" t="s">
        <v>74</v>
      </c>
      <c r="BO712" s="1" t="s">
        <v>74</v>
      </c>
      <c r="BP712" s="1" t="s">
        <v>74</v>
      </c>
      <c r="BQ712" s="1" t="s">
        <v>74</v>
      </c>
      <c r="BR712" s="1" t="s">
        <v>74</v>
      </c>
      <c r="BS712" s="1" t="s">
        <v>7148</v>
      </c>
      <c r="BT712" s="1" t="str">
        <f>HYPERLINK("https%3A%2F%2Fwww.webofscience.com%2Fwos%2Fwoscc%2Ffull-record%2FWOS:000373421700035","View Full Record in Web of Science")</f>
        <v>View Full Record in Web of Science</v>
      </c>
    </row>
    <row r="713" ht="12.75" customHeight="1">
      <c r="A713" s="1" t="s">
        <v>72</v>
      </c>
      <c r="B713" s="1" t="s">
        <v>7149</v>
      </c>
      <c r="C713" s="1" t="s">
        <v>74</v>
      </c>
      <c r="D713" s="1" t="s">
        <v>74</v>
      </c>
      <c r="E713" s="1" t="s">
        <v>74</v>
      </c>
      <c r="F713" s="1" t="s">
        <v>7150</v>
      </c>
      <c r="G713" s="1" t="s">
        <v>74</v>
      </c>
      <c r="H713" s="1" t="s">
        <v>74</v>
      </c>
      <c r="I713" s="1" t="s">
        <v>7151</v>
      </c>
      <c r="J713" s="1" t="s">
        <v>5386</v>
      </c>
      <c r="K713" s="1" t="s">
        <v>74</v>
      </c>
      <c r="L713" s="1" t="s">
        <v>74</v>
      </c>
      <c r="M713" s="1" t="s">
        <v>74</v>
      </c>
      <c r="N713" s="1" t="s">
        <v>74</v>
      </c>
      <c r="O713" s="1" t="s">
        <v>74</v>
      </c>
      <c r="P713" s="1" t="s">
        <v>74</v>
      </c>
      <c r="Q713" s="1" t="s">
        <v>74</v>
      </c>
      <c r="R713" s="1" t="s">
        <v>74</v>
      </c>
      <c r="S713" s="1" t="s">
        <v>74</v>
      </c>
      <c r="T713" s="1" t="s">
        <v>74</v>
      </c>
      <c r="U713" s="1" t="s">
        <v>74</v>
      </c>
      <c r="V713" s="1" t="s">
        <v>7152</v>
      </c>
      <c r="W713" s="1" t="s">
        <v>74</v>
      </c>
      <c r="X713" s="1" t="s">
        <v>74</v>
      </c>
      <c r="Y713" s="1" t="s">
        <v>74</v>
      </c>
      <c r="Z713" s="1" t="s">
        <v>74</v>
      </c>
      <c r="AA713" s="1" t="s">
        <v>7153</v>
      </c>
      <c r="AB713" s="1" t="s">
        <v>7154</v>
      </c>
      <c r="AC713" s="1" t="s">
        <v>74</v>
      </c>
      <c r="AD713" s="1" t="s">
        <v>74</v>
      </c>
      <c r="AE713" s="1" t="s">
        <v>74</v>
      </c>
      <c r="AF713" s="1" t="s">
        <v>74</v>
      </c>
      <c r="AG713" s="1" t="s">
        <v>74</v>
      </c>
      <c r="AH713" s="1" t="s">
        <v>74</v>
      </c>
      <c r="AI713" s="1" t="s">
        <v>74</v>
      </c>
      <c r="AJ713" s="1" t="s">
        <v>74</v>
      </c>
      <c r="AK713" s="1" t="s">
        <v>74</v>
      </c>
      <c r="AL713" s="1" t="s">
        <v>74</v>
      </c>
      <c r="AM713" s="1" t="s">
        <v>74</v>
      </c>
      <c r="AN713" s="1" t="s">
        <v>74</v>
      </c>
      <c r="AO713" s="1" t="s">
        <v>5390</v>
      </c>
      <c r="AP713" s="1" t="s">
        <v>74</v>
      </c>
      <c r="AQ713" s="1" t="s">
        <v>74</v>
      </c>
      <c r="AR713" s="1" t="s">
        <v>74</v>
      </c>
      <c r="AS713" s="1" t="s">
        <v>74</v>
      </c>
      <c r="AT713" s="1" t="s">
        <v>847</v>
      </c>
      <c r="AU713" s="1">
        <v>2016.0</v>
      </c>
      <c r="AV713" s="1">
        <v>120.0</v>
      </c>
      <c r="AW713" s="1">
        <v>13.0</v>
      </c>
      <c r="AX713" s="1" t="s">
        <v>74</v>
      </c>
      <c r="AY713" s="1" t="s">
        <v>74</v>
      </c>
      <c r="AZ713" s="1" t="s">
        <v>74</v>
      </c>
      <c r="BA713" s="1" t="s">
        <v>74</v>
      </c>
      <c r="BB713" s="1">
        <v>7358.0</v>
      </c>
      <c r="BC713" s="1">
        <v>7364.0</v>
      </c>
      <c r="BD713" s="1" t="s">
        <v>74</v>
      </c>
      <c r="BE713" s="1" t="s">
        <v>7155</v>
      </c>
      <c r="BF713" s="2" t="str">
        <f>HYPERLINK("http://dx.doi.org/10.1021/acs.jpcc.5b12580","http://dx.doi.org/10.1021/acs.jpcc.5b12580")</f>
        <v>http://dx.doi.org/10.1021/acs.jpcc.5b12580</v>
      </c>
      <c r="BG713" s="1" t="s">
        <v>74</v>
      </c>
      <c r="BH713" s="1" t="s">
        <v>74</v>
      </c>
      <c r="BI713" s="1" t="s">
        <v>74</v>
      </c>
      <c r="BJ713" s="1" t="s">
        <v>74</v>
      </c>
      <c r="BK713" s="1" t="s">
        <v>74</v>
      </c>
      <c r="BL713" s="1" t="s">
        <v>74</v>
      </c>
      <c r="BM713" s="1" t="s">
        <v>74</v>
      </c>
      <c r="BN713" s="1" t="s">
        <v>74</v>
      </c>
      <c r="BO713" s="1" t="s">
        <v>74</v>
      </c>
      <c r="BP713" s="1" t="s">
        <v>74</v>
      </c>
      <c r="BQ713" s="1" t="s">
        <v>74</v>
      </c>
      <c r="BR713" s="1" t="s">
        <v>74</v>
      </c>
      <c r="BS713" s="1" t="s">
        <v>7156</v>
      </c>
      <c r="BT713" s="1" t="str">
        <f>HYPERLINK("https%3A%2F%2Fwww.webofscience.com%2Fwos%2Fwoscc%2Ffull-record%2FWOS:000373862700049","View Full Record in Web of Science")</f>
        <v>View Full Record in Web of Science</v>
      </c>
    </row>
    <row r="714" ht="12.75" customHeight="1">
      <c r="A714" s="1" t="s">
        <v>72</v>
      </c>
      <c r="B714" s="1" t="s">
        <v>7157</v>
      </c>
      <c r="C714" s="1" t="s">
        <v>74</v>
      </c>
      <c r="D714" s="1" t="s">
        <v>74</v>
      </c>
      <c r="E714" s="1" t="s">
        <v>74</v>
      </c>
      <c r="F714" s="1" t="s">
        <v>7158</v>
      </c>
      <c r="G714" s="1" t="s">
        <v>74</v>
      </c>
      <c r="H714" s="1" t="s">
        <v>74</v>
      </c>
      <c r="I714" s="1" t="s">
        <v>7159</v>
      </c>
      <c r="J714" s="1" t="s">
        <v>2207</v>
      </c>
      <c r="K714" s="1" t="s">
        <v>74</v>
      </c>
      <c r="L714" s="1" t="s">
        <v>74</v>
      </c>
      <c r="M714" s="1" t="s">
        <v>74</v>
      </c>
      <c r="N714" s="1" t="s">
        <v>74</v>
      </c>
      <c r="O714" s="1" t="s">
        <v>74</v>
      </c>
      <c r="P714" s="1" t="s">
        <v>74</v>
      </c>
      <c r="Q714" s="1" t="s">
        <v>74</v>
      </c>
      <c r="R714" s="1" t="s">
        <v>74</v>
      </c>
      <c r="S714" s="1" t="s">
        <v>74</v>
      </c>
      <c r="T714" s="1" t="s">
        <v>74</v>
      </c>
      <c r="U714" s="1" t="s">
        <v>74</v>
      </c>
      <c r="V714" s="1" t="s">
        <v>7160</v>
      </c>
      <c r="W714" s="1" t="s">
        <v>74</v>
      </c>
      <c r="X714" s="1" t="s">
        <v>74</v>
      </c>
      <c r="Y714" s="1" t="s">
        <v>74</v>
      </c>
      <c r="Z714" s="1" t="s">
        <v>74</v>
      </c>
      <c r="AA714" s="1" t="s">
        <v>7161</v>
      </c>
      <c r="AB714" s="1" t="s">
        <v>7162</v>
      </c>
      <c r="AC714" s="1" t="s">
        <v>74</v>
      </c>
      <c r="AD714" s="1" t="s">
        <v>74</v>
      </c>
      <c r="AE714" s="1" t="s">
        <v>74</v>
      </c>
      <c r="AF714" s="1" t="s">
        <v>74</v>
      </c>
      <c r="AG714" s="1" t="s">
        <v>74</v>
      </c>
      <c r="AH714" s="1" t="s">
        <v>74</v>
      </c>
      <c r="AI714" s="1" t="s">
        <v>74</v>
      </c>
      <c r="AJ714" s="1" t="s">
        <v>74</v>
      </c>
      <c r="AK714" s="1" t="s">
        <v>74</v>
      </c>
      <c r="AL714" s="1" t="s">
        <v>74</v>
      </c>
      <c r="AM714" s="1" t="s">
        <v>74</v>
      </c>
      <c r="AN714" s="1" t="s">
        <v>74</v>
      </c>
      <c r="AO714" s="1" t="s">
        <v>2211</v>
      </c>
      <c r="AP714" s="1" t="s">
        <v>2212</v>
      </c>
      <c r="AQ714" s="1" t="s">
        <v>74</v>
      </c>
      <c r="AR714" s="1" t="s">
        <v>74</v>
      </c>
      <c r="AS714" s="1" t="s">
        <v>74</v>
      </c>
      <c r="AT714" s="1" t="s">
        <v>316</v>
      </c>
      <c r="AU714" s="1">
        <v>2013.0</v>
      </c>
      <c r="AV714" s="1">
        <v>344.0</v>
      </c>
      <c r="AW714" s="1" t="s">
        <v>74</v>
      </c>
      <c r="AX714" s="1" t="s">
        <v>74</v>
      </c>
      <c r="AY714" s="1" t="s">
        <v>74</v>
      </c>
      <c r="AZ714" s="1" t="s">
        <v>74</v>
      </c>
      <c r="BA714" s="1" t="s">
        <v>74</v>
      </c>
      <c r="BB714" s="1">
        <v>8.0</v>
      </c>
      <c r="BC714" s="1">
        <v>13.0</v>
      </c>
      <c r="BD714" s="1" t="s">
        <v>74</v>
      </c>
      <c r="BE714" s="1" t="s">
        <v>7163</v>
      </c>
      <c r="BF714" s="2" t="str">
        <f>HYPERLINK("http://dx.doi.org/10.1016/j.jmmm.2013.05.021","http://dx.doi.org/10.1016/j.jmmm.2013.05.021")</f>
        <v>http://dx.doi.org/10.1016/j.jmmm.2013.05.021</v>
      </c>
      <c r="BG714" s="1" t="s">
        <v>74</v>
      </c>
      <c r="BH714" s="1" t="s">
        <v>74</v>
      </c>
      <c r="BI714" s="1" t="s">
        <v>74</v>
      </c>
      <c r="BJ714" s="1" t="s">
        <v>74</v>
      </c>
      <c r="BK714" s="1" t="s">
        <v>74</v>
      </c>
      <c r="BL714" s="1" t="s">
        <v>74</v>
      </c>
      <c r="BM714" s="1" t="s">
        <v>74</v>
      </c>
      <c r="BN714" s="1" t="s">
        <v>74</v>
      </c>
      <c r="BO714" s="1" t="s">
        <v>74</v>
      </c>
      <c r="BP714" s="1" t="s">
        <v>74</v>
      </c>
      <c r="BQ714" s="1" t="s">
        <v>74</v>
      </c>
      <c r="BR714" s="1" t="s">
        <v>74</v>
      </c>
      <c r="BS714" s="1" t="s">
        <v>7164</v>
      </c>
      <c r="BT714" s="1" t="str">
        <f>HYPERLINK("https%3A%2F%2Fwww.webofscience.com%2Fwos%2Fwoscc%2Ffull-record%2FWOS:000323156400002","View Full Record in Web of Science")</f>
        <v>View Full Record in Web of Science</v>
      </c>
    </row>
    <row r="715" ht="12.75" customHeight="1">
      <c r="A715" s="1" t="s">
        <v>72</v>
      </c>
      <c r="B715" s="1" t="s">
        <v>7165</v>
      </c>
      <c r="C715" s="1" t="s">
        <v>74</v>
      </c>
      <c r="D715" s="1" t="s">
        <v>74</v>
      </c>
      <c r="E715" s="1" t="s">
        <v>74</v>
      </c>
      <c r="F715" s="1" t="s">
        <v>7166</v>
      </c>
      <c r="G715" s="1" t="s">
        <v>74</v>
      </c>
      <c r="H715" s="1" t="s">
        <v>74</v>
      </c>
      <c r="I715" s="1" t="s">
        <v>7167</v>
      </c>
      <c r="J715" s="1" t="s">
        <v>7168</v>
      </c>
      <c r="K715" s="1" t="s">
        <v>74</v>
      </c>
      <c r="L715" s="1" t="s">
        <v>74</v>
      </c>
      <c r="M715" s="1" t="s">
        <v>74</v>
      </c>
      <c r="N715" s="1" t="s">
        <v>74</v>
      </c>
      <c r="O715" s="1" t="s">
        <v>74</v>
      </c>
      <c r="P715" s="1" t="s">
        <v>74</v>
      </c>
      <c r="Q715" s="1" t="s">
        <v>74</v>
      </c>
      <c r="R715" s="1" t="s">
        <v>74</v>
      </c>
      <c r="S715" s="1" t="s">
        <v>74</v>
      </c>
      <c r="T715" s="1" t="s">
        <v>74</v>
      </c>
      <c r="U715" s="1" t="s">
        <v>74</v>
      </c>
      <c r="V715" s="1" t="s">
        <v>7169</v>
      </c>
      <c r="W715" s="1" t="s">
        <v>74</v>
      </c>
      <c r="X715" s="1" t="s">
        <v>74</v>
      </c>
      <c r="Y715" s="1" t="s">
        <v>74</v>
      </c>
      <c r="Z715" s="1" t="s">
        <v>74</v>
      </c>
      <c r="AA715" s="1" t="s">
        <v>534</v>
      </c>
      <c r="AB715" s="1" t="s">
        <v>7170</v>
      </c>
      <c r="AC715" s="1" t="s">
        <v>74</v>
      </c>
      <c r="AD715" s="1" t="s">
        <v>74</v>
      </c>
      <c r="AE715" s="1" t="s">
        <v>74</v>
      </c>
      <c r="AF715" s="1" t="s">
        <v>74</v>
      </c>
      <c r="AG715" s="1" t="s">
        <v>74</v>
      </c>
      <c r="AH715" s="1" t="s">
        <v>74</v>
      </c>
      <c r="AI715" s="1" t="s">
        <v>74</v>
      </c>
      <c r="AJ715" s="1" t="s">
        <v>74</v>
      </c>
      <c r="AK715" s="1" t="s">
        <v>74</v>
      </c>
      <c r="AL715" s="1" t="s">
        <v>74</v>
      </c>
      <c r="AM715" s="1" t="s">
        <v>74</v>
      </c>
      <c r="AN715" s="1" t="s">
        <v>74</v>
      </c>
      <c r="AO715" s="1" t="s">
        <v>7171</v>
      </c>
      <c r="AP715" s="1" t="s">
        <v>74</v>
      </c>
      <c r="AQ715" s="1" t="s">
        <v>74</v>
      </c>
      <c r="AR715" s="1" t="s">
        <v>74</v>
      </c>
      <c r="AS715" s="1" t="s">
        <v>74</v>
      </c>
      <c r="AT715" s="1" t="s">
        <v>7172</v>
      </c>
      <c r="AU715" s="1">
        <v>2010.0</v>
      </c>
      <c r="AV715" s="1">
        <v>83.0</v>
      </c>
      <c r="AW715" s="1">
        <v>5.0</v>
      </c>
      <c r="AX715" s="1" t="s">
        <v>74</v>
      </c>
      <c r="AY715" s="1" t="s">
        <v>74</v>
      </c>
      <c r="AZ715" s="1" t="s">
        <v>74</v>
      </c>
      <c r="BA715" s="1" t="s">
        <v>74</v>
      </c>
      <c r="BB715" s="1">
        <v>238.0</v>
      </c>
      <c r="BC715" s="1">
        <v>244.0</v>
      </c>
      <c r="BD715" s="1" t="s">
        <v>74</v>
      </c>
      <c r="BE715" s="1" t="s">
        <v>7173</v>
      </c>
      <c r="BF715" s="2" t="str">
        <f>HYPERLINK("http://dx.doi.org/10.1016/j.brainresbull.2010.08.010","http://dx.doi.org/10.1016/j.brainresbull.2010.08.010")</f>
        <v>http://dx.doi.org/10.1016/j.brainresbull.2010.08.010</v>
      </c>
      <c r="BG715" s="1" t="s">
        <v>74</v>
      </c>
      <c r="BH715" s="1" t="s">
        <v>74</v>
      </c>
      <c r="BI715" s="1" t="s">
        <v>74</v>
      </c>
      <c r="BJ715" s="1" t="s">
        <v>74</v>
      </c>
      <c r="BK715" s="1" t="s">
        <v>74</v>
      </c>
      <c r="BL715" s="1" t="s">
        <v>74</v>
      </c>
      <c r="BM715" s="1" t="s">
        <v>74</v>
      </c>
      <c r="BN715" s="1">
        <v>2.0800665E7</v>
      </c>
      <c r="BO715" s="1" t="s">
        <v>74</v>
      </c>
      <c r="BP715" s="1" t="s">
        <v>74</v>
      </c>
      <c r="BQ715" s="1" t="s">
        <v>74</v>
      </c>
      <c r="BR715" s="1" t="s">
        <v>74</v>
      </c>
      <c r="BS715" s="1" t="s">
        <v>7174</v>
      </c>
      <c r="BT715" s="1" t="str">
        <f>HYPERLINK("https%3A%2F%2Fwww.webofscience.com%2Fwos%2Fwoscc%2Ffull-record%2FWOS:000284514300009","View Full Record in Web of Science")</f>
        <v>View Full Record in Web of Science</v>
      </c>
    </row>
    <row r="716" ht="12.75" customHeight="1">
      <c r="A716" s="1" t="s">
        <v>72</v>
      </c>
      <c r="B716" s="1" t="s">
        <v>7175</v>
      </c>
      <c r="C716" s="1" t="s">
        <v>74</v>
      </c>
      <c r="D716" s="1" t="s">
        <v>74</v>
      </c>
      <c r="E716" s="1" t="s">
        <v>74</v>
      </c>
      <c r="F716" s="1" t="s">
        <v>7175</v>
      </c>
      <c r="G716" s="1" t="s">
        <v>74</v>
      </c>
      <c r="H716" s="1" t="s">
        <v>74</v>
      </c>
      <c r="I716" s="1" t="s">
        <v>7176</v>
      </c>
      <c r="J716" s="1" t="s">
        <v>2969</v>
      </c>
      <c r="K716" s="1" t="s">
        <v>74</v>
      </c>
      <c r="L716" s="1" t="s">
        <v>74</v>
      </c>
      <c r="M716" s="1" t="s">
        <v>74</v>
      </c>
      <c r="N716" s="1" t="s">
        <v>74</v>
      </c>
      <c r="O716" s="1" t="s">
        <v>74</v>
      </c>
      <c r="P716" s="1" t="s">
        <v>74</v>
      </c>
      <c r="Q716" s="1" t="s">
        <v>74</v>
      </c>
      <c r="R716" s="1" t="s">
        <v>74</v>
      </c>
      <c r="S716" s="1" t="s">
        <v>74</v>
      </c>
      <c r="T716" s="1" t="s">
        <v>74</v>
      </c>
      <c r="U716" s="1" t="s">
        <v>74</v>
      </c>
      <c r="V716" s="1" t="s">
        <v>7177</v>
      </c>
      <c r="W716" s="1" t="s">
        <v>74</v>
      </c>
      <c r="X716" s="1" t="s">
        <v>74</v>
      </c>
      <c r="Y716" s="1" t="s">
        <v>74</v>
      </c>
      <c r="Z716" s="1" t="s">
        <v>74</v>
      </c>
      <c r="AA716" s="1" t="s">
        <v>7178</v>
      </c>
      <c r="AB716" s="1" t="s">
        <v>7179</v>
      </c>
      <c r="AC716" s="1" t="s">
        <v>74</v>
      </c>
      <c r="AD716" s="1" t="s">
        <v>74</v>
      </c>
      <c r="AE716" s="1" t="s">
        <v>74</v>
      </c>
      <c r="AF716" s="1" t="s">
        <v>74</v>
      </c>
      <c r="AG716" s="1" t="s">
        <v>74</v>
      </c>
      <c r="AH716" s="1" t="s">
        <v>74</v>
      </c>
      <c r="AI716" s="1" t="s">
        <v>74</v>
      </c>
      <c r="AJ716" s="1" t="s">
        <v>74</v>
      </c>
      <c r="AK716" s="1" t="s">
        <v>74</v>
      </c>
      <c r="AL716" s="1" t="s">
        <v>74</v>
      </c>
      <c r="AM716" s="1" t="s">
        <v>74</v>
      </c>
      <c r="AN716" s="1" t="s">
        <v>74</v>
      </c>
      <c r="AO716" s="1" t="s">
        <v>2973</v>
      </c>
      <c r="AP716" s="1" t="s">
        <v>2974</v>
      </c>
      <c r="AQ716" s="1" t="s">
        <v>74</v>
      </c>
      <c r="AR716" s="1" t="s">
        <v>74</v>
      </c>
      <c r="AS716" s="1" t="s">
        <v>74</v>
      </c>
      <c r="AT716" s="1" t="s">
        <v>719</v>
      </c>
      <c r="AU716" s="1">
        <v>2005.0</v>
      </c>
      <c r="AV716" s="1">
        <v>9.0</v>
      </c>
      <c r="AW716" s="1">
        <v>7.0</v>
      </c>
      <c r="AX716" s="1" t="s">
        <v>74</v>
      </c>
      <c r="AY716" s="1" t="s">
        <v>74</v>
      </c>
      <c r="AZ716" s="1" t="s">
        <v>74</v>
      </c>
      <c r="BA716" s="1" t="s">
        <v>74</v>
      </c>
      <c r="BB716" s="1">
        <v>504.0</v>
      </c>
      <c r="BC716" s="1">
        <v>511.0</v>
      </c>
      <c r="BD716" s="1" t="s">
        <v>74</v>
      </c>
      <c r="BE716" s="1" t="s">
        <v>7180</v>
      </c>
      <c r="BF716" s="2" t="str">
        <f>HYPERLINK("http://dx.doi.org/10.1007/s10008-004-0586-x","http://dx.doi.org/10.1007/s10008-004-0586-x")</f>
        <v>http://dx.doi.org/10.1007/s10008-004-0586-x</v>
      </c>
      <c r="BG716" s="1" t="s">
        <v>74</v>
      </c>
      <c r="BH716" s="1" t="s">
        <v>74</v>
      </c>
      <c r="BI716" s="1" t="s">
        <v>74</v>
      </c>
      <c r="BJ716" s="1" t="s">
        <v>74</v>
      </c>
      <c r="BK716" s="1" t="s">
        <v>74</v>
      </c>
      <c r="BL716" s="1" t="s">
        <v>74</v>
      </c>
      <c r="BM716" s="1" t="s">
        <v>74</v>
      </c>
      <c r="BN716" s="1" t="s">
        <v>74</v>
      </c>
      <c r="BO716" s="1" t="s">
        <v>74</v>
      </c>
      <c r="BP716" s="1" t="s">
        <v>74</v>
      </c>
      <c r="BQ716" s="1" t="s">
        <v>74</v>
      </c>
      <c r="BR716" s="1" t="s">
        <v>74</v>
      </c>
      <c r="BS716" s="1" t="s">
        <v>7181</v>
      </c>
      <c r="BT716" s="1" t="str">
        <f>HYPERLINK("https%3A%2F%2Fwww.webofscience.com%2Fwos%2Fwoscc%2Ffull-record%2FWOS:000232017900004","View Full Record in Web of Science")</f>
        <v>View Full Record in Web of Science</v>
      </c>
    </row>
    <row r="717" ht="12.75" customHeight="1">
      <c r="A717" s="1" t="s">
        <v>72</v>
      </c>
      <c r="B717" s="1" t="s">
        <v>7182</v>
      </c>
      <c r="C717" s="1" t="s">
        <v>74</v>
      </c>
      <c r="D717" s="1" t="s">
        <v>74</v>
      </c>
      <c r="E717" s="1" t="s">
        <v>74</v>
      </c>
      <c r="F717" s="1" t="s">
        <v>7183</v>
      </c>
      <c r="G717" s="1" t="s">
        <v>74</v>
      </c>
      <c r="H717" s="1" t="s">
        <v>74</v>
      </c>
      <c r="I717" s="1" t="s">
        <v>7184</v>
      </c>
      <c r="J717" s="1" t="s">
        <v>7185</v>
      </c>
      <c r="K717" s="1" t="s">
        <v>74</v>
      </c>
      <c r="L717" s="1" t="s">
        <v>74</v>
      </c>
      <c r="M717" s="1" t="s">
        <v>74</v>
      </c>
      <c r="N717" s="1" t="s">
        <v>74</v>
      </c>
      <c r="O717" s="1" t="s">
        <v>74</v>
      </c>
      <c r="P717" s="1" t="s">
        <v>74</v>
      </c>
      <c r="Q717" s="1" t="s">
        <v>74</v>
      </c>
      <c r="R717" s="1" t="s">
        <v>74</v>
      </c>
      <c r="S717" s="1" t="s">
        <v>74</v>
      </c>
      <c r="T717" s="1" t="s">
        <v>74</v>
      </c>
      <c r="U717" s="1" t="s">
        <v>74</v>
      </c>
      <c r="V717" s="1" t="s">
        <v>7186</v>
      </c>
      <c r="W717" s="1" t="s">
        <v>74</v>
      </c>
      <c r="X717" s="1" t="s">
        <v>74</v>
      </c>
      <c r="Y717" s="1" t="s">
        <v>74</v>
      </c>
      <c r="Z717" s="1" t="s">
        <v>74</v>
      </c>
      <c r="AA717" s="1" t="s">
        <v>7187</v>
      </c>
      <c r="AB717" s="1" t="s">
        <v>7188</v>
      </c>
      <c r="AC717" s="1" t="s">
        <v>74</v>
      </c>
      <c r="AD717" s="1" t="s">
        <v>74</v>
      </c>
      <c r="AE717" s="1" t="s">
        <v>74</v>
      </c>
      <c r="AF717" s="1" t="s">
        <v>74</v>
      </c>
      <c r="AG717" s="1" t="s">
        <v>74</v>
      </c>
      <c r="AH717" s="1" t="s">
        <v>74</v>
      </c>
      <c r="AI717" s="1" t="s">
        <v>74</v>
      </c>
      <c r="AJ717" s="1" t="s">
        <v>74</v>
      </c>
      <c r="AK717" s="1" t="s">
        <v>74</v>
      </c>
      <c r="AL717" s="1" t="s">
        <v>74</v>
      </c>
      <c r="AM717" s="1" t="s">
        <v>74</v>
      </c>
      <c r="AN717" s="1" t="s">
        <v>74</v>
      </c>
      <c r="AO717" s="1" t="s">
        <v>7189</v>
      </c>
      <c r="AP717" s="1" t="s">
        <v>74</v>
      </c>
      <c r="AQ717" s="1" t="s">
        <v>74</v>
      </c>
      <c r="AR717" s="1" t="s">
        <v>74</v>
      </c>
      <c r="AS717" s="1" t="s">
        <v>74</v>
      </c>
      <c r="AT717" s="1" t="s">
        <v>96</v>
      </c>
      <c r="AU717" s="1">
        <v>2025.0</v>
      </c>
      <c r="AV717" s="1">
        <v>119.0</v>
      </c>
      <c r="AW717" s="1" t="s">
        <v>74</v>
      </c>
      <c r="AX717" s="1" t="s">
        <v>74</v>
      </c>
      <c r="AY717" s="1" t="s">
        <v>74</v>
      </c>
      <c r="AZ717" s="1" t="s">
        <v>74</v>
      </c>
      <c r="BA717" s="1" t="s">
        <v>74</v>
      </c>
      <c r="BB717" s="1" t="s">
        <v>74</v>
      </c>
      <c r="BC717" s="1" t="s">
        <v>74</v>
      </c>
      <c r="BD717" s="1">
        <v>105281.0</v>
      </c>
      <c r="BE717" s="1" t="s">
        <v>7190</v>
      </c>
      <c r="BF717" s="2" t="str">
        <f>HYPERLINK("http://dx.doi.org/10.1016/j.ijdrr.2025.105281","http://dx.doi.org/10.1016/j.ijdrr.2025.105281")</f>
        <v>http://dx.doi.org/10.1016/j.ijdrr.2025.105281</v>
      </c>
      <c r="BG717" s="1" t="s">
        <v>74</v>
      </c>
      <c r="BH717" s="1" t="s">
        <v>2583</v>
      </c>
      <c r="BI717" s="1" t="s">
        <v>74</v>
      </c>
      <c r="BJ717" s="1" t="s">
        <v>74</v>
      </c>
      <c r="BK717" s="1" t="s">
        <v>74</v>
      </c>
      <c r="BL717" s="1" t="s">
        <v>74</v>
      </c>
      <c r="BM717" s="1" t="s">
        <v>74</v>
      </c>
      <c r="BN717" s="1" t="s">
        <v>74</v>
      </c>
      <c r="BO717" s="1" t="s">
        <v>74</v>
      </c>
      <c r="BP717" s="1" t="s">
        <v>74</v>
      </c>
      <c r="BQ717" s="1" t="s">
        <v>74</v>
      </c>
      <c r="BR717" s="1" t="s">
        <v>74</v>
      </c>
      <c r="BS717" s="1" t="s">
        <v>7191</v>
      </c>
      <c r="BT717" s="1" t="str">
        <f>HYPERLINK("https%3A%2F%2Fwww.webofscience.com%2Fwos%2Fwoscc%2Ffull-record%2FWOS:001428967600001","View Full Record in Web of Science")</f>
        <v>View Full Record in Web of Science</v>
      </c>
    </row>
    <row r="718" ht="12.75" customHeight="1">
      <c r="A718" s="1" t="s">
        <v>72</v>
      </c>
      <c r="B718" s="1" t="s">
        <v>7192</v>
      </c>
      <c r="C718" s="1" t="s">
        <v>74</v>
      </c>
      <c r="D718" s="1" t="s">
        <v>74</v>
      </c>
      <c r="E718" s="1" t="s">
        <v>74</v>
      </c>
      <c r="F718" s="1" t="s">
        <v>7193</v>
      </c>
      <c r="G718" s="1" t="s">
        <v>74</v>
      </c>
      <c r="H718" s="1" t="s">
        <v>74</v>
      </c>
      <c r="I718" s="1" t="s">
        <v>7194</v>
      </c>
      <c r="J718" s="1" t="s">
        <v>7195</v>
      </c>
      <c r="K718" s="1" t="s">
        <v>74</v>
      </c>
      <c r="L718" s="1" t="s">
        <v>74</v>
      </c>
      <c r="M718" s="1" t="s">
        <v>74</v>
      </c>
      <c r="N718" s="1" t="s">
        <v>74</v>
      </c>
      <c r="O718" s="1" t="s">
        <v>74</v>
      </c>
      <c r="P718" s="1" t="s">
        <v>74</v>
      </c>
      <c r="Q718" s="1" t="s">
        <v>74</v>
      </c>
      <c r="R718" s="1" t="s">
        <v>74</v>
      </c>
      <c r="S718" s="1" t="s">
        <v>74</v>
      </c>
      <c r="T718" s="1" t="s">
        <v>74</v>
      </c>
      <c r="U718" s="1" t="s">
        <v>74</v>
      </c>
      <c r="V718" s="1" t="s">
        <v>7196</v>
      </c>
      <c r="W718" s="1" t="s">
        <v>74</v>
      </c>
      <c r="X718" s="1" t="s">
        <v>74</v>
      </c>
      <c r="Y718" s="1" t="s">
        <v>74</v>
      </c>
      <c r="Z718" s="1" t="s">
        <v>74</v>
      </c>
      <c r="AA718" s="1" t="s">
        <v>7197</v>
      </c>
      <c r="AB718" s="1" t="s">
        <v>74</v>
      </c>
      <c r="AC718" s="1" t="s">
        <v>74</v>
      </c>
      <c r="AD718" s="1" t="s">
        <v>74</v>
      </c>
      <c r="AE718" s="1" t="s">
        <v>74</v>
      </c>
      <c r="AF718" s="1" t="s">
        <v>74</v>
      </c>
      <c r="AG718" s="1" t="s">
        <v>74</v>
      </c>
      <c r="AH718" s="1" t="s">
        <v>74</v>
      </c>
      <c r="AI718" s="1" t="s">
        <v>74</v>
      </c>
      <c r="AJ718" s="1" t="s">
        <v>74</v>
      </c>
      <c r="AK718" s="1" t="s">
        <v>74</v>
      </c>
      <c r="AL718" s="1" t="s">
        <v>74</v>
      </c>
      <c r="AM718" s="1" t="s">
        <v>74</v>
      </c>
      <c r="AN718" s="1" t="s">
        <v>74</v>
      </c>
      <c r="AO718" s="1" t="s">
        <v>7198</v>
      </c>
      <c r="AP718" s="1" t="s">
        <v>7199</v>
      </c>
      <c r="AQ718" s="1" t="s">
        <v>74</v>
      </c>
      <c r="AR718" s="1" t="s">
        <v>74</v>
      </c>
      <c r="AS718" s="1" t="s">
        <v>74</v>
      </c>
      <c r="AT718" s="1" t="s">
        <v>7200</v>
      </c>
      <c r="AU718" s="1">
        <v>2025.0</v>
      </c>
      <c r="AV718" s="1">
        <v>68.0</v>
      </c>
      <c r="AW718" s="1">
        <v>1.0</v>
      </c>
      <c r="AX718" s="1" t="s">
        <v>74</v>
      </c>
      <c r="AY718" s="1" t="s">
        <v>74</v>
      </c>
      <c r="AZ718" s="1" t="s">
        <v>74</v>
      </c>
      <c r="BA718" s="1" t="s">
        <v>74</v>
      </c>
      <c r="BB718" s="1">
        <v>187.0</v>
      </c>
      <c r="BC718" s="1">
        <v>194.0</v>
      </c>
      <c r="BD718" s="1" t="s">
        <v>74</v>
      </c>
      <c r="BE718" s="1" t="s">
        <v>7201</v>
      </c>
      <c r="BF718" s="2" t="str">
        <f>HYPERLINK("http://dx.doi.org/10.1159/000543936","http://dx.doi.org/10.1159/000543936")</f>
        <v>http://dx.doi.org/10.1159/000543936</v>
      </c>
      <c r="BG718" s="1" t="s">
        <v>74</v>
      </c>
      <c r="BH718" s="1" t="s">
        <v>74</v>
      </c>
      <c r="BI718" s="1" t="s">
        <v>74</v>
      </c>
      <c r="BJ718" s="1" t="s">
        <v>74</v>
      </c>
      <c r="BK718" s="1" t="s">
        <v>74</v>
      </c>
      <c r="BL718" s="1" t="s">
        <v>74</v>
      </c>
      <c r="BM718" s="1" t="s">
        <v>74</v>
      </c>
      <c r="BN718" s="1">
        <v>3.9907998E7</v>
      </c>
      <c r="BO718" s="1" t="s">
        <v>74</v>
      </c>
      <c r="BP718" s="1" t="s">
        <v>74</v>
      </c>
      <c r="BQ718" s="1" t="s">
        <v>74</v>
      </c>
      <c r="BR718" s="1" t="s">
        <v>74</v>
      </c>
      <c r="BS718" s="1" t="s">
        <v>7202</v>
      </c>
      <c r="BT718" s="1" t="str">
        <f>HYPERLINK("https%3A%2F%2Fwww.webofscience.com%2Fwos%2Fwoscc%2Ffull-record%2FWOS:001469860100001","View Full Record in Web of Science")</f>
        <v>View Full Record in Web of Science</v>
      </c>
    </row>
    <row r="719" ht="12.75" customHeight="1">
      <c r="A719" s="1" t="s">
        <v>72</v>
      </c>
      <c r="B719" s="1" t="s">
        <v>7203</v>
      </c>
      <c r="C719" s="1" t="s">
        <v>74</v>
      </c>
      <c r="D719" s="1" t="s">
        <v>74</v>
      </c>
      <c r="E719" s="1" t="s">
        <v>74</v>
      </c>
      <c r="F719" s="1" t="s">
        <v>7204</v>
      </c>
      <c r="G719" s="1" t="s">
        <v>74</v>
      </c>
      <c r="H719" s="1" t="s">
        <v>74</v>
      </c>
      <c r="I719" s="1" t="s">
        <v>7205</v>
      </c>
      <c r="J719" s="1" t="s">
        <v>7206</v>
      </c>
      <c r="K719" s="1" t="s">
        <v>74</v>
      </c>
      <c r="L719" s="1" t="s">
        <v>74</v>
      </c>
      <c r="M719" s="1" t="s">
        <v>74</v>
      </c>
      <c r="N719" s="1" t="s">
        <v>74</v>
      </c>
      <c r="O719" s="1" t="s">
        <v>74</v>
      </c>
      <c r="P719" s="1" t="s">
        <v>74</v>
      </c>
      <c r="Q719" s="1" t="s">
        <v>74</v>
      </c>
      <c r="R719" s="1" t="s">
        <v>74</v>
      </c>
      <c r="S719" s="1" t="s">
        <v>74</v>
      </c>
      <c r="T719" s="1" t="s">
        <v>74</v>
      </c>
      <c r="U719" s="1" t="s">
        <v>74</v>
      </c>
      <c r="V719" s="1" t="s">
        <v>7207</v>
      </c>
      <c r="W719" s="1" t="s">
        <v>74</v>
      </c>
      <c r="X719" s="1" t="s">
        <v>74</v>
      </c>
      <c r="Y719" s="1" t="s">
        <v>74</v>
      </c>
      <c r="Z719" s="1" t="s">
        <v>74</v>
      </c>
      <c r="AA719" s="1" t="s">
        <v>7208</v>
      </c>
      <c r="AB719" s="1" t="s">
        <v>7209</v>
      </c>
      <c r="AC719" s="1" t="s">
        <v>74</v>
      </c>
      <c r="AD719" s="1" t="s">
        <v>74</v>
      </c>
      <c r="AE719" s="1" t="s">
        <v>74</v>
      </c>
      <c r="AF719" s="1" t="s">
        <v>74</v>
      </c>
      <c r="AG719" s="1" t="s">
        <v>74</v>
      </c>
      <c r="AH719" s="1" t="s">
        <v>74</v>
      </c>
      <c r="AI719" s="1" t="s">
        <v>74</v>
      </c>
      <c r="AJ719" s="1" t="s">
        <v>74</v>
      </c>
      <c r="AK719" s="1" t="s">
        <v>74</v>
      </c>
      <c r="AL719" s="1" t="s">
        <v>74</v>
      </c>
      <c r="AM719" s="1" t="s">
        <v>74</v>
      </c>
      <c r="AN719" s="1" t="s">
        <v>74</v>
      </c>
      <c r="AO719" s="1" t="s">
        <v>74</v>
      </c>
      <c r="AP719" s="1" t="s">
        <v>7210</v>
      </c>
      <c r="AQ719" s="1" t="s">
        <v>74</v>
      </c>
      <c r="AR719" s="1" t="s">
        <v>74</v>
      </c>
      <c r="AS719" s="1" t="s">
        <v>74</v>
      </c>
      <c r="AT719" s="1" t="s">
        <v>155</v>
      </c>
      <c r="AU719" s="1">
        <v>2023.0</v>
      </c>
      <c r="AV719" s="1">
        <v>15.0</v>
      </c>
      <c r="AW719" s="1">
        <v>6.0</v>
      </c>
      <c r="AX719" s="1" t="s">
        <v>74</v>
      </c>
      <c r="AY719" s="1" t="s">
        <v>74</v>
      </c>
      <c r="AZ719" s="1" t="s">
        <v>74</v>
      </c>
      <c r="BA719" s="1" t="s">
        <v>74</v>
      </c>
      <c r="BB719" s="1" t="s">
        <v>74</v>
      </c>
      <c r="BC719" s="1" t="s">
        <v>74</v>
      </c>
      <c r="BD719" s="1">
        <v>1659.0</v>
      </c>
      <c r="BE719" s="1" t="s">
        <v>7211</v>
      </c>
      <c r="BF719" s="2" t="str">
        <f>HYPERLINK("http://dx.doi.org/10.3390/pharmaceutics15061659","http://dx.doi.org/10.3390/pharmaceutics15061659")</f>
        <v>http://dx.doi.org/10.3390/pharmaceutics15061659</v>
      </c>
      <c r="BG719" s="1" t="s">
        <v>74</v>
      </c>
      <c r="BH719" s="1" t="s">
        <v>74</v>
      </c>
      <c r="BI719" s="1" t="s">
        <v>74</v>
      </c>
      <c r="BJ719" s="1" t="s">
        <v>74</v>
      </c>
      <c r="BK719" s="1" t="s">
        <v>74</v>
      </c>
      <c r="BL719" s="1" t="s">
        <v>74</v>
      </c>
      <c r="BM719" s="1" t="s">
        <v>74</v>
      </c>
      <c r="BN719" s="1">
        <v>3.7376107E7</v>
      </c>
      <c r="BO719" s="1" t="s">
        <v>74</v>
      </c>
      <c r="BP719" s="1" t="s">
        <v>74</v>
      </c>
      <c r="BQ719" s="1" t="s">
        <v>74</v>
      </c>
      <c r="BR719" s="1" t="s">
        <v>74</v>
      </c>
      <c r="BS719" s="1" t="s">
        <v>7212</v>
      </c>
      <c r="BT719" s="1" t="str">
        <f>HYPERLINK("https%3A%2F%2Fwww.webofscience.com%2Fwos%2Fwoscc%2Ffull-record%2FWOS:001015827400001","View Full Record in Web of Science")</f>
        <v>View Full Record in Web of Science</v>
      </c>
    </row>
    <row r="720" ht="12.75" customHeight="1">
      <c r="A720" s="1" t="s">
        <v>72</v>
      </c>
      <c r="B720" s="1" t="s">
        <v>7213</v>
      </c>
      <c r="C720" s="1" t="s">
        <v>74</v>
      </c>
      <c r="D720" s="1" t="s">
        <v>74</v>
      </c>
      <c r="E720" s="1" t="s">
        <v>74</v>
      </c>
      <c r="F720" s="1" t="s">
        <v>7214</v>
      </c>
      <c r="G720" s="1" t="s">
        <v>74</v>
      </c>
      <c r="H720" s="1" t="s">
        <v>74</v>
      </c>
      <c r="I720" s="1" t="s">
        <v>7215</v>
      </c>
      <c r="J720" s="1" t="s">
        <v>1726</v>
      </c>
      <c r="K720" s="1" t="s">
        <v>74</v>
      </c>
      <c r="L720" s="1" t="s">
        <v>74</v>
      </c>
      <c r="M720" s="1" t="s">
        <v>74</v>
      </c>
      <c r="N720" s="1" t="s">
        <v>74</v>
      </c>
      <c r="O720" s="1" t="s">
        <v>74</v>
      </c>
      <c r="P720" s="1" t="s">
        <v>74</v>
      </c>
      <c r="Q720" s="1" t="s">
        <v>74</v>
      </c>
      <c r="R720" s="1" t="s">
        <v>74</v>
      </c>
      <c r="S720" s="1" t="s">
        <v>74</v>
      </c>
      <c r="T720" s="1" t="s">
        <v>74</v>
      </c>
      <c r="U720" s="1" t="s">
        <v>74</v>
      </c>
      <c r="V720" s="1" t="s">
        <v>7216</v>
      </c>
      <c r="W720" s="1" t="s">
        <v>74</v>
      </c>
      <c r="X720" s="1" t="s">
        <v>74</v>
      </c>
      <c r="Y720" s="1" t="s">
        <v>74</v>
      </c>
      <c r="Z720" s="1" t="s">
        <v>74</v>
      </c>
      <c r="AA720" s="1" t="s">
        <v>7217</v>
      </c>
      <c r="AB720" s="1" t="s">
        <v>74</v>
      </c>
      <c r="AC720" s="1" t="s">
        <v>74</v>
      </c>
      <c r="AD720" s="1" t="s">
        <v>74</v>
      </c>
      <c r="AE720" s="1" t="s">
        <v>74</v>
      </c>
      <c r="AF720" s="1" t="s">
        <v>74</v>
      </c>
      <c r="AG720" s="1" t="s">
        <v>74</v>
      </c>
      <c r="AH720" s="1" t="s">
        <v>74</v>
      </c>
      <c r="AI720" s="1" t="s">
        <v>74</v>
      </c>
      <c r="AJ720" s="1" t="s">
        <v>74</v>
      </c>
      <c r="AK720" s="1" t="s">
        <v>74</v>
      </c>
      <c r="AL720" s="1" t="s">
        <v>74</v>
      </c>
      <c r="AM720" s="1" t="s">
        <v>74</v>
      </c>
      <c r="AN720" s="1" t="s">
        <v>74</v>
      </c>
      <c r="AO720" s="1" t="s">
        <v>1729</v>
      </c>
      <c r="AP720" s="1" t="s">
        <v>74</v>
      </c>
      <c r="AQ720" s="1" t="s">
        <v>74</v>
      </c>
      <c r="AR720" s="1" t="s">
        <v>74</v>
      </c>
      <c r="AS720" s="1" t="s">
        <v>74</v>
      </c>
      <c r="AT720" s="1" t="s">
        <v>74</v>
      </c>
      <c r="AU720" s="1">
        <v>2023.0</v>
      </c>
      <c r="AV720" s="1">
        <v>12.0</v>
      </c>
      <c r="AW720" s="1" t="s">
        <v>74</v>
      </c>
      <c r="AX720" s="1" t="s">
        <v>74</v>
      </c>
      <c r="AY720" s="1">
        <v>4.0</v>
      </c>
      <c r="AZ720" s="1" t="s">
        <v>74</v>
      </c>
      <c r="BA720" s="1" t="s">
        <v>74</v>
      </c>
      <c r="BB720" s="1" t="s">
        <v>74</v>
      </c>
      <c r="BC720" s="1" t="s">
        <v>74</v>
      </c>
      <c r="BD720" s="1">
        <v>6.0</v>
      </c>
      <c r="BE720" s="1" t="s">
        <v>74</v>
      </c>
      <c r="BF720" s="1" t="s">
        <v>74</v>
      </c>
      <c r="BG720" s="1" t="s">
        <v>74</v>
      </c>
      <c r="BH720" s="1" t="s">
        <v>74</v>
      </c>
      <c r="BI720" s="1" t="s">
        <v>74</v>
      </c>
      <c r="BJ720" s="1" t="s">
        <v>74</v>
      </c>
      <c r="BK720" s="1" t="s">
        <v>74</v>
      </c>
      <c r="BL720" s="1" t="s">
        <v>74</v>
      </c>
      <c r="BM720" s="1" t="s">
        <v>74</v>
      </c>
      <c r="BN720" s="1" t="s">
        <v>74</v>
      </c>
      <c r="BO720" s="1" t="s">
        <v>74</v>
      </c>
      <c r="BP720" s="1" t="s">
        <v>74</v>
      </c>
      <c r="BQ720" s="1" t="s">
        <v>74</v>
      </c>
      <c r="BR720" s="1" t="s">
        <v>74</v>
      </c>
      <c r="BS720" s="1" t="s">
        <v>7218</v>
      </c>
      <c r="BT720" s="1" t="str">
        <f>HYPERLINK("https%3A%2F%2Fwww.webofscience.com%2Fwos%2Fwoscc%2Ffull-record%2FWOS:001143891900004","View Full Record in Web of Science")</f>
        <v>View Full Record in Web of Science</v>
      </c>
    </row>
    <row r="721" ht="12.75" customHeight="1">
      <c r="A721" s="1" t="s">
        <v>72</v>
      </c>
      <c r="B721" s="1" t="s">
        <v>7219</v>
      </c>
      <c r="C721" s="1" t="s">
        <v>74</v>
      </c>
      <c r="D721" s="1" t="s">
        <v>74</v>
      </c>
      <c r="E721" s="1" t="s">
        <v>74</v>
      </c>
      <c r="F721" s="1" t="s">
        <v>7220</v>
      </c>
      <c r="G721" s="1" t="s">
        <v>74</v>
      </c>
      <c r="H721" s="1" t="s">
        <v>74</v>
      </c>
      <c r="I721" s="1" t="s">
        <v>7221</v>
      </c>
      <c r="J721" s="1" t="s">
        <v>7222</v>
      </c>
      <c r="K721" s="1" t="s">
        <v>74</v>
      </c>
      <c r="L721" s="1" t="s">
        <v>74</v>
      </c>
      <c r="M721" s="1" t="s">
        <v>74</v>
      </c>
      <c r="N721" s="1" t="s">
        <v>74</v>
      </c>
      <c r="O721" s="1" t="s">
        <v>74</v>
      </c>
      <c r="P721" s="1" t="s">
        <v>74</v>
      </c>
      <c r="Q721" s="1" t="s">
        <v>74</v>
      </c>
      <c r="R721" s="1" t="s">
        <v>74</v>
      </c>
      <c r="S721" s="1" t="s">
        <v>74</v>
      </c>
      <c r="T721" s="1" t="s">
        <v>74</v>
      </c>
      <c r="U721" s="1" t="s">
        <v>74</v>
      </c>
      <c r="V721" s="1" t="s">
        <v>74</v>
      </c>
      <c r="W721" s="1" t="s">
        <v>74</v>
      </c>
      <c r="X721" s="1" t="s">
        <v>74</v>
      </c>
      <c r="Y721" s="1" t="s">
        <v>74</v>
      </c>
      <c r="Z721" s="1" t="s">
        <v>74</v>
      </c>
      <c r="AA721" s="1" t="s">
        <v>7223</v>
      </c>
      <c r="AB721" s="1" t="s">
        <v>74</v>
      </c>
      <c r="AC721" s="1" t="s">
        <v>74</v>
      </c>
      <c r="AD721" s="1" t="s">
        <v>74</v>
      </c>
      <c r="AE721" s="1" t="s">
        <v>74</v>
      </c>
      <c r="AF721" s="1" t="s">
        <v>74</v>
      </c>
      <c r="AG721" s="1" t="s">
        <v>74</v>
      </c>
      <c r="AH721" s="1" t="s">
        <v>74</v>
      </c>
      <c r="AI721" s="1" t="s">
        <v>74</v>
      </c>
      <c r="AJ721" s="1" t="s">
        <v>74</v>
      </c>
      <c r="AK721" s="1" t="s">
        <v>74</v>
      </c>
      <c r="AL721" s="1" t="s">
        <v>74</v>
      </c>
      <c r="AM721" s="1" t="s">
        <v>74</v>
      </c>
      <c r="AN721" s="1" t="s">
        <v>74</v>
      </c>
      <c r="AO721" s="1" t="s">
        <v>7224</v>
      </c>
      <c r="AP721" s="1" t="s">
        <v>7225</v>
      </c>
      <c r="AQ721" s="1" t="s">
        <v>74</v>
      </c>
      <c r="AR721" s="1" t="s">
        <v>74</v>
      </c>
      <c r="AS721" s="1" t="s">
        <v>74</v>
      </c>
      <c r="AT721" s="1" t="s">
        <v>6253</v>
      </c>
      <c r="AU721" s="1">
        <v>2022.0</v>
      </c>
      <c r="AV721" s="1">
        <v>46.0</v>
      </c>
      <c r="AW721" s="1">
        <v>5.0</v>
      </c>
      <c r="AX721" s="1" t="s">
        <v>74</v>
      </c>
      <c r="AY721" s="1" t="s">
        <v>74</v>
      </c>
      <c r="AZ721" s="1" t="s">
        <v>74</v>
      </c>
      <c r="BA721" s="1" t="s">
        <v>74</v>
      </c>
      <c r="BB721" s="1">
        <v>921.0</v>
      </c>
      <c r="BC721" s="1">
        <v>929.0</v>
      </c>
      <c r="BD721" s="1" t="s">
        <v>74</v>
      </c>
      <c r="BE721" s="1" t="s">
        <v>7226</v>
      </c>
      <c r="BF721" s="2" t="str">
        <f>HYPERLINK("http://dx.doi.org/10.1093/cje/beac047","http://dx.doi.org/10.1093/cje/beac047")</f>
        <v>http://dx.doi.org/10.1093/cje/beac047</v>
      </c>
      <c r="BG721" s="1" t="s">
        <v>74</v>
      </c>
      <c r="BH721" s="1" t="s">
        <v>1470</v>
      </c>
      <c r="BI721" s="1" t="s">
        <v>74</v>
      </c>
      <c r="BJ721" s="1" t="s">
        <v>74</v>
      </c>
      <c r="BK721" s="1" t="s">
        <v>74</v>
      </c>
      <c r="BL721" s="1" t="s">
        <v>74</v>
      </c>
      <c r="BM721" s="1" t="s">
        <v>74</v>
      </c>
      <c r="BN721" s="1" t="s">
        <v>74</v>
      </c>
      <c r="BO721" s="1" t="s">
        <v>74</v>
      </c>
      <c r="BP721" s="1" t="s">
        <v>74</v>
      </c>
      <c r="BQ721" s="1" t="s">
        <v>74</v>
      </c>
      <c r="BR721" s="1" t="s">
        <v>74</v>
      </c>
      <c r="BS721" s="1" t="s">
        <v>7227</v>
      </c>
      <c r="BT721" s="1" t="str">
        <f>HYPERLINK("https%3A%2F%2Fwww.webofscience.com%2Fwos%2Fwoscc%2Ffull-record%2FWOS:000878251500001","View Full Record in Web of Science")</f>
        <v>View Full Record in Web of Science</v>
      </c>
    </row>
    <row r="722" ht="12.75" customHeight="1">
      <c r="A722" s="1" t="s">
        <v>72</v>
      </c>
      <c r="B722" s="1" t="s">
        <v>7228</v>
      </c>
      <c r="C722" s="1" t="s">
        <v>74</v>
      </c>
      <c r="D722" s="1" t="s">
        <v>74</v>
      </c>
      <c r="E722" s="1" t="s">
        <v>74</v>
      </c>
      <c r="F722" s="1" t="s">
        <v>7229</v>
      </c>
      <c r="G722" s="1" t="s">
        <v>74</v>
      </c>
      <c r="H722" s="1" t="s">
        <v>74</v>
      </c>
      <c r="I722" s="1" t="s">
        <v>7230</v>
      </c>
      <c r="J722" s="1" t="s">
        <v>1548</v>
      </c>
      <c r="K722" s="1" t="s">
        <v>74</v>
      </c>
      <c r="L722" s="1" t="s">
        <v>74</v>
      </c>
      <c r="M722" s="1" t="s">
        <v>74</v>
      </c>
      <c r="N722" s="1" t="s">
        <v>74</v>
      </c>
      <c r="O722" s="1" t="s">
        <v>74</v>
      </c>
      <c r="P722" s="1" t="s">
        <v>74</v>
      </c>
      <c r="Q722" s="1" t="s">
        <v>74</v>
      </c>
      <c r="R722" s="1" t="s">
        <v>74</v>
      </c>
      <c r="S722" s="1" t="s">
        <v>74</v>
      </c>
      <c r="T722" s="1" t="s">
        <v>74</v>
      </c>
      <c r="U722" s="1" t="s">
        <v>74</v>
      </c>
      <c r="V722" s="1" t="s">
        <v>7231</v>
      </c>
      <c r="W722" s="1" t="s">
        <v>74</v>
      </c>
      <c r="X722" s="1" t="s">
        <v>74</v>
      </c>
      <c r="Y722" s="1" t="s">
        <v>74</v>
      </c>
      <c r="Z722" s="1" t="s">
        <v>74</v>
      </c>
      <c r="AA722" s="1" t="s">
        <v>7232</v>
      </c>
      <c r="AB722" s="1" t="s">
        <v>7233</v>
      </c>
      <c r="AC722" s="1" t="s">
        <v>74</v>
      </c>
      <c r="AD722" s="1" t="s">
        <v>74</v>
      </c>
      <c r="AE722" s="1" t="s">
        <v>74</v>
      </c>
      <c r="AF722" s="1" t="s">
        <v>74</v>
      </c>
      <c r="AG722" s="1" t="s">
        <v>74</v>
      </c>
      <c r="AH722" s="1" t="s">
        <v>74</v>
      </c>
      <c r="AI722" s="1" t="s">
        <v>74</v>
      </c>
      <c r="AJ722" s="1" t="s">
        <v>74</v>
      </c>
      <c r="AK722" s="1" t="s">
        <v>74</v>
      </c>
      <c r="AL722" s="1" t="s">
        <v>74</v>
      </c>
      <c r="AM722" s="1" t="s">
        <v>74</v>
      </c>
      <c r="AN722" s="1" t="s">
        <v>74</v>
      </c>
      <c r="AO722" s="1" t="s">
        <v>1552</v>
      </c>
      <c r="AP722" s="1" t="s">
        <v>1553</v>
      </c>
      <c r="AQ722" s="1" t="s">
        <v>74</v>
      </c>
      <c r="AR722" s="1" t="s">
        <v>74</v>
      </c>
      <c r="AS722" s="1" t="s">
        <v>74</v>
      </c>
      <c r="AT722" s="1" t="s">
        <v>83</v>
      </c>
      <c r="AU722" s="1">
        <v>2022.0</v>
      </c>
      <c r="AV722" s="1">
        <v>39.0</v>
      </c>
      <c r="AW722" s="1">
        <v>2.0</v>
      </c>
      <c r="AX722" s="1" t="s">
        <v>74</v>
      </c>
      <c r="AY722" s="1" t="s">
        <v>74</v>
      </c>
      <c r="AZ722" s="1" t="s">
        <v>74</v>
      </c>
      <c r="BA722" s="1" t="s">
        <v>74</v>
      </c>
      <c r="BB722" s="1">
        <v>320.0</v>
      </c>
      <c r="BC722" s="1">
        <v>328.0</v>
      </c>
      <c r="BD722" s="1" t="s">
        <v>74</v>
      </c>
      <c r="BE722" s="1" t="s">
        <v>7234</v>
      </c>
      <c r="BF722" s="2" t="str">
        <f>HYPERLINK("http://dx.doi.org/10.20960/nh.03808","http://dx.doi.org/10.20960/nh.03808")</f>
        <v>http://dx.doi.org/10.20960/nh.03808</v>
      </c>
      <c r="BG722" s="1" t="s">
        <v>74</v>
      </c>
      <c r="BH722" s="1" t="s">
        <v>74</v>
      </c>
      <c r="BI722" s="1" t="s">
        <v>74</v>
      </c>
      <c r="BJ722" s="1" t="s">
        <v>74</v>
      </c>
      <c r="BK722" s="1" t="s">
        <v>74</v>
      </c>
      <c r="BL722" s="1" t="s">
        <v>74</v>
      </c>
      <c r="BM722" s="1" t="s">
        <v>74</v>
      </c>
      <c r="BN722" s="1">
        <v>3.5142532E7</v>
      </c>
      <c r="BO722" s="1" t="s">
        <v>74</v>
      </c>
      <c r="BP722" s="1" t="s">
        <v>74</v>
      </c>
      <c r="BQ722" s="1" t="s">
        <v>74</v>
      </c>
      <c r="BR722" s="1" t="s">
        <v>74</v>
      </c>
      <c r="BS722" s="1" t="s">
        <v>7235</v>
      </c>
      <c r="BT722" s="1" t="str">
        <f>HYPERLINK("https%3A%2F%2Fwww.webofscience.com%2Fwos%2Fwoscc%2Ffull-record%2FWOS:000830544300011","View Full Record in Web of Science")</f>
        <v>View Full Record in Web of Science</v>
      </c>
    </row>
    <row r="723" ht="12.75" customHeight="1">
      <c r="A723" s="1" t="s">
        <v>72</v>
      </c>
      <c r="B723" s="1" t="s">
        <v>7236</v>
      </c>
      <c r="C723" s="1" t="s">
        <v>74</v>
      </c>
      <c r="D723" s="1" t="s">
        <v>74</v>
      </c>
      <c r="E723" s="1" t="s">
        <v>74</v>
      </c>
      <c r="F723" s="1" t="s">
        <v>7237</v>
      </c>
      <c r="G723" s="1" t="s">
        <v>74</v>
      </c>
      <c r="H723" s="1" t="s">
        <v>74</v>
      </c>
      <c r="I723" s="1" t="s">
        <v>7238</v>
      </c>
      <c r="J723" s="1" t="s">
        <v>7239</v>
      </c>
      <c r="K723" s="1" t="s">
        <v>74</v>
      </c>
      <c r="L723" s="1" t="s">
        <v>74</v>
      </c>
      <c r="M723" s="1" t="s">
        <v>74</v>
      </c>
      <c r="N723" s="1" t="s">
        <v>74</v>
      </c>
      <c r="O723" s="1" t="s">
        <v>74</v>
      </c>
      <c r="P723" s="1" t="s">
        <v>74</v>
      </c>
      <c r="Q723" s="1" t="s">
        <v>74</v>
      </c>
      <c r="R723" s="1" t="s">
        <v>74</v>
      </c>
      <c r="S723" s="1" t="s">
        <v>74</v>
      </c>
      <c r="T723" s="1" t="s">
        <v>74</v>
      </c>
      <c r="U723" s="1" t="s">
        <v>74</v>
      </c>
      <c r="V723" s="1" t="s">
        <v>7240</v>
      </c>
      <c r="W723" s="1" t="s">
        <v>74</v>
      </c>
      <c r="X723" s="1" t="s">
        <v>74</v>
      </c>
      <c r="Y723" s="1" t="s">
        <v>74</v>
      </c>
      <c r="Z723" s="1" t="s">
        <v>74</v>
      </c>
      <c r="AA723" s="1" t="s">
        <v>7241</v>
      </c>
      <c r="AB723" s="1" t="s">
        <v>7242</v>
      </c>
      <c r="AC723" s="1" t="s">
        <v>74</v>
      </c>
      <c r="AD723" s="1" t="s">
        <v>74</v>
      </c>
      <c r="AE723" s="1" t="s">
        <v>74</v>
      </c>
      <c r="AF723" s="1" t="s">
        <v>74</v>
      </c>
      <c r="AG723" s="1" t="s">
        <v>74</v>
      </c>
      <c r="AH723" s="1" t="s">
        <v>74</v>
      </c>
      <c r="AI723" s="1" t="s">
        <v>74</v>
      </c>
      <c r="AJ723" s="1" t="s">
        <v>74</v>
      </c>
      <c r="AK723" s="1" t="s">
        <v>74</v>
      </c>
      <c r="AL723" s="1" t="s">
        <v>74</v>
      </c>
      <c r="AM723" s="1" t="s">
        <v>74</v>
      </c>
      <c r="AN723" s="1" t="s">
        <v>74</v>
      </c>
      <c r="AO723" s="1" t="s">
        <v>74</v>
      </c>
      <c r="AP723" s="1" t="s">
        <v>7243</v>
      </c>
      <c r="AQ723" s="1" t="s">
        <v>74</v>
      </c>
      <c r="AR723" s="1" t="s">
        <v>74</v>
      </c>
      <c r="AS723" s="1" t="s">
        <v>74</v>
      </c>
      <c r="AT723" s="1" t="s">
        <v>7244</v>
      </c>
      <c r="AU723" s="1">
        <v>2022.0</v>
      </c>
      <c r="AV723" s="1">
        <v>22.0</v>
      </c>
      <c r="AW723" s="1">
        <v>1.0</v>
      </c>
      <c r="AX723" s="1" t="s">
        <v>74</v>
      </c>
      <c r="AY723" s="1" t="s">
        <v>74</v>
      </c>
      <c r="AZ723" s="1" t="s">
        <v>74</v>
      </c>
      <c r="BA723" s="1" t="s">
        <v>74</v>
      </c>
      <c r="BB723" s="1" t="s">
        <v>74</v>
      </c>
      <c r="BC723" s="1" t="s">
        <v>74</v>
      </c>
      <c r="BD723" s="1">
        <v>39.0</v>
      </c>
      <c r="BE723" s="1" t="s">
        <v>7245</v>
      </c>
      <c r="BF723" s="2" t="str">
        <f>HYPERLINK("http://dx.doi.org/10.1186/s12906-022-03518-z","http://dx.doi.org/10.1186/s12906-022-03518-z")</f>
        <v>http://dx.doi.org/10.1186/s12906-022-03518-z</v>
      </c>
      <c r="BG723" s="1" t="s">
        <v>74</v>
      </c>
      <c r="BH723" s="1" t="s">
        <v>74</v>
      </c>
      <c r="BI723" s="1" t="s">
        <v>74</v>
      </c>
      <c r="BJ723" s="1" t="s">
        <v>74</v>
      </c>
      <c r="BK723" s="1" t="s">
        <v>74</v>
      </c>
      <c r="BL723" s="1" t="s">
        <v>74</v>
      </c>
      <c r="BM723" s="1" t="s">
        <v>74</v>
      </c>
      <c r="BN723" s="1">
        <v>3.5139827E7</v>
      </c>
      <c r="BO723" s="1" t="s">
        <v>74</v>
      </c>
      <c r="BP723" s="1" t="s">
        <v>74</v>
      </c>
      <c r="BQ723" s="1" t="s">
        <v>74</v>
      </c>
      <c r="BR723" s="1" t="s">
        <v>74</v>
      </c>
      <c r="BS723" s="1" t="s">
        <v>7246</v>
      </c>
      <c r="BT723" s="1" t="str">
        <f>HYPERLINK("https%3A%2F%2Fwww.webofscience.com%2Fwos%2Fwoscc%2Ffull-record%2FWOS:000753396500001","View Full Record in Web of Science")</f>
        <v>View Full Record in Web of Science</v>
      </c>
    </row>
    <row r="724" ht="12.75" customHeight="1">
      <c r="A724" s="1" t="s">
        <v>72</v>
      </c>
      <c r="B724" s="1" t="s">
        <v>7247</v>
      </c>
      <c r="C724" s="1" t="s">
        <v>74</v>
      </c>
      <c r="D724" s="1" t="s">
        <v>74</v>
      </c>
      <c r="E724" s="1" t="s">
        <v>74</v>
      </c>
      <c r="F724" s="1" t="s">
        <v>7248</v>
      </c>
      <c r="G724" s="1" t="s">
        <v>74</v>
      </c>
      <c r="H724" s="1" t="s">
        <v>74</v>
      </c>
      <c r="I724" s="1" t="s">
        <v>7249</v>
      </c>
      <c r="J724" s="1" t="s">
        <v>703</v>
      </c>
      <c r="K724" s="1" t="s">
        <v>74</v>
      </c>
      <c r="L724" s="1" t="s">
        <v>74</v>
      </c>
      <c r="M724" s="1" t="s">
        <v>74</v>
      </c>
      <c r="N724" s="1" t="s">
        <v>74</v>
      </c>
      <c r="O724" s="1" t="s">
        <v>74</v>
      </c>
      <c r="P724" s="1" t="s">
        <v>74</v>
      </c>
      <c r="Q724" s="1" t="s">
        <v>74</v>
      </c>
      <c r="R724" s="1" t="s">
        <v>74</v>
      </c>
      <c r="S724" s="1" t="s">
        <v>74</v>
      </c>
      <c r="T724" s="1" t="s">
        <v>74</v>
      </c>
      <c r="U724" s="1" t="s">
        <v>74</v>
      </c>
      <c r="V724" s="1" t="s">
        <v>7250</v>
      </c>
      <c r="W724" s="1" t="s">
        <v>74</v>
      </c>
      <c r="X724" s="1" t="s">
        <v>74</v>
      </c>
      <c r="Y724" s="1" t="s">
        <v>74</v>
      </c>
      <c r="Z724" s="1" t="s">
        <v>74</v>
      </c>
      <c r="AA724" s="1" t="s">
        <v>7251</v>
      </c>
      <c r="AB724" s="1" t="s">
        <v>7252</v>
      </c>
      <c r="AC724" s="1" t="s">
        <v>74</v>
      </c>
      <c r="AD724" s="1" t="s">
        <v>74</v>
      </c>
      <c r="AE724" s="1" t="s">
        <v>74</v>
      </c>
      <c r="AF724" s="1" t="s">
        <v>74</v>
      </c>
      <c r="AG724" s="1" t="s">
        <v>74</v>
      </c>
      <c r="AH724" s="1" t="s">
        <v>74</v>
      </c>
      <c r="AI724" s="1" t="s">
        <v>74</v>
      </c>
      <c r="AJ724" s="1" t="s">
        <v>74</v>
      </c>
      <c r="AK724" s="1" t="s">
        <v>74</v>
      </c>
      <c r="AL724" s="1" t="s">
        <v>74</v>
      </c>
      <c r="AM724" s="1" t="s">
        <v>74</v>
      </c>
      <c r="AN724" s="1" t="s">
        <v>74</v>
      </c>
      <c r="AO724" s="1" t="s">
        <v>74</v>
      </c>
      <c r="AP724" s="1" t="s">
        <v>707</v>
      </c>
      <c r="AQ724" s="1" t="s">
        <v>74</v>
      </c>
      <c r="AR724" s="1" t="s">
        <v>74</v>
      </c>
      <c r="AS724" s="1" t="s">
        <v>74</v>
      </c>
      <c r="AT724" s="1" t="s">
        <v>398</v>
      </c>
      <c r="AU724" s="1">
        <v>2022.0</v>
      </c>
      <c r="AV724" s="1">
        <v>19.0</v>
      </c>
      <c r="AW724" s="1">
        <v>3.0</v>
      </c>
      <c r="AX724" s="1" t="s">
        <v>74</v>
      </c>
      <c r="AY724" s="1" t="s">
        <v>74</v>
      </c>
      <c r="AZ724" s="1" t="s">
        <v>74</v>
      </c>
      <c r="BA724" s="1" t="s">
        <v>74</v>
      </c>
      <c r="BB724" s="1" t="s">
        <v>74</v>
      </c>
      <c r="BC724" s="1" t="s">
        <v>74</v>
      </c>
      <c r="BD724" s="1">
        <v>1425.0</v>
      </c>
      <c r="BE724" s="1" t="s">
        <v>7253</v>
      </c>
      <c r="BF724" s="2" t="str">
        <f>HYPERLINK("http://dx.doi.org/10.3390/ijerph19031425","http://dx.doi.org/10.3390/ijerph19031425")</f>
        <v>http://dx.doi.org/10.3390/ijerph19031425</v>
      </c>
      <c r="BG724" s="1" t="s">
        <v>74</v>
      </c>
      <c r="BH724" s="1" t="s">
        <v>74</v>
      </c>
      <c r="BI724" s="1" t="s">
        <v>74</v>
      </c>
      <c r="BJ724" s="1" t="s">
        <v>74</v>
      </c>
      <c r="BK724" s="1" t="s">
        <v>74</v>
      </c>
      <c r="BL724" s="1" t="s">
        <v>74</v>
      </c>
      <c r="BM724" s="1" t="s">
        <v>74</v>
      </c>
      <c r="BN724" s="1">
        <v>3.5162444E7</v>
      </c>
      <c r="BO724" s="1" t="s">
        <v>74</v>
      </c>
      <c r="BP724" s="1" t="s">
        <v>74</v>
      </c>
      <c r="BQ724" s="1" t="s">
        <v>74</v>
      </c>
      <c r="BR724" s="1" t="s">
        <v>74</v>
      </c>
      <c r="BS724" s="1" t="s">
        <v>7254</v>
      </c>
      <c r="BT724" s="1" t="str">
        <f>HYPERLINK("https%3A%2F%2Fwww.webofscience.com%2Fwos%2Fwoscc%2Ffull-record%2FWOS:000756027400001","View Full Record in Web of Science")</f>
        <v>View Full Record in Web of Science</v>
      </c>
    </row>
    <row r="725" ht="12.75" customHeight="1">
      <c r="A725" s="1" t="s">
        <v>72</v>
      </c>
      <c r="B725" s="1" t="s">
        <v>7255</v>
      </c>
      <c r="C725" s="1" t="s">
        <v>74</v>
      </c>
      <c r="D725" s="1" t="s">
        <v>74</v>
      </c>
      <c r="E725" s="1" t="s">
        <v>74</v>
      </c>
      <c r="F725" s="1" t="s">
        <v>7256</v>
      </c>
      <c r="G725" s="1" t="s">
        <v>74</v>
      </c>
      <c r="H725" s="1" t="s">
        <v>74</v>
      </c>
      <c r="I725" s="1" t="s">
        <v>7257</v>
      </c>
      <c r="J725" s="1" t="s">
        <v>3309</v>
      </c>
      <c r="K725" s="1" t="s">
        <v>74</v>
      </c>
      <c r="L725" s="1" t="s">
        <v>74</v>
      </c>
      <c r="M725" s="1" t="s">
        <v>74</v>
      </c>
      <c r="N725" s="1" t="s">
        <v>74</v>
      </c>
      <c r="O725" s="1" t="s">
        <v>74</v>
      </c>
      <c r="P725" s="1" t="s">
        <v>74</v>
      </c>
      <c r="Q725" s="1" t="s">
        <v>74</v>
      </c>
      <c r="R725" s="1" t="s">
        <v>74</v>
      </c>
      <c r="S725" s="1" t="s">
        <v>74</v>
      </c>
      <c r="T725" s="1" t="s">
        <v>74</v>
      </c>
      <c r="U725" s="1" t="s">
        <v>74</v>
      </c>
      <c r="V725" s="1" t="s">
        <v>7258</v>
      </c>
      <c r="W725" s="1" t="s">
        <v>74</v>
      </c>
      <c r="X725" s="1" t="s">
        <v>74</v>
      </c>
      <c r="Y725" s="1" t="s">
        <v>74</v>
      </c>
      <c r="Z725" s="1" t="s">
        <v>74</v>
      </c>
      <c r="AA725" s="1" t="s">
        <v>7259</v>
      </c>
      <c r="AB725" s="1" t="s">
        <v>7260</v>
      </c>
      <c r="AC725" s="1" t="s">
        <v>74</v>
      </c>
      <c r="AD725" s="1" t="s">
        <v>74</v>
      </c>
      <c r="AE725" s="1" t="s">
        <v>74</v>
      </c>
      <c r="AF725" s="1" t="s">
        <v>74</v>
      </c>
      <c r="AG725" s="1" t="s">
        <v>74</v>
      </c>
      <c r="AH725" s="1" t="s">
        <v>74</v>
      </c>
      <c r="AI725" s="1" t="s">
        <v>74</v>
      </c>
      <c r="AJ725" s="1" t="s">
        <v>74</v>
      </c>
      <c r="AK725" s="1" t="s">
        <v>74</v>
      </c>
      <c r="AL725" s="1" t="s">
        <v>74</v>
      </c>
      <c r="AM725" s="1" t="s">
        <v>74</v>
      </c>
      <c r="AN725" s="1" t="s">
        <v>74</v>
      </c>
      <c r="AO725" s="1" t="s">
        <v>74</v>
      </c>
      <c r="AP725" s="1" t="s">
        <v>3313</v>
      </c>
      <c r="AQ725" s="1" t="s">
        <v>74</v>
      </c>
      <c r="AR725" s="1" t="s">
        <v>74</v>
      </c>
      <c r="AS725" s="1" t="s">
        <v>74</v>
      </c>
      <c r="AT725" s="1" t="s">
        <v>719</v>
      </c>
      <c r="AU725" s="1">
        <v>2021.0</v>
      </c>
      <c r="AV725" s="1">
        <v>13.0</v>
      </c>
      <c r="AW725" s="1">
        <v>14.0</v>
      </c>
      <c r="AX725" s="1" t="s">
        <v>74</v>
      </c>
      <c r="AY725" s="1" t="s">
        <v>74</v>
      </c>
      <c r="AZ725" s="1" t="s">
        <v>74</v>
      </c>
      <c r="BA725" s="1" t="s">
        <v>74</v>
      </c>
      <c r="BB725" s="1" t="s">
        <v>74</v>
      </c>
      <c r="BC725" s="1" t="s">
        <v>74</v>
      </c>
      <c r="BD725" s="1">
        <v>1888.0</v>
      </c>
      <c r="BE725" s="1" t="s">
        <v>7261</v>
      </c>
      <c r="BF725" s="2" t="str">
        <f>HYPERLINK("http://dx.doi.org/10.3390/w13141888","http://dx.doi.org/10.3390/w13141888")</f>
        <v>http://dx.doi.org/10.3390/w13141888</v>
      </c>
      <c r="BG725" s="1" t="s">
        <v>74</v>
      </c>
      <c r="BH725" s="1" t="s">
        <v>74</v>
      </c>
      <c r="BI725" s="1" t="s">
        <v>74</v>
      </c>
      <c r="BJ725" s="1" t="s">
        <v>74</v>
      </c>
      <c r="BK725" s="1" t="s">
        <v>74</v>
      </c>
      <c r="BL725" s="1" t="s">
        <v>74</v>
      </c>
      <c r="BM725" s="1" t="s">
        <v>74</v>
      </c>
      <c r="BN725" s="1" t="s">
        <v>74</v>
      </c>
      <c r="BO725" s="1" t="s">
        <v>74</v>
      </c>
      <c r="BP725" s="1" t="s">
        <v>74</v>
      </c>
      <c r="BQ725" s="1" t="s">
        <v>74</v>
      </c>
      <c r="BR725" s="1" t="s">
        <v>74</v>
      </c>
      <c r="BS725" s="1" t="s">
        <v>7262</v>
      </c>
      <c r="BT725" s="1" t="str">
        <f>HYPERLINK("https%3A%2F%2Fwww.webofscience.com%2Fwos%2Fwoscc%2Ffull-record%2FWOS:000676999600001","View Full Record in Web of Science")</f>
        <v>View Full Record in Web of Science</v>
      </c>
    </row>
    <row r="726" ht="12.75" customHeight="1">
      <c r="A726" s="1" t="s">
        <v>72</v>
      </c>
      <c r="B726" s="1" t="s">
        <v>7263</v>
      </c>
      <c r="C726" s="1" t="s">
        <v>74</v>
      </c>
      <c r="D726" s="1" t="s">
        <v>74</v>
      </c>
      <c r="E726" s="1" t="s">
        <v>74</v>
      </c>
      <c r="F726" s="1" t="s">
        <v>7264</v>
      </c>
      <c r="G726" s="1" t="s">
        <v>74</v>
      </c>
      <c r="H726" s="1" t="s">
        <v>74</v>
      </c>
      <c r="I726" s="1" t="s">
        <v>7265</v>
      </c>
      <c r="J726" s="1" t="s">
        <v>7266</v>
      </c>
      <c r="K726" s="1" t="s">
        <v>74</v>
      </c>
      <c r="L726" s="1" t="s">
        <v>74</v>
      </c>
      <c r="M726" s="1" t="s">
        <v>74</v>
      </c>
      <c r="N726" s="1" t="s">
        <v>74</v>
      </c>
      <c r="O726" s="1" t="s">
        <v>74</v>
      </c>
      <c r="P726" s="1" t="s">
        <v>74</v>
      </c>
      <c r="Q726" s="1" t="s">
        <v>74</v>
      </c>
      <c r="R726" s="1" t="s">
        <v>74</v>
      </c>
      <c r="S726" s="1" t="s">
        <v>74</v>
      </c>
      <c r="T726" s="1" t="s">
        <v>74</v>
      </c>
      <c r="U726" s="1" t="s">
        <v>74</v>
      </c>
      <c r="V726" s="1" t="s">
        <v>7267</v>
      </c>
      <c r="W726" s="1" t="s">
        <v>74</v>
      </c>
      <c r="X726" s="1" t="s">
        <v>74</v>
      </c>
      <c r="Y726" s="1" t="s">
        <v>74</v>
      </c>
      <c r="Z726" s="1" t="s">
        <v>74</v>
      </c>
      <c r="AA726" s="1" t="s">
        <v>7268</v>
      </c>
      <c r="AB726" s="1" t="s">
        <v>74</v>
      </c>
      <c r="AC726" s="1" t="s">
        <v>74</v>
      </c>
      <c r="AD726" s="1" t="s">
        <v>74</v>
      </c>
      <c r="AE726" s="1" t="s">
        <v>74</v>
      </c>
      <c r="AF726" s="1" t="s">
        <v>74</v>
      </c>
      <c r="AG726" s="1" t="s">
        <v>74</v>
      </c>
      <c r="AH726" s="1" t="s">
        <v>74</v>
      </c>
      <c r="AI726" s="1" t="s">
        <v>74</v>
      </c>
      <c r="AJ726" s="1" t="s">
        <v>74</v>
      </c>
      <c r="AK726" s="1" t="s">
        <v>74</v>
      </c>
      <c r="AL726" s="1" t="s">
        <v>74</v>
      </c>
      <c r="AM726" s="1" t="s">
        <v>74</v>
      </c>
      <c r="AN726" s="1" t="s">
        <v>74</v>
      </c>
      <c r="AO726" s="1" t="s">
        <v>7269</v>
      </c>
      <c r="AP726" s="1" t="s">
        <v>7270</v>
      </c>
      <c r="AQ726" s="1" t="s">
        <v>74</v>
      </c>
      <c r="AR726" s="1" t="s">
        <v>74</v>
      </c>
      <c r="AS726" s="1" t="s">
        <v>74</v>
      </c>
      <c r="AT726" s="1" t="s">
        <v>316</v>
      </c>
      <c r="AU726" s="1">
        <v>2021.0</v>
      </c>
      <c r="AV726" s="1">
        <v>36.0</v>
      </c>
      <c r="AW726" s="1">
        <v>5.0</v>
      </c>
      <c r="AX726" s="1" t="s">
        <v>74</v>
      </c>
      <c r="AY726" s="1" t="s">
        <v>74</v>
      </c>
      <c r="AZ726" s="1" t="s">
        <v>74</v>
      </c>
      <c r="BA726" s="1" t="s">
        <v>74</v>
      </c>
      <c r="BB726" s="1">
        <v>1346.0</v>
      </c>
      <c r="BC726" s="1">
        <v>1356.0</v>
      </c>
      <c r="BD726" s="1" t="s">
        <v>74</v>
      </c>
      <c r="BE726" s="1" t="s">
        <v>7271</v>
      </c>
      <c r="BF726" s="2" t="str">
        <f>HYPERLINK("http://dx.doi.org/10.1093/heapro/daaa154","http://dx.doi.org/10.1093/heapro/daaa154")</f>
        <v>http://dx.doi.org/10.1093/heapro/daaa154</v>
      </c>
      <c r="BG726" s="1" t="s">
        <v>74</v>
      </c>
      <c r="BH726" s="1" t="s">
        <v>4798</v>
      </c>
      <c r="BI726" s="1" t="s">
        <v>74</v>
      </c>
      <c r="BJ726" s="1" t="s">
        <v>74</v>
      </c>
      <c r="BK726" s="1" t="s">
        <v>74</v>
      </c>
      <c r="BL726" s="1" t="s">
        <v>74</v>
      </c>
      <c r="BM726" s="1" t="s">
        <v>74</v>
      </c>
      <c r="BN726" s="1">
        <v>3.3515026E7</v>
      </c>
      <c r="BO726" s="1" t="s">
        <v>74</v>
      </c>
      <c r="BP726" s="1" t="s">
        <v>74</v>
      </c>
      <c r="BQ726" s="1" t="s">
        <v>74</v>
      </c>
      <c r="BR726" s="1" t="s">
        <v>74</v>
      </c>
      <c r="BS726" s="1" t="s">
        <v>7272</v>
      </c>
      <c r="BT726" s="1" t="str">
        <f>HYPERLINK("https%3A%2F%2Fwww.webofscience.com%2Fwos%2Fwoscc%2Ffull-record%2FWOS:000711692700014","View Full Record in Web of Science")</f>
        <v>View Full Record in Web of Science</v>
      </c>
    </row>
    <row r="727" ht="12.75" customHeight="1">
      <c r="A727" s="1" t="s">
        <v>72</v>
      </c>
      <c r="B727" s="1" t="s">
        <v>7273</v>
      </c>
      <c r="C727" s="1" t="s">
        <v>74</v>
      </c>
      <c r="D727" s="1" t="s">
        <v>74</v>
      </c>
      <c r="E727" s="1" t="s">
        <v>74</v>
      </c>
      <c r="F727" s="1" t="s">
        <v>7274</v>
      </c>
      <c r="G727" s="1" t="s">
        <v>74</v>
      </c>
      <c r="H727" s="1" t="s">
        <v>74</v>
      </c>
      <c r="I727" s="1" t="s">
        <v>7275</v>
      </c>
      <c r="J727" s="1" t="s">
        <v>6974</v>
      </c>
      <c r="K727" s="1" t="s">
        <v>74</v>
      </c>
      <c r="L727" s="1" t="s">
        <v>74</v>
      </c>
      <c r="M727" s="1" t="s">
        <v>74</v>
      </c>
      <c r="N727" s="1" t="s">
        <v>74</v>
      </c>
      <c r="O727" s="1" t="s">
        <v>74</v>
      </c>
      <c r="P727" s="1" t="s">
        <v>74</v>
      </c>
      <c r="Q727" s="1" t="s">
        <v>74</v>
      </c>
      <c r="R727" s="1" t="s">
        <v>74</v>
      </c>
      <c r="S727" s="1" t="s">
        <v>74</v>
      </c>
      <c r="T727" s="1" t="s">
        <v>74</v>
      </c>
      <c r="U727" s="1" t="s">
        <v>74</v>
      </c>
      <c r="V727" s="1" t="s">
        <v>7276</v>
      </c>
      <c r="W727" s="1" t="s">
        <v>74</v>
      </c>
      <c r="X727" s="1" t="s">
        <v>74</v>
      </c>
      <c r="Y727" s="1" t="s">
        <v>74</v>
      </c>
      <c r="Z727" s="1" t="s">
        <v>74</v>
      </c>
      <c r="AA727" s="1" t="s">
        <v>7277</v>
      </c>
      <c r="AB727" s="1" t="s">
        <v>7278</v>
      </c>
      <c r="AC727" s="1" t="s">
        <v>74</v>
      </c>
      <c r="AD727" s="1" t="s">
        <v>74</v>
      </c>
      <c r="AE727" s="1" t="s">
        <v>74</v>
      </c>
      <c r="AF727" s="1" t="s">
        <v>74</v>
      </c>
      <c r="AG727" s="1" t="s">
        <v>74</v>
      </c>
      <c r="AH727" s="1" t="s">
        <v>74</v>
      </c>
      <c r="AI727" s="1" t="s">
        <v>74</v>
      </c>
      <c r="AJ727" s="1" t="s">
        <v>74</v>
      </c>
      <c r="AK727" s="1" t="s">
        <v>74</v>
      </c>
      <c r="AL727" s="1" t="s">
        <v>74</v>
      </c>
      <c r="AM727" s="1" t="s">
        <v>74</v>
      </c>
      <c r="AN727" s="1" t="s">
        <v>74</v>
      </c>
      <c r="AO727" s="1" t="s">
        <v>74</v>
      </c>
      <c r="AP727" s="1" t="s">
        <v>6978</v>
      </c>
      <c r="AQ727" s="1" t="s">
        <v>74</v>
      </c>
      <c r="AR727" s="1" t="s">
        <v>74</v>
      </c>
      <c r="AS727" s="1" t="s">
        <v>74</v>
      </c>
      <c r="AT727" s="1" t="s">
        <v>155</v>
      </c>
      <c r="AU727" s="1">
        <v>2020.0</v>
      </c>
      <c r="AV727" s="1">
        <v>10.0</v>
      </c>
      <c r="AW727" s="1">
        <v>11.0</v>
      </c>
      <c r="AX727" s="1" t="s">
        <v>74</v>
      </c>
      <c r="AY727" s="1" t="s">
        <v>74</v>
      </c>
      <c r="AZ727" s="1" t="s">
        <v>74</v>
      </c>
      <c r="BA727" s="1" t="s">
        <v>74</v>
      </c>
      <c r="BB727" s="1" t="s">
        <v>74</v>
      </c>
      <c r="BC727" s="1" t="s">
        <v>74</v>
      </c>
      <c r="BD727" s="1">
        <v>3955.0</v>
      </c>
      <c r="BE727" s="1" t="s">
        <v>7279</v>
      </c>
      <c r="BF727" s="2" t="str">
        <f>HYPERLINK("http://dx.doi.org/10.3390/app10113955","http://dx.doi.org/10.3390/app10113955")</f>
        <v>http://dx.doi.org/10.3390/app10113955</v>
      </c>
      <c r="BG727" s="1" t="s">
        <v>74</v>
      </c>
      <c r="BH727" s="1" t="s">
        <v>74</v>
      </c>
      <c r="BI727" s="1" t="s">
        <v>74</v>
      </c>
      <c r="BJ727" s="1" t="s">
        <v>74</v>
      </c>
      <c r="BK727" s="1" t="s">
        <v>74</v>
      </c>
      <c r="BL727" s="1" t="s">
        <v>74</v>
      </c>
      <c r="BM727" s="1" t="s">
        <v>74</v>
      </c>
      <c r="BN727" s="1" t="s">
        <v>74</v>
      </c>
      <c r="BO727" s="1" t="s">
        <v>74</v>
      </c>
      <c r="BP727" s="1" t="s">
        <v>74</v>
      </c>
      <c r="BQ727" s="1" t="s">
        <v>74</v>
      </c>
      <c r="BR727" s="1" t="s">
        <v>74</v>
      </c>
      <c r="BS727" s="1" t="s">
        <v>7280</v>
      </c>
      <c r="BT727" s="1" t="str">
        <f>HYPERLINK("https%3A%2F%2Fwww.webofscience.com%2Fwos%2Fwoscc%2Ffull-record%2FWOS:000543385900292","View Full Record in Web of Science")</f>
        <v>View Full Record in Web of Science</v>
      </c>
    </row>
    <row r="728" ht="12.75" customHeight="1">
      <c r="A728" s="1" t="s">
        <v>72</v>
      </c>
      <c r="B728" s="1" t="s">
        <v>7281</v>
      </c>
      <c r="C728" s="1" t="s">
        <v>74</v>
      </c>
      <c r="D728" s="1" t="s">
        <v>74</v>
      </c>
      <c r="E728" s="1" t="s">
        <v>74</v>
      </c>
      <c r="F728" s="1" t="s">
        <v>7282</v>
      </c>
      <c r="G728" s="1" t="s">
        <v>74</v>
      </c>
      <c r="H728" s="1" t="s">
        <v>74</v>
      </c>
      <c r="I728" s="1" t="s">
        <v>7283</v>
      </c>
      <c r="J728" s="1" t="s">
        <v>7284</v>
      </c>
      <c r="K728" s="1" t="s">
        <v>74</v>
      </c>
      <c r="L728" s="1" t="s">
        <v>74</v>
      </c>
      <c r="M728" s="1" t="s">
        <v>74</v>
      </c>
      <c r="N728" s="1" t="s">
        <v>74</v>
      </c>
      <c r="O728" s="1" t="s">
        <v>74</v>
      </c>
      <c r="P728" s="1" t="s">
        <v>74</v>
      </c>
      <c r="Q728" s="1" t="s">
        <v>74</v>
      </c>
      <c r="R728" s="1" t="s">
        <v>74</v>
      </c>
      <c r="S728" s="1" t="s">
        <v>74</v>
      </c>
      <c r="T728" s="1" t="s">
        <v>74</v>
      </c>
      <c r="U728" s="1" t="s">
        <v>74</v>
      </c>
      <c r="V728" s="1" t="s">
        <v>74</v>
      </c>
      <c r="W728" s="1" t="s">
        <v>74</v>
      </c>
      <c r="X728" s="1" t="s">
        <v>74</v>
      </c>
      <c r="Y728" s="1" t="s">
        <v>74</v>
      </c>
      <c r="Z728" s="1" t="s">
        <v>74</v>
      </c>
      <c r="AA728" s="1" t="s">
        <v>74</v>
      </c>
      <c r="AB728" s="1" t="s">
        <v>74</v>
      </c>
      <c r="AC728" s="1" t="s">
        <v>74</v>
      </c>
      <c r="AD728" s="1" t="s">
        <v>74</v>
      </c>
      <c r="AE728" s="1" t="s">
        <v>74</v>
      </c>
      <c r="AF728" s="1" t="s">
        <v>74</v>
      </c>
      <c r="AG728" s="1" t="s">
        <v>74</v>
      </c>
      <c r="AH728" s="1" t="s">
        <v>74</v>
      </c>
      <c r="AI728" s="1" t="s">
        <v>74</v>
      </c>
      <c r="AJ728" s="1" t="s">
        <v>74</v>
      </c>
      <c r="AK728" s="1" t="s">
        <v>74</v>
      </c>
      <c r="AL728" s="1" t="s">
        <v>74</v>
      </c>
      <c r="AM728" s="1" t="s">
        <v>74</v>
      </c>
      <c r="AN728" s="1" t="s">
        <v>74</v>
      </c>
      <c r="AO728" s="1" t="s">
        <v>7285</v>
      </c>
      <c r="AP728" s="1" t="s">
        <v>74</v>
      </c>
      <c r="AQ728" s="1" t="s">
        <v>74</v>
      </c>
      <c r="AR728" s="1" t="s">
        <v>74</v>
      </c>
      <c r="AS728" s="1" t="s">
        <v>74</v>
      </c>
      <c r="AT728" s="1" t="s">
        <v>438</v>
      </c>
      <c r="AU728" s="1">
        <v>2020.0</v>
      </c>
      <c r="AV728" s="1">
        <v>49.0</v>
      </c>
      <c r="AW728" s="1">
        <v>145.0</v>
      </c>
      <c r="AX728" s="1" t="s">
        <v>74</v>
      </c>
      <c r="AY728" s="1" t="s">
        <v>74</v>
      </c>
      <c r="AZ728" s="1" t="s">
        <v>74</v>
      </c>
      <c r="BA728" s="1" t="s">
        <v>74</v>
      </c>
      <c r="BB728" s="1">
        <v>31.0</v>
      </c>
      <c r="BC728" s="1">
        <v>37.0</v>
      </c>
      <c r="BD728" s="1" t="s">
        <v>74</v>
      </c>
      <c r="BE728" s="1" t="s">
        <v>74</v>
      </c>
      <c r="BF728" s="1" t="s">
        <v>74</v>
      </c>
      <c r="BG728" s="1" t="s">
        <v>74</v>
      </c>
      <c r="BH728" s="1" t="s">
        <v>74</v>
      </c>
      <c r="BI728" s="1" t="s">
        <v>74</v>
      </c>
      <c r="BJ728" s="1" t="s">
        <v>74</v>
      </c>
      <c r="BK728" s="1" t="s">
        <v>74</v>
      </c>
      <c r="BL728" s="1" t="s">
        <v>74</v>
      </c>
      <c r="BM728" s="1" t="s">
        <v>74</v>
      </c>
      <c r="BN728" s="1" t="s">
        <v>74</v>
      </c>
      <c r="BO728" s="1" t="s">
        <v>74</v>
      </c>
      <c r="BP728" s="1" t="s">
        <v>74</v>
      </c>
      <c r="BQ728" s="1" t="s">
        <v>74</v>
      </c>
      <c r="BR728" s="1" t="s">
        <v>74</v>
      </c>
      <c r="BS728" s="1" t="s">
        <v>7286</v>
      </c>
      <c r="BT728" s="1" t="str">
        <f>HYPERLINK("https%3A%2F%2Fwww.webofscience.com%2Fwos%2Fwoscc%2Ffull-record%2FWOS:000539460200004","View Full Record in Web of Science")</f>
        <v>View Full Record in Web of Science</v>
      </c>
    </row>
    <row r="729" ht="12.75" customHeight="1">
      <c r="A729" s="1" t="s">
        <v>72</v>
      </c>
      <c r="B729" s="1" t="s">
        <v>7287</v>
      </c>
      <c r="C729" s="1" t="s">
        <v>74</v>
      </c>
      <c r="D729" s="1" t="s">
        <v>74</v>
      </c>
      <c r="E729" s="1" t="s">
        <v>74</v>
      </c>
      <c r="F729" s="1" t="s">
        <v>7288</v>
      </c>
      <c r="G729" s="1" t="s">
        <v>74</v>
      </c>
      <c r="H729" s="1" t="s">
        <v>74</v>
      </c>
      <c r="I729" s="1" t="s">
        <v>7289</v>
      </c>
      <c r="J729" s="1" t="s">
        <v>2207</v>
      </c>
      <c r="K729" s="1" t="s">
        <v>74</v>
      </c>
      <c r="L729" s="1" t="s">
        <v>74</v>
      </c>
      <c r="M729" s="1" t="s">
        <v>74</v>
      </c>
      <c r="N729" s="1" t="s">
        <v>74</v>
      </c>
      <c r="O729" s="1" t="s">
        <v>74</v>
      </c>
      <c r="P729" s="1" t="s">
        <v>74</v>
      </c>
      <c r="Q729" s="1" t="s">
        <v>74</v>
      </c>
      <c r="R729" s="1" t="s">
        <v>74</v>
      </c>
      <c r="S729" s="1" t="s">
        <v>74</v>
      </c>
      <c r="T729" s="1" t="s">
        <v>74</v>
      </c>
      <c r="U729" s="1" t="s">
        <v>74</v>
      </c>
      <c r="V729" s="1" t="s">
        <v>7290</v>
      </c>
      <c r="W729" s="1" t="s">
        <v>74</v>
      </c>
      <c r="X729" s="1" t="s">
        <v>74</v>
      </c>
      <c r="Y729" s="1" t="s">
        <v>74</v>
      </c>
      <c r="Z729" s="1" t="s">
        <v>74</v>
      </c>
      <c r="AA729" s="1" t="s">
        <v>7291</v>
      </c>
      <c r="AB729" s="1" t="s">
        <v>7292</v>
      </c>
      <c r="AC729" s="1" t="s">
        <v>74</v>
      </c>
      <c r="AD729" s="1" t="s">
        <v>74</v>
      </c>
      <c r="AE729" s="1" t="s">
        <v>74</v>
      </c>
      <c r="AF729" s="1" t="s">
        <v>74</v>
      </c>
      <c r="AG729" s="1" t="s">
        <v>74</v>
      </c>
      <c r="AH729" s="1" t="s">
        <v>74</v>
      </c>
      <c r="AI729" s="1" t="s">
        <v>74</v>
      </c>
      <c r="AJ729" s="1" t="s">
        <v>74</v>
      </c>
      <c r="AK729" s="1" t="s">
        <v>74</v>
      </c>
      <c r="AL729" s="1" t="s">
        <v>74</v>
      </c>
      <c r="AM729" s="1" t="s">
        <v>74</v>
      </c>
      <c r="AN729" s="1" t="s">
        <v>74</v>
      </c>
      <c r="AO729" s="1" t="s">
        <v>2211</v>
      </c>
      <c r="AP729" s="1" t="s">
        <v>2212</v>
      </c>
      <c r="AQ729" s="1" t="s">
        <v>74</v>
      </c>
      <c r="AR729" s="1" t="s">
        <v>74</v>
      </c>
      <c r="AS729" s="1" t="s">
        <v>74</v>
      </c>
      <c r="AT729" s="1" t="s">
        <v>327</v>
      </c>
      <c r="AU729" s="1">
        <v>2019.0</v>
      </c>
      <c r="AV729" s="1">
        <v>484.0</v>
      </c>
      <c r="AW729" s="1" t="s">
        <v>74</v>
      </c>
      <c r="AX729" s="1" t="s">
        <v>74</v>
      </c>
      <c r="AY729" s="1" t="s">
        <v>74</v>
      </c>
      <c r="AZ729" s="1" t="s">
        <v>74</v>
      </c>
      <c r="BA729" s="1" t="s">
        <v>74</v>
      </c>
      <c r="BB729" s="1">
        <v>55.0</v>
      </c>
      <c r="BC729" s="1">
        <v>60.0</v>
      </c>
      <c r="BD729" s="1" t="s">
        <v>74</v>
      </c>
      <c r="BE729" s="1" t="s">
        <v>7293</v>
      </c>
      <c r="BF729" s="2" t="str">
        <f>HYPERLINK("http://dx.doi.org/10.1016/j.jmmm.2019.03.118","http://dx.doi.org/10.1016/j.jmmm.2019.03.118")</f>
        <v>http://dx.doi.org/10.1016/j.jmmm.2019.03.118</v>
      </c>
      <c r="BG729" s="1" t="s">
        <v>74</v>
      </c>
      <c r="BH729" s="1" t="s">
        <v>74</v>
      </c>
      <c r="BI729" s="1" t="s">
        <v>74</v>
      </c>
      <c r="BJ729" s="1" t="s">
        <v>74</v>
      </c>
      <c r="BK729" s="1" t="s">
        <v>74</v>
      </c>
      <c r="BL729" s="1" t="s">
        <v>74</v>
      </c>
      <c r="BM729" s="1" t="s">
        <v>74</v>
      </c>
      <c r="BN729" s="1" t="s">
        <v>74</v>
      </c>
      <c r="BO729" s="1" t="s">
        <v>74</v>
      </c>
      <c r="BP729" s="1" t="s">
        <v>74</v>
      </c>
      <c r="BQ729" s="1" t="s">
        <v>74</v>
      </c>
      <c r="BR729" s="1" t="s">
        <v>74</v>
      </c>
      <c r="BS729" s="1" t="s">
        <v>7294</v>
      </c>
      <c r="BT729" s="1" t="str">
        <f>HYPERLINK("https%3A%2F%2Fwww.webofscience.com%2Fwos%2Fwoscc%2Ffull-record%2FWOS:000468443500008","View Full Record in Web of Science")</f>
        <v>View Full Record in Web of Science</v>
      </c>
    </row>
    <row r="730" ht="12.75" customHeight="1">
      <c r="A730" s="1" t="s">
        <v>72</v>
      </c>
      <c r="B730" s="1" t="s">
        <v>7295</v>
      </c>
      <c r="C730" s="1" t="s">
        <v>74</v>
      </c>
      <c r="D730" s="1" t="s">
        <v>74</v>
      </c>
      <c r="E730" s="1" t="s">
        <v>74</v>
      </c>
      <c r="F730" s="1" t="s">
        <v>7296</v>
      </c>
      <c r="G730" s="1" t="s">
        <v>74</v>
      </c>
      <c r="H730" s="1" t="s">
        <v>74</v>
      </c>
      <c r="I730" s="1" t="s">
        <v>7297</v>
      </c>
      <c r="J730" s="1" t="s">
        <v>1827</v>
      </c>
      <c r="K730" s="1" t="s">
        <v>74</v>
      </c>
      <c r="L730" s="1" t="s">
        <v>74</v>
      </c>
      <c r="M730" s="1" t="s">
        <v>74</v>
      </c>
      <c r="N730" s="1" t="s">
        <v>74</v>
      </c>
      <c r="O730" s="1" t="s">
        <v>74</v>
      </c>
      <c r="P730" s="1" t="s">
        <v>74</v>
      </c>
      <c r="Q730" s="1" t="s">
        <v>74</v>
      </c>
      <c r="R730" s="1" t="s">
        <v>74</v>
      </c>
      <c r="S730" s="1" t="s">
        <v>74</v>
      </c>
      <c r="T730" s="1" t="s">
        <v>74</v>
      </c>
      <c r="U730" s="1" t="s">
        <v>74</v>
      </c>
      <c r="V730" s="1" t="s">
        <v>7298</v>
      </c>
      <c r="W730" s="1" t="s">
        <v>74</v>
      </c>
      <c r="X730" s="1" t="s">
        <v>74</v>
      </c>
      <c r="Y730" s="1" t="s">
        <v>74</v>
      </c>
      <c r="Z730" s="1" t="s">
        <v>74</v>
      </c>
      <c r="AA730" s="1" t="s">
        <v>7299</v>
      </c>
      <c r="AB730" s="1" t="s">
        <v>7300</v>
      </c>
      <c r="AC730" s="1" t="s">
        <v>74</v>
      </c>
      <c r="AD730" s="1" t="s">
        <v>74</v>
      </c>
      <c r="AE730" s="1" t="s">
        <v>74</v>
      </c>
      <c r="AF730" s="1" t="s">
        <v>74</v>
      </c>
      <c r="AG730" s="1" t="s">
        <v>74</v>
      </c>
      <c r="AH730" s="1" t="s">
        <v>74</v>
      </c>
      <c r="AI730" s="1" t="s">
        <v>74</v>
      </c>
      <c r="AJ730" s="1" t="s">
        <v>74</v>
      </c>
      <c r="AK730" s="1" t="s">
        <v>74</v>
      </c>
      <c r="AL730" s="1" t="s">
        <v>74</v>
      </c>
      <c r="AM730" s="1" t="s">
        <v>74</v>
      </c>
      <c r="AN730" s="1" t="s">
        <v>74</v>
      </c>
      <c r="AO730" s="1" t="s">
        <v>1831</v>
      </c>
      <c r="AP730" s="1" t="s">
        <v>74</v>
      </c>
      <c r="AQ730" s="1" t="s">
        <v>74</v>
      </c>
      <c r="AR730" s="1" t="s">
        <v>74</v>
      </c>
      <c r="AS730" s="1" t="s">
        <v>74</v>
      </c>
      <c r="AT730" s="1" t="s">
        <v>7301</v>
      </c>
      <c r="AU730" s="1">
        <v>2018.0</v>
      </c>
      <c r="AV730" s="1" t="s">
        <v>74</v>
      </c>
      <c r="AW730" s="1">
        <v>12.0</v>
      </c>
      <c r="AX730" s="1" t="s">
        <v>74</v>
      </c>
      <c r="AY730" s="1" t="s">
        <v>74</v>
      </c>
      <c r="AZ730" s="1" t="s">
        <v>74</v>
      </c>
      <c r="BA730" s="1" t="s">
        <v>74</v>
      </c>
      <c r="BB730" s="1" t="s">
        <v>74</v>
      </c>
      <c r="BC730" s="1" t="s">
        <v>74</v>
      </c>
      <c r="BD730" s="1">
        <v>115.0</v>
      </c>
      <c r="BE730" s="1" t="s">
        <v>7302</v>
      </c>
      <c r="BF730" s="2" t="str">
        <f>HYPERLINK("http://dx.doi.org/10.1007/JHEP12(2018)115","http://dx.doi.org/10.1007/JHEP12(2018)115")</f>
        <v>http://dx.doi.org/10.1007/JHEP12(2018)115</v>
      </c>
      <c r="BG730" s="1" t="s">
        <v>74</v>
      </c>
      <c r="BH730" s="1" t="s">
        <v>74</v>
      </c>
      <c r="BI730" s="1" t="s">
        <v>74</v>
      </c>
      <c r="BJ730" s="1" t="s">
        <v>74</v>
      </c>
      <c r="BK730" s="1" t="s">
        <v>74</v>
      </c>
      <c r="BL730" s="1" t="s">
        <v>74</v>
      </c>
      <c r="BM730" s="1" t="s">
        <v>74</v>
      </c>
      <c r="BN730" s="1" t="s">
        <v>74</v>
      </c>
      <c r="BO730" s="1" t="s">
        <v>74</v>
      </c>
      <c r="BP730" s="1" t="s">
        <v>74</v>
      </c>
      <c r="BQ730" s="1" t="s">
        <v>74</v>
      </c>
      <c r="BR730" s="1" t="s">
        <v>74</v>
      </c>
      <c r="BS730" s="1" t="s">
        <v>7303</v>
      </c>
      <c r="BT730" s="1" t="str">
        <f>HYPERLINK("https%3A%2F%2Fwww.webofscience.com%2Fwos%2Fwoscc%2Ffull-record%2FWOS:000454146700001","View Full Record in Web of Science")</f>
        <v>View Full Record in Web of Science</v>
      </c>
    </row>
    <row r="731" ht="12.75" customHeight="1">
      <c r="A731" s="1" t="s">
        <v>72</v>
      </c>
      <c r="B731" s="1" t="s">
        <v>7304</v>
      </c>
      <c r="C731" s="1" t="s">
        <v>74</v>
      </c>
      <c r="D731" s="1" t="s">
        <v>74</v>
      </c>
      <c r="E731" s="1" t="s">
        <v>74</v>
      </c>
      <c r="F731" s="1" t="s">
        <v>7305</v>
      </c>
      <c r="G731" s="1" t="s">
        <v>74</v>
      </c>
      <c r="H731" s="1" t="s">
        <v>74</v>
      </c>
      <c r="I731" s="1" t="s">
        <v>7306</v>
      </c>
      <c r="J731" s="1" t="s">
        <v>7307</v>
      </c>
      <c r="K731" s="1" t="s">
        <v>74</v>
      </c>
      <c r="L731" s="1" t="s">
        <v>74</v>
      </c>
      <c r="M731" s="1" t="s">
        <v>74</v>
      </c>
      <c r="N731" s="1" t="s">
        <v>74</v>
      </c>
      <c r="O731" s="1" t="s">
        <v>74</v>
      </c>
      <c r="P731" s="1" t="s">
        <v>74</v>
      </c>
      <c r="Q731" s="1" t="s">
        <v>74</v>
      </c>
      <c r="R731" s="1" t="s">
        <v>74</v>
      </c>
      <c r="S731" s="1" t="s">
        <v>74</v>
      </c>
      <c r="T731" s="1" t="s">
        <v>74</v>
      </c>
      <c r="U731" s="1" t="s">
        <v>74</v>
      </c>
      <c r="V731" s="1" t="s">
        <v>7308</v>
      </c>
      <c r="W731" s="1" t="s">
        <v>74</v>
      </c>
      <c r="X731" s="1" t="s">
        <v>74</v>
      </c>
      <c r="Y731" s="1" t="s">
        <v>74</v>
      </c>
      <c r="Z731" s="1" t="s">
        <v>74</v>
      </c>
      <c r="AA731" s="1" t="s">
        <v>7309</v>
      </c>
      <c r="AB731" s="1" t="s">
        <v>7310</v>
      </c>
      <c r="AC731" s="1" t="s">
        <v>74</v>
      </c>
      <c r="AD731" s="1" t="s">
        <v>74</v>
      </c>
      <c r="AE731" s="1" t="s">
        <v>74</v>
      </c>
      <c r="AF731" s="1" t="s">
        <v>74</v>
      </c>
      <c r="AG731" s="1" t="s">
        <v>74</v>
      </c>
      <c r="AH731" s="1" t="s">
        <v>74</v>
      </c>
      <c r="AI731" s="1" t="s">
        <v>74</v>
      </c>
      <c r="AJ731" s="1" t="s">
        <v>74</v>
      </c>
      <c r="AK731" s="1" t="s">
        <v>74</v>
      </c>
      <c r="AL731" s="1" t="s">
        <v>74</v>
      </c>
      <c r="AM731" s="1" t="s">
        <v>74</v>
      </c>
      <c r="AN731" s="1" t="s">
        <v>74</v>
      </c>
      <c r="AO731" s="1" t="s">
        <v>7311</v>
      </c>
      <c r="AP731" s="1" t="s">
        <v>7312</v>
      </c>
      <c r="AQ731" s="1" t="s">
        <v>74</v>
      </c>
      <c r="AR731" s="1" t="s">
        <v>74</v>
      </c>
      <c r="AS731" s="1" t="s">
        <v>74</v>
      </c>
      <c r="AT731" s="1" t="s">
        <v>316</v>
      </c>
      <c r="AU731" s="1">
        <v>2018.0</v>
      </c>
      <c r="AV731" s="1">
        <v>140.0</v>
      </c>
      <c r="AW731" s="1">
        <v>10.0</v>
      </c>
      <c r="AX731" s="1" t="s">
        <v>74</v>
      </c>
      <c r="AY731" s="1" t="s">
        <v>74</v>
      </c>
      <c r="AZ731" s="1" t="s">
        <v>74</v>
      </c>
      <c r="BA731" s="1" t="s">
        <v>74</v>
      </c>
      <c r="BB731" s="1" t="s">
        <v>74</v>
      </c>
      <c r="BC731" s="1" t="s">
        <v>74</v>
      </c>
      <c r="BD731" s="1">
        <v>101701.0</v>
      </c>
      <c r="BE731" s="1" t="s">
        <v>7313</v>
      </c>
      <c r="BF731" s="2" t="str">
        <f>HYPERLINK("http://dx.doi.org/10.1115/1.4040153","http://dx.doi.org/10.1115/1.4040153")</f>
        <v>http://dx.doi.org/10.1115/1.4040153</v>
      </c>
      <c r="BG731" s="1" t="s">
        <v>74</v>
      </c>
      <c r="BH731" s="1" t="s">
        <v>74</v>
      </c>
      <c r="BI731" s="1" t="s">
        <v>74</v>
      </c>
      <c r="BJ731" s="1" t="s">
        <v>74</v>
      </c>
      <c r="BK731" s="1" t="s">
        <v>74</v>
      </c>
      <c r="BL731" s="1" t="s">
        <v>74</v>
      </c>
      <c r="BM731" s="1" t="s">
        <v>74</v>
      </c>
      <c r="BN731" s="1" t="s">
        <v>74</v>
      </c>
      <c r="BO731" s="1" t="s">
        <v>74</v>
      </c>
      <c r="BP731" s="1" t="s">
        <v>74</v>
      </c>
      <c r="BQ731" s="1" t="s">
        <v>74</v>
      </c>
      <c r="BR731" s="1" t="s">
        <v>74</v>
      </c>
      <c r="BS731" s="1" t="s">
        <v>7314</v>
      </c>
      <c r="BT731" s="1" t="str">
        <f>HYPERLINK("https%3A%2F%2Fwww.webofscience.com%2Fwos%2Fwoscc%2Ffull-record%2FWOS:000447278700003","View Full Record in Web of Science")</f>
        <v>View Full Record in Web of Science</v>
      </c>
    </row>
    <row r="732" ht="12.75" customHeight="1">
      <c r="A732" s="1" t="s">
        <v>72</v>
      </c>
      <c r="B732" s="1" t="s">
        <v>7315</v>
      </c>
      <c r="C732" s="1" t="s">
        <v>74</v>
      </c>
      <c r="D732" s="1" t="s">
        <v>74</v>
      </c>
      <c r="E732" s="1" t="s">
        <v>74</v>
      </c>
      <c r="F732" s="1" t="s">
        <v>7316</v>
      </c>
      <c r="G732" s="1" t="s">
        <v>74</v>
      </c>
      <c r="H732" s="1" t="s">
        <v>74</v>
      </c>
      <c r="I732" s="1" t="s">
        <v>7317</v>
      </c>
      <c r="J732" s="1" t="s">
        <v>1590</v>
      </c>
      <c r="K732" s="1" t="s">
        <v>74</v>
      </c>
      <c r="L732" s="1" t="s">
        <v>74</v>
      </c>
      <c r="M732" s="1" t="s">
        <v>74</v>
      </c>
      <c r="N732" s="1" t="s">
        <v>74</v>
      </c>
      <c r="O732" s="1" t="s">
        <v>74</v>
      </c>
      <c r="P732" s="1" t="s">
        <v>74</v>
      </c>
      <c r="Q732" s="1" t="s">
        <v>74</v>
      </c>
      <c r="R732" s="1" t="s">
        <v>74</v>
      </c>
      <c r="S732" s="1" t="s">
        <v>74</v>
      </c>
      <c r="T732" s="1" t="s">
        <v>74</v>
      </c>
      <c r="U732" s="1" t="s">
        <v>74</v>
      </c>
      <c r="V732" s="1" t="s">
        <v>7318</v>
      </c>
      <c r="W732" s="1" t="s">
        <v>74</v>
      </c>
      <c r="X732" s="1" t="s">
        <v>74</v>
      </c>
      <c r="Y732" s="1" t="s">
        <v>74</v>
      </c>
      <c r="Z732" s="1" t="s">
        <v>74</v>
      </c>
      <c r="AA732" s="1" t="s">
        <v>7319</v>
      </c>
      <c r="AB732" s="1" t="s">
        <v>7320</v>
      </c>
      <c r="AC732" s="1" t="s">
        <v>74</v>
      </c>
      <c r="AD732" s="1" t="s">
        <v>74</v>
      </c>
      <c r="AE732" s="1" t="s">
        <v>74</v>
      </c>
      <c r="AF732" s="1" t="s">
        <v>74</v>
      </c>
      <c r="AG732" s="1" t="s">
        <v>74</v>
      </c>
      <c r="AH732" s="1" t="s">
        <v>74</v>
      </c>
      <c r="AI732" s="1" t="s">
        <v>74</v>
      </c>
      <c r="AJ732" s="1" t="s">
        <v>74</v>
      </c>
      <c r="AK732" s="1" t="s">
        <v>74</v>
      </c>
      <c r="AL732" s="1" t="s">
        <v>74</v>
      </c>
      <c r="AM732" s="1" t="s">
        <v>74</v>
      </c>
      <c r="AN732" s="1" t="s">
        <v>74</v>
      </c>
      <c r="AO732" s="1" t="s">
        <v>1594</v>
      </c>
      <c r="AP732" s="1" t="s">
        <v>1595</v>
      </c>
      <c r="AQ732" s="1" t="s">
        <v>74</v>
      </c>
      <c r="AR732" s="1" t="s">
        <v>74</v>
      </c>
      <c r="AS732" s="1" t="s">
        <v>74</v>
      </c>
      <c r="AT732" s="1" t="s">
        <v>4358</v>
      </c>
      <c r="AU732" s="1">
        <v>2018.0</v>
      </c>
      <c r="AV732" s="1">
        <v>97.0</v>
      </c>
      <c r="AW732" s="1">
        <v>3.0</v>
      </c>
      <c r="AX732" s="1" t="s">
        <v>74</v>
      </c>
      <c r="AY732" s="1" t="s">
        <v>74</v>
      </c>
      <c r="AZ732" s="1" t="s">
        <v>74</v>
      </c>
      <c r="BA732" s="1" t="s">
        <v>74</v>
      </c>
      <c r="BB732" s="1" t="s">
        <v>74</v>
      </c>
      <c r="BC732" s="1" t="s">
        <v>74</v>
      </c>
      <c r="BD732" s="1">
        <v>32320.0</v>
      </c>
      <c r="BE732" s="1" t="s">
        <v>7321</v>
      </c>
      <c r="BF732" s="2" t="str">
        <f>HYPERLINK("http://dx.doi.org/10.1103/PhysRevA.97.032320","http://dx.doi.org/10.1103/PhysRevA.97.032320")</f>
        <v>http://dx.doi.org/10.1103/PhysRevA.97.032320</v>
      </c>
      <c r="BG732" s="1" t="s">
        <v>74</v>
      </c>
      <c r="BH732" s="1" t="s">
        <v>74</v>
      </c>
      <c r="BI732" s="1" t="s">
        <v>74</v>
      </c>
      <c r="BJ732" s="1" t="s">
        <v>74</v>
      </c>
      <c r="BK732" s="1" t="s">
        <v>74</v>
      </c>
      <c r="BL732" s="1" t="s">
        <v>74</v>
      </c>
      <c r="BM732" s="1" t="s">
        <v>74</v>
      </c>
      <c r="BN732" s="1" t="s">
        <v>74</v>
      </c>
      <c r="BO732" s="1" t="s">
        <v>74</v>
      </c>
      <c r="BP732" s="1" t="s">
        <v>74</v>
      </c>
      <c r="BQ732" s="1" t="s">
        <v>74</v>
      </c>
      <c r="BR732" s="1" t="s">
        <v>74</v>
      </c>
      <c r="BS732" s="1" t="s">
        <v>7322</v>
      </c>
      <c r="BT732" s="1" t="str">
        <f>HYPERLINK("https%3A%2F%2Fwww.webofscience.com%2Fwos%2Fwoscc%2Ffull-record%2FWOS:000427632500009","View Full Record in Web of Science")</f>
        <v>View Full Record in Web of Science</v>
      </c>
    </row>
    <row r="733" ht="12.75" customHeight="1">
      <c r="A733" s="1" t="s">
        <v>72</v>
      </c>
      <c r="B733" s="1" t="s">
        <v>7323</v>
      </c>
      <c r="C733" s="1" t="s">
        <v>74</v>
      </c>
      <c r="D733" s="1" t="s">
        <v>74</v>
      </c>
      <c r="E733" s="1" t="s">
        <v>74</v>
      </c>
      <c r="F733" s="1" t="s">
        <v>7324</v>
      </c>
      <c r="G733" s="1" t="s">
        <v>74</v>
      </c>
      <c r="H733" s="1" t="s">
        <v>74</v>
      </c>
      <c r="I733" s="1" t="s">
        <v>7325</v>
      </c>
      <c r="J733" s="1" t="s">
        <v>7063</v>
      </c>
      <c r="K733" s="1" t="s">
        <v>74</v>
      </c>
      <c r="L733" s="1" t="s">
        <v>74</v>
      </c>
      <c r="M733" s="1" t="s">
        <v>74</v>
      </c>
      <c r="N733" s="1" t="s">
        <v>74</v>
      </c>
      <c r="O733" s="1" t="s">
        <v>74</v>
      </c>
      <c r="P733" s="1" t="s">
        <v>74</v>
      </c>
      <c r="Q733" s="1" t="s">
        <v>74</v>
      </c>
      <c r="R733" s="1" t="s">
        <v>74</v>
      </c>
      <c r="S733" s="1" t="s">
        <v>74</v>
      </c>
      <c r="T733" s="1" t="s">
        <v>74</v>
      </c>
      <c r="U733" s="1" t="s">
        <v>74</v>
      </c>
      <c r="V733" s="1" t="s">
        <v>7326</v>
      </c>
      <c r="W733" s="1" t="s">
        <v>74</v>
      </c>
      <c r="X733" s="1" t="s">
        <v>74</v>
      </c>
      <c r="Y733" s="1" t="s">
        <v>74</v>
      </c>
      <c r="Z733" s="1" t="s">
        <v>74</v>
      </c>
      <c r="AA733" s="1" t="s">
        <v>7327</v>
      </c>
      <c r="AB733" s="1" t="s">
        <v>7328</v>
      </c>
      <c r="AC733" s="1" t="s">
        <v>74</v>
      </c>
      <c r="AD733" s="1" t="s">
        <v>74</v>
      </c>
      <c r="AE733" s="1" t="s">
        <v>74</v>
      </c>
      <c r="AF733" s="1" t="s">
        <v>74</v>
      </c>
      <c r="AG733" s="1" t="s">
        <v>74</v>
      </c>
      <c r="AH733" s="1" t="s">
        <v>74</v>
      </c>
      <c r="AI733" s="1" t="s">
        <v>74</v>
      </c>
      <c r="AJ733" s="1" t="s">
        <v>74</v>
      </c>
      <c r="AK733" s="1" t="s">
        <v>74</v>
      </c>
      <c r="AL733" s="1" t="s">
        <v>74</v>
      </c>
      <c r="AM733" s="1" t="s">
        <v>74</v>
      </c>
      <c r="AN733" s="1" t="s">
        <v>74</v>
      </c>
      <c r="AO733" s="1" t="s">
        <v>7067</v>
      </c>
      <c r="AP733" s="1" t="s">
        <v>7068</v>
      </c>
      <c r="AQ733" s="1" t="s">
        <v>74</v>
      </c>
      <c r="AR733" s="1" t="s">
        <v>74</v>
      </c>
      <c r="AS733" s="1" t="s">
        <v>74</v>
      </c>
      <c r="AT733" s="1" t="s">
        <v>7329</v>
      </c>
      <c r="AU733" s="1">
        <v>2017.0</v>
      </c>
      <c r="AV733" s="1">
        <v>688.0</v>
      </c>
      <c r="AW733" s="1" t="s">
        <v>74</v>
      </c>
      <c r="AX733" s="1" t="s">
        <v>74</v>
      </c>
      <c r="AY733" s="1" t="s">
        <v>74</v>
      </c>
      <c r="AZ733" s="1" t="s">
        <v>74</v>
      </c>
      <c r="BA733" s="1" t="s">
        <v>74</v>
      </c>
      <c r="BB733" s="1">
        <v>66.0</v>
      </c>
      <c r="BC733" s="1">
        <v>73.0</v>
      </c>
      <c r="BD733" s="1" t="s">
        <v>74</v>
      </c>
      <c r="BE733" s="1" t="s">
        <v>7330</v>
      </c>
      <c r="BF733" s="2" t="str">
        <f>HYPERLINK("http://dx.doi.org/10.1016/j.cplett.2017.09.065","http://dx.doi.org/10.1016/j.cplett.2017.09.065")</f>
        <v>http://dx.doi.org/10.1016/j.cplett.2017.09.065</v>
      </c>
      <c r="BG733" s="1" t="s">
        <v>74</v>
      </c>
      <c r="BH733" s="1" t="s">
        <v>74</v>
      </c>
      <c r="BI733" s="1" t="s">
        <v>74</v>
      </c>
      <c r="BJ733" s="1" t="s">
        <v>74</v>
      </c>
      <c r="BK733" s="1" t="s">
        <v>74</v>
      </c>
      <c r="BL733" s="1" t="s">
        <v>74</v>
      </c>
      <c r="BM733" s="1" t="s">
        <v>74</v>
      </c>
      <c r="BN733" s="1" t="s">
        <v>74</v>
      </c>
      <c r="BO733" s="1" t="s">
        <v>74</v>
      </c>
      <c r="BP733" s="1" t="s">
        <v>74</v>
      </c>
      <c r="BQ733" s="1" t="s">
        <v>74</v>
      </c>
      <c r="BR733" s="1" t="s">
        <v>74</v>
      </c>
      <c r="BS733" s="1" t="s">
        <v>7331</v>
      </c>
      <c r="BT733" s="1" t="str">
        <f>HYPERLINK("https%3A%2F%2Fwww.webofscience.com%2Fwos%2Fwoscc%2Ffull-record%2FWOS:000413039700012","View Full Record in Web of Science")</f>
        <v>View Full Record in Web of Science</v>
      </c>
    </row>
    <row r="734" ht="12.75" customHeight="1">
      <c r="A734" s="1" t="s">
        <v>72</v>
      </c>
      <c r="B734" s="1" t="s">
        <v>7332</v>
      </c>
      <c r="C734" s="1" t="s">
        <v>74</v>
      </c>
      <c r="D734" s="1" t="s">
        <v>74</v>
      </c>
      <c r="E734" s="1" t="s">
        <v>74</v>
      </c>
      <c r="F734" s="1" t="s">
        <v>7333</v>
      </c>
      <c r="G734" s="1" t="s">
        <v>74</v>
      </c>
      <c r="H734" s="1" t="s">
        <v>74</v>
      </c>
      <c r="I734" s="1" t="s">
        <v>7334</v>
      </c>
      <c r="J734" s="1" t="s">
        <v>7335</v>
      </c>
      <c r="K734" s="1" t="s">
        <v>74</v>
      </c>
      <c r="L734" s="1" t="s">
        <v>74</v>
      </c>
      <c r="M734" s="1" t="s">
        <v>74</v>
      </c>
      <c r="N734" s="1" t="s">
        <v>74</v>
      </c>
      <c r="O734" s="1" t="s">
        <v>74</v>
      </c>
      <c r="P734" s="1" t="s">
        <v>74</v>
      </c>
      <c r="Q734" s="1" t="s">
        <v>74</v>
      </c>
      <c r="R734" s="1" t="s">
        <v>74</v>
      </c>
      <c r="S734" s="1" t="s">
        <v>74</v>
      </c>
      <c r="T734" s="1" t="s">
        <v>74</v>
      </c>
      <c r="U734" s="1" t="s">
        <v>74</v>
      </c>
      <c r="V734" s="1" t="s">
        <v>7336</v>
      </c>
      <c r="W734" s="1" t="s">
        <v>74</v>
      </c>
      <c r="X734" s="1" t="s">
        <v>74</v>
      </c>
      <c r="Y734" s="1" t="s">
        <v>74</v>
      </c>
      <c r="Z734" s="1" t="s">
        <v>74</v>
      </c>
      <c r="AA734" s="1" t="s">
        <v>7337</v>
      </c>
      <c r="AB734" s="1" t="s">
        <v>7338</v>
      </c>
      <c r="AC734" s="1" t="s">
        <v>74</v>
      </c>
      <c r="AD734" s="1" t="s">
        <v>74</v>
      </c>
      <c r="AE734" s="1" t="s">
        <v>74</v>
      </c>
      <c r="AF734" s="1" t="s">
        <v>74</v>
      </c>
      <c r="AG734" s="1" t="s">
        <v>74</v>
      </c>
      <c r="AH734" s="1" t="s">
        <v>74</v>
      </c>
      <c r="AI734" s="1" t="s">
        <v>74</v>
      </c>
      <c r="AJ734" s="1" t="s">
        <v>74</v>
      </c>
      <c r="AK734" s="1" t="s">
        <v>74</v>
      </c>
      <c r="AL734" s="1" t="s">
        <v>74</v>
      </c>
      <c r="AM734" s="1" t="s">
        <v>74</v>
      </c>
      <c r="AN734" s="1" t="s">
        <v>74</v>
      </c>
      <c r="AO734" s="1" t="s">
        <v>7339</v>
      </c>
      <c r="AP734" s="1" t="s">
        <v>74</v>
      </c>
      <c r="AQ734" s="1" t="s">
        <v>74</v>
      </c>
      <c r="AR734" s="1" t="s">
        <v>74</v>
      </c>
      <c r="AS734" s="1" t="s">
        <v>74</v>
      </c>
      <c r="AT734" s="1" t="s">
        <v>4748</v>
      </c>
      <c r="AU734" s="1">
        <v>2017.0</v>
      </c>
      <c r="AV734" s="1">
        <v>8.0</v>
      </c>
      <c r="AW734" s="1" t="s">
        <v>74</v>
      </c>
      <c r="AX734" s="1" t="s">
        <v>74</v>
      </c>
      <c r="AY734" s="1" t="s">
        <v>74</v>
      </c>
      <c r="AZ734" s="1" t="s">
        <v>74</v>
      </c>
      <c r="BA734" s="1" t="s">
        <v>74</v>
      </c>
      <c r="BB734" s="1" t="s">
        <v>74</v>
      </c>
      <c r="BC734" s="1" t="s">
        <v>74</v>
      </c>
      <c r="BD734" s="1">
        <v>144.0</v>
      </c>
      <c r="BE734" s="1" t="s">
        <v>7340</v>
      </c>
      <c r="BF734" s="2" t="str">
        <f>HYPERLINK("http://dx.doi.org/10.3389/fphys.2017.00144","http://dx.doi.org/10.3389/fphys.2017.00144")</f>
        <v>http://dx.doi.org/10.3389/fphys.2017.00144</v>
      </c>
      <c r="BG734" s="1" t="s">
        <v>74</v>
      </c>
      <c r="BH734" s="1" t="s">
        <v>74</v>
      </c>
      <c r="BI734" s="1" t="s">
        <v>74</v>
      </c>
      <c r="BJ734" s="1" t="s">
        <v>74</v>
      </c>
      <c r="BK734" s="1" t="s">
        <v>74</v>
      </c>
      <c r="BL734" s="1" t="s">
        <v>74</v>
      </c>
      <c r="BM734" s="1" t="s">
        <v>74</v>
      </c>
      <c r="BN734" s="1">
        <v>2.8344561E7</v>
      </c>
      <c r="BO734" s="1" t="s">
        <v>74</v>
      </c>
      <c r="BP734" s="1" t="s">
        <v>74</v>
      </c>
      <c r="BQ734" s="1" t="s">
        <v>74</v>
      </c>
      <c r="BR734" s="1" t="s">
        <v>74</v>
      </c>
      <c r="BS734" s="1" t="s">
        <v>7341</v>
      </c>
      <c r="BT734" s="1" t="str">
        <f>HYPERLINK("https%3A%2F%2Fwww.webofscience.com%2Fwos%2Fwoscc%2Ffull-record%2FWOS:000395918100001","View Full Record in Web of Science")</f>
        <v>View Full Record in Web of Science</v>
      </c>
    </row>
    <row r="735" ht="12.75" customHeight="1">
      <c r="A735" s="1" t="s">
        <v>72</v>
      </c>
      <c r="B735" s="1" t="s">
        <v>7342</v>
      </c>
      <c r="C735" s="1" t="s">
        <v>74</v>
      </c>
      <c r="D735" s="1" t="s">
        <v>74</v>
      </c>
      <c r="E735" s="1" t="s">
        <v>74</v>
      </c>
      <c r="F735" s="1" t="s">
        <v>7343</v>
      </c>
      <c r="G735" s="1" t="s">
        <v>74</v>
      </c>
      <c r="H735" s="1" t="s">
        <v>74</v>
      </c>
      <c r="I735" s="1" t="s">
        <v>2944</v>
      </c>
      <c r="J735" s="1" t="s">
        <v>7344</v>
      </c>
      <c r="K735" s="1" t="s">
        <v>74</v>
      </c>
      <c r="L735" s="1" t="s">
        <v>74</v>
      </c>
      <c r="M735" s="1" t="s">
        <v>74</v>
      </c>
      <c r="N735" s="1" t="s">
        <v>74</v>
      </c>
      <c r="O735" s="1" t="s">
        <v>7345</v>
      </c>
      <c r="P735" s="1" t="s">
        <v>7346</v>
      </c>
      <c r="Q735" s="1" t="s">
        <v>7347</v>
      </c>
      <c r="R735" s="1" t="s">
        <v>7348</v>
      </c>
      <c r="S735" s="1" t="s">
        <v>74</v>
      </c>
      <c r="T735" s="1" t="s">
        <v>74</v>
      </c>
      <c r="U735" s="1" t="s">
        <v>74</v>
      </c>
      <c r="V735" s="1" t="s">
        <v>74</v>
      </c>
      <c r="W735" s="1" t="s">
        <v>74</v>
      </c>
      <c r="X735" s="1" t="s">
        <v>74</v>
      </c>
      <c r="Y735" s="1" t="s">
        <v>74</v>
      </c>
      <c r="Z735" s="1" t="s">
        <v>74</v>
      </c>
      <c r="AA735" s="1" t="s">
        <v>7349</v>
      </c>
      <c r="AB735" s="1" t="s">
        <v>74</v>
      </c>
      <c r="AC735" s="1" t="s">
        <v>74</v>
      </c>
      <c r="AD735" s="1" t="s">
        <v>74</v>
      </c>
      <c r="AE735" s="1" t="s">
        <v>74</v>
      </c>
      <c r="AF735" s="1" t="s">
        <v>74</v>
      </c>
      <c r="AG735" s="1" t="s">
        <v>74</v>
      </c>
      <c r="AH735" s="1" t="s">
        <v>74</v>
      </c>
      <c r="AI735" s="1" t="s">
        <v>74</v>
      </c>
      <c r="AJ735" s="1" t="s">
        <v>74</v>
      </c>
      <c r="AK735" s="1" t="s">
        <v>74</v>
      </c>
      <c r="AL735" s="1" t="s">
        <v>74</v>
      </c>
      <c r="AM735" s="1" t="s">
        <v>74</v>
      </c>
      <c r="AN735" s="1" t="s">
        <v>74</v>
      </c>
      <c r="AO735" s="1" t="s">
        <v>7350</v>
      </c>
      <c r="AP735" s="1" t="s">
        <v>7351</v>
      </c>
      <c r="AQ735" s="1" t="s">
        <v>74</v>
      </c>
      <c r="AR735" s="1" t="s">
        <v>74</v>
      </c>
      <c r="AS735" s="1" t="s">
        <v>74</v>
      </c>
      <c r="AT735" s="1" t="s">
        <v>259</v>
      </c>
      <c r="AU735" s="1">
        <v>2016.0</v>
      </c>
      <c r="AV735" s="1">
        <v>71.0</v>
      </c>
      <c r="AW735" s="1" t="s">
        <v>74</v>
      </c>
      <c r="AX735" s="1" t="s">
        <v>74</v>
      </c>
      <c r="AY735" s="1">
        <v>102.0</v>
      </c>
      <c r="AZ735" s="1" t="s">
        <v>399</v>
      </c>
      <c r="BA735" s="1">
        <v>791.0</v>
      </c>
      <c r="BB735" s="1">
        <v>361.0</v>
      </c>
      <c r="BC735" s="1">
        <v>361.0</v>
      </c>
      <c r="BD735" s="1" t="s">
        <v>74</v>
      </c>
      <c r="BE735" s="1" t="s">
        <v>74</v>
      </c>
      <c r="BF735" s="1" t="s">
        <v>74</v>
      </c>
      <c r="BG735" s="1" t="s">
        <v>74</v>
      </c>
      <c r="BH735" s="1" t="s">
        <v>74</v>
      </c>
      <c r="BI735" s="1" t="s">
        <v>74</v>
      </c>
      <c r="BJ735" s="1" t="s">
        <v>74</v>
      </c>
      <c r="BK735" s="1" t="s">
        <v>74</v>
      </c>
      <c r="BL735" s="1" t="s">
        <v>74</v>
      </c>
      <c r="BM735" s="1" t="s">
        <v>74</v>
      </c>
      <c r="BN735" s="1" t="s">
        <v>74</v>
      </c>
      <c r="BO735" s="1" t="s">
        <v>74</v>
      </c>
      <c r="BP735" s="1" t="s">
        <v>74</v>
      </c>
      <c r="BQ735" s="1" t="s">
        <v>74</v>
      </c>
      <c r="BR735" s="1" t="s">
        <v>74</v>
      </c>
      <c r="BS735" s="1" t="s">
        <v>7352</v>
      </c>
      <c r="BT735" s="1" t="str">
        <f>HYPERLINK("https%3A%2F%2Fwww.webofscience.com%2Fwos%2Fwoscc%2Ffull-record%2FWOS:000383679802162","View Full Record in Web of Science")</f>
        <v>View Full Record in Web of Science</v>
      </c>
    </row>
    <row r="736" ht="12.75" customHeight="1">
      <c r="A736" s="1" t="s">
        <v>72</v>
      </c>
      <c r="B736" s="1" t="s">
        <v>7353</v>
      </c>
      <c r="C736" s="1" t="s">
        <v>74</v>
      </c>
      <c r="D736" s="1" t="s">
        <v>74</v>
      </c>
      <c r="E736" s="1" t="s">
        <v>74</v>
      </c>
      <c r="F736" s="1" t="s">
        <v>7354</v>
      </c>
      <c r="G736" s="1" t="s">
        <v>74</v>
      </c>
      <c r="H736" s="1" t="s">
        <v>74</v>
      </c>
      <c r="I736" s="1" t="s">
        <v>7355</v>
      </c>
      <c r="J736" s="1" t="s">
        <v>3196</v>
      </c>
      <c r="K736" s="1" t="s">
        <v>74</v>
      </c>
      <c r="L736" s="1" t="s">
        <v>74</v>
      </c>
      <c r="M736" s="1" t="s">
        <v>74</v>
      </c>
      <c r="N736" s="1" t="s">
        <v>74</v>
      </c>
      <c r="O736" s="1" t="s">
        <v>74</v>
      </c>
      <c r="P736" s="1" t="s">
        <v>74</v>
      </c>
      <c r="Q736" s="1" t="s">
        <v>74</v>
      </c>
      <c r="R736" s="1" t="s">
        <v>74</v>
      </c>
      <c r="S736" s="1" t="s">
        <v>74</v>
      </c>
      <c r="T736" s="1" t="s">
        <v>74</v>
      </c>
      <c r="U736" s="1" t="s">
        <v>74</v>
      </c>
      <c r="V736" s="1" t="s">
        <v>7356</v>
      </c>
      <c r="W736" s="1" t="s">
        <v>74</v>
      </c>
      <c r="X736" s="1" t="s">
        <v>74</v>
      </c>
      <c r="Y736" s="1" t="s">
        <v>74</v>
      </c>
      <c r="Z736" s="1" t="s">
        <v>74</v>
      </c>
      <c r="AA736" s="1" t="s">
        <v>7357</v>
      </c>
      <c r="AB736" s="1" t="s">
        <v>7358</v>
      </c>
      <c r="AC736" s="1" t="s">
        <v>74</v>
      </c>
      <c r="AD736" s="1" t="s">
        <v>74</v>
      </c>
      <c r="AE736" s="1" t="s">
        <v>74</v>
      </c>
      <c r="AF736" s="1" t="s">
        <v>74</v>
      </c>
      <c r="AG736" s="1" t="s">
        <v>74</v>
      </c>
      <c r="AH736" s="1" t="s">
        <v>74</v>
      </c>
      <c r="AI736" s="1" t="s">
        <v>74</v>
      </c>
      <c r="AJ736" s="1" t="s">
        <v>74</v>
      </c>
      <c r="AK736" s="1" t="s">
        <v>74</v>
      </c>
      <c r="AL736" s="1" t="s">
        <v>74</v>
      </c>
      <c r="AM736" s="1" t="s">
        <v>74</v>
      </c>
      <c r="AN736" s="1" t="s">
        <v>74</v>
      </c>
      <c r="AO736" s="1" t="s">
        <v>3200</v>
      </c>
      <c r="AP736" s="1" t="s">
        <v>74</v>
      </c>
      <c r="AQ736" s="1" t="s">
        <v>74</v>
      </c>
      <c r="AR736" s="1" t="s">
        <v>74</v>
      </c>
      <c r="AS736" s="1" t="s">
        <v>74</v>
      </c>
      <c r="AT736" s="1" t="s">
        <v>5949</v>
      </c>
      <c r="AU736" s="1">
        <v>2016.0</v>
      </c>
      <c r="AV736" s="1">
        <v>24.0</v>
      </c>
      <c r="AW736" s="1">
        <v>9.0</v>
      </c>
      <c r="AX736" s="1" t="s">
        <v>74</v>
      </c>
      <c r="AY736" s="1" t="s">
        <v>74</v>
      </c>
      <c r="AZ736" s="1" t="s">
        <v>74</v>
      </c>
      <c r="BA736" s="1" t="s">
        <v>74</v>
      </c>
      <c r="BB736" s="1">
        <v>9932.0</v>
      </c>
      <c r="BC736" s="1">
        <v>9954.0</v>
      </c>
      <c r="BD736" s="1" t="s">
        <v>74</v>
      </c>
      <c r="BE736" s="1" t="s">
        <v>7359</v>
      </c>
      <c r="BF736" s="2" t="str">
        <f>HYPERLINK("http://dx.doi.org/10.1364/OE.24.009932","http://dx.doi.org/10.1364/OE.24.009932")</f>
        <v>http://dx.doi.org/10.1364/OE.24.009932</v>
      </c>
      <c r="BG736" s="1" t="s">
        <v>74</v>
      </c>
      <c r="BH736" s="1" t="s">
        <v>74</v>
      </c>
      <c r="BI736" s="1" t="s">
        <v>74</v>
      </c>
      <c r="BJ736" s="1" t="s">
        <v>74</v>
      </c>
      <c r="BK736" s="1" t="s">
        <v>74</v>
      </c>
      <c r="BL736" s="1" t="s">
        <v>74</v>
      </c>
      <c r="BM736" s="1" t="s">
        <v>74</v>
      </c>
      <c r="BN736" s="1">
        <v>2.7137604E7</v>
      </c>
      <c r="BO736" s="1" t="s">
        <v>74</v>
      </c>
      <c r="BP736" s="1" t="s">
        <v>74</v>
      </c>
      <c r="BQ736" s="1" t="s">
        <v>74</v>
      </c>
      <c r="BR736" s="1" t="s">
        <v>74</v>
      </c>
      <c r="BS736" s="1" t="s">
        <v>7360</v>
      </c>
      <c r="BT736" s="1" t="str">
        <f>HYPERLINK("https%3A%2F%2Fwww.webofscience.com%2Fwos%2Fwoscc%2Ffull-record%2FWOS:000375259600076","View Full Record in Web of Science")</f>
        <v>View Full Record in Web of Science</v>
      </c>
    </row>
    <row r="737" ht="12.75" customHeight="1">
      <c r="A737" s="1" t="s">
        <v>72</v>
      </c>
      <c r="B737" s="1" t="s">
        <v>7361</v>
      </c>
      <c r="C737" s="1" t="s">
        <v>74</v>
      </c>
      <c r="D737" s="1" t="s">
        <v>74</v>
      </c>
      <c r="E737" s="1" t="s">
        <v>74</v>
      </c>
      <c r="F737" s="1" t="s">
        <v>7362</v>
      </c>
      <c r="G737" s="1" t="s">
        <v>74</v>
      </c>
      <c r="H737" s="1" t="s">
        <v>74</v>
      </c>
      <c r="I737" s="1" t="s">
        <v>7363</v>
      </c>
      <c r="J737" s="1" t="s">
        <v>1385</v>
      </c>
      <c r="K737" s="1" t="s">
        <v>74</v>
      </c>
      <c r="L737" s="1" t="s">
        <v>74</v>
      </c>
      <c r="M737" s="1" t="s">
        <v>74</v>
      </c>
      <c r="N737" s="1" t="s">
        <v>74</v>
      </c>
      <c r="O737" s="1" t="s">
        <v>74</v>
      </c>
      <c r="P737" s="1" t="s">
        <v>74</v>
      </c>
      <c r="Q737" s="1" t="s">
        <v>74</v>
      </c>
      <c r="R737" s="1" t="s">
        <v>74</v>
      </c>
      <c r="S737" s="1" t="s">
        <v>74</v>
      </c>
      <c r="T737" s="1" t="s">
        <v>74</v>
      </c>
      <c r="U737" s="1" t="s">
        <v>74</v>
      </c>
      <c r="V737" s="1" t="s">
        <v>7364</v>
      </c>
      <c r="W737" s="1" t="s">
        <v>74</v>
      </c>
      <c r="X737" s="1" t="s">
        <v>74</v>
      </c>
      <c r="Y737" s="1" t="s">
        <v>74</v>
      </c>
      <c r="Z737" s="1" t="s">
        <v>74</v>
      </c>
      <c r="AA737" s="1" t="s">
        <v>7365</v>
      </c>
      <c r="AB737" s="1" t="s">
        <v>7366</v>
      </c>
      <c r="AC737" s="1" t="s">
        <v>74</v>
      </c>
      <c r="AD737" s="1" t="s">
        <v>74</v>
      </c>
      <c r="AE737" s="1" t="s">
        <v>74</v>
      </c>
      <c r="AF737" s="1" t="s">
        <v>74</v>
      </c>
      <c r="AG737" s="1" t="s">
        <v>74</v>
      </c>
      <c r="AH737" s="1" t="s">
        <v>74</v>
      </c>
      <c r="AI737" s="1" t="s">
        <v>74</v>
      </c>
      <c r="AJ737" s="1" t="s">
        <v>74</v>
      </c>
      <c r="AK737" s="1" t="s">
        <v>74</v>
      </c>
      <c r="AL737" s="1" t="s">
        <v>74</v>
      </c>
      <c r="AM737" s="1" t="s">
        <v>74</v>
      </c>
      <c r="AN737" s="1" t="s">
        <v>74</v>
      </c>
      <c r="AO737" s="1" t="s">
        <v>1627</v>
      </c>
      <c r="AP737" s="1" t="s">
        <v>74</v>
      </c>
      <c r="AQ737" s="1" t="s">
        <v>74</v>
      </c>
      <c r="AR737" s="1" t="s">
        <v>74</v>
      </c>
      <c r="AS737" s="1" t="s">
        <v>74</v>
      </c>
      <c r="AT737" s="1" t="s">
        <v>559</v>
      </c>
      <c r="AU737" s="1">
        <v>2013.0</v>
      </c>
      <c r="AV737" s="1">
        <v>58.0</v>
      </c>
      <c r="AW737" s="1">
        <v>4.0</v>
      </c>
      <c r="AX737" s="1" t="s">
        <v>74</v>
      </c>
      <c r="AY737" s="1" t="s">
        <v>74</v>
      </c>
      <c r="AZ737" s="1" t="s">
        <v>74</v>
      </c>
      <c r="BA737" s="1" t="s">
        <v>74</v>
      </c>
      <c r="BB737" s="1">
        <v>1952.0</v>
      </c>
      <c r="BC737" s="1">
        <v>1956.0</v>
      </c>
      <c r="BD737" s="1" t="s">
        <v>74</v>
      </c>
      <c r="BE737" s="1" t="s">
        <v>7367</v>
      </c>
      <c r="BF737" s="2" t="str">
        <f>HYPERLINK("http://dx.doi.org/10.4067/S0717-97072013000400008","http://dx.doi.org/10.4067/S0717-97072013000400008")</f>
        <v>http://dx.doi.org/10.4067/S0717-97072013000400008</v>
      </c>
      <c r="BG737" s="1" t="s">
        <v>74</v>
      </c>
      <c r="BH737" s="1" t="s">
        <v>74</v>
      </c>
      <c r="BI737" s="1" t="s">
        <v>74</v>
      </c>
      <c r="BJ737" s="1" t="s">
        <v>74</v>
      </c>
      <c r="BK737" s="1" t="s">
        <v>74</v>
      </c>
      <c r="BL737" s="1" t="s">
        <v>74</v>
      </c>
      <c r="BM737" s="1" t="s">
        <v>74</v>
      </c>
      <c r="BN737" s="1" t="s">
        <v>74</v>
      </c>
      <c r="BO737" s="1" t="s">
        <v>74</v>
      </c>
      <c r="BP737" s="1" t="s">
        <v>74</v>
      </c>
      <c r="BQ737" s="1" t="s">
        <v>74</v>
      </c>
      <c r="BR737" s="1" t="s">
        <v>74</v>
      </c>
      <c r="BS737" s="1" t="s">
        <v>7368</v>
      </c>
      <c r="BT737" s="1" t="str">
        <f>HYPERLINK("https%3A%2F%2Fwww.webofscience.com%2Fwos%2Fwoscc%2Ffull-record%2FWOS:000331238800004","View Full Record in Web of Science")</f>
        <v>View Full Record in Web of Science</v>
      </c>
    </row>
    <row r="738" ht="12.75" customHeight="1">
      <c r="A738" s="1" t="s">
        <v>72</v>
      </c>
      <c r="B738" s="1" t="s">
        <v>7369</v>
      </c>
      <c r="C738" s="1" t="s">
        <v>74</v>
      </c>
      <c r="D738" s="1" t="s">
        <v>74</v>
      </c>
      <c r="E738" s="1" t="s">
        <v>74</v>
      </c>
      <c r="F738" s="1" t="s">
        <v>7370</v>
      </c>
      <c r="G738" s="1" t="s">
        <v>74</v>
      </c>
      <c r="H738" s="1" t="s">
        <v>74</v>
      </c>
      <c r="I738" s="1" t="s">
        <v>7371</v>
      </c>
      <c r="J738" s="1" t="s">
        <v>7372</v>
      </c>
      <c r="K738" s="1" t="s">
        <v>74</v>
      </c>
      <c r="L738" s="1" t="s">
        <v>74</v>
      </c>
      <c r="M738" s="1" t="s">
        <v>74</v>
      </c>
      <c r="N738" s="1" t="s">
        <v>74</v>
      </c>
      <c r="O738" s="1" t="s">
        <v>74</v>
      </c>
      <c r="P738" s="1" t="s">
        <v>74</v>
      </c>
      <c r="Q738" s="1" t="s">
        <v>74</v>
      </c>
      <c r="R738" s="1" t="s">
        <v>74</v>
      </c>
      <c r="S738" s="1" t="s">
        <v>74</v>
      </c>
      <c r="T738" s="1" t="s">
        <v>74</v>
      </c>
      <c r="U738" s="1" t="s">
        <v>74</v>
      </c>
      <c r="V738" s="1" t="s">
        <v>7373</v>
      </c>
      <c r="W738" s="1" t="s">
        <v>74</v>
      </c>
      <c r="X738" s="1" t="s">
        <v>74</v>
      </c>
      <c r="Y738" s="1" t="s">
        <v>74</v>
      </c>
      <c r="Z738" s="1" t="s">
        <v>74</v>
      </c>
      <c r="AA738" s="1" t="s">
        <v>7374</v>
      </c>
      <c r="AB738" s="1" t="s">
        <v>7375</v>
      </c>
      <c r="AC738" s="1" t="s">
        <v>74</v>
      </c>
      <c r="AD738" s="1" t="s">
        <v>74</v>
      </c>
      <c r="AE738" s="1" t="s">
        <v>74</v>
      </c>
      <c r="AF738" s="1" t="s">
        <v>74</v>
      </c>
      <c r="AG738" s="1" t="s">
        <v>74</v>
      </c>
      <c r="AH738" s="1" t="s">
        <v>74</v>
      </c>
      <c r="AI738" s="1" t="s">
        <v>74</v>
      </c>
      <c r="AJ738" s="1" t="s">
        <v>74</v>
      </c>
      <c r="AK738" s="1" t="s">
        <v>74</v>
      </c>
      <c r="AL738" s="1" t="s">
        <v>74</v>
      </c>
      <c r="AM738" s="1" t="s">
        <v>74</v>
      </c>
      <c r="AN738" s="1" t="s">
        <v>74</v>
      </c>
      <c r="AO738" s="1" t="s">
        <v>7376</v>
      </c>
      <c r="AP738" s="1" t="s">
        <v>74</v>
      </c>
      <c r="AQ738" s="1" t="s">
        <v>74</v>
      </c>
      <c r="AR738" s="1" t="s">
        <v>74</v>
      </c>
      <c r="AS738" s="1" t="s">
        <v>74</v>
      </c>
      <c r="AT738" s="1" t="s">
        <v>7377</v>
      </c>
      <c r="AU738" s="1">
        <v>2011.0</v>
      </c>
      <c r="AV738" s="1">
        <v>11.0</v>
      </c>
      <c r="AW738" s="1" t="s">
        <v>74</v>
      </c>
      <c r="AX738" s="1" t="s">
        <v>74</v>
      </c>
      <c r="AY738" s="1" t="s">
        <v>74</v>
      </c>
      <c r="AZ738" s="1" t="s">
        <v>74</v>
      </c>
      <c r="BA738" s="1" t="s">
        <v>74</v>
      </c>
      <c r="BB738" s="1" t="s">
        <v>74</v>
      </c>
      <c r="BC738" s="1" t="s">
        <v>74</v>
      </c>
      <c r="BD738" s="1">
        <v>443.0</v>
      </c>
      <c r="BE738" s="1" t="s">
        <v>7378</v>
      </c>
      <c r="BF738" s="2" t="str">
        <f>HYPERLINK("http://dx.doi.org/10.1186/1471-2458-11-443","http://dx.doi.org/10.1186/1471-2458-11-443")</f>
        <v>http://dx.doi.org/10.1186/1471-2458-11-443</v>
      </c>
      <c r="BG738" s="1" t="s">
        <v>74</v>
      </c>
      <c r="BH738" s="1" t="s">
        <v>74</v>
      </c>
      <c r="BI738" s="1" t="s">
        <v>74</v>
      </c>
      <c r="BJ738" s="1" t="s">
        <v>74</v>
      </c>
      <c r="BK738" s="1" t="s">
        <v>74</v>
      </c>
      <c r="BL738" s="1" t="s">
        <v>74</v>
      </c>
      <c r="BM738" s="1" t="s">
        <v>74</v>
      </c>
      <c r="BN738" s="1">
        <v>2.1649907E7</v>
      </c>
      <c r="BO738" s="1" t="s">
        <v>74</v>
      </c>
      <c r="BP738" s="1" t="s">
        <v>74</v>
      </c>
      <c r="BQ738" s="1" t="s">
        <v>74</v>
      </c>
      <c r="BR738" s="1" t="s">
        <v>74</v>
      </c>
      <c r="BS738" s="1" t="s">
        <v>7379</v>
      </c>
      <c r="BT738" s="1" t="str">
        <f>HYPERLINK("https%3A%2F%2Fwww.webofscience.com%2Fwos%2Fwoscc%2Ffull-record%2FWOS:000292165800001","View Full Record in Web of Science")</f>
        <v>View Full Record in Web of Science</v>
      </c>
    </row>
    <row r="739" ht="12.75" customHeight="1">
      <c r="A739" s="1" t="s">
        <v>72</v>
      </c>
      <c r="B739" s="1" t="s">
        <v>7380</v>
      </c>
      <c r="C739" s="1" t="s">
        <v>74</v>
      </c>
      <c r="D739" s="1" t="s">
        <v>74</v>
      </c>
      <c r="E739" s="1" t="s">
        <v>74</v>
      </c>
      <c r="F739" s="1" t="s">
        <v>7381</v>
      </c>
      <c r="G739" s="1" t="s">
        <v>74</v>
      </c>
      <c r="H739" s="1" t="s">
        <v>74</v>
      </c>
      <c r="I739" s="1" t="s">
        <v>7382</v>
      </c>
      <c r="J739" s="1" t="s">
        <v>7383</v>
      </c>
      <c r="K739" s="1" t="s">
        <v>74</v>
      </c>
      <c r="L739" s="1" t="s">
        <v>74</v>
      </c>
      <c r="M739" s="1" t="s">
        <v>74</v>
      </c>
      <c r="N739" s="1" t="s">
        <v>74</v>
      </c>
      <c r="O739" s="1" t="s">
        <v>74</v>
      </c>
      <c r="P739" s="1" t="s">
        <v>74</v>
      </c>
      <c r="Q739" s="1" t="s">
        <v>74</v>
      </c>
      <c r="R739" s="1" t="s">
        <v>74</v>
      </c>
      <c r="S739" s="1" t="s">
        <v>74</v>
      </c>
      <c r="T739" s="1" t="s">
        <v>74</v>
      </c>
      <c r="U739" s="1" t="s">
        <v>74</v>
      </c>
      <c r="V739" s="1" t="s">
        <v>7384</v>
      </c>
      <c r="W739" s="1" t="s">
        <v>74</v>
      </c>
      <c r="X739" s="1" t="s">
        <v>74</v>
      </c>
      <c r="Y739" s="1" t="s">
        <v>74</v>
      </c>
      <c r="Z739" s="1" t="s">
        <v>74</v>
      </c>
      <c r="AA739" s="1" t="s">
        <v>7385</v>
      </c>
      <c r="AB739" s="1" t="s">
        <v>7386</v>
      </c>
      <c r="AC739" s="1" t="s">
        <v>74</v>
      </c>
      <c r="AD739" s="1" t="s">
        <v>74</v>
      </c>
      <c r="AE739" s="1" t="s">
        <v>74</v>
      </c>
      <c r="AF739" s="1" t="s">
        <v>74</v>
      </c>
      <c r="AG739" s="1" t="s">
        <v>74</v>
      </c>
      <c r="AH739" s="1" t="s">
        <v>74</v>
      </c>
      <c r="AI739" s="1" t="s">
        <v>74</v>
      </c>
      <c r="AJ739" s="1" t="s">
        <v>74</v>
      </c>
      <c r="AK739" s="1" t="s">
        <v>74</v>
      </c>
      <c r="AL739" s="1" t="s">
        <v>74</v>
      </c>
      <c r="AM739" s="1" t="s">
        <v>74</v>
      </c>
      <c r="AN739" s="1" t="s">
        <v>74</v>
      </c>
      <c r="AO739" s="1" t="s">
        <v>7387</v>
      </c>
      <c r="AP739" s="1" t="s">
        <v>7388</v>
      </c>
      <c r="AQ739" s="1" t="s">
        <v>74</v>
      </c>
      <c r="AR739" s="1" t="s">
        <v>74</v>
      </c>
      <c r="AS739" s="1" t="s">
        <v>74</v>
      </c>
      <c r="AT739" s="1" t="s">
        <v>7389</v>
      </c>
      <c r="AU739" s="1">
        <v>2010.0</v>
      </c>
      <c r="AV739" s="1">
        <v>11.0</v>
      </c>
      <c r="AW739" s="1">
        <v>14.0</v>
      </c>
      <c r="AX739" s="1" t="s">
        <v>74</v>
      </c>
      <c r="AY739" s="1" t="s">
        <v>74</v>
      </c>
      <c r="AZ739" s="1" t="s">
        <v>74</v>
      </c>
      <c r="BA739" s="1" t="s">
        <v>74</v>
      </c>
      <c r="BB739" s="1">
        <v>1154.0</v>
      </c>
      <c r="BC739" s="1">
        <v>1156.0</v>
      </c>
      <c r="BD739" s="1" t="s">
        <v>74</v>
      </c>
      <c r="BE739" s="1" t="s">
        <v>7390</v>
      </c>
      <c r="BF739" s="2" t="str">
        <f>HYPERLINK("http://dx.doi.org/10.1016/j.catcom.2010.06.002","http://dx.doi.org/10.1016/j.catcom.2010.06.002")</f>
        <v>http://dx.doi.org/10.1016/j.catcom.2010.06.002</v>
      </c>
      <c r="BG739" s="1" t="s">
        <v>74</v>
      </c>
      <c r="BH739" s="1" t="s">
        <v>74</v>
      </c>
      <c r="BI739" s="1" t="s">
        <v>74</v>
      </c>
      <c r="BJ739" s="1" t="s">
        <v>74</v>
      </c>
      <c r="BK739" s="1" t="s">
        <v>74</v>
      </c>
      <c r="BL739" s="1" t="s">
        <v>74</v>
      </c>
      <c r="BM739" s="1" t="s">
        <v>74</v>
      </c>
      <c r="BN739" s="1" t="s">
        <v>74</v>
      </c>
      <c r="BO739" s="1" t="s">
        <v>74</v>
      </c>
      <c r="BP739" s="1" t="s">
        <v>74</v>
      </c>
      <c r="BQ739" s="1" t="s">
        <v>74</v>
      </c>
      <c r="BR739" s="1" t="s">
        <v>74</v>
      </c>
      <c r="BS739" s="1" t="s">
        <v>7391</v>
      </c>
      <c r="BT739" s="1" t="str">
        <f>HYPERLINK("https%3A%2F%2Fwww.webofscience.com%2Fwos%2Fwoscc%2Ffull-record%2FWOS:000281221500012","View Full Record in Web of Science")</f>
        <v>View Full Record in Web of Science</v>
      </c>
    </row>
    <row r="740" ht="12.75" customHeight="1">
      <c r="A740" s="1" t="s">
        <v>72</v>
      </c>
      <c r="B740" s="1" t="s">
        <v>7392</v>
      </c>
      <c r="C740" s="1" t="s">
        <v>74</v>
      </c>
      <c r="D740" s="1" t="s">
        <v>74</v>
      </c>
      <c r="E740" s="1" t="s">
        <v>74</v>
      </c>
      <c r="F740" s="1" t="s">
        <v>7393</v>
      </c>
      <c r="G740" s="1" t="s">
        <v>74</v>
      </c>
      <c r="H740" s="1" t="s">
        <v>74</v>
      </c>
      <c r="I740" s="1" t="s">
        <v>7394</v>
      </c>
      <c r="J740" s="1" t="s">
        <v>2980</v>
      </c>
      <c r="K740" s="1" t="s">
        <v>74</v>
      </c>
      <c r="L740" s="1" t="s">
        <v>74</v>
      </c>
      <c r="M740" s="1" t="s">
        <v>74</v>
      </c>
      <c r="N740" s="1" t="s">
        <v>74</v>
      </c>
      <c r="O740" s="1" t="s">
        <v>74</v>
      </c>
      <c r="P740" s="1" t="s">
        <v>74</v>
      </c>
      <c r="Q740" s="1" t="s">
        <v>74</v>
      </c>
      <c r="R740" s="1" t="s">
        <v>74</v>
      </c>
      <c r="S740" s="1" t="s">
        <v>74</v>
      </c>
      <c r="T740" s="1" t="s">
        <v>74</v>
      </c>
      <c r="U740" s="1" t="s">
        <v>74</v>
      </c>
      <c r="V740" s="1" t="s">
        <v>7395</v>
      </c>
      <c r="W740" s="1" t="s">
        <v>74</v>
      </c>
      <c r="X740" s="1" t="s">
        <v>74</v>
      </c>
      <c r="Y740" s="1" t="s">
        <v>74</v>
      </c>
      <c r="Z740" s="1" t="s">
        <v>74</v>
      </c>
      <c r="AA740" s="1" t="s">
        <v>7396</v>
      </c>
      <c r="AB740" s="1" t="s">
        <v>7397</v>
      </c>
      <c r="AC740" s="1" t="s">
        <v>74</v>
      </c>
      <c r="AD740" s="1" t="s">
        <v>74</v>
      </c>
      <c r="AE740" s="1" t="s">
        <v>74</v>
      </c>
      <c r="AF740" s="1" t="s">
        <v>74</v>
      </c>
      <c r="AG740" s="1" t="s">
        <v>74</v>
      </c>
      <c r="AH740" s="1" t="s">
        <v>74</v>
      </c>
      <c r="AI740" s="1" t="s">
        <v>74</v>
      </c>
      <c r="AJ740" s="1" t="s">
        <v>74</v>
      </c>
      <c r="AK740" s="1" t="s">
        <v>74</v>
      </c>
      <c r="AL740" s="1" t="s">
        <v>74</v>
      </c>
      <c r="AM740" s="1" t="s">
        <v>74</v>
      </c>
      <c r="AN740" s="1" t="s">
        <v>74</v>
      </c>
      <c r="AO740" s="1" t="s">
        <v>2984</v>
      </c>
      <c r="AP740" s="1" t="s">
        <v>2985</v>
      </c>
      <c r="AQ740" s="1" t="s">
        <v>74</v>
      </c>
      <c r="AR740" s="1" t="s">
        <v>74</v>
      </c>
      <c r="AS740" s="1" t="s">
        <v>74</v>
      </c>
      <c r="AT740" s="1" t="s">
        <v>74</v>
      </c>
      <c r="AU740" s="1">
        <v>2010.0</v>
      </c>
      <c r="AV740" s="1">
        <v>45.0</v>
      </c>
      <c r="AW740" s="1">
        <v>11.0</v>
      </c>
      <c r="AX740" s="1" t="s">
        <v>74</v>
      </c>
      <c r="AY740" s="1" t="s">
        <v>74</v>
      </c>
      <c r="AZ740" s="1" t="s">
        <v>74</v>
      </c>
      <c r="BA740" s="1" t="s">
        <v>74</v>
      </c>
      <c r="BB740" s="1">
        <v>1307.0</v>
      </c>
      <c r="BC740" s="1">
        <v>1314.0</v>
      </c>
      <c r="BD740" s="1" t="s">
        <v>7398</v>
      </c>
      <c r="BE740" s="1" t="s">
        <v>7399</v>
      </c>
      <c r="BF740" s="2" t="str">
        <f>HYPERLINK("http://dx.doi.org/10.1080/10934529.2010.500878","http://dx.doi.org/10.1080/10934529.2010.500878")</f>
        <v>http://dx.doi.org/10.1080/10934529.2010.500878</v>
      </c>
      <c r="BG740" s="1" t="s">
        <v>74</v>
      </c>
      <c r="BH740" s="1" t="s">
        <v>74</v>
      </c>
      <c r="BI740" s="1" t="s">
        <v>74</v>
      </c>
      <c r="BJ740" s="1" t="s">
        <v>74</v>
      </c>
      <c r="BK740" s="1" t="s">
        <v>74</v>
      </c>
      <c r="BL740" s="1" t="s">
        <v>74</v>
      </c>
      <c r="BM740" s="1" t="s">
        <v>74</v>
      </c>
      <c r="BN740" s="1">
        <v>2.065841E7</v>
      </c>
      <c r="BO740" s="1" t="s">
        <v>74</v>
      </c>
      <c r="BP740" s="1" t="s">
        <v>74</v>
      </c>
      <c r="BQ740" s="1" t="s">
        <v>74</v>
      </c>
      <c r="BR740" s="1" t="s">
        <v>74</v>
      </c>
      <c r="BS740" s="1" t="s">
        <v>7400</v>
      </c>
      <c r="BT740" s="1" t="str">
        <f>HYPERLINK("https%3A%2F%2Fwww.webofscience.com%2Fwos%2Fwoscc%2Ffull-record%2FWOS:000280283600002","View Full Record in Web of Science")</f>
        <v>View Full Record in Web of Science</v>
      </c>
    </row>
    <row r="741" ht="12.75" customHeight="1">
      <c r="A741" s="1" t="s">
        <v>72</v>
      </c>
      <c r="B741" s="1" t="s">
        <v>7401</v>
      </c>
      <c r="C741" s="1" t="s">
        <v>74</v>
      </c>
      <c r="D741" s="1" t="s">
        <v>74</v>
      </c>
      <c r="E741" s="1" t="s">
        <v>74</v>
      </c>
      <c r="F741" s="1" t="s">
        <v>7402</v>
      </c>
      <c r="G741" s="1" t="s">
        <v>74</v>
      </c>
      <c r="H741" s="1" t="s">
        <v>74</v>
      </c>
      <c r="I741" s="1" t="s">
        <v>7403</v>
      </c>
      <c r="J741" s="1" t="s">
        <v>2754</v>
      </c>
      <c r="K741" s="1" t="s">
        <v>74</v>
      </c>
      <c r="L741" s="1" t="s">
        <v>74</v>
      </c>
      <c r="M741" s="1" t="s">
        <v>74</v>
      </c>
      <c r="N741" s="1" t="s">
        <v>74</v>
      </c>
      <c r="O741" s="1" t="s">
        <v>74</v>
      </c>
      <c r="P741" s="1" t="s">
        <v>74</v>
      </c>
      <c r="Q741" s="1" t="s">
        <v>74</v>
      </c>
      <c r="R741" s="1" t="s">
        <v>74</v>
      </c>
      <c r="S741" s="1" t="s">
        <v>74</v>
      </c>
      <c r="T741" s="1" t="s">
        <v>74</v>
      </c>
      <c r="U741" s="1" t="s">
        <v>74</v>
      </c>
      <c r="V741" s="1" t="s">
        <v>7404</v>
      </c>
      <c r="W741" s="1" t="s">
        <v>74</v>
      </c>
      <c r="X741" s="1" t="s">
        <v>74</v>
      </c>
      <c r="Y741" s="1" t="s">
        <v>74</v>
      </c>
      <c r="Z741" s="1" t="s">
        <v>74</v>
      </c>
      <c r="AA741" s="1" t="s">
        <v>7405</v>
      </c>
      <c r="AB741" s="1" t="s">
        <v>7406</v>
      </c>
      <c r="AC741" s="1" t="s">
        <v>74</v>
      </c>
      <c r="AD741" s="1" t="s">
        <v>74</v>
      </c>
      <c r="AE741" s="1" t="s">
        <v>74</v>
      </c>
      <c r="AF741" s="1" t="s">
        <v>74</v>
      </c>
      <c r="AG741" s="1" t="s">
        <v>74</v>
      </c>
      <c r="AH741" s="1" t="s">
        <v>74</v>
      </c>
      <c r="AI741" s="1" t="s">
        <v>74</v>
      </c>
      <c r="AJ741" s="1" t="s">
        <v>74</v>
      </c>
      <c r="AK741" s="1" t="s">
        <v>74</v>
      </c>
      <c r="AL741" s="1" t="s">
        <v>74</v>
      </c>
      <c r="AM741" s="1" t="s">
        <v>74</v>
      </c>
      <c r="AN741" s="1" t="s">
        <v>74</v>
      </c>
      <c r="AO741" s="1" t="s">
        <v>2758</v>
      </c>
      <c r="AP741" s="1" t="s">
        <v>2759</v>
      </c>
      <c r="AQ741" s="1" t="s">
        <v>74</v>
      </c>
      <c r="AR741" s="1" t="s">
        <v>74</v>
      </c>
      <c r="AS741" s="1" t="s">
        <v>74</v>
      </c>
      <c r="AT741" s="1" t="s">
        <v>7407</v>
      </c>
      <c r="AU741" s="1">
        <v>2009.0</v>
      </c>
      <c r="AV741" s="1">
        <v>106.0</v>
      </c>
      <c r="AW741" s="1">
        <v>10.0</v>
      </c>
      <c r="AX741" s="1" t="s">
        <v>74</v>
      </c>
      <c r="AY741" s="1" t="s">
        <v>74</v>
      </c>
      <c r="AZ741" s="1" t="s">
        <v>74</v>
      </c>
      <c r="BA741" s="1" t="s">
        <v>74</v>
      </c>
      <c r="BB741" s="1" t="s">
        <v>74</v>
      </c>
      <c r="BC741" s="1" t="s">
        <v>74</v>
      </c>
      <c r="BD741" s="1">
        <v>103903.0</v>
      </c>
      <c r="BE741" s="1" t="s">
        <v>7408</v>
      </c>
      <c r="BF741" s="2" t="str">
        <f>HYPERLINK("http://dx.doi.org/10.1063/1.3257242","http://dx.doi.org/10.1063/1.3257242")</f>
        <v>http://dx.doi.org/10.1063/1.3257242</v>
      </c>
      <c r="BG741" s="1" t="s">
        <v>74</v>
      </c>
      <c r="BH741" s="1" t="s">
        <v>74</v>
      </c>
      <c r="BI741" s="1" t="s">
        <v>74</v>
      </c>
      <c r="BJ741" s="1" t="s">
        <v>74</v>
      </c>
      <c r="BK741" s="1" t="s">
        <v>74</v>
      </c>
      <c r="BL741" s="1" t="s">
        <v>74</v>
      </c>
      <c r="BM741" s="1" t="s">
        <v>74</v>
      </c>
      <c r="BN741" s="1" t="s">
        <v>74</v>
      </c>
      <c r="BO741" s="1" t="s">
        <v>74</v>
      </c>
      <c r="BP741" s="1" t="s">
        <v>74</v>
      </c>
      <c r="BQ741" s="1" t="s">
        <v>74</v>
      </c>
      <c r="BR741" s="1" t="s">
        <v>74</v>
      </c>
      <c r="BS741" s="1" t="s">
        <v>7409</v>
      </c>
      <c r="BT741" s="1" t="str">
        <f>HYPERLINK("https%3A%2F%2Fwww.webofscience.com%2Fwos%2Fwoscc%2Ffull-record%2FWOS:000272932300060","View Full Record in Web of Science")</f>
        <v>View Full Record in Web of Science</v>
      </c>
    </row>
    <row r="742" ht="12.75" customHeight="1">
      <c r="A742" s="1" t="s">
        <v>72</v>
      </c>
      <c r="B742" s="1" t="s">
        <v>7410</v>
      </c>
      <c r="C742" s="1" t="s">
        <v>74</v>
      </c>
      <c r="D742" s="1" t="s">
        <v>74</v>
      </c>
      <c r="E742" s="1" t="s">
        <v>74</v>
      </c>
      <c r="F742" s="1" t="s">
        <v>7410</v>
      </c>
      <c r="G742" s="1" t="s">
        <v>74</v>
      </c>
      <c r="H742" s="1" t="s">
        <v>74</v>
      </c>
      <c r="I742" s="1" t="s">
        <v>7411</v>
      </c>
      <c r="J742" s="1" t="s">
        <v>713</v>
      </c>
      <c r="K742" s="1" t="s">
        <v>74</v>
      </c>
      <c r="L742" s="1" t="s">
        <v>74</v>
      </c>
      <c r="M742" s="1" t="s">
        <v>74</v>
      </c>
      <c r="N742" s="1" t="s">
        <v>74</v>
      </c>
      <c r="O742" s="1" t="s">
        <v>7412</v>
      </c>
      <c r="P742" s="1" t="s">
        <v>7413</v>
      </c>
      <c r="Q742" s="1" t="s">
        <v>7414</v>
      </c>
      <c r="R742" s="1" t="s">
        <v>7415</v>
      </c>
      <c r="S742" s="1" t="s">
        <v>74</v>
      </c>
      <c r="T742" s="1" t="s">
        <v>74</v>
      </c>
      <c r="U742" s="1" t="s">
        <v>74</v>
      </c>
      <c r="V742" s="1" t="s">
        <v>7416</v>
      </c>
      <c r="W742" s="1" t="s">
        <v>74</v>
      </c>
      <c r="X742" s="1" t="s">
        <v>74</v>
      </c>
      <c r="Y742" s="1" t="s">
        <v>74</v>
      </c>
      <c r="Z742" s="1" t="s">
        <v>74</v>
      </c>
      <c r="AA742" s="1" t="s">
        <v>7417</v>
      </c>
      <c r="AB742" s="1" t="s">
        <v>7418</v>
      </c>
      <c r="AC742" s="1" t="s">
        <v>74</v>
      </c>
      <c r="AD742" s="1" t="s">
        <v>74</v>
      </c>
      <c r="AE742" s="1" t="s">
        <v>74</v>
      </c>
      <c r="AF742" s="1" t="s">
        <v>74</v>
      </c>
      <c r="AG742" s="1" t="s">
        <v>74</v>
      </c>
      <c r="AH742" s="1" t="s">
        <v>74</v>
      </c>
      <c r="AI742" s="1" t="s">
        <v>74</v>
      </c>
      <c r="AJ742" s="1" t="s">
        <v>74</v>
      </c>
      <c r="AK742" s="1" t="s">
        <v>74</v>
      </c>
      <c r="AL742" s="1" t="s">
        <v>74</v>
      </c>
      <c r="AM742" s="1" t="s">
        <v>74</v>
      </c>
      <c r="AN742" s="1" t="s">
        <v>74</v>
      </c>
      <c r="AO742" s="1" t="s">
        <v>717</v>
      </c>
      <c r="AP742" s="1" t="s">
        <v>718</v>
      </c>
      <c r="AQ742" s="1" t="s">
        <v>74</v>
      </c>
      <c r="AR742" s="1" t="s">
        <v>74</v>
      </c>
      <c r="AS742" s="1" t="s">
        <v>74</v>
      </c>
      <c r="AT742" s="1" t="s">
        <v>559</v>
      </c>
      <c r="AU742" s="1">
        <v>2005.0</v>
      </c>
      <c r="AV742" s="1">
        <v>67.0</v>
      </c>
      <c r="AW742" s="1" t="s">
        <v>7419</v>
      </c>
      <c r="AX742" s="1" t="s">
        <v>74</v>
      </c>
      <c r="AY742" s="1" t="s">
        <v>74</v>
      </c>
      <c r="AZ742" s="1" t="s">
        <v>74</v>
      </c>
      <c r="BA742" s="1" t="s">
        <v>74</v>
      </c>
      <c r="BB742" s="1">
        <v>1815.0</v>
      </c>
      <c r="BC742" s="1">
        <v>1820.0</v>
      </c>
      <c r="BD742" s="1" t="s">
        <v>74</v>
      </c>
      <c r="BE742" s="1" t="s">
        <v>7420</v>
      </c>
      <c r="BF742" s="2" t="str">
        <f>HYPERLINK("http://dx.doi.org/10.1016/j.jastp.2005.01.013","http://dx.doi.org/10.1016/j.jastp.2005.01.013")</f>
        <v>http://dx.doi.org/10.1016/j.jastp.2005.01.013</v>
      </c>
      <c r="BG742" s="1" t="s">
        <v>74</v>
      </c>
      <c r="BH742" s="1" t="s">
        <v>74</v>
      </c>
      <c r="BI742" s="1" t="s">
        <v>74</v>
      </c>
      <c r="BJ742" s="1" t="s">
        <v>74</v>
      </c>
      <c r="BK742" s="1" t="s">
        <v>74</v>
      </c>
      <c r="BL742" s="1" t="s">
        <v>74</v>
      </c>
      <c r="BM742" s="1" t="s">
        <v>74</v>
      </c>
      <c r="BN742" s="1" t="s">
        <v>74</v>
      </c>
      <c r="BO742" s="1" t="s">
        <v>74</v>
      </c>
      <c r="BP742" s="1" t="s">
        <v>74</v>
      </c>
      <c r="BQ742" s="1" t="s">
        <v>74</v>
      </c>
      <c r="BR742" s="1" t="s">
        <v>74</v>
      </c>
      <c r="BS742" s="1" t="s">
        <v>7421</v>
      </c>
      <c r="BT742" s="1" t="str">
        <f>HYPERLINK("https%3A%2F%2Fwww.webofscience.com%2Fwos%2Fwoscc%2Ffull-record%2FWOS:000234449000025","View Full Record in Web of Science")</f>
        <v>View Full Record in Web of Science</v>
      </c>
    </row>
    <row r="743" ht="12.75" customHeight="1">
      <c r="A743" s="1" t="s">
        <v>72</v>
      </c>
      <c r="B743" s="1" t="s">
        <v>7422</v>
      </c>
      <c r="C743" s="1" t="s">
        <v>74</v>
      </c>
      <c r="D743" s="1" t="s">
        <v>74</v>
      </c>
      <c r="E743" s="1" t="s">
        <v>74</v>
      </c>
      <c r="F743" s="1" t="s">
        <v>7422</v>
      </c>
      <c r="G743" s="1" t="s">
        <v>74</v>
      </c>
      <c r="H743" s="1" t="s">
        <v>74</v>
      </c>
      <c r="I743" s="1" t="s">
        <v>7423</v>
      </c>
      <c r="J743" s="1" t="s">
        <v>7307</v>
      </c>
      <c r="K743" s="1" t="s">
        <v>74</v>
      </c>
      <c r="L743" s="1" t="s">
        <v>74</v>
      </c>
      <c r="M743" s="1" t="s">
        <v>74</v>
      </c>
      <c r="N743" s="1" t="s">
        <v>74</v>
      </c>
      <c r="O743" s="1" t="s">
        <v>74</v>
      </c>
      <c r="P743" s="1" t="s">
        <v>74</v>
      </c>
      <c r="Q743" s="1" t="s">
        <v>74</v>
      </c>
      <c r="R743" s="1" t="s">
        <v>74</v>
      </c>
      <c r="S743" s="1" t="s">
        <v>74</v>
      </c>
      <c r="T743" s="1" t="s">
        <v>74</v>
      </c>
      <c r="U743" s="1" t="s">
        <v>74</v>
      </c>
      <c r="V743" s="1" t="s">
        <v>7424</v>
      </c>
      <c r="W743" s="1" t="s">
        <v>74</v>
      </c>
      <c r="X743" s="1" t="s">
        <v>74</v>
      </c>
      <c r="Y743" s="1" t="s">
        <v>74</v>
      </c>
      <c r="Z743" s="1" t="s">
        <v>74</v>
      </c>
      <c r="AA743" s="1" t="s">
        <v>74</v>
      </c>
      <c r="AB743" s="1" t="s">
        <v>74</v>
      </c>
      <c r="AC743" s="1" t="s">
        <v>74</v>
      </c>
      <c r="AD743" s="1" t="s">
        <v>74</v>
      </c>
      <c r="AE743" s="1" t="s">
        <v>74</v>
      </c>
      <c r="AF743" s="1" t="s">
        <v>74</v>
      </c>
      <c r="AG743" s="1" t="s">
        <v>74</v>
      </c>
      <c r="AH743" s="1" t="s">
        <v>74</v>
      </c>
      <c r="AI743" s="1" t="s">
        <v>74</v>
      </c>
      <c r="AJ743" s="1" t="s">
        <v>74</v>
      </c>
      <c r="AK743" s="1" t="s">
        <v>74</v>
      </c>
      <c r="AL743" s="1" t="s">
        <v>74</v>
      </c>
      <c r="AM743" s="1" t="s">
        <v>74</v>
      </c>
      <c r="AN743" s="1" t="s">
        <v>74</v>
      </c>
      <c r="AO743" s="1" t="s">
        <v>7311</v>
      </c>
      <c r="AP743" s="1" t="s">
        <v>7312</v>
      </c>
      <c r="AQ743" s="1" t="s">
        <v>74</v>
      </c>
      <c r="AR743" s="1" t="s">
        <v>74</v>
      </c>
      <c r="AS743" s="1" t="s">
        <v>74</v>
      </c>
      <c r="AT743" s="1" t="s">
        <v>155</v>
      </c>
      <c r="AU743" s="1">
        <v>2004.0</v>
      </c>
      <c r="AV743" s="1">
        <v>126.0</v>
      </c>
      <c r="AW743" s="1">
        <v>3.0</v>
      </c>
      <c r="AX743" s="1" t="s">
        <v>74</v>
      </c>
      <c r="AY743" s="1" t="s">
        <v>74</v>
      </c>
      <c r="AZ743" s="1" t="s">
        <v>74</v>
      </c>
      <c r="BA743" s="1" t="s">
        <v>74</v>
      </c>
      <c r="BB743" s="1">
        <v>471.0</v>
      </c>
      <c r="BC743" s="1">
        <v>475.0</v>
      </c>
      <c r="BD743" s="1" t="s">
        <v>74</v>
      </c>
      <c r="BE743" s="1" t="s">
        <v>7425</v>
      </c>
      <c r="BF743" s="2" t="str">
        <f>HYPERLINK("http://dx.doi.org/10.1115/1.1731317","http://dx.doi.org/10.1115/1.1731317")</f>
        <v>http://dx.doi.org/10.1115/1.1731317</v>
      </c>
      <c r="BG743" s="1" t="s">
        <v>74</v>
      </c>
      <c r="BH743" s="1" t="s">
        <v>74</v>
      </c>
      <c r="BI743" s="1" t="s">
        <v>74</v>
      </c>
      <c r="BJ743" s="1" t="s">
        <v>74</v>
      </c>
      <c r="BK743" s="1" t="s">
        <v>74</v>
      </c>
      <c r="BL743" s="1" t="s">
        <v>74</v>
      </c>
      <c r="BM743" s="1" t="s">
        <v>74</v>
      </c>
      <c r="BN743" s="1" t="s">
        <v>74</v>
      </c>
      <c r="BO743" s="1" t="s">
        <v>74</v>
      </c>
      <c r="BP743" s="1" t="s">
        <v>74</v>
      </c>
      <c r="BQ743" s="1" t="s">
        <v>74</v>
      </c>
      <c r="BR743" s="1" t="s">
        <v>74</v>
      </c>
      <c r="BS743" s="1" t="s">
        <v>7426</v>
      </c>
      <c r="BT743" s="1" t="str">
        <f>HYPERLINK("https%3A%2F%2Fwww.webofscience.com%2Fwos%2Fwoscc%2Ffull-record%2FWOS:000222301500020","View Full Record in Web of Science")</f>
        <v>View Full Record in Web of Science</v>
      </c>
    </row>
    <row r="744" ht="12.75" customHeight="1">
      <c r="A744" s="1" t="s">
        <v>72</v>
      </c>
      <c r="B744" s="1" t="s">
        <v>7427</v>
      </c>
      <c r="C744" s="1" t="s">
        <v>74</v>
      </c>
      <c r="D744" s="1" t="s">
        <v>74</v>
      </c>
      <c r="E744" s="1" t="s">
        <v>74</v>
      </c>
      <c r="F744" s="1" t="s">
        <v>7427</v>
      </c>
      <c r="G744" s="1" t="s">
        <v>74</v>
      </c>
      <c r="H744" s="1" t="s">
        <v>74</v>
      </c>
      <c r="I744" s="1" t="s">
        <v>7428</v>
      </c>
      <c r="J744" s="1" t="s">
        <v>7429</v>
      </c>
      <c r="K744" s="1" t="s">
        <v>74</v>
      </c>
      <c r="L744" s="1" t="s">
        <v>74</v>
      </c>
      <c r="M744" s="1" t="s">
        <v>74</v>
      </c>
      <c r="N744" s="1" t="s">
        <v>74</v>
      </c>
      <c r="O744" s="1" t="s">
        <v>74</v>
      </c>
      <c r="P744" s="1" t="s">
        <v>74</v>
      </c>
      <c r="Q744" s="1" t="s">
        <v>74</v>
      </c>
      <c r="R744" s="1" t="s">
        <v>74</v>
      </c>
      <c r="S744" s="1" t="s">
        <v>74</v>
      </c>
      <c r="T744" s="1" t="s">
        <v>74</v>
      </c>
      <c r="U744" s="1" t="s">
        <v>74</v>
      </c>
      <c r="V744" s="1" t="s">
        <v>7430</v>
      </c>
      <c r="W744" s="1" t="s">
        <v>74</v>
      </c>
      <c r="X744" s="1" t="s">
        <v>74</v>
      </c>
      <c r="Y744" s="1" t="s">
        <v>74</v>
      </c>
      <c r="Z744" s="1" t="s">
        <v>74</v>
      </c>
      <c r="AA744" s="1" t="s">
        <v>74</v>
      </c>
      <c r="AB744" s="1" t="s">
        <v>7431</v>
      </c>
      <c r="AC744" s="1" t="s">
        <v>74</v>
      </c>
      <c r="AD744" s="1" t="s">
        <v>74</v>
      </c>
      <c r="AE744" s="1" t="s">
        <v>74</v>
      </c>
      <c r="AF744" s="1" t="s">
        <v>74</v>
      </c>
      <c r="AG744" s="1" t="s">
        <v>74</v>
      </c>
      <c r="AH744" s="1" t="s">
        <v>74</v>
      </c>
      <c r="AI744" s="1" t="s">
        <v>74</v>
      </c>
      <c r="AJ744" s="1" t="s">
        <v>74</v>
      </c>
      <c r="AK744" s="1" t="s">
        <v>74</v>
      </c>
      <c r="AL744" s="1" t="s">
        <v>74</v>
      </c>
      <c r="AM744" s="1" t="s">
        <v>74</v>
      </c>
      <c r="AN744" s="1" t="s">
        <v>74</v>
      </c>
      <c r="AO744" s="1" t="s">
        <v>7432</v>
      </c>
      <c r="AP744" s="1" t="s">
        <v>74</v>
      </c>
      <c r="AQ744" s="1" t="s">
        <v>74</v>
      </c>
      <c r="AR744" s="1" t="s">
        <v>74</v>
      </c>
      <c r="AS744" s="1" t="s">
        <v>74</v>
      </c>
      <c r="AT744" s="1" t="s">
        <v>7433</v>
      </c>
      <c r="AU744" s="1">
        <v>1995.0</v>
      </c>
      <c r="AV744" s="1">
        <v>99.0</v>
      </c>
      <c r="AW744" s="1">
        <v>14.0</v>
      </c>
      <c r="AX744" s="1" t="s">
        <v>74</v>
      </c>
      <c r="AY744" s="1" t="s">
        <v>74</v>
      </c>
      <c r="AZ744" s="1" t="s">
        <v>74</v>
      </c>
      <c r="BA744" s="1" t="s">
        <v>74</v>
      </c>
      <c r="BB744" s="1">
        <v>4929.0</v>
      </c>
      <c r="BC744" s="1">
        <v>4934.0</v>
      </c>
      <c r="BD744" s="1" t="s">
        <v>74</v>
      </c>
      <c r="BE744" s="1" t="s">
        <v>7434</v>
      </c>
      <c r="BF744" s="2" t="str">
        <f>HYPERLINK("http://dx.doi.org/10.1021/j100014a010","http://dx.doi.org/10.1021/j100014a010")</f>
        <v>http://dx.doi.org/10.1021/j100014a010</v>
      </c>
      <c r="BG744" s="1" t="s">
        <v>74</v>
      </c>
      <c r="BH744" s="1" t="s">
        <v>74</v>
      </c>
      <c r="BI744" s="1" t="s">
        <v>74</v>
      </c>
      <c r="BJ744" s="1" t="s">
        <v>74</v>
      </c>
      <c r="BK744" s="1" t="s">
        <v>74</v>
      </c>
      <c r="BL744" s="1" t="s">
        <v>74</v>
      </c>
      <c r="BM744" s="1" t="s">
        <v>74</v>
      </c>
      <c r="BN744" s="1" t="s">
        <v>74</v>
      </c>
      <c r="BO744" s="1" t="s">
        <v>74</v>
      </c>
      <c r="BP744" s="1" t="s">
        <v>74</v>
      </c>
      <c r="BQ744" s="1" t="s">
        <v>74</v>
      </c>
      <c r="BR744" s="1" t="s">
        <v>74</v>
      </c>
      <c r="BS744" s="1" t="s">
        <v>7435</v>
      </c>
      <c r="BT744" s="1" t="str">
        <f>HYPERLINK("https%3A%2F%2Fwww.webofscience.com%2Fwos%2Fwoscc%2Ffull-record%2FWOS:A1995QR22800010","View Full Record in Web of Science")</f>
        <v>View Full Record in Web of Science</v>
      </c>
    </row>
    <row r="745" ht="12.75" customHeight="1">
      <c r="A745" s="1" t="s">
        <v>72</v>
      </c>
      <c r="B745" s="1" t="s">
        <v>7436</v>
      </c>
      <c r="C745" s="1" t="s">
        <v>74</v>
      </c>
      <c r="D745" s="1" t="s">
        <v>74</v>
      </c>
      <c r="E745" s="1" t="s">
        <v>74</v>
      </c>
      <c r="F745" s="1" t="s">
        <v>7437</v>
      </c>
      <c r="G745" s="1" t="s">
        <v>74</v>
      </c>
      <c r="H745" s="1" t="s">
        <v>74</v>
      </c>
      <c r="I745" s="1" t="s">
        <v>7438</v>
      </c>
      <c r="J745" s="1" t="s">
        <v>1992</v>
      </c>
      <c r="K745" s="1" t="s">
        <v>74</v>
      </c>
      <c r="L745" s="1" t="s">
        <v>74</v>
      </c>
      <c r="M745" s="1" t="s">
        <v>74</v>
      </c>
      <c r="N745" s="1" t="s">
        <v>74</v>
      </c>
      <c r="O745" s="1" t="s">
        <v>74</v>
      </c>
      <c r="P745" s="1" t="s">
        <v>74</v>
      </c>
      <c r="Q745" s="1" t="s">
        <v>74</v>
      </c>
      <c r="R745" s="1" t="s">
        <v>74</v>
      </c>
      <c r="S745" s="1" t="s">
        <v>74</v>
      </c>
      <c r="T745" s="1" t="s">
        <v>74</v>
      </c>
      <c r="U745" s="1" t="s">
        <v>74</v>
      </c>
      <c r="V745" s="1" t="s">
        <v>7439</v>
      </c>
      <c r="W745" s="1" t="s">
        <v>74</v>
      </c>
      <c r="X745" s="1" t="s">
        <v>74</v>
      </c>
      <c r="Y745" s="1" t="s">
        <v>74</v>
      </c>
      <c r="Z745" s="1" t="s">
        <v>74</v>
      </c>
      <c r="AA745" s="1" t="s">
        <v>7440</v>
      </c>
      <c r="AB745" s="1" t="s">
        <v>7441</v>
      </c>
      <c r="AC745" s="1" t="s">
        <v>74</v>
      </c>
      <c r="AD745" s="1" t="s">
        <v>74</v>
      </c>
      <c r="AE745" s="1" t="s">
        <v>74</v>
      </c>
      <c r="AF745" s="1" t="s">
        <v>74</v>
      </c>
      <c r="AG745" s="1" t="s">
        <v>74</v>
      </c>
      <c r="AH745" s="1" t="s">
        <v>74</v>
      </c>
      <c r="AI745" s="1" t="s">
        <v>74</v>
      </c>
      <c r="AJ745" s="1" t="s">
        <v>74</v>
      </c>
      <c r="AK745" s="1" t="s">
        <v>74</v>
      </c>
      <c r="AL745" s="1" t="s">
        <v>74</v>
      </c>
      <c r="AM745" s="1" t="s">
        <v>74</v>
      </c>
      <c r="AN745" s="1" t="s">
        <v>74</v>
      </c>
      <c r="AO745" s="1" t="s">
        <v>1995</v>
      </c>
      <c r="AP745" s="1" t="s">
        <v>74</v>
      </c>
      <c r="AQ745" s="1" t="s">
        <v>74</v>
      </c>
      <c r="AR745" s="1" t="s">
        <v>74</v>
      </c>
      <c r="AS745" s="1" t="s">
        <v>74</v>
      </c>
      <c r="AT745" s="1" t="s">
        <v>74</v>
      </c>
      <c r="AU745" s="1">
        <v>2024.0</v>
      </c>
      <c r="AV745" s="1">
        <v>24.0</v>
      </c>
      <c r="AW745" s="1">
        <v>10.0</v>
      </c>
      <c r="AX745" s="1" t="s">
        <v>74</v>
      </c>
      <c r="AY745" s="1" t="s">
        <v>74</v>
      </c>
      <c r="AZ745" s="1" t="s">
        <v>74</v>
      </c>
      <c r="BA745" s="1" t="s">
        <v>74</v>
      </c>
      <c r="BB745" s="1" t="s">
        <v>74</v>
      </c>
      <c r="BC745" s="1" t="s">
        <v>74</v>
      </c>
      <c r="BD745" s="1" t="s">
        <v>7442</v>
      </c>
      <c r="BE745" s="1" t="s">
        <v>7443</v>
      </c>
      <c r="BF745" s="2" t="str">
        <f>HYPERLINK("http://dx.doi.org/10.5867/medwave.2024.10.2992","http://dx.doi.org/10.5867/medwave.2024.10.2992")</f>
        <v>http://dx.doi.org/10.5867/medwave.2024.10.2992</v>
      </c>
      <c r="BG745" s="1" t="s">
        <v>74</v>
      </c>
      <c r="BH745" s="1" t="s">
        <v>74</v>
      </c>
      <c r="BI745" s="1" t="s">
        <v>74</v>
      </c>
      <c r="BJ745" s="1" t="s">
        <v>74</v>
      </c>
      <c r="BK745" s="1" t="s">
        <v>74</v>
      </c>
      <c r="BL745" s="1" t="s">
        <v>74</v>
      </c>
      <c r="BM745" s="1" t="s">
        <v>74</v>
      </c>
      <c r="BN745" s="1">
        <v>3.9536164E7</v>
      </c>
      <c r="BO745" s="1" t="s">
        <v>74</v>
      </c>
      <c r="BP745" s="1" t="s">
        <v>74</v>
      </c>
      <c r="BQ745" s="1" t="s">
        <v>74</v>
      </c>
      <c r="BR745" s="1" t="s">
        <v>74</v>
      </c>
      <c r="BS745" s="1" t="s">
        <v>7444</v>
      </c>
      <c r="BT745" s="1" t="str">
        <f>HYPERLINK("https%3A%2F%2Fwww.webofscience.com%2Fwos%2Fwoscc%2Ffull-record%2FWOS:001380965500004","View Full Record in Web of Science")</f>
        <v>View Full Record in Web of Science</v>
      </c>
    </row>
    <row r="746" ht="12.75" customHeight="1">
      <c r="A746" s="1" t="s">
        <v>72</v>
      </c>
      <c r="B746" s="1" t="s">
        <v>7445</v>
      </c>
      <c r="C746" s="1" t="s">
        <v>74</v>
      </c>
      <c r="D746" s="1" t="s">
        <v>74</v>
      </c>
      <c r="E746" s="1" t="s">
        <v>74</v>
      </c>
      <c r="F746" s="1" t="s">
        <v>7446</v>
      </c>
      <c r="G746" s="1" t="s">
        <v>74</v>
      </c>
      <c r="H746" s="1" t="s">
        <v>74</v>
      </c>
      <c r="I746" s="1" t="s">
        <v>7447</v>
      </c>
      <c r="J746" s="1" t="s">
        <v>3546</v>
      </c>
      <c r="K746" s="1" t="s">
        <v>74</v>
      </c>
      <c r="L746" s="1" t="s">
        <v>74</v>
      </c>
      <c r="M746" s="1" t="s">
        <v>74</v>
      </c>
      <c r="N746" s="1" t="s">
        <v>74</v>
      </c>
      <c r="O746" s="1" t="s">
        <v>74</v>
      </c>
      <c r="P746" s="1" t="s">
        <v>74</v>
      </c>
      <c r="Q746" s="1" t="s">
        <v>74</v>
      </c>
      <c r="R746" s="1" t="s">
        <v>74</v>
      </c>
      <c r="S746" s="1" t="s">
        <v>74</v>
      </c>
      <c r="T746" s="1" t="s">
        <v>74</v>
      </c>
      <c r="U746" s="1" t="s">
        <v>74</v>
      </c>
      <c r="V746" s="1" t="s">
        <v>7448</v>
      </c>
      <c r="W746" s="1" t="s">
        <v>74</v>
      </c>
      <c r="X746" s="1" t="s">
        <v>74</v>
      </c>
      <c r="Y746" s="1" t="s">
        <v>74</v>
      </c>
      <c r="Z746" s="1" t="s">
        <v>74</v>
      </c>
      <c r="AA746" s="1" t="s">
        <v>7449</v>
      </c>
      <c r="AB746" s="1" t="s">
        <v>7450</v>
      </c>
      <c r="AC746" s="1" t="s">
        <v>74</v>
      </c>
      <c r="AD746" s="1" t="s">
        <v>74</v>
      </c>
      <c r="AE746" s="1" t="s">
        <v>74</v>
      </c>
      <c r="AF746" s="1" t="s">
        <v>74</v>
      </c>
      <c r="AG746" s="1" t="s">
        <v>74</v>
      </c>
      <c r="AH746" s="1" t="s">
        <v>74</v>
      </c>
      <c r="AI746" s="1" t="s">
        <v>74</v>
      </c>
      <c r="AJ746" s="1" t="s">
        <v>74</v>
      </c>
      <c r="AK746" s="1" t="s">
        <v>74</v>
      </c>
      <c r="AL746" s="1" t="s">
        <v>74</v>
      </c>
      <c r="AM746" s="1" t="s">
        <v>74</v>
      </c>
      <c r="AN746" s="1" t="s">
        <v>74</v>
      </c>
      <c r="AO746" s="1" t="s">
        <v>3550</v>
      </c>
      <c r="AP746" s="1" t="s">
        <v>3551</v>
      </c>
      <c r="AQ746" s="1" t="s">
        <v>74</v>
      </c>
      <c r="AR746" s="1" t="s">
        <v>74</v>
      </c>
      <c r="AS746" s="1" t="s">
        <v>74</v>
      </c>
      <c r="AT746" s="1" t="s">
        <v>7451</v>
      </c>
      <c r="AU746" s="1">
        <v>2020.0</v>
      </c>
      <c r="AV746" s="1">
        <v>740.0</v>
      </c>
      <c r="AW746" s="1" t="s">
        <v>74</v>
      </c>
      <c r="AX746" s="1" t="s">
        <v>74</v>
      </c>
      <c r="AY746" s="1" t="s">
        <v>74</v>
      </c>
      <c r="AZ746" s="1" t="s">
        <v>74</v>
      </c>
      <c r="BA746" s="1" t="s">
        <v>74</v>
      </c>
      <c r="BB746" s="1" t="s">
        <v>74</v>
      </c>
      <c r="BC746" s="1" t="s">
        <v>74</v>
      </c>
      <c r="BD746" s="1">
        <v>140154.0</v>
      </c>
      <c r="BE746" s="1" t="s">
        <v>7452</v>
      </c>
      <c r="BF746" s="2" t="str">
        <f>HYPERLINK("http://dx.doi.org/10.1016/j.scitotenv.2020.140154","http://dx.doi.org/10.1016/j.scitotenv.2020.140154")</f>
        <v>http://dx.doi.org/10.1016/j.scitotenv.2020.140154</v>
      </c>
      <c r="BG746" s="1" t="s">
        <v>74</v>
      </c>
      <c r="BH746" s="1" t="s">
        <v>74</v>
      </c>
      <c r="BI746" s="1" t="s">
        <v>74</v>
      </c>
      <c r="BJ746" s="1" t="s">
        <v>74</v>
      </c>
      <c r="BK746" s="1" t="s">
        <v>74</v>
      </c>
      <c r="BL746" s="1" t="s">
        <v>74</v>
      </c>
      <c r="BM746" s="1" t="s">
        <v>74</v>
      </c>
      <c r="BN746" s="1">
        <v>3.2563883E7</v>
      </c>
      <c r="BO746" s="1" t="s">
        <v>74</v>
      </c>
      <c r="BP746" s="1" t="s">
        <v>74</v>
      </c>
      <c r="BQ746" s="1" t="s">
        <v>74</v>
      </c>
      <c r="BR746" s="1" t="s">
        <v>74</v>
      </c>
      <c r="BS746" s="1" t="s">
        <v>7453</v>
      </c>
      <c r="BT746" s="1" t="str">
        <f>HYPERLINK("https%3A%2F%2Fwww.webofscience.com%2Fwos%2Fwoscc%2Ffull-record%2FWOS:000573830800006","View Full Record in Web of Science")</f>
        <v>View Full Record in Web of Science</v>
      </c>
    </row>
    <row r="747" ht="12.75" customHeight="1">
      <c r="A747" s="1" t="s">
        <v>72</v>
      </c>
      <c r="B747" s="1" t="s">
        <v>7454</v>
      </c>
      <c r="C747" s="1" t="s">
        <v>74</v>
      </c>
      <c r="D747" s="1" t="s">
        <v>74</v>
      </c>
      <c r="E747" s="1" t="s">
        <v>74</v>
      </c>
      <c r="F747" s="1" t="s">
        <v>7455</v>
      </c>
      <c r="G747" s="1" t="s">
        <v>74</v>
      </c>
      <c r="H747" s="1" t="s">
        <v>74</v>
      </c>
      <c r="I747" s="1" t="s">
        <v>7456</v>
      </c>
      <c r="J747" s="1" t="s">
        <v>7457</v>
      </c>
      <c r="K747" s="1" t="s">
        <v>74</v>
      </c>
      <c r="L747" s="1" t="s">
        <v>74</v>
      </c>
      <c r="M747" s="1" t="s">
        <v>74</v>
      </c>
      <c r="N747" s="1" t="s">
        <v>74</v>
      </c>
      <c r="O747" s="1" t="s">
        <v>74</v>
      </c>
      <c r="P747" s="1" t="s">
        <v>74</v>
      </c>
      <c r="Q747" s="1" t="s">
        <v>74</v>
      </c>
      <c r="R747" s="1" t="s">
        <v>74</v>
      </c>
      <c r="S747" s="1" t="s">
        <v>74</v>
      </c>
      <c r="T747" s="1" t="s">
        <v>74</v>
      </c>
      <c r="U747" s="1" t="s">
        <v>74</v>
      </c>
      <c r="V747" s="1" t="s">
        <v>7458</v>
      </c>
      <c r="W747" s="1" t="s">
        <v>74</v>
      </c>
      <c r="X747" s="1" t="s">
        <v>74</v>
      </c>
      <c r="Y747" s="1" t="s">
        <v>74</v>
      </c>
      <c r="Z747" s="1" t="s">
        <v>74</v>
      </c>
      <c r="AA747" s="1" t="s">
        <v>7459</v>
      </c>
      <c r="AB747" s="1" t="s">
        <v>7460</v>
      </c>
      <c r="AC747" s="1" t="s">
        <v>74</v>
      </c>
      <c r="AD747" s="1" t="s">
        <v>74</v>
      </c>
      <c r="AE747" s="1" t="s">
        <v>74</v>
      </c>
      <c r="AF747" s="1" t="s">
        <v>74</v>
      </c>
      <c r="AG747" s="1" t="s">
        <v>74</v>
      </c>
      <c r="AH747" s="1" t="s">
        <v>74</v>
      </c>
      <c r="AI747" s="1" t="s">
        <v>74</v>
      </c>
      <c r="AJ747" s="1" t="s">
        <v>74</v>
      </c>
      <c r="AK747" s="1" t="s">
        <v>74</v>
      </c>
      <c r="AL747" s="1" t="s">
        <v>74</v>
      </c>
      <c r="AM747" s="1" t="s">
        <v>74</v>
      </c>
      <c r="AN747" s="1" t="s">
        <v>74</v>
      </c>
      <c r="AO747" s="1" t="s">
        <v>7461</v>
      </c>
      <c r="AP747" s="1" t="s">
        <v>7462</v>
      </c>
      <c r="AQ747" s="1" t="s">
        <v>74</v>
      </c>
      <c r="AR747" s="1" t="s">
        <v>74</v>
      </c>
      <c r="AS747" s="1" t="s">
        <v>74</v>
      </c>
      <c r="AT747" s="1" t="s">
        <v>316</v>
      </c>
      <c r="AU747" s="1">
        <v>2020.0</v>
      </c>
      <c r="AV747" s="1">
        <v>68.0</v>
      </c>
      <c r="AW747" s="1">
        <v>5.0</v>
      </c>
      <c r="AX747" s="1" t="s">
        <v>74</v>
      </c>
      <c r="AY747" s="1" t="s">
        <v>74</v>
      </c>
      <c r="AZ747" s="1" t="s">
        <v>74</v>
      </c>
      <c r="BA747" s="1" t="s">
        <v>74</v>
      </c>
      <c r="BB747" s="1">
        <v>2033.0</v>
      </c>
      <c r="BC747" s="1">
        <v>2053.0</v>
      </c>
      <c r="BD747" s="1" t="s">
        <v>74</v>
      </c>
      <c r="BE747" s="1" t="s">
        <v>7463</v>
      </c>
      <c r="BF747" s="2" t="str">
        <f>HYPERLINK("http://dx.doi.org/10.1007/s11423-020-09740-1","http://dx.doi.org/10.1007/s11423-020-09740-1")</f>
        <v>http://dx.doi.org/10.1007/s11423-020-09740-1</v>
      </c>
      <c r="BG747" s="1" t="s">
        <v>74</v>
      </c>
      <c r="BH747" s="1" t="s">
        <v>74</v>
      </c>
      <c r="BI747" s="1" t="s">
        <v>74</v>
      </c>
      <c r="BJ747" s="1" t="s">
        <v>74</v>
      </c>
      <c r="BK747" s="1" t="s">
        <v>74</v>
      </c>
      <c r="BL747" s="1" t="s">
        <v>74</v>
      </c>
      <c r="BM747" s="1" t="s">
        <v>74</v>
      </c>
      <c r="BN747" s="1" t="s">
        <v>74</v>
      </c>
      <c r="BO747" s="1" t="s">
        <v>74</v>
      </c>
      <c r="BP747" s="1" t="s">
        <v>74</v>
      </c>
      <c r="BQ747" s="1" t="s">
        <v>74</v>
      </c>
      <c r="BR747" s="1" t="s">
        <v>74</v>
      </c>
      <c r="BS747" s="1" t="s">
        <v>7464</v>
      </c>
      <c r="BT747" s="1" t="str">
        <f>HYPERLINK("https%3A%2F%2Fwww.webofscience.com%2Fwos%2Fwoscc%2Ffull-record%2FWOS:000572467500003","View Full Record in Web of Science")</f>
        <v>View Full Record in Web of Science</v>
      </c>
    </row>
    <row r="748" ht="12.75" customHeight="1">
      <c r="A748" s="1" t="s">
        <v>72</v>
      </c>
      <c r="B748" s="1" t="s">
        <v>7465</v>
      </c>
      <c r="C748" s="1" t="s">
        <v>74</v>
      </c>
      <c r="D748" s="1" t="s">
        <v>74</v>
      </c>
      <c r="E748" s="1" t="s">
        <v>74</v>
      </c>
      <c r="F748" s="1" t="s">
        <v>7466</v>
      </c>
      <c r="G748" s="1" t="s">
        <v>74</v>
      </c>
      <c r="H748" s="1" t="s">
        <v>74</v>
      </c>
      <c r="I748" s="1" t="s">
        <v>7467</v>
      </c>
      <c r="J748" s="1" t="s">
        <v>7085</v>
      </c>
      <c r="K748" s="1" t="s">
        <v>74</v>
      </c>
      <c r="L748" s="1" t="s">
        <v>74</v>
      </c>
      <c r="M748" s="1" t="s">
        <v>74</v>
      </c>
      <c r="N748" s="1" t="s">
        <v>74</v>
      </c>
      <c r="O748" s="1" t="s">
        <v>74</v>
      </c>
      <c r="P748" s="1" t="s">
        <v>74</v>
      </c>
      <c r="Q748" s="1" t="s">
        <v>74</v>
      </c>
      <c r="R748" s="1" t="s">
        <v>74</v>
      </c>
      <c r="S748" s="1" t="s">
        <v>74</v>
      </c>
      <c r="T748" s="1" t="s">
        <v>74</v>
      </c>
      <c r="U748" s="1" t="s">
        <v>74</v>
      </c>
      <c r="V748" s="1" t="s">
        <v>7468</v>
      </c>
      <c r="W748" s="1" t="s">
        <v>74</v>
      </c>
      <c r="X748" s="1" t="s">
        <v>74</v>
      </c>
      <c r="Y748" s="1" t="s">
        <v>74</v>
      </c>
      <c r="Z748" s="1" t="s">
        <v>74</v>
      </c>
      <c r="AA748" s="1" t="s">
        <v>7337</v>
      </c>
      <c r="AB748" s="1" t="s">
        <v>7338</v>
      </c>
      <c r="AC748" s="1" t="s">
        <v>74</v>
      </c>
      <c r="AD748" s="1" t="s">
        <v>74</v>
      </c>
      <c r="AE748" s="1" t="s">
        <v>74</v>
      </c>
      <c r="AF748" s="1" t="s">
        <v>74</v>
      </c>
      <c r="AG748" s="1" t="s">
        <v>74</v>
      </c>
      <c r="AH748" s="1" t="s">
        <v>74</v>
      </c>
      <c r="AI748" s="1" t="s">
        <v>74</v>
      </c>
      <c r="AJ748" s="1" t="s">
        <v>74</v>
      </c>
      <c r="AK748" s="1" t="s">
        <v>74</v>
      </c>
      <c r="AL748" s="1" t="s">
        <v>74</v>
      </c>
      <c r="AM748" s="1" t="s">
        <v>74</v>
      </c>
      <c r="AN748" s="1" t="s">
        <v>74</v>
      </c>
      <c r="AO748" s="1" t="s">
        <v>7089</v>
      </c>
      <c r="AP748" s="1" t="s">
        <v>7090</v>
      </c>
      <c r="AQ748" s="1" t="s">
        <v>74</v>
      </c>
      <c r="AR748" s="1" t="s">
        <v>74</v>
      </c>
      <c r="AS748" s="1" t="s">
        <v>74</v>
      </c>
      <c r="AT748" s="1" t="s">
        <v>559</v>
      </c>
      <c r="AU748" s="1">
        <v>2018.0</v>
      </c>
      <c r="AV748" s="1">
        <v>88.0</v>
      </c>
      <c r="AW748" s="1" t="s">
        <v>74</v>
      </c>
      <c r="AX748" s="1" t="s">
        <v>74</v>
      </c>
      <c r="AY748" s="1" t="s">
        <v>74</v>
      </c>
      <c r="AZ748" s="1" t="s">
        <v>74</v>
      </c>
      <c r="BA748" s="1" t="s">
        <v>74</v>
      </c>
      <c r="BB748" s="1">
        <v>92.0</v>
      </c>
      <c r="BC748" s="1">
        <v>101.0</v>
      </c>
      <c r="BD748" s="1" t="s">
        <v>74</v>
      </c>
      <c r="BE748" s="1" t="s">
        <v>7469</v>
      </c>
      <c r="BF748" s="2" t="str">
        <f>HYPERLINK("http://dx.doi.org/10.1016/j.jmbbm.2018.08.010","http://dx.doi.org/10.1016/j.jmbbm.2018.08.010")</f>
        <v>http://dx.doi.org/10.1016/j.jmbbm.2018.08.010</v>
      </c>
      <c r="BG748" s="1" t="s">
        <v>74</v>
      </c>
      <c r="BH748" s="1" t="s">
        <v>74</v>
      </c>
      <c r="BI748" s="1" t="s">
        <v>74</v>
      </c>
      <c r="BJ748" s="1" t="s">
        <v>74</v>
      </c>
      <c r="BK748" s="1" t="s">
        <v>74</v>
      </c>
      <c r="BL748" s="1" t="s">
        <v>74</v>
      </c>
      <c r="BM748" s="1" t="s">
        <v>74</v>
      </c>
      <c r="BN748" s="1">
        <v>3.0142566E7</v>
      </c>
      <c r="BO748" s="1" t="s">
        <v>74</v>
      </c>
      <c r="BP748" s="1" t="s">
        <v>74</v>
      </c>
      <c r="BQ748" s="1" t="s">
        <v>74</v>
      </c>
      <c r="BR748" s="1" t="s">
        <v>74</v>
      </c>
      <c r="BS748" s="1" t="s">
        <v>7470</v>
      </c>
      <c r="BT748" s="1" t="str">
        <f>HYPERLINK("https%3A%2F%2Fwww.webofscience.com%2Fwos%2Fwoscc%2Ffull-record%2FWOS:000448090700010","View Full Record in Web of Science")</f>
        <v>View Full Record in Web of Science</v>
      </c>
    </row>
    <row r="749" ht="12.75" customHeight="1">
      <c r="A749" s="1" t="s">
        <v>72</v>
      </c>
      <c r="B749" s="1" t="s">
        <v>7471</v>
      </c>
      <c r="C749" s="1" t="s">
        <v>74</v>
      </c>
      <c r="D749" s="1" t="s">
        <v>74</v>
      </c>
      <c r="E749" s="1" t="s">
        <v>74</v>
      </c>
      <c r="F749" s="1" t="s">
        <v>7472</v>
      </c>
      <c r="G749" s="1" t="s">
        <v>74</v>
      </c>
      <c r="H749" s="1" t="s">
        <v>74</v>
      </c>
      <c r="I749" s="1" t="s">
        <v>7473</v>
      </c>
      <c r="J749" s="1" t="s">
        <v>1734</v>
      </c>
      <c r="K749" s="1" t="s">
        <v>74</v>
      </c>
      <c r="L749" s="1" t="s">
        <v>74</v>
      </c>
      <c r="M749" s="1" t="s">
        <v>74</v>
      </c>
      <c r="N749" s="1" t="s">
        <v>74</v>
      </c>
      <c r="O749" s="1" t="s">
        <v>74</v>
      </c>
      <c r="P749" s="1" t="s">
        <v>74</v>
      </c>
      <c r="Q749" s="1" t="s">
        <v>74</v>
      </c>
      <c r="R749" s="1" t="s">
        <v>74</v>
      </c>
      <c r="S749" s="1" t="s">
        <v>74</v>
      </c>
      <c r="T749" s="1" t="s">
        <v>74</v>
      </c>
      <c r="U749" s="1" t="s">
        <v>74</v>
      </c>
      <c r="V749" s="1" t="s">
        <v>7474</v>
      </c>
      <c r="W749" s="1" t="s">
        <v>74</v>
      </c>
      <c r="X749" s="1" t="s">
        <v>74</v>
      </c>
      <c r="Y749" s="1" t="s">
        <v>74</v>
      </c>
      <c r="Z749" s="1" t="s">
        <v>74</v>
      </c>
      <c r="AA749" s="1" t="s">
        <v>7475</v>
      </c>
      <c r="AB749" s="1" t="s">
        <v>7476</v>
      </c>
      <c r="AC749" s="1" t="s">
        <v>74</v>
      </c>
      <c r="AD749" s="1" t="s">
        <v>74</v>
      </c>
      <c r="AE749" s="1" t="s">
        <v>74</v>
      </c>
      <c r="AF749" s="1" t="s">
        <v>74</v>
      </c>
      <c r="AG749" s="1" t="s">
        <v>74</v>
      </c>
      <c r="AH749" s="1" t="s">
        <v>74</v>
      </c>
      <c r="AI749" s="1" t="s">
        <v>74</v>
      </c>
      <c r="AJ749" s="1" t="s">
        <v>74</v>
      </c>
      <c r="AK749" s="1" t="s">
        <v>74</v>
      </c>
      <c r="AL749" s="1" t="s">
        <v>74</v>
      </c>
      <c r="AM749" s="1" t="s">
        <v>74</v>
      </c>
      <c r="AN749" s="1" t="s">
        <v>74</v>
      </c>
      <c r="AO749" s="1" t="s">
        <v>1737</v>
      </c>
      <c r="AP749" s="1" t="s">
        <v>1738</v>
      </c>
      <c r="AQ749" s="1" t="s">
        <v>74</v>
      </c>
      <c r="AR749" s="1" t="s">
        <v>74</v>
      </c>
      <c r="AS749" s="1" t="s">
        <v>74</v>
      </c>
      <c r="AT749" s="1" t="s">
        <v>96</v>
      </c>
      <c r="AU749" s="1">
        <v>2018.0</v>
      </c>
      <c r="AV749" s="1">
        <v>146.0</v>
      </c>
      <c r="AW749" s="1">
        <v>3.0</v>
      </c>
      <c r="AX749" s="1" t="s">
        <v>74</v>
      </c>
      <c r="AY749" s="1" t="s">
        <v>74</v>
      </c>
      <c r="AZ749" s="1" t="s">
        <v>74</v>
      </c>
      <c r="BA749" s="1" t="s">
        <v>74</v>
      </c>
      <c r="BB749" s="1">
        <v>362.0</v>
      </c>
      <c r="BC749" s="1">
        <v>372.0</v>
      </c>
      <c r="BD749" s="1" t="s">
        <v>74</v>
      </c>
      <c r="BE749" s="1" t="s">
        <v>7477</v>
      </c>
      <c r="BF749" s="2" t="str">
        <f>HYPERLINK("http://dx.doi.org/10.4067/s0034-98872018000300362","http://dx.doi.org/10.4067/s0034-98872018000300362")</f>
        <v>http://dx.doi.org/10.4067/s0034-98872018000300362</v>
      </c>
      <c r="BG749" s="1" t="s">
        <v>74</v>
      </c>
      <c r="BH749" s="1" t="s">
        <v>74</v>
      </c>
      <c r="BI749" s="1" t="s">
        <v>74</v>
      </c>
      <c r="BJ749" s="1" t="s">
        <v>74</v>
      </c>
      <c r="BK749" s="1" t="s">
        <v>74</v>
      </c>
      <c r="BL749" s="1" t="s">
        <v>74</v>
      </c>
      <c r="BM749" s="1" t="s">
        <v>74</v>
      </c>
      <c r="BN749" s="1">
        <v>2.9999107E7</v>
      </c>
      <c r="BO749" s="1" t="s">
        <v>74</v>
      </c>
      <c r="BP749" s="1" t="s">
        <v>74</v>
      </c>
      <c r="BQ749" s="1" t="s">
        <v>74</v>
      </c>
      <c r="BR749" s="1" t="s">
        <v>74</v>
      </c>
      <c r="BS749" s="1" t="s">
        <v>7478</v>
      </c>
      <c r="BT749" s="1" t="str">
        <f>HYPERLINK("https%3A%2F%2Fwww.webofscience.com%2Fwos%2Fwoscc%2Ffull-record%2FWOS:000436068000012","View Full Record in Web of Science")</f>
        <v>View Full Record in Web of Science</v>
      </c>
    </row>
    <row r="750" ht="12.75" customHeight="1">
      <c r="A750" s="1" t="s">
        <v>72</v>
      </c>
      <c r="B750" s="1" t="s">
        <v>7479</v>
      </c>
      <c r="C750" s="1" t="s">
        <v>74</v>
      </c>
      <c r="D750" s="1" t="s">
        <v>74</v>
      </c>
      <c r="E750" s="1" t="s">
        <v>74</v>
      </c>
      <c r="F750" s="1" t="s">
        <v>7480</v>
      </c>
      <c r="G750" s="1" t="s">
        <v>74</v>
      </c>
      <c r="H750" s="1" t="s">
        <v>74</v>
      </c>
      <c r="I750" s="1" t="s">
        <v>7481</v>
      </c>
      <c r="J750" s="1" t="s">
        <v>7482</v>
      </c>
      <c r="K750" s="1" t="s">
        <v>74</v>
      </c>
      <c r="L750" s="1" t="s">
        <v>74</v>
      </c>
      <c r="M750" s="1" t="s">
        <v>74</v>
      </c>
      <c r="N750" s="1" t="s">
        <v>74</v>
      </c>
      <c r="O750" s="1" t="s">
        <v>74</v>
      </c>
      <c r="P750" s="1" t="s">
        <v>74</v>
      </c>
      <c r="Q750" s="1" t="s">
        <v>74</v>
      </c>
      <c r="R750" s="1" t="s">
        <v>74</v>
      </c>
      <c r="S750" s="1" t="s">
        <v>74</v>
      </c>
      <c r="T750" s="1" t="s">
        <v>74</v>
      </c>
      <c r="U750" s="1" t="s">
        <v>74</v>
      </c>
      <c r="V750" s="1" t="s">
        <v>7483</v>
      </c>
      <c r="W750" s="1" t="s">
        <v>74</v>
      </c>
      <c r="X750" s="1" t="s">
        <v>74</v>
      </c>
      <c r="Y750" s="1" t="s">
        <v>74</v>
      </c>
      <c r="Z750" s="1" t="s">
        <v>74</v>
      </c>
      <c r="AA750" s="1" t="s">
        <v>7484</v>
      </c>
      <c r="AB750" s="1" t="s">
        <v>7485</v>
      </c>
      <c r="AC750" s="1" t="s">
        <v>74</v>
      </c>
      <c r="AD750" s="1" t="s">
        <v>74</v>
      </c>
      <c r="AE750" s="1" t="s">
        <v>74</v>
      </c>
      <c r="AF750" s="1" t="s">
        <v>74</v>
      </c>
      <c r="AG750" s="1" t="s">
        <v>74</v>
      </c>
      <c r="AH750" s="1" t="s">
        <v>74</v>
      </c>
      <c r="AI750" s="1" t="s">
        <v>74</v>
      </c>
      <c r="AJ750" s="1" t="s">
        <v>74</v>
      </c>
      <c r="AK750" s="1" t="s">
        <v>74</v>
      </c>
      <c r="AL750" s="1" t="s">
        <v>74</v>
      </c>
      <c r="AM750" s="1" t="s">
        <v>74</v>
      </c>
      <c r="AN750" s="1" t="s">
        <v>74</v>
      </c>
      <c r="AO750" s="1" t="s">
        <v>7486</v>
      </c>
      <c r="AP750" s="1" t="s">
        <v>7487</v>
      </c>
      <c r="AQ750" s="1" t="s">
        <v>74</v>
      </c>
      <c r="AR750" s="1" t="s">
        <v>74</v>
      </c>
      <c r="AS750" s="1" t="s">
        <v>74</v>
      </c>
      <c r="AT750" s="1" t="s">
        <v>155</v>
      </c>
      <c r="AU750" s="1">
        <v>2017.0</v>
      </c>
      <c r="AV750" s="1">
        <v>90.0</v>
      </c>
      <c r="AW750" s="1" t="s">
        <v>74</v>
      </c>
      <c r="AX750" s="1" t="s">
        <v>74</v>
      </c>
      <c r="AY750" s="1" t="s">
        <v>74</v>
      </c>
      <c r="AZ750" s="1" t="s">
        <v>74</v>
      </c>
      <c r="BA750" s="1" t="s">
        <v>74</v>
      </c>
      <c r="BB750" s="1">
        <v>332.0</v>
      </c>
      <c r="BC750" s="1">
        <v>338.0</v>
      </c>
      <c r="BD750" s="1" t="s">
        <v>74</v>
      </c>
      <c r="BE750" s="1" t="s">
        <v>7488</v>
      </c>
      <c r="BF750" s="2" t="str">
        <f>HYPERLINK("http://dx.doi.org/10.1016/j.biopha.2017.03.082","http://dx.doi.org/10.1016/j.biopha.2017.03.082")</f>
        <v>http://dx.doi.org/10.1016/j.biopha.2017.03.082</v>
      </c>
      <c r="BG750" s="1" t="s">
        <v>74</v>
      </c>
      <c r="BH750" s="1" t="s">
        <v>74</v>
      </c>
      <c r="BI750" s="1" t="s">
        <v>74</v>
      </c>
      <c r="BJ750" s="1" t="s">
        <v>74</v>
      </c>
      <c r="BK750" s="1" t="s">
        <v>74</v>
      </c>
      <c r="BL750" s="1" t="s">
        <v>74</v>
      </c>
      <c r="BM750" s="1" t="s">
        <v>74</v>
      </c>
      <c r="BN750" s="1">
        <v>2.8376401E7</v>
      </c>
      <c r="BO750" s="1" t="s">
        <v>74</v>
      </c>
      <c r="BP750" s="1" t="s">
        <v>74</v>
      </c>
      <c r="BQ750" s="1" t="s">
        <v>74</v>
      </c>
      <c r="BR750" s="1" t="s">
        <v>74</v>
      </c>
      <c r="BS750" s="1" t="s">
        <v>7489</v>
      </c>
      <c r="BT750" s="1" t="str">
        <f>HYPERLINK("https%3A%2F%2Fwww.webofscience.com%2Fwos%2Fwoscc%2Ffull-record%2FWOS:000402471000042","View Full Record in Web of Science")</f>
        <v>View Full Record in Web of Science</v>
      </c>
    </row>
    <row r="751" ht="12.75" customHeight="1">
      <c r="A751" s="1" t="s">
        <v>72</v>
      </c>
      <c r="B751" s="1" t="s">
        <v>7490</v>
      </c>
      <c r="C751" s="1" t="s">
        <v>74</v>
      </c>
      <c r="D751" s="1" t="s">
        <v>74</v>
      </c>
      <c r="E751" s="1" t="s">
        <v>74</v>
      </c>
      <c r="F751" s="1" t="s">
        <v>7491</v>
      </c>
      <c r="G751" s="1" t="s">
        <v>74</v>
      </c>
      <c r="H751" s="1" t="s">
        <v>74</v>
      </c>
      <c r="I751" s="1" t="s">
        <v>7492</v>
      </c>
      <c r="J751" s="1" t="s">
        <v>725</v>
      </c>
      <c r="K751" s="1" t="s">
        <v>74</v>
      </c>
      <c r="L751" s="1" t="s">
        <v>74</v>
      </c>
      <c r="M751" s="1" t="s">
        <v>74</v>
      </c>
      <c r="N751" s="1" t="s">
        <v>74</v>
      </c>
      <c r="O751" s="1" t="s">
        <v>74</v>
      </c>
      <c r="P751" s="1" t="s">
        <v>74</v>
      </c>
      <c r="Q751" s="1" t="s">
        <v>74</v>
      </c>
      <c r="R751" s="1" t="s">
        <v>74</v>
      </c>
      <c r="S751" s="1" t="s">
        <v>74</v>
      </c>
      <c r="T751" s="1" t="s">
        <v>74</v>
      </c>
      <c r="U751" s="1" t="s">
        <v>74</v>
      </c>
      <c r="V751" s="1" t="s">
        <v>7493</v>
      </c>
      <c r="W751" s="1" t="s">
        <v>74</v>
      </c>
      <c r="X751" s="1" t="s">
        <v>74</v>
      </c>
      <c r="Y751" s="1" t="s">
        <v>74</v>
      </c>
      <c r="Z751" s="1" t="s">
        <v>74</v>
      </c>
      <c r="AA751" s="1" t="s">
        <v>7494</v>
      </c>
      <c r="AB751" s="1" t="s">
        <v>7495</v>
      </c>
      <c r="AC751" s="1" t="s">
        <v>74</v>
      </c>
      <c r="AD751" s="1" t="s">
        <v>74</v>
      </c>
      <c r="AE751" s="1" t="s">
        <v>74</v>
      </c>
      <c r="AF751" s="1" t="s">
        <v>74</v>
      </c>
      <c r="AG751" s="1" t="s">
        <v>74</v>
      </c>
      <c r="AH751" s="1" t="s">
        <v>74</v>
      </c>
      <c r="AI751" s="1" t="s">
        <v>74</v>
      </c>
      <c r="AJ751" s="1" t="s">
        <v>74</v>
      </c>
      <c r="AK751" s="1" t="s">
        <v>74</v>
      </c>
      <c r="AL751" s="1" t="s">
        <v>74</v>
      </c>
      <c r="AM751" s="1" t="s">
        <v>74</v>
      </c>
      <c r="AN751" s="1" t="s">
        <v>74</v>
      </c>
      <c r="AO751" s="1" t="s">
        <v>729</v>
      </c>
      <c r="AP751" s="1" t="s">
        <v>74</v>
      </c>
      <c r="AQ751" s="1" t="s">
        <v>74</v>
      </c>
      <c r="AR751" s="1" t="s">
        <v>74</v>
      </c>
      <c r="AS751" s="1" t="s">
        <v>74</v>
      </c>
      <c r="AT751" s="1" t="s">
        <v>730</v>
      </c>
      <c r="AU751" s="1">
        <v>2012.0</v>
      </c>
      <c r="AV751" s="1">
        <v>15.0</v>
      </c>
      <c r="AW751" s="1">
        <v>4.0</v>
      </c>
      <c r="AX751" s="1" t="s">
        <v>74</v>
      </c>
      <c r="AY751" s="1" t="s">
        <v>74</v>
      </c>
      <c r="AZ751" s="1" t="s">
        <v>74</v>
      </c>
      <c r="BA751" s="1" t="s">
        <v>74</v>
      </c>
      <c r="BB751" s="1" t="s">
        <v>74</v>
      </c>
      <c r="BC751" s="1" t="s">
        <v>74</v>
      </c>
      <c r="BD751" s="1">
        <v>7.0</v>
      </c>
      <c r="BE751" s="1" t="s">
        <v>7496</v>
      </c>
      <c r="BF751" s="2" t="str">
        <f>HYPERLINK("http://dx.doi.org/10.2225/vol15-issue4-fulltext-7","http://dx.doi.org/10.2225/vol15-issue4-fulltext-7")</f>
        <v>http://dx.doi.org/10.2225/vol15-issue4-fulltext-7</v>
      </c>
      <c r="BG751" s="1" t="s">
        <v>74</v>
      </c>
      <c r="BH751" s="1" t="s">
        <v>74</v>
      </c>
      <c r="BI751" s="1" t="s">
        <v>74</v>
      </c>
      <c r="BJ751" s="1" t="s">
        <v>74</v>
      </c>
      <c r="BK751" s="1" t="s">
        <v>74</v>
      </c>
      <c r="BL751" s="1" t="s">
        <v>74</v>
      </c>
      <c r="BM751" s="1" t="s">
        <v>74</v>
      </c>
      <c r="BN751" s="1" t="s">
        <v>74</v>
      </c>
      <c r="BO751" s="1" t="s">
        <v>74</v>
      </c>
      <c r="BP751" s="1" t="s">
        <v>74</v>
      </c>
      <c r="BQ751" s="1" t="s">
        <v>74</v>
      </c>
      <c r="BR751" s="1" t="s">
        <v>74</v>
      </c>
      <c r="BS751" s="1" t="s">
        <v>7497</v>
      </c>
      <c r="BT751" s="1" t="str">
        <f>HYPERLINK("https%3A%2F%2Fwww.webofscience.com%2Fwos%2Fwoscc%2Ffull-record%2FWOS:000307004700007","View Full Record in Web of Science")</f>
        <v>View Full Record in Web of Science</v>
      </c>
    </row>
    <row r="752" ht="12.75" customHeight="1">
      <c r="A752" s="1" t="s">
        <v>72</v>
      </c>
      <c r="B752" s="1" t="s">
        <v>7498</v>
      </c>
      <c r="C752" s="1" t="s">
        <v>74</v>
      </c>
      <c r="D752" s="1" t="s">
        <v>74</v>
      </c>
      <c r="E752" s="1" t="s">
        <v>74</v>
      </c>
      <c r="F752" s="1" t="s">
        <v>7499</v>
      </c>
      <c r="G752" s="1" t="s">
        <v>74</v>
      </c>
      <c r="H752" s="1" t="s">
        <v>74</v>
      </c>
      <c r="I752" s="1" t="s">
        <v>7500</v>
      </c>
      <c r="J752" s="1" t="s">
        <v>7501</v>
      </c>
      <c r="K752" s="1" t="s">
        <v>74</v>
      </c>
      <c r="L752" s="1" t="s">
        <v>74</v>
      </c>
      <c r="M752" s="1" t="s">
        <v>74</v>
      </c>
      <c r="N752" s="1" t="s">
        <v>74</v>
      </c>
      <c r="O752" s="1" t="s">
        <v>74</v>
      </c>
      <c r="P752" s="1" t="s">
        <v>74</v>
      </c>
      <c r="Q752" s="1" t="s">
        <v>74</v>
      </c>
      <c r="R752" s="1" t="s">
        <v>74</v>
      </c>
      <c r="S752" s="1" t="s">
        <v>74</v>
      </c>
      <c r="T752" s="1" t="s">
        <v>74</v>
      </c>
      <c r="U752" s="1" t="s">
        <v>74</v>
      </c>
      <c r="V752" s="1" t="s">
        <v>7502</v>
      </c>
      <c r="W752" s="1" t="s">
        <v>74</v>
      </c>
      <c r="X752" s="1" t="s">
        <v>74</v>
      </c>
      <c r="Y752" s="1" t="s">
        <v>74</v>
      </c>
      <c r="Z752" s="1" t="s">
        <v>74</v>
      </c>
      <c r="AA752" s="1" t="s">
        <v>7503</v>
      </c>
      <c r="AB752" s="1" t="s">
        <v>74</v>
      </c>
      <c r="AC752" s="1" t="s">
        <v>74</v>
      </c>
      <c r="AD752" s="1" t="s">
        <v>74</v>
      </c>
      <c r="AE752" s="1" t="s">
        <v>74</v>
      </c>
      <c r="AF752" s="1" t="s">
        <v>74</v>
      </c>
      <c r="AG752" s="1" t="s">
        <v>74</v>
      </c>
      <c r="AH752" s="1" t="s">
        <v>74</v>
      </c>
      <c r="AI752" s="1" t="s">
        <v>74</v>
      </c>
      <c r="AJ752" s="1" t="s">
        <v>74</v>
      </c>
      <c r="AK752" s="1" t="s">
        <v>74</v>
      </c>
      <c r="AL752" s="1" t="s">
        <v>74</v>
      </c>
      <c r="AM752" s="1" t="s">
        <v>74</v>
      </c>
      <c r="AN752" s="1" t="s">
        <v>74</v>
      </c>
      <c r="AO752" s="1" t="s">
        <v>7504</v>
      </c>
      <c r="AP752" s="1" t="s">
        <v>7505</v>
      </c>
      <c r="AQ752" s="1" t="s">
        <v>74</v>
      </c>
      <c r="AR752" s="1" t="s">
        <v>74</v>
      </c>
      <c r="AS752" s="1" t="s">
        <v>74</v>
      </c>
      <c r="AT752" s="1" t="s">
        <v>155</v>
      </c>
      <c r="AU752" s="1">
        <v>2010.0</v>
      </c>
      <c r="AV752" s="1">
        <v>24.0</v>
      </c>
      <c r="AW752" s="1">
        <v>2.0</v>
      </c>
      <c r="AX752" s="1" t="s">
        <v>74</v>
      </c>
      <c r="AY752" s="1" t="s">
        <v>74</v>
      </c>
      <c r="AZ752" s="1" t="s">
        <v>74</v>
      </c>
      <c r="BA752" s="1" t="s">
        <v>74</v>
      </c>
      <c r="BB752" s="1">
        <v>219.0</v>
      </c>
      <c r="BC752" s="1">
        <v>226.0</v>
      </c>
      <c r="BD752" s="1" t="s">
        <v>74</v>
      </c>
      <c r="BE752" s="1" t="s">
        <v>74</v>
      </c>
      <c r="BF752" s="1" t="s">
        <v>74</v>
      </c>
      <c r="BG752" s="1" t="s">
        <v>74</v>
      </c>
      <c r="BH752" s="1" t="s">
        <v>74</v>
      </c>
      <c r="BI752" s="1" t="s">
        <v>74</v>
      </c>
      <c r="BJ752" s="1" t="s">
        <v>74</v>
      </c>
      <c r="BK752" s="1" t="s">
        <v>74</v>
      </c>
      <c r="BL752" s="1" t="s">
        <v>74</v>
      </c>
      <c r="BM752" s="1" t="s">
        <v>74</v>
      </c>
      <c r="BN752" s="1" t="s">
        <v>74</v>
      </c>
      <c r="BO752" s="1" t="s">
        <v>74</v>
      </c>
      <c r="BP752" s="1" t="s">
        <v>74</v>
      </c>
      <c r="BQ752" s="1" t="s">
        <v>74</v>
      </c>
      <c r="BR752" s="1" t="s">
        <v>74</v>
      </c>
      <c r="BS752" s="1" t="s">
        <v>7506</v>
      </c>
      <c r="BT752" s="1" t="str">
        <f>HYPERLINK("https%3A%2F%2Fwww.webofscience.com%2Fwos%2Fwoscc%2Ffull-record%2FWOS:000282418200011","View Full Record in Web of Science")</f>
        <v>View Full Record in Web of Science</v>
      </c>
    </row>
    <row r="753" ht="12.75" customHeight="1">
      <c r="A753" s="1" t="s">
        <v>72</v>
      </c>
      <c r="B753" s="1" t="s">
        <v>7507</v>
      </c>
      <c r="C753" s="1" t="s">
        <v>74</v>
      </c>
      <c r="D753" s="1" t="s">
        <v>74</v>
      </c>
      <c r="E753" s="1" t="s">
        <v>74</v>
      </c>
      <c r="F753" s="1" t="s">
        <v>7508</v>
      </c>
      <c r="G753" s="1" t="s">
        <v>74</v>
      </c>
      <c r="H753" s="1" t="s">
        <v>74</v>
      </c>
      <c r="I753" s="1" t="s">
        <v>7509</v>
      </c>
      <c r="J753" s="1" t="s">
        <v>2775</v>
      </c>
      <c r="K753" s="1" t="s">
        <v>74</v>
      </c>
      <c r="L753" s="1" t="s">
        <v>74</v>
      </c>
      <c r="M753" s="1" t="s">
        <v>74</v>
      </c>
      <c r="N753" s="1" t="s">
        <v>74</v>
      </c>
      <c r="O753" s="1" t="s">
        <v>74</v>
      </c>
      <c r="P753" s="1" t="s">
        <v>74</v>
      </c>
      <c r="Q753" s="1" t="s">
        <v>74</v>
      </c>
      <c r="R753" s="1" t="s">
        <v>74</v>
      </c>
      <c r="S753" s="1" t="s">
        <v>74</v>
      </c>
      <c r="T753" s="1" t="s">
        <v>74</v>
      </c>
      <c r="U753" s="1" t="s">
        <v>74</v>
      </c>
      <c r="V753" s="1" t="s">
        <v>7510</v>
      </c>
      <c r="W753" s="1" t="s">
        <v>74</v>
      </c>
      <c r="X753" s="1" t="s">
        <v>74</v>
      </c>
      <c r="Y753" s="1" t="s">
        <v>74</v>
      </c>
      <c r="Z753" s="1" t="s">
        <v>74</v>
      </c>
      <c r="AA753" s="1" t="s">
        <v>7511</v>
      </c>
      <c r="AB753" s="1" t="s">
        <v>74</v>
      </c>
      <c r="AC753" s="1" t="s">
        <v>74</v>
      </c>
      <c r="AD753" s="1" t="s">
        <v>74</v>
      </c>
      <c r="AE753" s="1" t="s">
        <v>74</v>
      </c>
      <c r="AF753" s="1" t="s">
        <v>74</v>
      </c>
      <c r="AG753" s="1" t="s">
        <v>74</v>
      </c>
      <c r="AH753" s="1" t="s">
        <v>74</v>
      </c>
      <c r="AI753" s="1" t="s">
        <v>74</v>
      </c>
      <c r="AJ753" s="1" t="s">
        <v>74</v>
      </c>
      <c r="AK753" s="1" t="s">
        <v>74</v>
      </c>
      <c r="AL753" s="1" t="s">
        <v>74</v>
      </c>
      <c r="AM753" s="1" t="s">
        <v>74</v>
      </c>
      <c r="AN753" s="1" t="s">
        <v>74</v>
      </c>
      <c r="AO753" s="1" t="s">
        <v>2778</v>
      </c>
      <c r="AP753" s="1" t="s">
        <v>74</v>
      </c>
      <c r="AQ753" s="1" t="s">
        <v>74</v>
      </c>
      <c r="AR753" s="1" t="s">
        <v>74</v>
      </c>
      <c r="AS753" s="1" t="s">
        <v>74</v>
      </c>
      <c r="AT753" s="1" t="s">
        <v>7512</v>
      </c>
      <c r="AU753" s="1">
        <v>2024.0</v>
      </c>
      <c r="AV753" s="1">
        <v>6.0</v>
      </c>
      <c r="AW753" s="1">
        <v>17.0</v>
      </c>
      <c r="AX753" s="1" t="s">
        <v>74</v>
      </c>
      <c r="AY753" s="1" t="s">
        <v>74</v>
      </c>
      <c r="AZ753" s="1" t="s">
        <v>74</v>
      </c>
      <c r="BA753" s="1" t="s">
        <v>74</v>
      </c>
      <c r="BB753" s="1">
        <v>10436.0</v>
      </c>
      <c r="BC753" s="1">
        <v>10451.0</v>
      </c>
      <c r="BD753" s="1" t="s">
        <v>74</v>
      </c>
      <c r="BE753" s="1" t="s">
        <v>7513</v>
      </c>
      <c r="BF753" s="2" t="str">
        <f>HYPERLINK("http://dx.doi.org/10.1021/acsapm.4c01582","http://dx.doi.org/10.1021/acsapm.4c01582")</f>
        <v>http://dx.doi.org/10.1021/acsapm.4c01582</v>
      </c>
      <c r="BG753" s="1" t="s">
        <v>74</v>
      </c>
      <c r="BH753" s="1" t="s">
        <v>5865</v>
      </c>
      <c r="BI753" s="1" t="s">
        <v>74</v>
      </c>
      <c r="BJ753" s="1" t="s">
        <v>74</v>
      </c>
      <c r="BK753" s="1" t="s">
        <v>74</v>
      </c>
      <c r="BL753" s="1" t="s">
        <v>74</v>
      </c>
      <c r="BM753" s="1" t="s">
        <v>74</v>
      </c>
      <c r="BN753" s="1" t="s">
        <v>74</v>
      </c>
      <c r="BO753" s="1" t="s">
        <v>74</v>
      </c>
      <c r="BP753" s="1" t="s">
        <v>74</v>
      </c>
      <c r="BQ753" s="1" t="s">
        <v>74</v>
      </c>
      <c r="BR753" s="1" t="s">
        <v>74</v>
      </c>
      <c r="BS753" s="1" t="s">
        <v>7514</v>
      </c>
      <c r="BT753" s="1" t="str">
        <f>HYPERLINK("https%3A%2F%2Fwww.webofscience.com%2Fwos%2Fwoscc%2Ffull-record%2FWOS:001302823800001","View Full Record in Web of Science")</f>
        <v>View Full Record in Web of Science</v>
      </c>
    </row>
    <row r="754" ht="12.75" customHeight="1">
      <c r="A754" s="1" t="s">
        <v>72</v>
      </c>
      <c r="B754" s="1" t="s">
        <v>7515</v>
      </c>
      <c r="C754" s="1" t="s">
        <v>74</v>
      </c>
      <c r="D754" s="1" t="s">
        <v>74</v>
      </c>
      <c r="E754" s="1" t="s">
        <v>74</v>
      </c>
      <c r="F754" s="1" t="s">
        <v>7516</v>
      </c>
      <c r="G754" s="1" t="s">
        <v>74</v>
      </c>
      <c r="H754" s="1" t="s">
        <v>74</v>
      </c>
      <c r="I754" s="1" t="s">
        <v>7517</v>
      </c>
      <c r="J754" s="1" t="s">
        <v>7518</v>
      </c>
      <c r="K754" s="1" t="s">
        <v>74</v>
      </c>
      <c r="L754" s="1" t="s">
        <v>74</v>
      </c>
      <c r="M754" s="1" t="s">
        <v>74</v>
      </c>
      <c r="N754" s="1" t="s">
        <v>74</v>
      </c>
      <c r="O754" s="1" t="s">
        <v>74</v>
      </c>
      <c r="P754" s="1" t="s">
        <v>74</v>
      </c>
      <c r="Q754" s="1" t="s">
        <v>74</v>
      </c>
      <c r="R754" s="1" t="s">
        <v>74</v>
      </c>
      <c r="S754" s="1" t="s">
        <v>74</v>
      </c>
      <c r="T754" s="1" t="s">
        <v>74</v>
      </c>
      <c r="U754" s="1" t="s">
        <v>74</v>
      </c>
      <c r="V754" s="1" t="s">
        <v>7519</v>
      </c>
      <c r="W754" s="1" t="s">
        <v>74</v>
      </c>
      <c r="X754" s="1" t="s">
        <v>74</v>
      </c>
      <c r="Y754" s="1" t="s">
        <v>74</v>
      </c>
      <c r="Z754" s="1" t="s">
        <v>74</v>
      </c>
      <c r="AA754" s="1" t="s">
        <v>7520</v>
      </c>
      <c r="AB754" s="1" t="s">
        <v>7521</v>
      </c>
      <c r="AC754" s="1" t="s">
        <v>74</v>
      </c>
      <c r="AD754" s="1" t="s">
        <v>74</v>
      </c>
      <c r="AE754" s="1" t="s">
        <v>74</v>
      </c>
      <c r="AF754" s="1" t="s">
        <v>74</v>
      </c>
      <c r="AG754" s="1" t="s">
        <v>74</v>
      </c>
      <c r="AH754" s="1" t="s">
        <v>74</v>
      </c>
      <c r="AI754" s="1" t="s">
        <v>74</v>
      </c>
      <c r="AJ754" s="1" t="s">
        <v>74</v>
      </c>
      <c r="AK754" s="1" t="s">
        <v>74</v>
      </c>
      <c r="AL754" s="1" t="s">
        <v>74</v>
      </c>
      <c r="AM754" s="1" t="s">
        <v>74</v>
      </c>
      <c r="AN754" s="1" t="s">
        <v>74</v>
      </c>
      <c r="AO754" s="1" t="s">
        <v>7522</v>
      </c>
      <c r="AP754" s="1" t="s">
        <v>74</v>
      </c>
      <c r="AQ754" s="1" t="s">
        <v>74</v>
      </c>
      <c r="AR754" s="1" t="s">
        <v>74</v>
      </c>
      <c r="AS754" s="1" t="s">
        <v>74</v>
      </c>
      <c r="AT754" s="1" t="s">
        <v>1087</v>
      </c>
      <c r="AU754" s="1">
        <v>2023.0</v>
      </c>
      <c r="AV754" s="1">
        <v>12.0</v>
      </c>
      <c r="AW754" s="1">
        <v>1.0</v>
      </c>
      <c r="AX754" s="1" t="s">
        <v>74</v>
      </c>
      <c r="AY754" s="1" t="s">
        <v>74</v>
      </c>
      <c r="AZ754" s="1" t="s">
        <v>74</v>
      </c>
      <c r="BA754" s="1" t="s">
        <v>74</v>
      </c>
      <c r="BB754" s="1" t="s">
        <v>74</v>
      </c>
      <c r="BC754" s="1" t="s">
        <v>74</v>
      </c>
      <c r="BD754" s="1">
        <v>2225291.0</v>
      </c>
      <c r="BE754" s="1" t="s">
        <v>7523</v>
      </c>
      <c r="BF754" s="2" t="str">
        <f>HYPERLINK("http://dx.doi.org/10.1080/2162402X.2023.2225291","http://dx.doi.org/10.1080/2162402X.2023.2225291")</f>
        <v>http://dx.doi.org/10.1080/2162402X.2023.2225291</v>
      </c>
      <c r="BG754" s="1" t="s">
        <v>74</v>
      </c>
      <c r="BH754" s="1" t="s">
        <v>74</v>
      </c>
      <c r="BI754" s="1" t="s">
        <v>74</v>
      </c>
      <c r="BJ754" s="1" t="s">
        <v>74</v>
      </c>
      <c r="BK754" s="1" t="s">
        <v>74</v>
      </c>
      <c r="BL754" s="1" t="s">
        <v>74</v>
      </c>
      <c r="BM754" s="1" t="s">
        <v>74</v>
      </c>
      <c r="BN754" s="1">
        <v>3.7363103E7</v>
      </c>
      <c r="BO754" s="1" t="s">
        <v>74</v>
      </c>
      <c r="BP754" s="1" t="s">
        <v>74</v>
      </c>
      <c r="BQ754" s="1" t="s">
        <v>74</v>
      </c>
      <c r="BR754" s="1" t="s">
        <v>74</v>
      </c>
      <c r="BS754" s="1" t="s">
        <v>7524</v>
      </c>
      <c r="BT754" s="1" t="str">
        <f>HYPERLINK("https%3A%2F%2Fwww.webofscience.com%2Fwos%2Fwoscc%2Ffull-record%2FWOS:001012549600001","View Full Record in Web of Science")</f>
        <v>View Full Record in Web of Science</v>
      </c>
    </row>
    <row r="755" ht="12.75" customHeight="1">
      <c r="A755" s="1" t="s">
        <v>72</v>
      </c>
      <c r="B755" s="1" t="s">
        <v>7525</v>
      </c>
      <c r="C755" s="1" t="s">
        <v>74</v>
      </c>
      <c r="D755" s="1" t="s">
        <v>74</v>
      </c>
      <c r="E755" s="1" t="s">
        <v>74</v>
      </c>
      <c r="F755" s="1" t="s">
        <v>7526</v>
      </c>
      <c r="G755" s="1" t="s">
        <v>74</v>
      </c>
      <c r="H755" s="1" t="s">
        <v>74</v>
      </c>
      <c r="I755" s="1" t="s">
        <v>7527</v>
      </c>
      <c r="J755" s="1" t="s">
        <v>5846</v>
      </c>
      <c r="K755" s="1" t="s">
        <v>74</v>
      </c>
      <c r="L755" s="1" t="s">
        <v>74</v>
      </c>
      <c r="M755" s="1" t="s">
        <v>74</v>
      </c>
      <c r="N755" s="1" t="s">
        <v>74</v>
      </c>
      <c r="O755" s="1" t="s">
        <v>74</v>
      </c>
      <c r="P755" s="1" t="s">
        <v>74</v>
      </c>
      <c r="Q755" s="1" t="s">
        <v>74</v>
      </c>
      <c r="R755" s="1" t="s">
        <v>74</v>
      </c>
      <c r="S755" s="1" t="s">
        <v>74</v>
      </c>
      <c r="T755" s="1" t="s">
        <v>74</v>
      </c>
      <c r="U755" s="1" t="s">
        <v>74</v>
      </c>
      <c r="V755" s="1" t="s">
        <v>7528</v>
      </c>
      <c r="W755" s="1" t="s">
        <v>74</v>
      </c>
      <c r="X755" s="1" t="s">
        <v>74</v>
      </c>
      <c r="Y755" s="1" t="s">
        <v>74</v>
      </c>
      <c r="Z755" s="1" t="s">
        <v>74</v>
      </c>
      <c r="AA755" s="1" t="s">
        <v>7529</v>
      </c>
      <c r="AB755" s="1" t="s">
        <v>7530</v>
      </c>
      <c r="AC755" s="1" t="s">
        <v>74</v>
      </c>
      <c r="AD755" s="1" t="s">
        <v>74</v>
      </c>
      <c r="AE755" s="1" t="s">
        <v>74</v>
      </c>
      <c r="AF755" s="1" t="s">
        <v>74</v>
      </c>
      <c r="AG755" s="1" t="s">
        <v>74</v>
      </c>
      <c r="AH755" s="1" t="s">
        <v>74</v>
      </c>
      <c r="AI755" s="1" t="s">
        <v>74</v>
      </c>
      <c r="AJ755" s="1" t="s">
        <v>74</v>
      </c>
      <c r="AK755" s="1" t="s">
        <v>74</v>
      </c>
      <c r="AL755" s="1" t="s">
        <v>74</v>
      </c>
      <c r="AM755" s="1" t="s">
        <v>74</v>
      </c>
      <c r="AN755" s="1" t="s">
        <v>74</v>
      </c>
      <c r="AO755" s="1" t="s">
        <v>5850</v>
      </c>
      <c r="AP755" s="1" t="s">
        <v>6043</v>
      </c>
      <c r="AQ755" s="1" t="s">
        <v>74</v>
      </c>
      <c r="AR755" s="1" t="s">
        <v>74</v>
      </c>
      <c r="AS755" s="1" t="s">
        <v>74</v>
      </c>
      <c r="AT755" s="1" t="s">
        <v>7531</v>
      </c>
      <c r="AU755" s="1">
        <v>2023.0</v>
      </c>
      <c r="AV755" s="1">
        <v>131.0</v>
      </c>
      <c r="AW755" s="1">
        <v>16.0</v>
      </c>
      <c r="AX755" s="1" t="s">
        <v>74</v>
      </c>
      <c r="AY755" s="1" t="s">
        <v>74</v>
      </c>
      <c r="AZ755" s="1" t="s">
        <v>74</v>
      </c>
      <c r="BA755" s="1" t="s">
        <v>74</v>
      </c>
      <c r="BB755" s="1" t="s">
        <v>74</v>
      </c>
      <c r="BC755" s="1" t="s">
        <v>74</v>
      </c>
      <c r="BD755" s="1">
        <v>166702.0</v>
      </c>
      <c r="BE755" s="1" t="s">
        <v>7532</v>
      </c>
      <c r="BF755" s="2" t="str">
        <f>HYPERLINK("http://dx.doi.org/10.1103/PhysRevLett.131.166702","http://dx.doi.org/10.1103/PhysRevLett.131.166702")</f>
        <v>http://dx.doi.org/10.1103/PhysRevLett.131.166702</v>
      </c>
      <c r="BG755" s="1" t="s">
        <v>74</v>
      </c>
      <c r="BH755" s="1" t="s">
        <v>74</v>
      </c>
      <c r="BI755" s="1" t="s">
        <v>74</v>
      </c>
      <c r="BJ755" s="1" t="s">
        <v>74</v>
      </c>
      <c r="BK755" s="1" t="s">
        <v>74</v>
      </c>
      <c r="BL755" s="1" t="s">
        <v>74</v>
      </c>
      <c r="BM755" s="1" t="s">
        <v>74</v>
      </c>
      <c r="BN755" s="1">
        <v>3.7925706E7</v>
      </c>
      <c r="BO755" s="1" t="s">
        <v>74</v>
      </c>
      <c r="BP755" s="1" t="s">
        <v>74</v>
      </c>
      <c r="BQ755" s="1" t="s">
        <v>74</v>
      </c>
      <c r="BR755" s="1" t="s">
        <v>74</v>
      </c>
      <c r="BS755" s="1" t="s">
        <v>7533</v>
      </c>
      <c r="BT755" s="1" t="str">
        <f>HYPERLINK("https%3A%2F%2Fwww.webofscience.com%2Fwos%2Fwoscc%2Ffull-record%2FWOS:001102983000014","View Full Record in Web of Science")</f>
        <v>View Full Record in Web of Science</v>
      </c>
    </row>
    <row r="756" ht="12.75" customHeight="1">
      <c r="A756" s="1" t="s">
        <v>647</v>
      </c>
      <c r="B756" s="1" t="s">
        <v>7534</v>
      </c>
      <c r="C756" s="1" t="s">
        <v>74</v>
      </c>
      <c r="D756" s="1" t="s">
        <v>74</v>
      </c>
      <c r="E756" s="1" t="s">
        <v>649</v>
      </c>
      <c r="F756" s="1" t="s">
        <v>7535</v>
      </c>
      <c r="G756" s="1" t="s">
        <v>74</v>
      </c>
      <c r="H756" s="1" t="s">
        <v>74</v>
      </c>
      <c r="I756" s="1" t="s">
        <v>7536</v>
      </c>
      <c r="J756" s="1" t="s">
        <v>2242</v>
      </c>
      <c r="K756" s="1" t="s">
        <v>74</v>
      </c>
      <c r="L756" s="1" t="s">
        <v>74</v>
      </c>
      <c r="M756" s="1" t="s">
        <v>74</v>
      </c>
      <c r="N756" s="1" t="s">
        <v>74</v>
      </c>
      <c r="O756" s="1" t="s">
        <v>2243</v>
      </c>
      <c r="P756" s="1" t="s">
        <v>2244</v>
      </c>
      <c r="Q756" s="1" t="s">
        <v>2245</v>
      </c>
      <c r="R756" s="1" t="s">
        <v>2246</v>
      </c>
      <c r="S756" s="1" t="s">
        <v>74</v>
      </c>
      <c r="T756" s="1" t="s">
        <v>74</v>
      </c>
      <c r="U756" s="1" t="s">
        <v>74</v>
      </c>
      <c r="V756" s="1" t="s">
        <v>7537</v>
      </c>
      <c r="W756" s="1" t="s">
        <v>74</v>
      </c>
      <c r="X756" s="1" t="s">
        <v>74</v>
      </c>
      <c r="Y756" s="1" t="s">
        <v>74</v>
      </c>
      <c r="Z756" s="1" t="s">
        <v>74</v>
      </c>
      <c r="AA756" s="1" t="s">
        <v>7538</v>
      </c>
      <c r="AB756" s="1" t="s">
        <v>7539</v>
      </c>
      <c r="AC756" s="1" t="s">
        <v>74</v>
      </c>
      <c r="AD756" s="1" t="s">
        <v>74</v>
      </c>
      <c r="AE756" s="1" t="s">
        <v>74</v>
      </c>
      <c r="AF756" s="1" t="s">
        <v>74</v>
      </c>
      <c r="AG756" s="1" t="s">
        <v>74</v>
      </c>
      <c r="AH756" s="1" t="s">
        <v>74</v>
      </c>
      <c r="AI756" s="1" t="s">
        <v>74</v>
      </c>
      <c r="AJ756" s="1" t="s">
        <v>74</v>
      </c>
      <c r="AK756" s="1" t="s">
        <v>74</v>
      </c>
      <c r="AL756" s="1" t="s">
        <v>74</v>
      </c>
      <c r="AM756" s="1" t="s">
        <v>74</v>
      </c>
      <c r="AN756" s="1" t="s">
        <v>74</v>
      </c>
      <c r="AO756" s="1" t="s">
        <v>74</v>
      </c>
      <c r="AP756" s="1" t="s">
        <v>74</v>
      </c>
      <c r="AQ756" s="1" t="s">
        <v>2250</v>
      </c>
      <c r="AR756" s="1" t="s">
        <v>74</v>
      </c>
      <c r="AS756" s="1" t="s">
        <v>74</v>
      </c>
      <c r="AT756" s="1" t="s">
        <v>74</v>
      </c>
      <c r="AU756" s="1">
        <v>2019.0</v>
      </c>
      <c r="AV756" s="1" t="s">
        <v>74</v>
      </c>
      <c r="AW756" s="1" t="s">
        <v>74</v>
      </c>
      <c r="AX756" s="1" t="s">
        <v>74</v>
      </c>
      <c r="AY756" s="1" t="s">
        <v>74</v>
      </c>
      <c r="AZ756" s="1" t="s">
        <v>74</v>
      </c>
      <c r="BA756" s="1" t="s">
        <v>74</v>
      </c>
      <c r="BB756" s="1" t="s">
        <v>74</v>
      </c>
      <c r="BC756" s="1" t="s">
        <v>74</v>
      </c>
      <c r="BD756" s="1" t="s">
        <v>74</v>
      </c>
      <c r="BE756" s="1" t="s">
        <v>7540</v>
      </c>
      <c r="BF756" s="2" t="str">
        <f>HYPERLINK("http://dx.doi.org/10.1109/chilecon47746.2019.8988027","http://dx.doi.org/10.1109/chilecon47746.2019.8988027")</f>
        <v>http://dx.doi.org/10.1109/chilecon47746.2019.8988027</v>
      </c>
      <c r="BG756" s="1" t="s">
        <v>74</v>
      </c>
      <c r="BH756" s="1" t="s">
        <v>74</v>
      </c>
      <c r="BI756" s="1" t="s">
        <v>74</v>
      </c>
      <c r="BJ756" s="1" t="s">
        <v>74</v>
      </c>
      <c r="BK756" s="1" t="s">
        <v>74</v>
      </c>
      <c r="BL756" s="1" t="s">
        <v>74</v>
      </c>
      <c r="BM756" s="1" t="s">
        <v>74</v>
      </c>
      <c r="BN756" s="1" t="s">
        <v>74</v>
      </c>
      <c r="BO756" s="1" t="s">
        <v>74</v>
      </c>
      <c r="BP756" s="1" t="s">
        <v>74</v>
      </c>
      <c r="BQ756" s="1" t="s">
        <v>74</v>
      </c>
      <c r="BR756" s="1" t="s">
        <v>74</v>
      </c>
      <c r="BS756" s="1" t="s">
        <v>7541</v>
      </c>
      <c r="BT756" s="1" t="str">
        <f>HYPERLINK("https%3A%2F%2Fwww.webofscience.com%2Fwos%2Fwoscc%2Ffull-record%2FWOS:000542919100130","View Full Record in Web of Science")</f>
        <v>View Full Record in Web of Science</v>
      </c>
    </row>
    <row r="757" ht="12.75" customHeight="1">
      <c r="A757" s="1" t="s">
        <v>72</v>
      </c>
      <c r="B757" s="1" t="s">
        <v>7542</v>
      </c>
      <c r="C757" s="1" t="s">
        <v>74</v>
      </c>
      <c r="D757" s="1" t="s">
        <v>74</v>
      </c>
      <c r="E757" s="1" t="s">
        <v>74</v>
      </c>
      <c r="F757" s="1" t="s">
        <v>7543</v>
      </c>
      <c r="G757" s="1" t="s">
        <v>74</v>
      </c>
      <c r="H757" s="1" t="s">
        <v>74</v>
      </c>
      <c r="I757" s="1" t="s">
        <v>7544</v>
      </c>
      <c r="J757" s="1" t="s">
        <v>7545</v>
      </c>
      <c r="K757" s="1" t="s">
        <v>74</v>
      </c>
      <c r="L757" s="1" t="s">
        <v>74</v>
      </c>
      <c r="M757" s="1" t="s">
        <v>74</v>
      </c>
      <c r="N757" s="1" t="s">
        <v>74</v>
      </c>
      <c r="O757" s="1" t="s">
        <v>74</v>
      </c>
      <c r="P757" s="1" t="s">
        <v>74</v>
      </c>
      <c r="Q757" s="1" t="s">
        <v>74</v>
      </c>
      <c r="R757" s="1" t="s">
        <v>74</v>
      </c>
      <c r="S757" s="1" t="s">
        <v>74</v>
      </c>
      <c r="T757" s="1" t="s">
        <v>74</v>
      </c>
      <c r="U757" s="1" t="s">
        <v>74</v>
      </c>
      <c r="V757" s="1" t="s">
        <v>7546</v>
      </c>
      <c r="W757" s="1" t="s">
        <v>74</v>
      </c>
      <c r="X757" s="1" t="s">
        <v>74</v>
      </c>
      <c r="Y757" s="1" t="s">
        <v>74</v>
      </c>
      <c r="Z757" s="1" t="s">
        <v>74</v>
      </c>
      <c r="AA757" s="1" t="s">
        <v>7547</v>
      </c>
      <c r="AB757" s="1" t="s">
        <v>7548</v>
      </c>
      <c r="AC757" s="1" t="s">
        <v>74</v>
      </c>
      <c r="AD757" s="1" t="s">
        <v>74</v>
      </c>
      <c r="AE757" s="1" t="s">
        <v>74</v>
      </c>
      <c r="AF757" s="1" t="s">
        <v>74</v>
      </c>
      <c r="AG757" s="1" t="s">
        <v>74</v>
      </c>
      <c r="AH757" s="1" t="s">
        <v>74</v>
      </c>
      <c r="AI757" s="1" t="s">
        <v>74</v>
      </c>
      <c r="AJ757" s="1" t="s">
        <v>74</v>
      </c>
      <c r="AK757" s="1" t="s">
        <v>74</v>
      </c>
      <c r="AL757" s="1" t="s">
        <v>74</v>
      </c>
      <c r="AM757" s="1" t="s">
        <v>74</v>
      </c>
      <c r="AN757" s="1" t="s">
        <v>74</v>
      </c>
      <c r="AO757" s="1" t="s">
        <v>7549</v>
      </c>
      <c r="AP757" s="1" t="s">
        <v>7550</v>
      </c>
      <c r="AQ757" s="1" t="s">
        <v>74</v>
      </c>
      <c r="AR757" s="1" t="s">
        <v>74</v>
      </c>
      <c r="AS757" s="1" t="s">
        <v>74</v>
      </c>
      <c r="AT757" s="1" t="s">
        <v>259</v>
      </c>
      <c r="AU757" s="1">
        <v>2017.0</v>
      </c>
      <c r="AV757" s="1">
        <v>130.0</v>
      </c>
      <c r="AW757" s="1" t="s">
        <v>74</v>
      </c>
      <c r="AX757" s="1" t="s">
        <v>74</v>
      </c>
      <c r="AY757" s="1" t="s">
        <v>74</v>
      </c>
      <c r="AZ757" s="1" t="s">
        <v>74</v>
      </c>
      <c r="BA757" s="1" t="s">
        <v>74</v>
      </c>
      <c r="BB757" s="1">
        <v>188.0</v>
      </c>
      <c r="BC757" s="1">
        <v>197.0</v>
      </c>
      <c r="BD757" s="1" t="s">
        <v>74</v>
      </c>
      <c r="BE757" s="1" t="s">
        <v>7551</v>
      </c>
      <c r="BF757" s="2" t="str">
        <f>HYPERLINK("http://dx.doi.org/10.1016/j.matchar.2017.06.010","http://dx.doi.org/10.1016/j.matchar.2017.06.010")</f>
        <v>http://dx.doi.org/10.1016/j.matchar.2017.06.010</v>
      </c>
      <c r="BG757" s="1" t="s">
        <v>74</v>
      </c>
      <c r="BH757" s="1" t="s">
        <v>74</v>
      </c>
      <c r="BI757" s="1" t="s">
        <v>74</v>
      </c>
      <c r="BJ757" s="1" t="s">
        <v>74</v>
      </c>
      <c r="BK757" s="1" t="s">
        <v>74</v>
      </c>
      <c r="BL757" s="1" t="s">
        <v>74</v>
      </c>
      <c r="BM757" s="1" t="s">
        <v>74</v>
      </c>
      <c r="BN757" s="1" t="s">
        <v>74</v>
      </c>
      <c r="BO757" s="1" t="s">
        <v>74</v>
      </c>
      <c r="BP757" s="1" t="s">
        <v>74</v>
      </c>
      <c r="BQ757" s="1" t="s">
        <v>74</v>
      </c>
      <c r="BR757" s="1" t="s">
        <v>74</v>
      </c>
      <c r="BS757" s="1" t="s">
        <v>7552</v>
      </c>
      <c r="BT757" s="1" t="str">
        <f>HYPERLINK("https%3A%2F%2Fwww.webofscience.com%2Fwos%2Fwoscc%2Ffull-record%2FWOS:000409284900022","View Full Record in Web of Science")</f>
        <v>View Full Record in Web of Science</v>
      </c>
    </row>
    <row r="758" ht="12.75" customHeight="1">
      <c r="A758" s="1" t="s">
        <v>72</v>
      </c>
      <c r="B758" s="1" t="s">
        <v>7553</v>
      </c>
      <c r="C758" s="1" t="s">
        <v>74</v>
      </c>
      <c r="D758" s="1" t="s">
        <v>74</v>
      </c>
      <c r="E758" s="1" t="s">
        <v>74</v>
      </c>
      <c r="F758" s="1" t="s">
        <v>7554</v>
      </c>
      <c r="G758" s="1" t="s">
        <v>74</v>
      </c>
      <c r="H758" s="1" t="s">
        <v>74</v>
      </c>
      <c r="I758" s="1" t="s">
        <v>7555</v>
      </c>
      <c r="J758" s="1" t="s">
        <v>174</v>
      </c>
      <c r="K758" s="1" t="s">
        <v>74</v>
      </c>
      <c r="L758" s="1" t="s">
        <v>74</v>
      </c>
      <c r="M758" s="1" t="s">
        <v>74</v>
      </c>
      <c r="N758" s="1" t="s">
        <v>74</v>
      </c>
      <c r="O758" s="1" t="s">
        <v>74</v>
      </c>
      <c r="P758" s="1" t="s">
        <v>74</v>
      </c>
      <c r="Q758" s="1" t="s">
        <v>74</v>
      </c>
      <c r="R758" s="1" t="s">
        <v>74</v>
      </c>
      <c r="S758" s="1" t="s">
        <v>74</v>
      </c>
      <c r="T758" s="1" t="s">
        <v>74</v>
      </c>
      <c r="U758" s="1" t="s">
        <v>74</v>
      </c>
      <c r="V758" s="1" t="s">
        <v>7556</v>
      </c>
      <c r="W758" s="1" t="s">
        <v>74</v>
      </c>
      <c r="X758" s="1" t="s">
        <v>74</v>
      </c>
      <c r="Y758" s="1" t="s">
        <v>74</v>
      </c>
      <c r="Z758" s="1" t="s">
        <v>74</v>
      </c>
      <c r="AA758" s="1" t="s">
        <v>7557</v>
      </c>
      <c r="AB758" s="1" t="s">
        <v>7558</v>
      </c>
      <c r="AC758" s="1" t="s">
        <v>74</v>
      </c>
      <c r="AD758" s="1" t="s">
        <v>74</v>
      </c>
      <c r="AE758" s="1" t="s">
        <v>74</v>
      </c>
      <c r="AF758" s="1" t="s">
        <v>74</v>
      </c>
      <c r="AG758" s="1" t="s">
        <v>74</v>
      </c>
      <c r="AH758" s="1" t="s">
        <v>74</v>
      </c>
      <c r="AI758" s="1" t="s">
        <v>74</v>
      </c>
      <c r="AJ758" s="1" t="s">
        <v>74</v>
      </c>
      <c r="AK758" s="1" t="s">
        <v>74</v>
      </c>
      <c r="AL758" s="1" t="s">
        <v>74</v>
      </c>
      <c r="AM758" s="1" t="s">
        <v>74</v>
      </c>
      <c r="AN758" s="1" t="s">
        <v>74</v>
      </c>
      <c r="AO758" s="1" t="s">
        <v>178</v>
      </c>
      <c r="AP758" s="1" t="s">
        <v>74</v>
      </c>
      <c r="AQ758" s="1" t="s">
        <v>74</v>
      </c>
      <c r="AR758" s="1" t="s">
        <v>74</v>
      </c>
      <c r="AS758" s="1" t="s">
        <v>74</v>
      </c>
      <c r="AT758" s="1" t="s">
        <v>1242</v>
      </c>
      <c r="AU758" s="1">
        <v>2014.0</v>
      </c>
      <c r="AV758" s="1">
        <v>9.0</v>
      </c>
      <c r="AW758" s="1">
        <v>1.0</v>
      </c>
      <c r="AX758" s="1" t="s">
        <v>74</v>
      </c>
      <c r="AY758" s="1" t="s">
        <v>74</v>
      </c>
      <c r="AZ758" s="1" t="s">
        <v>74</v>
      </c>
      <c r="BA758" s="1" t="s">
        <v>74</v>
      </c>
      <c r="BB758" s="1" t="s">
        <v>74</v>
      </c>
      <c r="BC758" s="1" t="s">
        <v>74</v>
      </c>
      <c r="BD758" s="1" t="s">
        <v>7559</v>
      </c>
      <c r="BE758" s="1" t="s">
        <v>7560</v>
      </c>
      <c r="BF758" s="2" t="str">
        <f>HYPERLINK("http://dx.doi.org/10.1371/journal.pone.0085930","http://dx.doi.org/10.1371/journal.pone.0085930")</f>
        <v>http://dx.doi.org/10.1371/journal.pone.0085930</v>
      </c>
      <c r="BG758" s="1" t="s">
        <v>74</v>
      </c>
      <c r="BH758" s="1" t="s">
        <v>74</v>
      </c>
      <c r="BI758" s="1" t="s">
        <v>74</v>
      </c>
      <c r="BJ758" s="1" t="s">
        <v>74</v>
      </c>
      <c r="BK758" s="1" t="s">
        <v>74</v>
      </c>
      <c r="BL758" s="1" t="s">
        <v>74</v>
      </c>
      <c r="BM758" s="1" t="s">
        <v>74</v>
      </c>
      <c r="BN758" s="1">
        <v>2.4465795E7</v>
      </c>
      <c r="BO758" s="1" t="s">
        <v>74</v>
      </c>
      <c r="BP758" s="1" t="s">
        <v>74</v>
      </c>
      <c r="BQ758" s="1" t="s">
        <v>74</v>
      </c>
      <c r="BR758" s="1" t="s">
        <v>74</v>
      </c>
      <c r="BS758" s="1" t="s">
        <v>7561</v>
      </c>
      <c r="BT758" s="1" t="str">
        <f>HYPERLINK("https%3A%2F%2Fwww.webofscience.com%2Fwos%2Fwoscc%2Ffull-record%2FWOS:000330283100089","View Full Record in Web of Science")</f>
        <v>View Full Record in Web of Science</v>
      </c>
    </row>
    <row r="759" ht="12.75" customHeight="1">
      <c r="A759" s="1" t="s">
        <v>72</v>
      </c>
      <c r="B759" s="1" t="s">
        <v>7562</v>
      </c>
      <c r="C759" s="1" t="s">
        <v>74</v>
      </c>
      <c r="D759" s="1" t="s">
        <v>74</v>
      </c>
      <c r="E759" s="1" t="s">
        <v>74</v>
      </c>
      <c r="F759" s="1" t="s">
        <v>7562</v>
      </c>
      <c r="G759" s="1" t="s">
        <v>74</v>
      </c>
      <c r="H759" s="1" t="s">
        <v>74</v>
      </c>
      <c r="I759" s="1" t="s">
        <v>7563</v>
      </c>
      <c r="J759" s="1" t="s">
        <v>713</v>
      </c>
      <c r="K759" s="1" t="s">
        <v>74</v>
      </c>
      <c r="L759" s="1" t="s">
        <v>74</v>
      </c>
      <c r="M759" s="1" t="s">
        <v>74</v>
      </c>
      <c r="N759" s="1" t="s">
        <v>74</v>
      </c>
      <c r="O759" s="1" t="s">
        <v>7412</v>
      </c>
      <c r="P759" s="1" t="s">
        <v>7413</v>
      </c>
      <c r="Q759" s="1" t="s">
        <v>7414</v>
      </c>
      <c r="R759" s="1" t="s">
        <v>7415</v>
      </c>
      <c r="S759" s="1" t="s">
        <v>74</v>
      </c>
      <c r="T759" s="1" t="s">
        <v>74</v>
      </c>
      <c r="U759" s="1" t="s">
        <v>74</v>
      </c>
      <c r="V759" s="1" t="s">
        <v>7564</v>
      </c>
      <c r="W759" s="1" t="s">
        <v>74</v>
      </c>
      <c r="X759" s="1" t="s">
        <v>74</v>
      </c>
      <c r="Y759" s="1" t="s">
        <v>74</v>
      </c>
      <c r="Z759" s="1" t="s">
        <v>74</v>
      </c>
      <c r="AA759" s="1" t="s">
        <v>1839</v>
      </c>
      <c r="AB759" s="1" t="s">
        <v>1840</v>
      </c>
      <c r="AC759" s="1" t="s">
        <v>74</v>
      </c>
      <c r="AD759" s="1" t="s">
        <v>74</v>
      </c>
      <c r="AE759" s="1" t="s">
        <v>74</v>
      </c>
      <c r="AF759" s="1" t="s">
        <v>74</v>
      </c>
      <c r="AG759" s="1" t="s">
        <v>74</v>
      </c>
      <c r="AH759" s="1" t="s">
        <v>74</v>
      </c>
      <c r="AI759" s="1" t="s">
        <v>74</v>
      </c>
      <c r="AJ759" s="1" t="s">
        <v>74</v>
      </c>
      <c r="AK759" s="1" t="s">
        <v>74</v>
      </c>
      <c r="AL759" s="1" t="s">
        <v>74</v>
      </c>
      <c r="AM759" s="1" t="s">
        <v>74</v>
      </c>
      <c r="AN759" s="1" t="s">
        <v>74</v>
      </c>
      <c r="AO759" s="1" t="s">
        <v>717</v>
      </c>
      <c r="AP759" s="1" t="s">
        <v>718</v>
      </c>
      <c r="AQ759" s="1" t="s">
        <v>74</v>
      </c>
      <c r="AR759" s="1" t="s">
        <v>74</v>
      </c>
      <c r="AS759" s="1" t="s">
        <v>74</v>
      </c>
      <c r="AT759" s="1" t="s">
        <v>559</v>
      </c>
      <c r="AU759" s="1">
        <v>2005.0</v>
      </c>
      <c r="AV759" s="1">
        <v>67.0</v>
      </c>
      <c r="AW759" s="1" t="s">
        <v>7419</v>
      </c>
      <c r="AX759" s="1" t="s">
        <v>74</v>
      </c>
      <c r="AY759" s="1" t="s">
        <v>74</v>
      </c>
      <c r="AZ759" s="1" t="s">
        <v>74</v>
      </c>
      <c r="BA759" s="1" t="s">
        <v>74</v>
      </c>
      <c r="BB759" s="1">
        <v>1658.0</v>
      </c>
      <c r="BC759" s="1">
        <v>1664.0</v>
      </c>
      <c r="BD759" s="1" t="s">
        <v>74</v>
      </c>
      <c r="BE759" s="1" t="s">
        <v>7565</v>
      </c>
      <c r="BF759" s="2" t="str">
        <f>HYPERLINK("http://dx.doi.org/10.1016/j.jastp.2005.02.027","http://dx.doi.org/10.1016/j.jastp.2005.02.027")</f>
        <v>http://dx.doi.org/10.1016/j.jastp.2005.02.027</v>
      </c>
      <c r="BG759" s="1" t="s">
        <v>74</v>
      </c>
      <c r="BH759" s="1" t="s">
        <v>74</v>
      </c>
      <c r="BI759" s="1" t="s">
        <v>74</v>
      </c>
      <c r="BJ759" s="1" t="s">
        <v>74</v>
      </c>
      <c r="BK759" s="1" t="s">
        <v>74</v>
      </c>
      <c r="BL759" s="1" t="s">
        <v>74</v>
      </c>
      <c r="BM759" s="1" t="s">
        <v>74</v>
      </c>
      <c r="BN759" s="1" t="s">
        <v>74</v>
      </c>
      <c r="BO759" s="1" t="s">
        <v>74</v>
      </c>
      <c r="BP759" s="1" t="s">
        <v>74</v>
      </c>
      <c r="BQ759" s="1" t="s">
        <v>74</v>
      </c>
      <c r="BR759" s="1" t="s">
        <v>74</v>
      </c>
      <c r="BS759" s="1" t="s">
        <v>7566</v>
      </c>
      <c r="BT759" s="1" t="str">
        <f>HYPERLINK("https%3A%2F%2Fwww.webofscience.com%2Fwos%2Fwoscc%2Ffull-record%2FWOS:000234449000003","View Full Record in Web of Science")</f>
        <v>View Full Record in Web of Science</v>
      </c>
    </row>
    <row r="760" ht="12.75" customHeight="1">
      <c r="A760" s="1" t="s">
        <v>72</v>
      </c>
      <c r="B760" s="1" t="s">
        <v>7567</v>
      </c>
      <c r="C760" s="1" t="s">
        <v>74</v>
      </c>
      <c r="D760" s="1" t="s">
        <v>74</v>
      </c>
      <c r="E760" s="1" t="s">
        <v>74</v>
      </c>
      <c r="F760" s="1" t="s">
        <v>7567</v>
      </c>
      <c r="G760" s="1" t="s">
        <v>74</v>
      </c>
      <c r="H760" s="1" t="s">
        <v>74</v>
      </c>
      <c r="I760" s="1" t="s">
        <v>7568</v>
      </c>
      <c r="J760" s="1" t="s">
        <v>6072</v>
      </c>
      <c r="K760" s="1" t="s">
        <v>74</v>
      </c>
      <c r="L760" s="1" t="s">
        <v>74</v>
      </c>
      <c r="M760" s="1" t="s">
        <v>74</v>
      </c>
      <c r="N760" s="1" t="s">
        <v>74</v>
      </c>
      <c r="O760" s="1" t="s">
        <v>74</v>
      </c>
      <c r="P760" s="1" t="s">
        <v>74</v>
      </c>
      <c r="Q760" s="1" t="s">
        <v>74</v>
      </c>
      <c r="R760" s="1" t="s">
        <v>74</v>
      </c>
      <c r="S760" s="1" t="s">
        <v>74</v>
      </c>
      <c r="T760" s="1" t="s">
        <v>74</v>
      </c>
      <c r="U760" s="1" t="s">
        <v>74</v>
      </c>
      <c r="V760" s="1" t="s">
        <v>7569</v>
      </c>
      <c r="W760" s="1" t="s">
        <v>74</v>
      </c>
      <c r="X760" s="1" t="s">
        <v>74</v>
      </c>
      <c r="Y760" s="1" t="s">
        <v>74</v>
      </c>
      <c r="Z760" s="1" t="s">
        <v>74</v>
      </c>
      <c r="AA760" s="1" t="s">
        <v>7570</v>
      </c>
      <c r="AB760" s="1" t="s">
        <v>828</v>
      </c>
      <c r="AC760" s="1" t="s">
        <v>74</v>
      </c>
      <c r="AD760" s="1" t="s">
        <v>74</v>
      </c>
      <c r="AE760" s="1" t="s">
        <v>74</v>
      </c>
      <c r="AF760" s="1" t="s">
        <v>74</v>
      </c>
      <c r="AG760" s="1" t="s">
        <v>74</v>
      </c>
      <c r="AH760" s="1" t="s">
        <v>74</v>
      </c>
      <c r="AI760" s="1" t="s">
        <v>74</v>
      </c>
      <c r="AJ760" s="1" t="s">
        <v>74</v>
      </c>
      <c r="AK760" s="1" t="s">
        <v>74</v>
      </c>
      <c r="AL760" s="1" t="s">
        <v>74</v>
      </c>
      <c r="AM760" s="1" t="s">
        <v>74</v>
      </c>
      <c r="AN760" s="1" t="s">
        <v>74</v>
      </c>
      <c r="AO760" s="1" t="s">
        <v>6075</v>
      </c>
      <c r="AP760" s="1" t="s">
        <v>6076</v>
      </c>
      <c r="AQ760" s="1" t="s">
        <v>74</v>
      </c>
      <c r="AR760" s="1" t="s">
        <v>74</v>
      </c>
      <c r="AS760" s="1" t="s">
        <v>74</v>
      </c>
      <c r="AT760" s="1" t="s">
        <v>296</v>
      </c>
      <c r="AU760" s="1">
        <v>2001.0</v>
      </c>
      <c r="AV760" s="1">
        <v>312.0</v>
      </c>
      <c r="AW760" s="1" t="s">
        <v>238</v>
      </c>
      <c r="AX760" s="1" t="s">
        <v>74</v>
      </c>
      <c r="AY760" s="1" t="s">
        <v>74</v>
      </c>
      <c r="AZ760" s="1" t="s">
        <v>74</v>
      </c>
      <c r="BA760" s="1" t="s">
        <v>74</v>
      </c>
      <c r="BB760" s="1">
        <v>7.0</v>
      </c>
      <c r="BC760" s="1">
        <v>14.0</v>
      </c>
      <c r="BD760" s="1" t="s">
        <v>74</v>
      </c>
      <c r="BE760" s="1" t="s">
        <v>7571</v>
      </c>
      <c r="BF760" s="2" t="str">
        <f>HYPERLINK("http://dx.doi.org/10.1016/S0020-1693(00)00292-9","http://dx.doi.org/10.1016/S0020-1693(00)00292-9")</f>
        <v>http://dx.doi.org/10.1016/S0020-1693(00)00292-9</v>
      </c>
      <c r="BG760" s="1" t="s">
        <v>74</v>
      </c>
      <c r="BH760" s="1" t="s">
        <v>74</v>
      </c>
      <c r="BI760" s="1" t="s">
        <v>74</v>
      </c>
      <c r="BJ760" s="1" t="s">
        <v>74</v>
      </c>
      <c r="BK760" s="1" t="s">
        <v>74</v>
      </c>
      <c r="BL760" s="1" t="s">
        <v>74</v>
      </c>
      <c r="BM760" s="1" t="s">
        <v>74</v>
      </c>
      <c r="BN760" s="1" t="s">
        <v>74</v>
      </c>
      <c r="BO760" s="1" t="s">
        <v>74</v>
      </c>
      <c r="BP760" s="1" t="s">
        <v>74</v>
      </c>
      <c r="BQ760" s="1" t="s">
        <v>74</v>
      </c>
      <c r="BR760" s="1" t="s">
        <v>74</v>
      </c>
      <c r="BS760" s="1" t="s">
        <v>7572</v>
      </c>
      <c r="BT760" s="1" t="str">
        <f>HYPERLINK("https%3A%2F%2Fwww.webofscience.com%2Fwos%2Fwoscc%2Ffull-record%2FWOS:000167092700002","View Full Record in Web of Science")</f>
        <v>View Full Record in Web of Science</v>
      </c>
    </row>
    <row r="761" ht="12.75" customHeight="1">
      <c r="A761" s="1" t="s">
        <v>72</v>
      </c>
      <c r="B761" s="1" t="s">
        <v>7573</v>
      </c>
      <c r="C761" s="1" t="s">
        <v>74</v>
      </c>
      <c r="D761" s="1" t="s">
        <v>74</v>
      </c>
      <c r="E761" s="1" t="s">
        <v>74</v>
      </c>
      <c r="F761" s="1" t="s">
        <v>7574</v>
      </c>
      <c r="G761" s="1" t="s">
        <v>74</v>
      </c>
      <c r="H761" s="1" t="s">
        <v>74</v>
      </c>
      <c r="I761" s="1" t="s">
        <v>7575</v>
      </c>
      <c r="J761" s="1" t="s">
        <v>7576</v>
      </c>
      <c r="K761" s="1" t="s">
        <v>74</v>
      </c>
      <c r="L761" s="1" t="s">
        <v>74</v>
      </c>
      <c r="M761" s="1" t="s">
        <v>74</v>
      </c>
      <c r="N761" s="1" t="s">
        <v>74</v>
      </c>
      <c r="O761" s="1" t="s">
        <v>74</v>
      </c>
      <c r="P761" s="1" t="s">
        <v>74</v>
      </c>
      <c r="Q761" s="1" t="s">
        <v>74</v>
      </c>
      <c r="R761" s="1" t="s">
        <v>74</v>
      </c>
      <c r="S761" s="1" t="s">
        <v>74</v>
      </c>
      <c r="T761" s="1" t="s">
        <v>74</v>
      </c>
      <c r="U761" s="1" t="s">
        <v>74</v>
      </c>
      <c r="V761" s="1" t="s">
        <v>7577</v>
      </c>
      <c r="W761" s="1" t="s">
        <v>74</v>
      </c>
      <c r="X761" s="1" t="s">
        <v>74</v>
      </c>
      <c r="Y761" s="1" t="s">
        <v>74</v>
      </c>
      <c r="Z761" s="1" t="s">
        <v>74</v>
      </c>
      <c r="AA761" s="1" t="s">
        <v>7578</v>
      </c>
      <c r="AB761" s="1" t="s">
        <v>7579</v>
      </c>
      <c r="AC761" s="1" t="s">
        <v>74</v>
      </c>
      <c r="AD761" s="1" t="s">
        <v>74</v>
      </c>
      <c r="AE761" s="1" t="s">
        <v>74</v>
      </c>
      <c r="AF761" s="1" t="s">
        <v>74</v>
      </c>
      <c r="AG761" s="1" t="s">
        <v>74</v>
      </c>
      <c r="AH761" s="1" t="s">
        <v>74</v>
      </c>
      <c r="AI761" s="1" t="s">
        <v>74</v>
      </c>
      <c r="AJ761" s="1" t="s">
        <v>74</v>
      </c>
      <c r="AK761" s="1" t="s">
        <v>74</v>
      </c>
      <c r="AL761" s="1" t="s">
        <v>74</v>
      </c>
      <c r="AM761" s="1" t="s">
        <v>74</v>
      </c>
      <c r="AN761" s="1" t="s">
        <v>74</v>
      </c>
      <c r="AO761" s="1" t="s">
        <v>7580</v>
      </c>
      <c r="AP761" s="1" t="s">
        <v>74</v>
      </c>
      <c r="AQ761" s="1" t="s">
        <v>74</v>
      </c>
      <c r="AR761" s="1" t="s">
        <v>74</v>
      </c>
      <c r="AS761" s="1" t="s">
        <v>74</v>
      </c>
      <c r="AT761" s="1" t="s">
        <v>2283</v>
      </c>
      <c r="AU761" s="1">
        <v>2024.0</v>
      </c>
      <c r="AV761" s="1">
        <v>6.0</v>
      </c>
      <c r="AW761" s="1">
        <v>1.0</v>
      </c>
      <c r="AX761" s="1" t="s">
        <v>74</v>
      </c>
      <c r="AY761" s="1" t="s">
        <v>74</v>
      </c>
      <c r="AZ761" s="1" t="s">
        <v>74</v>
      </c>
      <c r="BA761" s="1" t="s">
        <v>74</v>
      </c>
      <c r="BB761" s="1" t="s">
        <v>74</v>
      </c>
      <c r="BC761" s="1" t="s">
        <v>74</v>
      </c>
      <c r="BD761" s="1">
        <v>27.0</v>
      </c>
      <c r="BE761" s="1" t="s">
        <v>7581</v>
      </c>
      <c r="BF761" s="2" t="str">
        <f>HYPERLINK("http://dx.doi.org/10.1186/s42522-024-00123-7","http://dx.doi.org/10.1186/s42522-024-00123-7")</f>
        <v>http://dx.doi.org/10.1186/s42522-024-00123-7</v>
      </c>
      <c r="BG761" s="1" t="s">
        <v>74</v>
      </c>
      <c r="BH761" s="1" t="s">
        <v>74</v>
      </c>
      <c r="BI761" s="1" t="s">
        <v>74</v>
      </c>
      <c r="BJ761" s="1" t="s">
        <v>74</v>
      </c>
      <c r="BK761" s="1" t="s">
        <v>74</v>
      </c>
      <c r="BL761" s="1" t="s">
        <v>74</v>
      </c>
      <c r="BM761" s="1" t="s">
        <v>74</v>
      </c>
      <c r="BN761" s="1">
        <v>3.9616377E7</v>
      </c>
      <c r="BO761" s="1" t="s">
        <v>74</v>
      </c>
      <c r="BP761" s="1" t="s">
        <v>74</v>
      </c>
      <c r="BQ761" s="1" t="s">
        <v>74</v>
      </c>
      <c r="BR761" s="1" t="s">
        <v>74</v>
      </c>
      <c r="BS761" s="1" t="s">
        <v>7582</v>
      </c>
      <c r="BT761" s="1" t="str">
        <f>HYPERLINK("https%3A%2F%2Fwww.webofscience.com%2Fwos%2Fwoscc%2Ffull-record%2FWOS:001367064600003","View Full Record in Web of Science")</f>
        <v>View Full Record in Web of Science</v>
      </c>
    </row>
    <row r="762" ht="12.75" customHeight="1">
      <c r="A762" s="1" t="s">
        <v>72</v>
      </c>
      <c r="B762" s="1" t="s">
        <v>7583</v>
      </c>
      <c r="C762" s="1" t="s">
        <v>74</v>
      </c>
      <c r="D762" s="1" t="s">
        <v>74</v>
      </c>
      <c r="E762" s="1" t="s">
        <v>74</v>
      </c>
      <c r="F762" s="1" t="s">
        <v>7584</v>
      </c>
      <c r="G762" s="1" t="s">
        <v>74</v>
      </c>
      <c r="H762" s="1" t="s">
        <v>74</v>
      </c>
      <c r="I762" s="1" t="s">
        <v>7585</v>
      </c>
      <c r="J762" s="1" t="s">
        <v>7586</v>
      </c>
      <c r="K762" s="1" t="s">
        <v>74</v>
      </c>
      <c r="L762" s="1" t="s">
        <v>74</v>
      </c>
      <c r="M762" s="1" t="s">
        <v>74</v>
      </c>
      <c r="N762" s="1" t="s">
        <v>74</v>
      </c>
      <c r="O762" s="1" t="s">
        <v>74</v>
      </c>
      <c r="P762" s="1" t="s">
        <v>74</v>
      </c>
      <c r="Q762" s="1" t="s">
        <v>74</v>
      </c>
      <c r="R762" s="1" t="s">
        <v>74</v>
      </c>
      <c r="S762" s="1" t="s">
        <v>74</v>
      </c>
      <c r="T762" s="1" t="s">
        <v>74</v>
      </c>
      <c r="U762" s="1" t="s">
        <v>74</v>
      </c>
      <c r="V762" s="1" t="s">
        <v>7587</v>
      </c>
      <c r="W762" s="1" t="s">
        <v>74</v>
      </c>
      <c r="X762" s="1" t="s">
        <v>74</v>
      </c>
      <c r="Y762" s="1" t="s">
        <v>74</v>
      </c>
      <c r="Z762" s="1" t="s">
        <v>74</v>
      </c>
      <c r="AA762" s="1" t="s">
        <v>7588</v>
      </c>
      <c r="AB762" s="1" t="s">
        <v>7589</v>
      </c>
      <c r="AC762" s="1" t="s">
        <v>74</v>
      </c>
      <c r="AD762" s="1" t="s">
        <v>74</v>
      </c>
      <c r="AE762" s="1" t="s">
        <v>74</v>
      </c>
      <c r="AF762" s="1" t="s">
        <v>74</v>
      </c>
      <c r="AG762" s="1" t="s">
        <v>74</v>
      </c>
      <c r="AH762" s="1" t="s">
        <v>74</v>
      </c>
      <c r="AI762" s="1" t="s">
        <v>74</v>
      </c>
      <c r="AJ762" s="1" t="s">
        <v>74</v>
      </c>
      <c r="AK762" s="1" t="s">
        <v>74</v>
      </c>
      <c r="AL762" s="1" t="s">
        <v>74</v>
      </c>
      <c r="AM762" s="1" t="s">
        <v>74</v>
      </c>
      <c r="AN762" s="1" t="s">
        <v>74</v>
      </c>
      <c r="AO762" s="1" t="s">
        <v>74</v>
      </c>
      <c r="AP762" s="1" t="s">
        <v>7590</v>
      </c>
      <c r="AQ762" s="1" t="s">
        <v>74</v>
      </c>
      <c r="AR762" s="1" t="s">
        <v>74</v>
      </c>
      <c r="AS762" s="1" t="s">
        <v>74</v>
      </c>
      <c r="AT762" s="1" t="s">
        <v>155</v>
      </c>
      <c r="AU762" s="1">
        <v>2024.0</v>
      </c>
      <c r="AV762" s="1">
        <v>39.0</v>
      </c>
      <c r="AW762" s="1" t="s">
        <v>74</v>
      </c>
      <c r="AX762" s="1" t="s">
        <v>74</v>
      </c>
      <c r="AY762" s="1" t="s">
        <v>74</v>
      </c>
      <c r="AZ762" s="1" t="s">
        <v>74</v>
      </c>
      <c r="BA762" s="1" t="s">
        <v>74</v>
      </c>
      <c r="BB762" s="1" t="s">
        <v>74</v>
      </c>
      <c r="BC762" s="1" t="s">
        <v>74</v>
      </c>
      <c r="BD762" s="1">
        <v>109057.0</v>
      </c>
      <c r="BE762" s="1" t="s">
        <v>7591</v>
      </c>
      <c r="BF762" s="2" t="str">
        <f>HYPERLINK("http://dx.doi.org/10.1016/j.mtcomm.2024.109057","http://dx.doi.org/10.1016/j.mtcomm.2024.109057")</f>
        <v>http://dx.doi.org/10.1016/j.mtcomm.2024.109057</v>
      </c>
      <c r="BG762" s="1" t="s">
        <v>74</v>
      </c>
      <c r="BH762" s="1" t="s">
        <v>74</v>
      </c>
      <c r="BI762" s="1" t="s">
        <v>74</v>
      </c>
      <c r="BJ762" s="1" t="s">
        <v>74</v>
      </c>
      <c r="BK762" s="1" t="s">
        <v>74</v>
      </c>
      <c r="BL762" s="1" t="s">
        <v>74</v>
      </c>
      <c r="BM762" s="1" t="s">
        <v>74</v>
      </c>
      <c r="BN762" s="1" t="s">
        <v>74</v>
      </c>
      <c r="BO762" s="1" t="s">
        <v>74</v>
      </c>
      <c r="BP762" s="1" t="s">
        <v>74</v>
      </c>
      <c r="BQ762" s="1" t="s">
        <v>74</v>
      </c>
      <c r="BR762" s="1" t="s">
        <v>74</v>
      </c>
      <c r="BS762" s="1" t="s">
        <v>7592</v>
      </c>
      <c r="BT762" s="1" t="str">
        <f>HYPERLINK("https%3A%2F%2Fwww.webofscience.com%2Fwos%2Fwoscc%2Ffull-record%2FWOS:001240703500001","View Full Record in Web of Science")</f>
        <v>View Full Record in Web of Science</v>
      </c>
    </row>
    <row r="763" ht="12.75" customHeight="1">
      <c r="A763" s="1" t="s">
        <v>72</v>
      </c>
      <c r="B763" s="1" t="s">
        <v>7593</v>
      </c>
      <c r="C763" s="1" t="s">
        <v>74</v>
      </c>
      <c r="D763" s="1" t="s">
        <v>74</v>
      </c>
      <c r="E763" s="1" t="s">
        <v>74</v>
      </c>
      <c r="F763" s="1" t="s">
        <v>7594</v>
      </c>
      <c r="G763" s="1" t="s">
        <v>74</v>
      </c>
      <c r="H763" s="1" t="s">
        <v>74</v>
      </c>
      <c r="I763" s="1" t="s">
        <v>7595</v>
      </c>
      <c r="J763" s="1" t="s">
        <v>7596</v>
      </c>
      <c r="K763" s="1" t="s">
        <v>74</v>
      </c>
      <c r="L763" s="1" t="s">
        <v>74</v>
      </c>
      <c r="M763" s="1" t="s">
        <v>74</v>
      </c>
      <c r="N763" s="1" t="s">
        <v>74</v>
      </c>
      <c r="O763" s="1" t="s">
        <v>74</v>
      </c>
      <c r="P763" s="1" t="s">
        <v>74</v>
      </c>
      <c r="Q763" s="1" t="s">
        <v>74</v>
      </c>
      <c r="R763" s="1" t="s">
        <v>74</v>
      </c>
      <c r="S763" s="1" t="s">
        <v>74</v>
      </c>
      <c r="T763" s="1" t="s">
        <v>74</v>
      </c>
      <c r="U763" s="1" t="s">
        <v>74</v>
      </c>
      <c r="V763" s="1" t="s">
        <v>7597</v>
      </c>
      <c r="W763" s="1" t="s">
        <v>74</v>
      </c>
      <c r="X763" s="1" t="s">
        <v>74</v>
      </c>
      <c r="Y763" s="1" t="s">
        <v>74</v>
      </c>
      <c r="Z763" s="1" t="s">
        <v>74</v>
      </c>
      <c r="AA763" s="1" t="s">
        <v>7598</v>
      </c>
      <c r="AB763" s="1" t="s">
        <v>3214</v>
      </c>
      <c r="AC763" s="1" t="s">
        <v>74</v>
      </c>
      <c r="AD763" s="1" t="s">
        <v>74</v>
      </c>
      <c r="AE763" s="1" t="s">
        <v>74</v>
      </c>
      <c r="AF763" s="1" t="s">
        <v>74</v>
      </c>
      <c r="AG763" s="1" t="s">
        <v>74</v>
      </c>
      <c r="AH763" s="1" t="s">
        <v>74</v>
      </c>
      <c r="AI763" s="1" t="s">
        <v>74</v>
      </c>
      <c r="AJ763" s="1" t="s">
        <v>74</v>
      </c>
      <c r="AK763" s="1" t="s">
        <v>74</v>
      </c>
      <c r="AL763" s="1" t="s">
        <v>74</v>
      </c>
      <c r="AM763" s="1" t="s">
        <v>74</v>
      </c>
      <c r="AN763" s="1" t="s">
        <v>74</v>
      </c>
      <c r="AO763" s="1" t="s">
        <v>74</v>
      </c>
      <c r="AP763" s="1" t="s">
        <v>7599</v>
      </c>
      <c r="AQ763" s="1" t="s">
        <v>74</v>
      </c>
      <c r="AR763" s="1" t="s">
        <v>74</v>
      </c>
      <c r="AS763" s="1" t="s">
        <v>74</v>
      </c>
      <c r="AT763" s="1" t="s">
        <v>6632</v>
      </c>
      <c r="AU763" s="1">
        <v>2023.0</v>
      </c>
      <c r="AV763" s="1">
        <v>23.0</v>
      </c>
      <c r="AW763" s="1">
        <v>1.0</v>
      </c>
      <c r="AX763" s="1" t="s">
        <v>74</v>
      </c>
      <c r="AY763" s="1" t="s">
        <v>74</v>
      </c>
      <c r="AZ763" s="1" t="s">
        <v>74</v>
      </c>
      <c r="BA763" s="1" t="s">
        <v>74</v>
      </c>
      <c r="BB763" s="1" t="s">
        <v>74</v>
      </c>
      <c r="BC763" s="1" t="s">
        <v>74</v>
      </c>
      <c r="BD763" s="1">
        <v>543.0</v>
      </c>
      <c r="BE763" s="1" t="s">
        <v>7600</v>
      </c>
      <c r="BF763" s="2" t="str">
        <f>HYPERLINK("http://dx.doi.org/10.1186/s12887-023-04369-4","http://dx.doi.org/10.1186/s12887-023-04369-4")</f>
        <v>http://dx.doi.org/10.1186/s12887-023-04369-4</v>
      </c>
      <c r="BG763" s="1" t="s">
        <v>74</v>
      </c>
      <c r="BH763" s="1" t="s">
        <v>74</v>
      </c>
      <c r="BI763" s="1" t="s">
        <v>74</v>
      </c>
      <c r="BJ763" s="1" t="s">
        <v>74</v>
      </c>
      <c r="BK763" s="1" t="s">
        <v>74</v>
      </c>
      <c r="BL763" s="1" t="s">
        <v>74</v>
      </c>
      <c r="BM763" s="1" t="s">
        <v>74</v>
      </c>
      <c r="BN763" s="1">
        <v>3.7898797E7</v>
      </c>
      <c r="BO763" s="1" t="s">
        <v>74</v>
      </c>
      <c r="BP763" s="1" t="s">
        <v>74</v>
      </c>
      <c r="BQ763" s="1" t="s">
        <v>74</v>
      </c>
      <c r="BR763" s="1" t="s">
        <v>74</v>
      </c>
      <c r="BS763" s="1" t="s">
        <v>7601</v>
      </c>
      <c r="BT763" s="1" t="str">
        <f>HYPERLINK("https%3A%2F%2Fwww.webofscience.com%2Fwos%2Fwoscc%2Ffull-record%2FWOS:001092179300003","View Full Record in Web of Science")</f>
        <v>View Full Record in Web of Science</v>
      </c>
    </row>
    <row r="764" ht="12.75" customHeight="1">
      <c r="A764" s="1" t="s">
        <v>72</v>
      </c>
      <c r="B764" s="1" t="s">
        <v>7602</v>
      </c>
      <c r="C764" s="1" t="s">
        <v>74</v>
      </c>
      <c r="D764" s="1" t="s">
        <v>74</v>
      </c>
      <c r="E764" s="1" t="s">
        <v>74</v>
      </c>
      <c r="F764" s="1" t="s">
        <v>7603</v>
      </c>
      <c r="G764" s="1" t="s">
        <v>74</v>
      </c>
      <c r="H764" s="1" t="s">
        <v>74</v>
      </c>
      <c r="I764" s="1" t="s">
        <v>7604</v>
      </c>
      <c r="J764" s="1" t="s">
        <v>161</v>
      </c>
      <c r="K764" s="1" t="s">
        <v>74</v>
      </c>
      <c r="L764" s="1" t="s">
        <v>74</v>
      </c>
      <c r="M764" s="1" t="s">
        <v>74</v>
      </c>
      <c r="N764" s="1" t="s">
        <v>74</v>
      </c>
      <c r="O764" s="1" t="s">
        <v>74</v>
      </c>
      <c r="P764" s="1" t="s">
        <v>74</v>
      </c>
      <c r="Q764" s="1" t="s">
        <v>74</v>
      </c>
      <c r="R764" s="1" t="s">
        <v>74</v>
      </c>
      <c r="S764" s="1" t="s">
        <v>74</v>
      </c>
      <c r="T764" s="1" t="s">
        <v>74</v>
      </c>
      <c r="U764" s="1" t="s">
        <v>74</v>
      </c>
      <c r="V764" s="1" t="s">
        <v>7605</v>
      </c>
      <c r="W764" s="1" t="s">
        <v>74</v>
      </c>
      <c r="X764" s="1" t="s">
        <v>74</v>
      </c>
      <c r="Y764" s="1" t="s">
        <v>74</v>
      </c>
      <c r="Z764" s="1" t="s">
        <v>74</v>
      </c>
      <c r="AA764" s="1" t="s">
        <v>74</v>
      </c>
      <c r="AB764" s="1" t="s">
        <v>7606</v>
      </c>
      <c r="AC764" s="1" t="s">
        <v>74</v>
      </c>
      <c r="AD764" s="1" t="s">
        <v>74</v>
      </c>
      <c r="AE764" s="1" t="s">
        <v>74</v>
      </c>
      <c r="AF764" s="1" t="s">
        <v>74</v>
      </c>
      <c r="AG764" s="1" t="s">
        <v>74</v>
      </c>
      <c r="AH764" s="1" t="s">
        <v>74</v>
      </c>
      <c r="AI764" s="1" t="s">
        <v>74</v>
      </c>
      <c r="AJ764" s="1" t="s">
        <v>74</v>
      </c>
      <c r="AK764" s="1" t="s">
        <v>74</v>
      </c>
      <c r="AL764" s="1" t="s">
        <v>74</v>
      </c>
      <c r="AM764" s="1" t="s">
        <v>74</v>
      </c>
      <c r="AN764" s="1" t="s">
        <v>74</v>
      </c>
      <c r="AO764" s="1" t="s">
        <v>165</v>
      </c>
      <c r="AP764" s="1" t="s">
        <v>166</v>
      </c>
      <c r="AQ764" s="1" t="s">
        <v>74</v>
      </c>
      <c r="AR764" s="1" t="s">
        <v>74</v>
      </c>
      <c r="AS764" s="1" t="s">
        <v>74</v>
      </c>
      <c r="AT764" s="1" t="s">
        <v>3539</v>
      </c>
      <c r="AU764" s="1">
        <v>2023.0</v>
      </c>
      <c r="AV764" s="1">
        <v>677.0</v>
      </c>
      <c r="AW764" s="1" t="s">
        <v>74</v>
      </c>
      <c r="AX764" s="1" t="s">
        <v>74</v>
      </c>
      <c r="AY764" s="1" t="s">
        <v>74</v>
      </c>
      <c r="AZ764" s="1" t="s">
        <v>74</v>
      </c>
      <c r="BA764" s="1" t="s">
        <v>74</v>
      </c>
      <c r="BB764" s="1" t="s">
        <v>74</v>
      </c>
      <c r="BC764" s="1" t="s">
        <v>74</v>
      </c>
      <c r="BD764" s="1" t="s">
        <v>7607</v>
      </c>
      <c r="BE764" s="1" t="s">
        <v>7608</v>
      </c>
      <c r="BF764" s="2" t="str">
        <f>HYPERLINK("http://dx.doi.org/10.1051/0004-6361/202346781","http://dx.doi.org/10.1051/0004-6361/202346781")</f>
        <v>http://dx.doi.org/10.1051/0004-6361/202346781</v>
      </c>
      <c r="BG764" s="1" t="s">
        <v>74</v>
      </c>
      <c r="BH764" s="1" t="s">
        <v>74</v>
      </c>
      <c r="BI764" s="1" t="s">
        <v>74</v>
      </c>
      <c r="BJ764" s="1" t="s">
        <v>74</v>
      </c>
      <c r="BK764" s="1" t="s">
        <v>74</v>
      </c>
      <c r="BL764" s="1" t="s">
        <v>74</v>
      </c>
      <c r="BM764" s="1" t="s">
        <v>74</v>
      </c>
      <c r="BN764" s="1" t="s">
        <v>74</v>
      </c>
      <c r="BO764" s="1" t="s">
        <v>74</v>
      </c>
      <c r="BP764" s="1" t="s">
        <v>74</v>
      </c>
      <c r="BQ764" s="1" t="s">
        <v>74</v>
      </c>
      <c r="BR764" s="1" t="s">
        <v>74</v>
      </c>
      <c r="BS764" s="1" t="s">
        <v>7609</v>
      </c>
      <c r="BT764" s="1" t="str">
        <f>HYPERLINK("https%3A%2F%2Fwww.webofscience.com%2Fwos%2Fwoscc%2Ffull-record%2FWOS:001064374600001","View Full Record in Web of Science")</f>
        <v>View Full Record in Web of Science</v>
      </c>
    </row>
    <row r="765" ht="12.75" customHeight="1">
      <c r="A765" s="1" t="s">
        <v>72</v>
      </c>
      <c r="B765" s="1" t="s">
        <v>7610</v>
      </c>
      <c r="C765" s="1" t="s">
        <v>74</v>
      </c>
      <c r="D765" s="1" t="s">
        <v>74</v>
      </c>
      <c r="E765" s="1" t="s">
        <v>74</v>
      </c>
      <c r="F765" s="1" t="s">
        <v>7611</v>
      </c>
      <c r="G765" s="1" t="s">
        <v>74</v>
      </c>
      <c r="H765" s="1" t="s">
        <v>74</v>
      </c>
      <c r="I765" s="1" t="s">
        <v>7612</v>
      </c>
      <c r="J765" s="1" t="s">
        <v>7613</v>
      </c>
      <c r="K765" s="1" t="s">
        <v>74</v>
      </c>
      <c r="L765" s="1" t="s">
        <v>74</v>
      </c>
      <c r="M765" s="1" t="s">
        <v>74</v>
      </c>
      <c r="N765" s="1" t="s">
        <v>74</v>
      </c>
      <c r="O765" s="1" t="s">
        <v>74</v>
      </c>
      <c r="P765" s="1" t="s">
        <v>74</v>
      </c>
      <c r="Q765" s="1" t="s">
        <v>74</v>
      </c>
      <c r="R765" s="1" t="s">
        <v>74</v>
      </c>
      <c r="S765" s="1" t="s">
        <v>74</v>
      </c>
      <c r="T765" s="1" t="s">
        <v>74</v>
      </c>
      <c r="U765" s="1" t="s">
        <v>74</v>
      </c>
      <c r="V765" s="1" t="s">
        <v>7614</v>
      </c>
      <c r="W765" s="1" t="s">
        <v>74</v>
      </c>
      <c r="X765" s="1" t="s">
        <v>74</v>
      </c>
      <c r="Y765" s="1" t="s">
        <v>74</v>
      </c>
      <c r="Z765" s="1" t="s">
        <v>74</v>
      </c>
      <c r="AA765" s="1" t="s">
        <v>7615</v>
      </c>
      <c r="AB765" s="1" t="s">
        <v>7616</v>
      </c>
      <c r="AC765" s="1" t="s">
        <v>74</v>
      </c>
      <c r="AD765" s="1" t="s">
        <v>74</v>
      </c>
      <c r="AE765" s="1" t="s">
        <v>74</v>
      </c>
      <c r="AF765" s="1" t="s">
        <v>74</v>
      </c>
      <c r="AG765" s="1" t="s">
        <v>74</v>
      </c>
      <c r="AH765" s="1" t="s">
        <v>74</v>
      </c>
      <c r="AI765" s="1" t="s">
        <v>74</v>
      </c>
      <c r="AJ765" s="1" t="s">
        <v>74</v>
      </c>
      <c r="AK765" s="1" t="s">
        <v>74</v>
      </c>
      <c r="AL765" s="1" t="s">
        <v>74</v>
      </c>
      <c r="AM765" s="1" t="s">
        <v>74</v>
      </c>
      <c r="AN765" s="1" t="s">
        <v>74</v>
      </c>
      <c r="AO765" s="1" t="s">
        <v>7617</v>
      </c>
      <c r="AP765" s="1" t="s">
        <v>74</v>
      </c>
      <c r="AQ765" s="1" t="s">
        <v>74</v>
      </c>
      <c r="AR765" s="1" t="s">
        <v>74</v>
      </c>
      <c r="AS765" s="1" t="s">
        <v>74</v>
      </c>
      <c r="AT765" s="1" t="s">
        <v>7389</v>
      </c>
      <c r="AU765" s="1">
        <v>2023.0</v>
      </c>
      <c r="AV765" s="1">
        <v>11.0</v>
      </c>
      <c r="AW765" s="1" t="s">
        <v>74</v>
      </c>
      <c r="AX765" s="1" t="s">
        <v>74</v>
      </c>
      <c r="AY765" s="1" t="s">
        <v>74</v>
      </c>
      <c r="AZ765" s="1" t="s">
        <v>74</v>
      </c>
      <c r="BA765" s="1" t="s">
        <v>74</v>
      </c>
      <c r="BB765" s="1" t="s">
        <v>74</v>
      </c>
      <c r="BC765" s="1" t="s">
        <v>74</v>
      </c>
      <c r="BD765" s="1">
        <v>1233889.0</v>
      </c>
      <c r="BE765" s="1" t="s">
        <v>7618</v>
      </c>
      <c r="BF765" s="2" t="str">
        <f>HYPERLINK("http://dx.doi.org/10.3389/fchem.2023.1233889","http://dx.doi.org/10.3389/fchem.2023.1233889")</f>
        <v>http://dx.doi.org/10.3389/fchem.2023.1233889</v>
      </c>
      <c r="BG765" s="1" t="s">
        <v>74</v>
      </c>
      <c r="BH765" s="1" t="s">
        <v>74</v>
      </c>
      <c r="BI765" s="1" t="s">
        <v>74</v>
      </c>
      <c r="BJ765" s="1" t="s">
        <v>74</v>
      </c>
      <c r="BK765" s="1" t="s">
        <v>74</v>
      </c>
      <c r="BL765" s="1" t="s">
        <v>74</v>
      </c>
      <c r="BM765" s="1" t="s">
        <v>74</v>
      </c>
      <c r="BN765" s="1">
        <v>3.7693168E7</v>
      </c>
      <c r="BO765" s="1" t="s">
        <v>74</v>
      </c>
      <c r="BP765" s="1" t="s">
        <v>74</v>
      </c>
      <c r="BQ765" s="1" t="s">
        <v>74</v>
      </c>
      <c r="BR765" s="1" t="s">
        <v>74</v>
      </c>
      <c r="BS765" s="1" t="s">
        <v>7619</v>
      </c>
      <c r="BT765" s="1" t="str">
        <f>HYPERLINK("https%3A%2F%2Fwww.webofscience.com%2Fwos%2Fwoscc%2Ffull-record%2FWOS:001060255500001","View Full Record in Web of Science")</f>
        <v>View Full Record in Web of Science</v>
      </c>
    </row>
    <row r="766" ht="12.75" customHeight="1">
      <c r="A766" s="1" t="s">
        <v>72</v>
      </c>
      <c r="B766" s="1" t="s">
        <v>7620</v>
      </c>
      <c r="C766" s="1" t="s">
        <v>74</v>
      </c>
      <c r="D766" s="1" t="s">
        <v>74</v>
      </c>
      <c r="E766" s="1" t="s">
        <v>74</v>
      </c>
      <c r="F766" s="1" t="s">
        <v>7621</v>
      </c>
      <c r="G766" s="1" t="s">
        <v>74</v>
      </c>
      <c r="H766" s="1" t="s">
        <v>74</v>
      </c>
      <c r="I766" s="1" t="s">
        <v>7622</v>
      </c>
      <c r="J766" s="1" t="s">
        <v>7623</v>
      </c>
      <c r="K766" s="1" t="s">
        <v>74</v>
      </c>
      <c r="L766" s="1" t="s">
        <v>74</v>
      </c>
      <c r="M766" s="1" t="s">
        <v>74</v>
      </c>
      <c r="N766" s="1" t="s">
        <v>74</v>
      </c>
      <c r="O766" s="1" t="s">
        <v>74</v>
      </c>
      <c r="P766" s="1" t="s">
        <v>74</v>
      </c>
      <c r="Q766" s="1" t="s">
        <v>74</v>
      </c>
      <c r="R766" s="1" t="s">
        <v>74</v>
      </c>
      <c r="S766" s="1" t="s">
        <v>74</v>
      </c>
      <c r="T766" s="1" t="s">
        <v>74</v>
      </c>
      <c r="U766" s="1" t="s">
        <v>74</v>
      </c>
      <c r="V766" s="1" t="s">
        <v>7624</v>
      </c>
      <c r="W766" s="1" t="s">
        <v>74</v>
      </c>
      <c r="X766" s="1" t="s">
        <v>74</v>
      </c>
      <c r="Y766" s="1" t="s">
        <v>74</v>
      </c>
      <c r="Z766" s="1" t="s">
        <v>74</v>
      </c>
      <c r="AA766" s="1" t="s">
        <v>7625</v>
      </c>
      <c r="AB766" s="1" t="s">
        <v>7626</v>
      </c>
      <c r="AC766" s="1" t="s">
        <v>74</v>
      </c>
      <c r="AD766" s="1" t="s">
        <v>74</v>
      </c>
      <c r="AE766" s="1" t="s">
        <v>74</v>
      </c>
      <c r="AF766" s="1" t="s">
        <v>74</v>
      </c>
      <c r="AG766" s="1" t="s">
        <v>74</v>
      </c>
      <c r="AH766" s="1" t="s">
        <v>74</v>
      </c>
      <c r="AI766" s="1" t="s">
        <v>74</v>
      </c>
      <c r="AJ766" s="1" t="s">
        <v>74</v>
      </c>
      <c r="AK766" s="1" t="s">
        <v>74</v>
      </c>
      <c r="AL766" s="1" t="s">
        <v>74</v>
      </c>
      <c r="AM766" s="1" t="s">
        <v>74</v>
      </c>
      <c r="AN766" s="1" t="s">
        <v>74</v>
      </c>
      <c r="AO766" s="1" t="s">
        <v>7627</v>
      </c>
      <c r="AP766" s="1" t="s">
        <v>7628</v>
      </c>
      <c r="AQ766" s="1" t="s">
        <v>74</v>
      </c>
      <c r="AR766" s="1" t="s">
        <v>74</v>
      </c>
      <c r="AS766" s="1" t="s">
        <v>74</v>
      </c>
      <c r="AT766" s="1" t="s">
        <v>2283</v>
      </c>
      <c r="AU766" s="1">
        <v>2022.0</v>
      </c>
      <c r="AV766" s="1">
        <v>85.0</v>
      </c>
      <c r="AW766" s="1">
        <v>12.0</v>
      </c>
      <c r="AX766" s="1" t="s">
        <v>74</v>
      </c>
      <c r="AY766" s="1" t="s">
        <v>74</v>
      </c>
      <c r="AZ766" s="1" t="s">
        <v>74</v>
      </c>
      <c r="BA766" s="1" t="s">
        <v>74</v>
      </c>
      <c r="BB766" s="1" t="s">
        <v>74</v>
      </c>
      <c r="BC766" s="1" t="s">
        <v>74</v>
      </c>
      <c r="BD766" s="1">
        <v>126901.0</v>
      </c>
      <c r="BE766" s="1" t="s">
        <v>7629</v>
      </c>
      <c r="BF766" s="2" t="str">
        <f>HYPERLINK("http://dx.doi.org/10.1088/1361-6633/ac9ced","http://dx.doi.org/10.1088/1361-6633/ac9ced")</f>
        <v>http://dx.doi.org/10.1088/1361-6633/ac9ced</v>
      </c>
      <c r="BG766" s="1" t="s">
        <v>74</v>
      </c>
      <c r="BH766" s="1" t="s">
        <v>74</v>
      </c>
      <c r="BI766" s="1" t="s">
        <v>74</v>
      </c>
      <c r="BJ766" s="1" t="s">
        <v>74</v>
      </c>
      <c r="BK766" s="1" t="s">
        <v>74</v>
      </c>
      <c r="BL766" s="1" t="s">
        <v>74</v>
      </c>
      <c r="BM766" s="1" t="s">
        <v>74</v>
      </c>
      <c r="BN766" s="1">
        <v>3.6279854E7</v>
      </c>
      <c r="BO766" s="1" t="s">
        <v>74</v>
      </c>
      <c r="BP766" s="1" t="s">
        <v>74</v>
      </c>
      <c r="BQ766" s="1" t="s">
        <v>74</v>
      </c>
      <c r="BR766" s="1" t="s">
        <v>74</v>
      </c>
      <c r="BS766" s="1" t="s">
        <v>7630</v>
      </c>
      <c r="BT766" s="1" t="str">
        <f>HYPERLINK("https%3A%2F%2Fwww.webofscience.com%2Fwos%2Fwoscc%2Ffull-record%2FWOS:000894108600001","View Full Record in Web of Science")</f>
        <v>View Full Record in Web of Science</v>
      </c>
    </row>
    <row r="767" ht="12.75" customHeight="1">
      <c r="A767" s="1" t="s">
        <v>72</v>
      </c>
      <c r="B767" s="1" t="s">
        <v>7631</v>
      </c>
      <c r="C767" s="1" t="s">
        <v>74</v>
      </c>
      <c r="D767" s="1" t="s">
        <v>74</v>
      </c>
      <c r="E767" s="1" t="s">
        <v>74</v>
      </c>
      <c r="F767" s="1" t="s">
        <v>7632</v>
      </c>
      <c r="G767" s="1" t="s">
        <v>74</v>
      </c>
      <c r="H767" s="1" t="s">
        <v>74</v>
      </c>
      <c r="I767" s="1" t="s">
        <v>7633</v>
      </c>
      <c r="J767" s="1" t="s">
        <v>1954</v>
      </c>
      <c r="K767" s="1" t="s">
        <v>74</v>
      </c>
      <c r="L767" s="1" t="s">
        <v>74</v>
      </c>
      <c r="M767" s="1" t="s">
        <v>74</v>
      </c>
      <c r="N767" s="1" t="s">
        <v>74</v>
      </c>
      <c r="O767" s="1" t="s">
        <v>74</v>
      </c>
      <c r="P767" s="1" t="s">
        <v>74</v>
      </c>
      <c r="Q767" s="1" t="s">
        <v>74</v>
      </c>
      <c r="R767" s="1" t="s">
        <v>74</v>
      </c>
      <c r="S767" s="1" t="s">
        <v>74</v>
      </c>
      <c r="T767" s="1" t="s">
        <v>74</v>
      </c>
      <c r="U767" s="1" t="s">
        <v>74</v>
      </c>
      <c r="V767" s="1" t="s">
        <v>7634</v>
      </c>
      <c r="W767" s="1" t="s">
        <v>74</v>
      </c>
      <c r="X767" s="1" t="s">
        <v>74</v>
      </c>
      <c r="Y767" s="1" t="s">
        <v>74</v>
      </c>
      <c r="Z767" s="1" t="s">
        <v>74</v>
      </c>
      <c r="AA767" s="1" t="s">
        <v>7635</v>
      </c>
      <c r="AB767" s="1" t="s">
        <v>7636</v>
      </c>
      <c r="AC767" s="1" t="s">
        <v>74</v>
      </c>
      <c r="AD767" s="1" t="s">
        <v>74</v>
      </c>
      <c r="AE767" s="1" t="s">
        <v>74</v>
      </c>
      <c r="AF767" s="1" t="s">
        <v>74</v>
      </c>
      <c r="AG767" s="1" t="s">
        <v>74</v>
      </c>
      <c r="AH767" s="1" t="s">
        <v>74</v>
      </c>
      <c r="AI767" s="1" t="s">
        <v>74</v>
      </c>
      <c r="AJ767" s="1" t="s">
        <v>74</v>
      </c>
      <c r="AK767" s="1" t="s">
        <v>74</v>
      </c>
      <c r="AL767" s="1" t="s">
        <v>74</v>
      </c>
      <c r="AM767" s="1" t="s">
        <v>74</v>
      </c>
      <c r="AN767" s="1" t="s">
        <v>74</v>
      </c>
      <c r="AO767" s="1" t="s">
        <v>1958</v>
      </c>
      <c r="AP767" s="1" t="s">
        <v>1959</v>
      </c>
      <c r="AQ767" s="1" t="s">
        <v>74</v>
      </c>
      <c r="AR767" s="1" t="s">
        <v>74</v>
      </c>
      <c r="AS767" s="1" t="s">
        <v>74</v>
      </c>
      <c r="AT767" s="1" t="s">
        <v>559</v>
      </c>
      <c r="AU767" s="1">
        <v>2022.0</v>
      </c>
      <c r="AV767" s="1">
        <v>40.0</v>
      </c>
      <c r="AW767" s="1">
        <v>6.0</v>
      </c>
      <c r="AX767" s="1" t="s">
        <v>74</v>
      </c>
      <c r="AY767" s="1" t="s">
        <v>74</v>
      </c>
      <c r="AZ767" s="1" t="s">
        <v>74</v>
      </c>
      <c r="BA767" s="1" t="s">
        <v>74</v>
      </c>
      <c r="BB767" s="1">
        <v>1484.0</v>
      </c>
      <c r="BC767" s="1">
        <v>1489.0</v>
      </c>
      <c r="BD767" s="1" t="s">
        <v>74</v>
      </c>
      <c r="BE767" s="1" t="s">
        <v>74</v>
      </c>
      <c r="BF767" s="1" t="s">
        <v>74</v>
      </c>
      <c r="BG767" s="1" t="s">
        <v>74</v>
      </c>
      <c r="BH767" s="1" t="s">
        <v>74</v>
      </c>
      <c r="BI767" s="1" t="s">
        <v>74</v>
      </c>
      <c r="BJ767" s="1" t="s">
        <v>74</v>
      </c>
      <c r="BK767" s="1" t="s">
        <v>74</v>
      </c>
      <c r="BL767" s="1" t="s">
        <v>74</v>
      </c>
      <c r="BM767" s="1" t="s">
        <v>74</v>
      </c>
      <c r="BN767" s="1" t="s">
        <v>74</v>
      </c>
      <c r="BO767" s="1" t="s">
        <v>74</v>
      </c>
      <c r="BP767" s="1" t="s">
        <v>74</v>
      </c>
      <c r="BQ767" s="1" t="s">
        <v>74</v>
      </c>
      <c r="BR767" s="1" t="s">
        <v>74</v>
      </c>
      <c r="BS767" s="1" t="s">
        <v>7637</v>
      </c>
      <c r="BT767" s="1" t="str">
        <f>HYPERLINK("https%3A%2F%2Fwww.webofscience.com%2Fwos%2Fwoscc%2Ffull-record%2FWOS:000918579700011","View Full Record in Web of Science")</f>
        <v>View Full Record in Web of Science</v>
      </c>
    </row>
    <row r="768" ht="12.75" customHeight="1">
      <c r="A768" s="1" t="s">
        <v>72</v>
      </c>
      <c r="B768" s="1" t="s">
        <v>7638</v>
      </c>
      <c r="C768" s="1" t="s">
        <v>74</v>
      </c>
      <c r="D768" s="1" t="s">
        <v>74</v>
      </c>
      <c r="E768" s="1" t="s">
        <v>74</v>
      </c>
      <c r="F768" s="1" t="s">
        <v>7639</v>
      </c>
      <c r="G768" s="1" t="s">
        <v>74</v>
      </c>
      <c r="H768" s="1" t="s">
        <v>74</v>
      </c>
      <c r="I768" s="1" t="s">
        <v>7640</v>
      </c>
      <c r="J768" s="1" t="s">
        <v>7641</v>
      </c>
      <c r="K768" s="1" t="s">
        <v>74</v>
      </c>
      <c r="L768" s="1" t="s">
        <v>74</v>
      </c>
      <c r="M768" s="1" t="s">
        <v>74</v>
      </c>
      <c r="N768" s="1" t="s">
        <v>74</v>
      </c>
      <c r="O768" s="1" t="s">
        <v>74</v>
      </c>
      <c r="P768" s="1" t="s">
        <v>74</v>
      </c>
      <c r="Q768" s="1" t="s">
        <v>74</v>
      </c>
      <c r="R768" s="1" t="s">
        <v>74</v>
      </c>
      <c r="S768" s="1" t="s">
        <v>74</v>
      </c>
      <c r="T768" s="1" t="s">
        <v>74</v>
      </c>
      <c r="U768" s="1" t="s">
        <v>74</v>
      </c>
      <c r="V768" s="1" t="s">
        <v>7642</v>
      </c>
      <c r="W768" s="1" t="s">
        <v>74</v>
      </c>
      <c r="X768" s="1" t="s">
        <v>74</v>
      </c>
      <c r="Y768" s="1" t="s">
        <v>74</v>
      </c>
      <c r="Z768" s="1" t="s">
        <v>74</v>
      </c>
      <c r="AA768" s="1" t="s">
        <v>7643</v>
      </c>
      <c r="AB768" s="1" t="s">
        <v>7644</v>
      </c>
      <c r="AC768" s="1" t="s">
        <v>74</v>
      </c>
      <c r="AD768" s="1" t="s">
        <v>74</v>
      </c>
      <c r="AE768" s="1" t="s">
        <v>74</v>
      </c>
      <c r="AF768" s="1" t="s">
        <v>74</v>
      </c>
      <c r="AG768" s="1" t="s">
        <v>74</v>
      </c>
      <c r="AH768" s="1" t="s">
        <v>74</v>
      </c>
      <c r="AI768" s="1" t="s">
        <v>74</v>
      </c>
      <c r="AJ768" s="1" t="s">
        <v>74</v>
      </c>
      <c r="AK768" s="1" t="s">
        <v>74</v>
      </c>
      <c r="AL768" s="1" t="s">
        <v>74</v>
      </c>
      <c r="AM768" s="1" t="s">
        <v>74</v>
      </c>
      <c r="AN768" s="1" t="s">
        <v>74</v>
      </c>
      <c r="AO768" s="1" t="s">
        <v>7645</v>
      </c>
      <c r="AP768" s="1" t="s">
        <v>74</v>
      </c>
      <c r="AQ768" s="1" t="s">
        <v>74</v>
      </c>
      <c r="AR768" s="1" t="s">
        <v>74</v>
      </c>
      <c r="AS768" s="1" t="s">
        <v>74</v>
      </c>
      <c r="AT768" s="1" t="s">
        <v>7646</v>
      </c>
      <c r="AU768" s="1">
        <v>2022.0</v>
      </c>
      <c r="AV768" s="1">
        <v>9.0</v>
      </c>
      <c r="AW768" s="1" t="s">
        <v>74</v>
      </c>
      <c r="AX768" s="1" t="s">
        <v>74</v>
      </c>
      <c r="AY768" s="1" t="s">
        <v>74</v>
      </c>
      <c r="AZ768" s="1" t="s">
        <v>74</v>
      </c>
      <c r="BA768" s="1" t="s">
        <v>74</v>
      </c>
      <c r="BB768" s="1" t="s">
        <v>74</v>
      </c>
      <c r="BC768" s="1" t="s">
        <v>74</v>
      </c>
      <c r="BD768" s="1">
        <v>813537.0</v>
      </c>
      <c r="BE768" s="1" t="s">
        <v>7647</v>
      </c>
      <c r="BF768" s="2" t="str">
        <f>HYPERLINK("http://dx.doi.org/10.3389/fbioe.2021.813537","http://dx.doi.org/10.3389/fbioe.2021.813537")</f>
        <v>http://dx.doi.org/10.3389/fbioe.2021.813537</v>
      </c>
      <c r="BG768" s="1" t="s">
        <v>74</v>
      </c>
      <c r="BH768" s="1" t="s">
        <v>74</v>
      </c>
      <c r="BI768" s="1" t="s">
        <v>74</v>
      </c>
      <c r="BJ768" s="1" t="s">
        <v>74</v>
      </c>
      <c r="BK768" s="1" t="s">
        <v>74</v>
      </c>
      <c r="BL768" s="1" t="s">
        <v>74</v>
      </c>
      <c r="BM768" s="1" t="s">
        <v>74</v>
      </c>
      <c r="BN768" s="1">
        <v>3.5127676E7</v>
      </c>
      <c r="BO768" s="1" t="s">
        <v>74</v>
      </c>
      <c r="BP768" s="1" t="s">
        <v>74</v>
      </c>
      <c r="BQ768" s="1" t="s">
        <v>74</v>
      </c>
      <c r="BR768" s="1" t="s">
        <v>74</v>
      </c>
      <c r="BS768" s="1" t="s">
        <v>7648</v>
      </c>
      <c r="BT768" s="1" t="str">
        <f>HYPERLINK("https%3A%2F%2Fwww.webofscience.com%2Fwos%2Fwoscc%2Ffull-record%2FWOS:000750607900001","View Full Record in Web of Science")</f>
        <v>View Full Record in Web of Science</v>
      </c>
    </row>
    <row r="769" ht="12.75" customHeight="1">
      <c r="A769" s="1" t="s">
        <v>72</v>
      </c>
      <c r="B769" s="1" t="s">
        <v>7649</v>
      </c>
      <c r="C769" s="1" t="s">
        <v>74</v>
      </c>
      <c r="D769" s="1" t="s">
        <v>74</v>
      </c>
      <c r="E769" s="1" t="s">
        <v>74</v>
      </c>
      <c r="F769" s="1" t="s">
        <v>7650</v>
      </c>
      <c r="G769" s="1" t="s">
        <v>74</v>
      </c>
      <c r="H769" s="1" t="s">
        <v>74</v>
      </c>
      <c r="I769" s="1" t="s">
        <v>7651</v>
      </c>
      <c r="J769" s="1" t="s">
        <v>7652</v>
      </c>
      <c r="K769" s="1" t="s">
        <v>74</v>
      </c>
      <c r="L769" s="1" t="s">
        <v>74</v>
      </c>
      <c r="M769" s="1" t="s">
        <v>74</v>
      </c>
      <c r="N769" s="1" t="s">
        <v>74</v>
      </c>
      <c r="O769" s="1" t="s">
        <v>74</v>
      </c>
      <c r="P769" s="1" t="s">
        <v>74</v>
      </c>
      <c r="Q769" s="1" t="s">
        <v>74</v>
      </c>
      <c r="R769" s="1" t="s">
        <v>74</v>
      </c>
      <c r="S769" s="1" t="s">
        <v>74</v>
      </c>
      <c r="T769" s="1" t="s">
        <v>74</v>
      </c>
      <c r="U769" s="1" t="s">
        <v>74</v>
      </c>
      <c r="V769" s="1" t="s">
        <v>7653</v>
      </c>
      <c r="W769" s="1" t="s">
        <v>74</v>
      </c>
      <c r="X769" s="1" t="s">
        <v>74</v>
      </c>
      <c r="Y769" s="1" t="s">
        <v>74</v>
      </c>
      <c r="Z769" s="1" t="s">
        <v>74</v>
      </c>
      <c r="AA769" s="1" t="s">
        <v>7654</v>
      </c>
      <c r="AB769" s="1" t="s">
        <v>74</v>
      </c>
      <c r="AC769" s="1" t="s">
        <v>74</v>
      </c>
      <c r="AD769" s="1" t="s">
        <v>74</v>
      </c>
      <c r="AE769" s="1" t="s">
        <v>74</v>
      </c>
      <c r="AF769" s="1" t="s">
        <v>74</v>
      </c>
      <c r="AG769" s="1" t="s">
        <v>74</v>
      </c>
      <c r="AH769" s="1" t="s">
        <v>74</v>
      </c>
      <c r="AI769" s="1" t="s">
        <v>74</v>
      </c>
      <c r="AJ769" s="1" t="s">
        <v>74</v>
      </c>
      <c r="AK769" s="1" t="s">
        <v>74</v>
      </c>
      <c r="AL769" s="1" t="s">
        <v>74</v>
      </c>
      <c r="AM769" s="1" t="s">
        <v>74</v>
      </c>
      <c r="AN769" s="1" t="s">
        <v>74</v>
      </c>
      <c r="AO769" s="1" t="s">
        <v>7655</v>
      </c>
      <c r="AP769" s="1" t="s">
        <v>74</v>
      </c>
      <c r="AQ769" s="1" t="s">
        <v>74</v>
      </c>
      <c r="AR769" s="1" t="s">
        <v>74</v>
      </c>
      <c r="AS769" s="1" t="s">
        <v>74</v>
      </c>
      <c r="AT769" s="1" t="s">
        <v>559</v>
      </c>
      <c r="AU769" s="1">
        <v>2021.0</v>
      </c>
      <c r="AV769" s="1">
        <v>46.0</v>
      </c>
      <c r="AW769" s="1">
        <v>12.0</v>
      </c>
      <c r="AX769" s="1" t="s">
        <v>74</v>
      </c>
      <c r="AY769" s="1" t="s">
        <v>74</v>
      </c>
      <c r="AZ769" s="1" t="s">
        <v>74</v>
      </c>
      <c r="BA769" s="1" t="s">
        <v>74</v>
      </c>
      <c r="BB769" s="1">
        <v>471.0</v>
      </c>
      <c r="BC769" s="1">
        <v>478.0</v>
      </c>
      <c r="BD769" s="1" t="s">
        <v>74</v>
      </c>
      <c r="BE769" s="1" t="s">
        <v>74</v>
      </c>
      <c r="BF769" s="1" t="s">
        <v>74</v>
      </c>
      <c r="BG769" s="1" t="s">
        <v>74</v>
      </c>
      <c r="BH769" s="1" t="s">
        <v>74</v>
      </c>
      <c r="BI769" s="1" t="s">
        <v>74</v>
      </c>
      <c r="BJ769" s="1" t="s">
        <v>74</v>
      </c>
      <c r="BK769" s="1" t="s">
        <v>74</v>
      </c>
      <c r="BL769" s="1" t="s">
        <v>74</v>
      </c>
      <c r="BM769" s="1" t="s">
        <v>74</v>
      </c>
      <c r="BN769" s="1" t="s">
        <v>74</v>
      </c>
      <c r="BO769" s="1" t="s">
        <v>74</v>
      </c>
      <c r="BP769" s="1" t="s">
        <v>74</v>
      </c>
      <c r="BQ769" s="1" t="s">
        <v>74</v>
      </c>
      <c r="BR769" s="1" t="s">
        <v>74</v>
      </c>
      <c r="BS769" s="1" t="s">
        <v>7656</v>
      </c>
      <c r="BT769" s="1" t="str">
        <f>HYPERLINK("https%3A%2F%2Fwww.webofscience.com%2Fwos%2Fwoscc%2Ffull-record%2FWOS:000744668100005","View Full Record in Web of Science")</f>
        <v>View Full Record in Web of Science</v>
      </c>
    </row>
    <row r="770" ht="12.75" customHeight="1">
      <c r="A770" s="1" t="s">
        <v>72</v>
      </c>
      <c r="B770" s="1" t="s">
        <v>7657</v>
      </c>
      <c r="C770" s="1" t="s">
        <v>74</v>
      </c>
      <c r="D770" s="1" t="s">
        <v>74</v>
      </c>
      <c r="E770" s="1" t="s">
        <v>74</v>
      </c>
      <c r="F770" s="1" t="s">
        <v>7658</v>
      </c>
      <c r="G770" s="1" t="s">
        <v>74</v>
      </c>
      <c r="H770" s="1" t="s">
        <v>74</v>
      </c>
      <c r="I770" s="1" t="s">
        <v>7659</v>
      </c>
      <c r="J770" s="1" t="s">
        <v>7660</v>
      </c>
      <c r="K770" s="1" t="s">
        <v>74</v>
      </c>
      <c r="L770" s="1" t="s">
        <v>74</v>
      </c>
      <c r="M770" s="1" t="s">
        <v>74</v>
      </c>
      <c r="N770" s="1" t="s">
        <v>74</v>
      </c>
      <c r="O770" s="1" t="s">
        <v>74</v>
      </c>
      <c r="P770" s="1" t="s">
        <v>74</v>
      </c>
      <c r="Q770" s="1" t="s">
        <v>74</v>
      </c>
      <c r="R770" s="1" t="s">
        <v>74</v>
      </c>
      <c r="S770" s="1" t="s">
        <v>74</v>
      </c>
      <c r="T770" s="1" t="s">
        <v>74</v>
      </c>
      <c r="U770" s="1" t="s">
        <v>74</v>
      </c>
      <c r="V770" s="1" t="s">
        <v>7661</v>
      </c>
      <c r="W770" s="1" t="s">
        <v>74</v>
      </c>
      <c r="X770" s="1" t="s">
        <v>74</v>
      </c>
      <c r="Y770" s="1" t="s">
        <v>74</v>
      </c>
      <c r="Z770" s="1" t="s">
        <v>74</v>
      </c>
      <c r="AA770" s="1" t="s">
        <v>7662</v>
      </c>
      <c r="AB770" s="1" t="s">
        <v>7663</v>
      </c>
      <c r="AC770" s="1" t="s">
        <v>74</v>
      </c>
      <c r="AD770" s="1" t="s">
        <v>74</v>
      </c>
      <c r="AE770" s="1" t="s">
        <v>74</v>
      </c>
      <c r="AF770" s="1" t="s">
        <v>74</v>
      </c>
      <c r="AG770" s="1" t="s">
        <v>74</v>
      </c>
      <c r="AH770" s="1" t="s">
        <v>74</v>
      </c>
      <c r="AI770" s="1" t="s">
        <v>74</v>
      </c>
      <c r="AJ770" s="1" t="s">
        <v>74</v>
      </c>
      <c r="AK770" s="1" t="s">
        <v>74</v>
      </c>
      <c r="AL770" s="1" t="s">
        <v>74</v>
      </c>
      <c r="AM770" s="1" t="s">
        <v>74</v>
      </c>
      <c r="AN770" s="1" t="s">
        <v>74</v>
      </c>
      <c r="AO770" s="1" t="s">
        <v>74</v>
      </c>
      <c r="AP770" s="1" t="s">
        <v>7664</v>
      </c>
      <c r="AQ770" s="1" t="s">
        <v>74</v>
      </c>
      <c r="AR770" s="1" t="s">
        <v>74</v>
      </c>
      <c r="AS770" s="1" t="s">
        <v>74</v>
      </c>
      <c r="AT770" s="1" t="s">
        <v>559</v>
      </c>
      <c r="AU770" s="1">
        <v>2021.0</v>
      </c>
      <c r="AV770" s="1">
        <v>1.0</v>
      </c>
      <c r="AW770" s="1">
        <v>4.0</v>
      </c>
      <c r="AX770" s="1" t="s">
        <v>74</v>
      </c>
      <c r="AY770" s="1" t="s">
        <v>74</v>
      </c>
      <c r="AZ770" s="1" t="s">
        <v>74</v>
      </c>
      <c r="BA770" s="1" t="s">
        <v>74</v>
      </c>
      <c r="BB770" s="1">
        <v>468.0</v>
      </c>
      <c r="BC770" s="1">
        <v>498.0</v>
      </c>
      <c r="BD770" s="1" t="s">
        <v>74</v>
      </c>
      <c r="BE770" s="1" t="s">
        <v>7665</v>
      </c>
      <c r="BF770" s="2" t="str">
        <f>HYPERLINK("http://dx.doi.org/10.3390/immuno1040034","http://dx.doi.org/10.3390/immuno1040034")</f>
        <v>http://dx.doi.org/10.3390/immuno1040034</v>
      </c>
      <c r="BG770" s="1" t="s">
        <v>74</v>
      </c>
      <c r="BH770" s="1" t="s">
        <v>74</v>
      </c>
      <c r="BI770" s="1" t="s">
        <v>74</v>
      </c>
      <c r="BJ770" s="1" t="s">
        <v>74</v>
      </c>
      <c r="BK770" s="1" t="s">
        <v>74</v>
      </c>
      <c r="BL770" s="1" t="s">
        <v>74</v>
      </c>
      <c r="BM770" s="1" t="s">
        <v>74</v>
      </c>
      <c r="BN770" s="1" t="s">
        <v>74</v>
      </c>
      <c r="BO770" s="1" t="s">
        <v>74</v>
      </c>
      <c r="BP770" s="1" t="s">
        <v>74</v>
      </c>
      <c r="BQ770" s="1" t="s">
        <v>74</v>
      </c>
      <c r="BR770" s="1" t="s">
        <v>74</v>
      </c>
      <c r="BS770" s="1" t="s">
        <v>7666</v>
      </c>
      <c r="BT770" s="1" t="str">
        <f>HYPERLINK("https%3A%2F%2Fwww.webofscience.com%2Fwos%2Fwoscc%2Ffull-record%2FWOS:001115235700001","View Full Record in Web of Science")</f>
        <v>View Full Record in Web of Science</v>
      </c>
    </row>
    <row r="771" ht="12.75" customHeight="1">
      <c r="A771" s="1" t="s">
        <v>72</v>
      </c>
      <c r="B771" s="1" t="s">
        <v>7667</v>
      </c>
      <c r="C771" s="1" t="s">
        <v>74</v>
      </c>
      <c r="D771" s="1" t="s">
        <v>74</v>
      </c>
      <c r="E771" s="1" t="s">
        <v>74</v>
      </c>
      <c r="F771" s="1" t="s">
        <v>7668</v>
      </c>
      <c r="G771" s="1" t="s">
        <v>74</v>
      </c>
      <c r="H771" s="1" t="s">
        <v>74</v>
      </c>
      <c r="I771" s="1" t="s">
        <v>7669</v>
      </c>
      <c r="J771" s="1" t="s">
        <v>1734</v>
      </c>
      <c r="K771" s="1" t="s">
        <v>74</v>
      </c>
      <c r="L771" s="1" t="s">
        <v>74</v>
      </c>
      <c r="M771" s="1" t="s">
        <v>74</v>
      </c>
      <c r="N771" s="1" t="s">
        <v>74</v>
      </c>
      <c r="O771" s="1" t="s">
        <v>74</v>
      </c>
      <c r="P771" s="1" t="s">
        <v>74</v>
      </c>
      <c r="Q771" s="1" t="s">
        <v>74</v>
      </c>
      <c r="R771" s="1" t="s">
        <v>74</v>
      </c>
      <c r="S771" s="1" t="s">
        <v>74</v>
      </c>
      <c r="T771" s="1" t="s">
        <v>74</v>
      </c>
      <c r="U771" s="1" t="s">
        <v>74</v>
      </c>
      <c r="V771" s="1" t="s">
        <v>7670</v>
      </c>
      <c r="W771" s="1" t="s">
        <v>74</v>
      </c>
      <c r="X771" s="1" t="s">
        <v>74</v>
      </c>
      <c r="Y771" s="1" t="s">
        <v>74</v>
      </c>
      <c r="Z771" s="1" t="s">
        <v>74</v>
      </c>
      <c r="AA771" s="1" t="s">
        <v>7671</v>
      </c>
      <c r="AB771" s="1" t="s">
        <v>7672</v>
      </c>
      <c r="AC771" s="1" t="s">
        <v>74</v>
      </c>
      <c r="AD771" s="1" t="s">
        <v>74</v>
      </c>
      <c r="AE771" s="1" t="s">
        <v>74</v>
      </c>
      <c r="AF771" s="1" t="s">
        <v>74</v>
      </c>
      <c r="AG771" s="1" t="s">
        <v>74</v>
      </c>
      <c r="AH771" s="1" t="s">
        <v>74</v>
      </c>
      <c r="AI771" s="1" t="s">
        <v>74</v>
      </c>
      <c r="AJ771" s="1" t="s">
        <v>74</v>
      </c>
      <c r="AK771" s="1" t="s">
        <v>74</v>
      </c>
      <c r="AL771" s="1" t="s">
        <v>74</v>
      </c>
      <c r="AM771" s="1" t="s">
        <v>74</v>
      </c>
      <c r="AN771" s="1" t="s">
        <v>74</v>
      </c>
      <c r="AO771" s="1" t="s">
        <v>1737</v>
      </c>
      <c r="AP771" s="1" t="s">
        <v>1738</v>
      </c>
      <c r="AQ771" s="1" t="s">
        <v>74</v>
      </c>
      <c r="AR771" s="1" t="s">
        <v>74</v>
      </c>
      <c r="AS771" s="1" t="s">
        <v>74</v>
      </c>
      <c r="AT771" s="1" t="s">
        <v>719</v>
      </c>
      <c r="AU771" s="1">
        <v>2020.0</v>
      </c>
      <c r="AV771" s="1">
        <v>148.0</v>
      </c>
      <c r="AW771" s="1">
        <v>7.0</v>
      </c>
      <c r="AX771" s="1" t="s">
        <v>74</v>
      </c>
      <c r="AY771" s="1" t="s">
        <v>74</v>
      </c>
      <c r="AZ771" s="1" t="s">
        <v>74</v>
      </c>
      <c r="BA771" s="1" t="s">
        <v>74</v>
      </c>
      <c r="BB771" s="1">
        <v>1011.0</v>
      </c>
      <c r="BC771" s="1">
        <v>1017.0</v>
      </c>
      <c r="BD771" s="1" t="s">
        <v>74</v>
      </c>
      <c r="BE771" s="1" t="s">
        <v>74</v>
      </c>
      <c r="BF771" s="1" t="s">
        <v>74</v>
      </c>
      <c r="BG771" s="1" t="s">
        <v>74</v>
      </c>
      <c r="BH771" s="1" t="s">
        <v>74</v>
      </c>
      <c r="BI771" s="1" t="s">
        <v>74</v>
      </c>
      <c r="BJ771" s="1" t="s">
        <v>74</v>
      </c>
      <c r="BK771" s="1" t="s">
        <v>74</v>
      </c>
      <c r="BL771" s="1" t="s">
        <v>74</v>
      </c>
      <c r="BM771" s="1" t="s">
        <v>74</v>
      </c>
      <c r="BN771" s="1">
        <v>3.3399686E7</v>
      </c>
      <c r="BO771" s="1" t="s">
        <v>74</v>
      </c>
      <c r="BP771" s="1" t="s">
        <v>74</v>
      </c>
      <c r="BQ771" s="1" t="s">
        <v>74</v>
      </c>
      <c r="BR771" s="1" t="s">
        <v>74</v>
      </c>
      <c r="BS771" s="1" t="s">
        <v>7673</v>
      </c>
      <c r="BT771" s="1" t="str">
        <f>HYPERLINK("https%3A%2F%2Fwww.webofscience.com%2Fwos%2Fwoscc%2Ffull-record%2FWOS:000581084900015","View Full Record in Web of Science")</f>
        <v>View Full Record in Web of Science</v>
      </c>
    </row>
    <row r="772" ht="12.75" customHeight="1">
      <c r="A772" s="1" t="s">
        <v>72</v>
      </c>
      <c r="B772" s="1" t="s">
        <v>7674</v>
      </c>
      <c r="C772" s="1" t="s">
        <v>74</v>
      </c>
      <c r="D772" s="1" t="s">
        <v>74</v>
      </c>
      <c r="E772" s="1" t="s">
        <v>74</v>
      </c>
      <c r="F772" s="1" t="s">
        <v>7675</v>
      </c>
      <c r="G772" s="1" t="s">
        <v>74</v>
      </c>
      <c r="H772" s="1" t="s">
        <v>74</v>
      </c>
      <c r="I772" s="1" t="s">
        <v>7676</v>
      </c>
      <c r="J772" s="1" t="s">
        <v>7677</v>
      </c>
      <c r="K772" s="1" t="s">
        <v>74</v>
      </c>
      <c r="L772" s="1" t="s">
        <v>74</v>
      </c>
      <c r="M772" s="1" t="s">
        <v>74</v>
      </c>
      <c r="N772" s="1" t="s">
        <v>74</v>
      </c>
      <c r="O772" s="1" t="s">
        <v>74</v>
      </c>
      <c r="P772" s="1" t="s">
        <v>74</v>
      </c>
      <c r="Q772" s="1" t="s">
        <v>74</v>
      </c>
      <c r="R772" s="1" t="s">
        <v>74</v>
      </c>
      <c r="S772" s="1" t="s">
        <v>74</v>
      </c>
      <c r="T772" s="1" t="s">
        <v>74</v>
      </c>
      <c r="U772" s="1" t="s">
        <v>74</v>
      </c>
      <c r="V772" s="1" t="s">
        <v>7678</v>
      </c>
      <c r="W772" s="1" t="s">
        <v>74</v>
      </c>
      <c r="X772" s="1" t="s">
        <v>74</v>
      </c>
      <c r="Y772" s="1" t="s">
        <v>74</v>
      </c>
      <c r="Z772" s="1" t="s">
        <v>74</v>
      </c>
      <c r="AA772" s="1" t="s">
        <v>7679</v>
      </c>
      <c r="AB772" s="1" t="s">
        <v>7680</v>
      </c>
      <c r="AC772" s="1" t="s">
        <v>74</v>
      </c>
      <c r="AD772" s="1" t="s">
        <v>74</v>
      </c>
      <c r="AE772" s="1" t="s">
        <v>74</v>
      </c>
      <c r="AF772" s="1" t="s">
        <v>74</v>
      </c>
      <c r="AG772" s="1" t="s">
        <v>74</v>
      </c>
      <c r="AH772" s="1" t="s">
        <v>74</v>
      </c>
      <c r="AI772" s="1" t="s">
        <v>74</v>
      </c>
      <c r="AJ772" s="1" t="s">
        <v>74</v>
      </c>
      <c r="AK772" s="1" t="s">
        <v>74</v>
      </c>
      <c r="AL772" s="1" t="s">
        <v>74</v>
      </c>
      <c r="AM772" s="1" t="s">
        <v>74</v>
      </c>
      <c r="AN772" s="1" t="s">
        <v>74</v>
      </c>
      <c r="AO772" s="1" t="s">
        <v>7681</v>
      </c>
      <c r="AP772" s="1" t="s">
        <v>7682</v>
      </c>
      <c r="AQ772" s="1" t="s">
        <v>74</v>
      </c>
      <c r="AR772" s="1" t="s">
        <v>74</v>
      </c>
      <c r="AS772" s="1" t="s">
        <v>74</v>
      </c>
      <c r="AT772" s="1" t="s">
        <v>411</v>
      </c>
      <c r="AU772" s="1">
        <v>2018.0</v>
      </c>
      <c r="AV772" s="1">
        <v>203.0</v>
      </c>
      <c r="AW772" s="1" t="s">
        <v>74</v>
      </c>
      <c r="AX772" s="1" t="s">
        <v>74</v>
      </c>
      <c r="AY772" s="1" t="s">
        <v>74</v>
      </c>
      <c r="AZ772" s="1" t="s">
        <v>74</v>
      </c>
      <c r="BA772" s="1" t="s">
        <v>74</v>
      </c>
      <c r="BB772" s="1">
        <v>7.0</v>
      </c>
      <c r="BC772" s="1">
        <v>15.0</v>
      </c>
      <c r="BD772" s="1" t="s">
        <v>74</v>
      </c>
      <c r="BE772" s="1" t="s">
        <v>7683</v>
      </c>
      <c r="BF772" s="2" t="str">
        <f>HYPERLINK("http://dx.doi.org/10.1016/j.jlumin.2018.06.022","http://dx.doi.org/10.1016/j.jlumin.2018.06.022")</f>
        <v>http://dx.doi.org/10.1016/j.jlumin.2018.06.022</v>
      </c>
      <c r="BG772" s="1" t="s">
        <v>74</v>
      </c>
      <c r="BH772" s="1" t="s">
        <v>74</v>
      </c>
      <c r="BI772" s="1" t="s">
        <v>74</v>
      </c>
      <c r="BJ772" s="1" t="s">
        <v>74</v>
      </c>
      <c r="BK772" s="1" t="s">
        <v>74</v>
      </c>
      <c r="BL772" s="1" t="s">
        <v>74</v>
      </c>
      <c r="BM772" s="1" t="s">
        <v>74</v>
      </c>
      <c r="BN772" s="1" t="s">
        <v>74</v>
      </c>
      <c r="BO772" s="1" t="s">
        <v>74</v>
      </c>
      <c r="BP772" s="1" t="s">
        <v>74</v>
      </c>
      <c r="BQ772" s="1" t="s">
        <v>74</v>
      </c>
      <c r="BR772" s="1" t="s">
        <v>74</v>
      </c>
      <c r="BS772" s="1" t="s">
        <v>7684</v>
      </c>
      <c r="BT772" s="1" t="str">
        <f>HYPERLINK("https%3A%2F%2Fwww.webofscience.com%2Fwos%2Fwoscc%2Ffull-record%2FWOS:000440665500002","View Full Record in Web of Science")</f>
        <v>View Full Record in Web of Science</v>
      </c>
    </row>
    <row r="773" ht="12.75" customHeight="1">
      <c r="A773" s="1" t="s">
        <v>72</v>
      </c>
      <c r="B773" s="1" t="s">
        <v>7685</v>
      </c>
      <c r="C773" s="1" t="s">
        <v>74</v>
      </c>
      <c r="D773" s="1" t="s">
        <v>74</v>
      </c>
      <c r="E773" s="1" t="s">
        <v>74</v>
      </c>
      <c r="F773" s="1" t="s">
        <v>7686</v>
      </c>
      <c r="G773" s="1" t="s">
        <v>74</v>
      </c>
      <c r="H773" s="1" t="s">
        <v>74</v>
      </c>
      <c r="I773" s="1" t="s">
        <v>7687</v>
      </c>
      <c r="J773" s="1" t="s">
        <v>3688</v>
      </c>
      <c r="K773" s="1" t="s">
        <v>74</v>
      </c>
      <c r="L773" s="1" t="s">
        <v>74</v>
      </c>
      <c r="M773" s="1" t="s">
        <v>74</v>
      </c>
      <c r="N773" s="1" t="s">
        <v>74</v>
      </c>
      <c r="O773" s="1" t="s">
        <v>74</v>
      </c>
      <c r="P773" s="1" t="s">
        <v>74</v>
      </c>
      <c r="Q773" s="1" t="s">
        <v>74</v>
      </c>
      <c r="R773" s="1" t="s">
        <v>74</v>
      </c>
      <c r="S773" s="1" t="s">
        <v>74</v>
      </c>
      <c r="T773" s="1" t="s">
        <v>74</v>
      </c>
      <c r="U773" s="1" t="s">
        <v>74</v>
      </c>
      <c r="V773" s="1" t="s">
        <v>7688</v>
      </c>
      <c r="W773" s="1" t="s">
        <v>74</v>
      </c>
      <c r="X773" s="1" t="s">
        <v>74</v>
      </c>
      <c r="Y773" s="1" t="s">
        <v>74</v>
      </c>
      <c r="Z773" s="1" t="s">
        <v>74</v>
      </c>
      <c r="AA773" s="1" t="s">
        <v>7689</v>
      </c>
      <c r="AB773" s="1" t="s">
        <v>7690</v>
      </c>
      <c r="AC773" s="1" t="s">
        <v>74</v>
      </c>
      <c r="AD773" s="1" t="s">
        <v>74</v>
      </c>
      <c r="AE773" s="1" t="s">
        <v>74</v>
      </c>
      <c r="AF773" s="1" t="s">
        <v>74</v>
      </c>
      <c r="AG773" s="1" t="s">
        <v>74</v>
      </c>
      <c r="AH773" s="1" t="s">
        <v>74</v>
      </c>
      <c r="AI773" s="1" t="s">
        <v>74</v>
      </c>
      <c r="AJ773" s="1" t="s">
        <v>74</v>
      </c>
      <c r="AK773" s="1" t="s">
        <v>74</v>
      </c>
      <c r="AL773" s="1" t="s">
        <v>74</v>
      </c>
      <c r="AM773" s="1" t="s">
        <v>74</v>
      </c>
      <c r="AN773" s="1" t="s">
        <v>74</v>
      </c>
      <c r="AO773" s="1" t="s">
        <v>3692</v>
      </c>
      <c r="AP773" s="1" t="s">
        <v>74</v>
      </c>
      <c r="AQ773" s="1" t="s">
        <v>74</v>
      </c>
      <c r="AR773" s="1" t="s">
        <v>74</v>
      </c>
      <c r="AS773" s="1" t="s">
        <v>74</v>
      </c>
      <c r="AT773" s="1" t="s">
        <v>559</v>
      </c>
      <c r="AU773" s="1">
        <v>2011.0</v>
      </c>
      <c r="AV773" s="1">
        <v>141.0</v>
      </c>
      <c r="AW773" s="1">
        <v>12.0</v>
      </c>
      <c r="AX773" s="1" t="s">
        <v>74</v>
      </c>
      <c r="AY773" s="1" t="s">
        <v>74</v>
      </c>
      <c r="AZ773" s="1" t="s">
        <v>74</v>
      </c>
      <c r="BA773" s="1" t="s">
        <v>74</v>
      </c>
      <c r="BB773" s="1">
        <v>1796.0</v>
      </c>
      <c r="BC773" s="1">
        <v>1802.0</v>
      </c>
      <c r="BD773" s="1" t="s">
        <v>74</v>
      </c>
      <c r="BE773" s="1" t="s">
        <v>7691</v>
      </c>
      <c r="BF773" s="2" t="str">
        <f>HYPERLINK("http://dx.doi.org/10.1007/s10562-011-0717-9","http://dx.doi.org/10.1007/s10562-011-0717-9")</f>
        <v>http://dx.doi.org/10.1007/s10562-011-0717-9</v>
      </c>
      <c r="BG773" s="1" t="s">
        <v>74</v>
      </c>
      <c r="BH773" s="1" t="s">
        <v>74</v>
      </c>
      <c r="BI773" s="1" t="s">
        <v>74</v>
      </c>
      <c r="BJ773" s="1" t="s">
        <v>74</v>
      </c>
      <c r="BK773" s="1" t="s">
        <v>74</v>
      </c>
      <c r="BL773" s="1" t="s">
        <v>74</v>
      </c>
      <c r="BM773" s="1" t="s">
        <v>74</v>
      </c>
      <c r="BN773" s="1" t="s">
        <v>74</v>
      </c>
      <c r="BO773" s="1" t="s">
        <v>74</v>
      </c>
      <c r="BP773" s="1" t="s">
        <v>74</v>
      </c>
      <c r="BQ773" s="1" t="s">
        <v>74</v>
      </c>
      <c r="BR773" s="1" t="s">
        <v>74</v>
      </c>
      <c r="BS773" s="1" t="s">
        <v>7692</v>
      </c>
      <c r="BT773" s="1" t="str">
        <f>HYPERLINK("https%3A%2F%2Fwww.webofscience.com%2Fwos%2Fwoscc%2Ffull-record%2FWOS:000299919300009","View Full Record in Web of Science")</f>
        <v>View Full Record in Web of Science</v>
      </c>
    </row>
    <row r="774" ht="12.75" customHeight="1">
      <c r="A774" s="1" t="s">
        <v>72</v>
      </c>
      <c r="B774" s="1" t="s">
        <v>7693</v>
      </c>
      <c r="C774" s="1" t="s">
        <v>74</v>
      </c>
      <c r="D774" s="1" t="s">
        <v>74</v>
      </c>
      <c r="E774" s="1" t="s">
        <v>74</v>
      </c>
      <c r="F774" s="1" t="s">
        <v>7694</v>
      </c>
      <c r="G774" s="1" t="s">
        <v>74</v>
      </c>
      <c r="H774" s="1" t="s">
        <v>74</v>
      </c>
      <c r="I774" s="1" t="s">
        <v>7695</v>
      </c>
      <c r="J774" s="1" t="s">
        <v>332</v>
      </c>
      <c r="K774" s="1" t="s">
        <v>74</v>
      </c>
      <c r="L774" s="1" t="s">
        <v>74</v>
      </c>
      <c r="M774" s="1" t="s">
        <v>74</v>
      </c>
      <c r="N774" s="1" t="s">
        <v>74</v>
      </c>
      <c r="O774" s="1" t="s">
        <v>74</v>
      </c>
      <c r="P774" s="1" t="s">
        <v>74</v>
      </c>
      <c r="Q774" s="1" t="s">
        <v>74</v>
      </c>
      <c r="R774" s="1" t="s">
        <v>74</v>
      </c>
      <c r="S774" s="1" t="s">
        <v>74</v>
      </c>
      <c r="T774" s="1" t="s">
        <v>74</v>
      </c>
      <c r="U774" s="1" t="s">
        <v>74</v>
      </c>
      <c r="V774" s="1" t="s">
        <v>7696</v>
      </c>
      <c r="W774" s="1" t="s">
        <v>74</v>
      </c>
      <c r="X774" s="1" t="s">
        <v>74</v>
      </c>
      <c r="Y774" s="1" t="s">
        <v>74</v>
      </c>
      <c r="Z774" s="1" t="s">
        <v>74</v>
      </c>
      <c r="AA774" s="1" t="s">
        <v>7697</v>
      </c>
      <c r="AB774" s="1" t="s">
        <v>7698</v>
      </c>
      <c r="AC774" s="1" t="s">
        <v>74</v>
      </c>
      <c r="AD774" s="1" t="s">
        <v>74</v>
      </c>
      <c r="AE774" s="1" t="s">
        <v>74</v>
      </c>
      <c r="AF774" s="1" t="s">
        <v>74</v>
      </c>
      <c r="AG774" s="1" t="s">
        <v>74</v>
      </c>
      <c r="AH774" s="1" t="s">
        <v>74</v>
      </c>
      <c r="AI774" s="1" t="s">
        <v>74</v>
      </c>
      <c r="AJ774" s="1" t="s">
        <v>74</v>
      </c>
      <c r="AK774" s="1" t="s">
        <v>74</v>
      </c>
      <c r="AL774" s="1" t="s">
        <v>74</v>
      </c>
      <c r="AM774" s="1" t="s">
        <v>74</v>
      </c>
      <c r="AN774" s="1" t="s">
        <v>74</v>
      </c>
      <c r="AO774" s="1" t="s">
        <v>336</v>
      </c>
      <c r="AP774" s="1" t="s">
        <v>337</v>
      </c>
      <c r="AQ774" s="1" t="s">
        <v>74</v>
      </c>
      <c r="AR774" s="1" t="s">
        <v>74</v>
      </c>
      <c r="AS774" s="1" t="s">
        <v>74</v>
      </c>
      <c r="AT774" s="1" t="s">
        <v>7512</v>
      </c>
      <c r="AU774" s="1">
        <v>2011.0</v>
      </c>
      <c r="AV774" s="1">
        <v>56.0</v>
      </c>
      <c r="AW774" s="1">
        <v>21.0</v>
      </c>
      <c r="AX774" s="1" t="s">
        <v>74</v>
      </c>
      <c r="AY774" s="1" t="s">
        <v>74</v>
      </c>
      <c r="AZ774" s="1" t="s">
        <v>74</v>
      </c>
      <c r="BA774" s="1" t="s">
        <v>74</v>
      </c>
      <c r="BB774" s="1">
        <v>7352.0</v>
      </c>
      <c r="BC774" s="1">
        <v>7360.0</v>
      </c>
      <c r="BD774" s="1" t="s">
        <v>74</v>
      </c>
      <c r="BE774" s="1" t="s">
        <v>7699</v>
      </c>
      <c r="BF774" s="2" t="str">
        <f>HYPERLINK("http://dx.doi.org/10.1016/j.electacta.2011.06.029","http://dx.doi.org/10.1016/j.electacta.2011.06.029")</f>
        <v>http://dx.doi.org/10.1016/j.electacta.2011.06.029</v>
      </c>
      <c r="BG774" s="1" t="s">
        <v>74</v>
      </c>
      <c r="BH774" s="1" t="s">
        <v>74</v>
      </c>
      <c r="BI774" s="1" t="s">
        <v>74</v>
      </c>
      <c r="BJ774" s="1" t="s">
        <v>74</v>
      </c>
      <c r="BK774" s="1" t="s">
        <v>74</v>
      </c>
      <c r="BL774" s="1" t="s">
        <v>74</v>
      </c>
      <c r="BM774" s="1" t="s">
        <v>74</v>
      </c>
      <c r="BN774" s="1" t="s">
        <v>74</v>
      </c>
      <c r="BO774" s="1" t="s">
        <v>74</v>
      </c>
      <c r="BP774" s="1" t="s">
        <v>74</v>
      </c>
      <c r="BQ774" s="1" t="s">
        <v>74</v>
      </c>
      <c r="BR774" s="1" t="s">
        <v>74</v>
      </c>
      <c r="BS774" s="1" t="s">
        <v>7700</v>
      </c>
      <c r="BT774" s="1" t="str">
        <f>HYPERLINK("https%3A%2F%2Fwww.webofscience.com%2Fwos%2Fwoscc%2Ffull-record%2FWOS:000294982700016","View Full Record in Web of Science")</f>
        <v>View Full Record in Web of Science</v>
      </c>
    </row>
    <row r="775" ht="12.75" customHeight="1">
      <c r="A775" s="1" t="s">
        <v>647</v>
      </c>
      <c r="B775" s="1" t="s">
        <v>7701</v>
      </c>
      <c r="C775" s="1" t="s">
        <v>74</v>
      </c>
      <c r="D775" s="1" t="s">
        <v>7702</v>
      </c>
      <c r="E775" s="1" t="s">
        <v>74</v>
      </c>
      <c r="F775" s="1" t="s">
        <v>7703</v>
      </c>
      <c r="G775" s="1" t="s">
        <v>74</v>
      </c>
      <c r="H775" s="1" t="s">
        <v>74</v>
      </c>
      <c r="I775" s="1" t="s">
        <v>7704</v>
      </c>
      <c r="J775" s="1" t="s">
        <v>7705</v>
      </c>
      <c r="K775" s="1" t="s">
        <v>1658</v>
      </c>
      <c r="L775" s="1" t="s">
        <v>74</v>
      </c>
      <c r="M775" s="1" t="s">
        <v>74</v>
      </c>
      <c r="N775" s="1" t="s">
        <v>74</v>
      </c>
      <c r="O775" s="1" t="s">
        <v>7706</v>
      </c>
      <c r="P775" s="1" t="s">
        <v>7707</v>
      </c>
      <c r="Q775" s="1" t="s">
        <v>7708</v>
      </c>
      <c r="R775" s="1" t="s">
        <v>74</v>
      </c>
      <c r="S775" s="1" t="s">
        <v>74</v>
      </c>
      <c r="T775" s="1" t="s">
        <v>74</v>
      </c>
      <c r="U775" s="1" t="s">
        <v>74</v>
      </c>
      <c r="V775" s="1" t="s">
        <v>7709</v>
      </c>
      <c r="W775" s="1" t="s">
        <v>74</v>
      </c>
      <c r="X775" s="1" t="s">
        <v>74</v>
      </c>
      <c r="Y775" s="1" t="s">
        <v>74</v>
      </c>
      <c r="Z775" s="1" t="s">
        <v>74</v>
      </c>
      <c r="AA775" s="1" t="s">
        <v>7710</v>
      </c>
      <c r="AB775" s="1" t="s">
        <v>7711</v>
      </c>
      <c r="AC775" s="1" t="s">
        <v>74</v>
      </c>
      <c r="AD775" s="1" t="s">
        <v>74</v>
      </c>
      <c r="AE775" s="1" t="s">
        <v>74</v>
      </c>
      <c r="AF775" s="1" t="s">
        <v>74</v>
      </c>
      <c r="AG775" s="1" t="s">
        <v>74</v>
      </c>
      <c r="AH775" s="1" t="s">
        <v>74</v>
      </c>
      <c r="AI775" s="1" t="s">
        <v>74</v>
      </c>
      <c r="AJ775" s="1" t="s">
        <v>74</v>
      </c>
      <c r="AK775" s="1" t="s">
        <v>74</v>
      </c>
      <c r="AL775" s="1" t="s">
        <v>74</v>
      </c>
      <c r="AM775" s="1" t="s">
        <v>74</v>
      </c>
      <c r="AN775" s="1" t="s">
        <v>74</v>
      </c>
      <c r="AO775" s="1" t="s">
        <v>1666</v>
      </c>
      <c r="AP775" s="1" t="s">
        <v>1667</v>
      </c>
      <c r="AQ775" s="1" t="s">
        <v>7712</v>
      </c>
      <c r="AR775" s="1" t="s">
        <v>74</v>
      </c>
      <c r="AS775" s="1" t="s">
        <v>74</v>
      </c>
      <c r="AT775" s="1" t="s">
        <v>74</v>
      </c>
      <c r="AU775" s="1">
        <v>2011.0</v>
      </c>
      <c r="AV775" s="1">
        <v>6449.0</v>
      </c>
      <c r="AW775" s="1" t="s">
        <v>74</v>
      </c>
      <c r="AX775" s="1" t="s">
        <v>74</v>
      </c>
      <c r="AY775" s="1" t="s">
        <v>74</v>
      </c>
      <c r="AZ775" s="1" t="s">
        <v>74</v>
      </c>
      <c r="BA775" s="1" t="s">
        <v>74</v>
      </c>
      <c r="BB775" s="1">
        <v>236.0</v>
      </c>
      <c r="BC775" s="1" t="s">
        <v>661</v>
      </c>
      <c r="BD775" s="1" t="s">
        <v>74</v>
      </c>
      <c r="BE775" s="1" t="s">
        <v>74</v>
      </c>
      <c r="BF775" s="1" t="s">
        <v>74</v>
      </c>
      <c r="BG775" s="1" t="s">
        <v>74</v>
      </c>
      <c r="BH775" s="1" t="s">
        <v>74</v>
      </c>
      <c r="BI775" s="1" t="s">
        <v>74</v>
      </c>
      <c r="BJ775" s="1" t="s">
        <v>74</v>
      </c>
      <c r="BK775" s="1" t="s">
        <v>74</v>
      </c>
      <c r="BL775" s="1" t="s">
        <v>74</v>
      </c>
      <c r="BM775" s="1" t="s">
        <v>74</v>
      </c>
      <c r="BN775" s="1" t="s">
        <v>74</v>
      </c>
      <c r="BO775" s="1" t="s">
        <v>74</v>
      </c>
      <c r="BP775" s="1" t="s">
        <v>74</v>
      </c>
      <c r="BQ775" s="1" t="s">
        <v>74</v>
      </c>
      <c r="BR775" s="1" t="s">
        <v>74</v>
      </c>
      <c r="BS775" s="1" t="s">
        <v>7713</v>
      </c>
      <c r="BT775" s="1" t="str">
        <f>HYPERLINK("https%3A%2F%2Fwww.webofscience.com%2Fwos%2Fwoscc%2Ffull-record%2FWOS:000290652300023","View Full Record in Web of Science")</f>
        <v>View Full Record in Web of Science</v>
      </c>
    </row>
    <row r="776" ht="12.75" customHeight="1">
      <c r="A776" s="1" t="s">
        <v>72</v>
      </c>
      <c r="B776" s="1" t="s">
        <v>7714</v>
      </c>
      <c r="C776" s="1" t="s">
        <v>74</v>
      </c>
      <c r="D776" s="1" t="s">
        <v>74</v>
      </c>
      <c r="E776" s="1" t="s">
        <v>74</v>
      </c>
      <c r="F776" s="1" t="s">
        <v>7714</v>
      </c>
      <c r="G776" s="1" t="s">
        <v>74</v>
      </c>
      <c r="H776" s="1" t="s">
        <v>74</v>
      </c>
      <c r="I776" s="1" t="s">
        <v>7715</v>
      </c>
      <c r="J776" s="1" t="s">
        <v>3730</v>
      </c>
      <c r="K776" s="1" t="s">
        <v>74</v>
      </c>
      <c r="L776" s="1" t="s">
        <v>74</v>
      </c>
      <c r="M776" s="1" t="s">
        <v>74</v>
      </c>
      <c r="N776" s="1" t="s">
        <v>74</v>
      </c>
      <c r="O776" s="1" t="s">
        <v>74</v>
      </c>
      <c r="P776" s="1" t="s">
        <v>74</v>
      </c>
      <c r="Q776" s="1" t="s">
        <v>74</v>
      </c>
      <c r="R776" s="1" t="s">
        <v>74</v>
      </c>
      <c r="S776" s="1" t="s">
        <v>74</v>
      </c>
      <c r="T776" s="1" t="s">
        <v>74</v>
      </c>
      <c r="U776" s="1" t="s">
        <v>74</v>
      </c>
      <c r="V776" s="1" t="s">
        <v>7716</v>
      </c>
      <c r="W776" s="1" t="s">
        <v>74</v>
      </c>
      <c r="X776" s="1" t="s">
        <v>74</v>
      </c>
      <c r="Y776" s="1" t="s">
        <v>74</v>
      </c>
      <c r="Z776" s="1" t="s">
        <v>74</v>
      </c>
      <c r="AA776" s="1" t="s">
        <v>7717</v>
      </c>
      <c r="AB776" s="1" t="s">
        <v>7718</v>
      </c>
      <c r="AC776" s="1" t="s">
        <v>74</v>
      </c>
      <c r="AD776" s="1" t="s">
        <v>74</v>
      </c>
      <c r="AE776" s="1" t="s">
        <v>74</v>
      </c>
      <c r="AF776" s="1" t="s">
        <v>74</v>
      </c>
      <c r="AG776" s="1" t="s">
        <v>74</v>
      </c>
      <c r="AH776" s="1" t="s">
        <v>74</v>
      </c>
      <c r="AI776" s="1" t="s">
        <v>74</v>
      </c>
      <c r="AJ776" s="1" t="s">
        <v>74</v>
      </c>
      <c r="AK776" s="1" t="s">
        <v>74</v>
      </c>
      <c r="AL776" s="1" t="s">
        <v>74</v>
      </c>
      <c r="AM776" s="1" t="s">
        <v>74</v>
      </c>
      <c r="AN776" s="1" t="s">
        <v>74</v>
      </c>
      <c r="AO776" s="1" t="s">
        <v>3734</v>
      </c>
      <c r="AP776" s="1" t="s">
        <v>3735</v>
      </c>
      <c r="AQ776" s="1" t="s">
        <v>74</v>
      </c>
      <c r="AR776" s="1" t="s">
        <v>74</v>
      </c>
      <c r="AS776" s="1" t="s">
        <v>74</v>
      </c>
      <c r="AT776" s="1" t="s">
        <v>377</v>
      </c>
      <c r="AU776" s="1">
        <v>2005.0</v>
      </c>
      <c r="AV776" s="1">
        <v>156.0</v>
      </c>
      <c r="AW776" s="1">
        <v>4.0</v>
      </c>
      <c r="AX776" s="1" t="s">
        <v>74</v>
      </c>
      <c r="AY776" s="1" t="s">
        <v>74</v>
      </c>
      <c r="AZ776" s="1" t="s">
        <v>74</v>
      </c>
      <c r="BA776" s="1" t="s">
        <v>74</v>
      </c>
      <c r="BB776" s="1">
        <v>472.0</v>
      </c>
      <c r="BC776" s="1">
        <v>477.0</v>
      </c>
      <c r="BD776" s="1" t="s">
        <v>74</v>
      </c>
      <c r="BE776" s="1" t="s">
        <v>7719</v>
      </c>
      <c r="BF776" s="2" t="str">
        <f>HYPERLINK("http://dx.doi.org/10.1016/j.resmic.2005.01.002","http://dx.doi.org/10.1016/j.resmic.2005.01.002")</f>
        <v>http://dx.doi.org/10.1016/j.resmic.2005.01.002</v>
      </c>
      <c r="BG776" s="1" t="s">
        <v>74</v>
      </c>
      <c r="BH776" s="1" t="s">
        <v>74</v>
      </c>
      <c r="BI776" s="1" t="s">
        <v>74</v>
      </c>
      <c r="BJ776" s="1" t="s">
        <v>74</v>
      </c>
      <c r="BK776" s="1" t="s">
        <v>74</v>
      </c>
      <c r="BL776" s="1" t="s">
        <v>74</v>
      </c>
      <c r="BM776" s="1" t="s">
        <v>74</v>
      </c>
      <c r="BN776" s="1">
        <v>1.5862444E7</v>
      </c>
      <c r="BO776" s="1" t="s">
        <v>74</v>
      </c>
      <c r="BP776" s="1" t="s">
        <v>74</v>
      </c>
      <c r="BQ776" s="1" t="s">
        <v>74</v>
      </c>
      <c r="BR776" s="1" t="s">
        <v>74</v>
      </c>
      <c r="BS776" s="1" t="s">
        <v>7720</v>
      </c>
      <c r="BT776" s="1" t="str">
        <f>HYPERLINK("https%3A%2F%2Fwww.webofscience.com%2Fwos%2Fwoscc%2Ffull-record%2FWOS:000229354900003","View Full Record in Web of Science")</f>
        <v>View Full Record in Web of Science</v>
      </c>
    </row>
    <row r="777" ht="12.75" customHeight="1">
      <c r="A777" s="1" t="s">
        <v>72</v>
      </c>
      <c r="B777" s="1" t="s">
        <v>7721</v>
      </c>
      <c r="C777" s="1" t="s">
        <v>74</v>
      </c>
      <c r="D777" s="1" t="s">
        <v>74</v>
      </c>
      <c r="E777" s="1" t="s">
        <v>74</v>
      </c>
      <c r="F777" s="1" t="s">
        <v>7721</v>
      </c>
      <c r="G777" s="1" t="s">
        <v>74</v>
      </c>
      <c r="H777" s="1" t="s">
        <v>74</v>
      </c>
      <c r="I777" s="1" t="s">
        <v>7722</v>
      </c>
      <c r="J777" s="1" t="s">
        <v>5846</v>
      </c>
      <c r="K777" s="1" t="s">
        <v>74</v>
      </c>
      <c r="L777" s="1" t="s">
        <v>74</v>
      </c>
      <c r="M777" s="1" t="s">
        <v>74</v>
      </c>
      <c r="N777" s="1" t="s">
        <v>74</v>
      </c>
      <c r="O777" s="1" t="s">
        <v>74</v>
      </c>
      <c r="P777" s="1" t="s">
        <v>74</v>
      </c>
      <c r="Q777" s="1" t="s">
        <v>74</v>
      </c>
      <c r="R777" s="1" t="s">
        <v>74</v>
      </c>
      <c r="S777" s="1" t="s">
        <v>74</v>
      </c>
      <c r="T777" s="1" t="s">
        <v>74</v>
      </c>
      <c r="U777" s="1" t="s">
        <v>74</v>
      </c>
      <c r="V777" s="1" t="s">
        <v>7723</v>
      </c>
      <c r="W777" s="1" t="s">
        <v>74</v>
      </c>
      <c r="X777" s="1" t="s">
        <v>74</v>
      </c>
      <c r="Y777" s="1" t="s">
        <v>74</v>
      </c>
      <c r="Z777" s="1" t="s">
        <v>74</v>
      </c>
      <c r="AA777" s="1" t="s">
        <v>7724</v>
      </c>
      <c r="AB777" s="1" t="s">
        <v>7725</v>
      </c>
      <c r="AC777" s="1" t="s">
        <v>74</v>
      </c>
      <c r="AD777" s="1" t="s">
        <v>74</v>
      </c>
      <c r="AE777" s="1" t="s">
        <v>74</v>
      </c>
      <c r="AF777" s="1" t="s">
        <v>74</v>
      </c>
      <c r="AG777" s="1" t="s">
        <v>74</v>
      </c>
      <c r="AH777" s="1" t="s">
        <v>74</v>
      </c>
      <c r="AI777" s="1" t="s">
        <v>74</v>
      </c>
      <c r="AJ777" s="1" t="s">
        <v>74</v>
      </c>
      <c r="AK777" s="1" t="s">
        <v>74</v>
      </c>
      <c r="AL777" s="1" t="s">
        <v>74</v>
      </c>
      <c r="AM777" s="1" t="s">
        <v>74</v>
      </c>
      <c r="AN777" s="1" t="s">
        <v>74</v>
      </c>
      <c r="AO777" s="1" t="s">
        <v>5850</v>
      </c>
      <c r="AP777" s="1" t="s">
        <v>74</v>
      </c>
      <c r="AQ777" s="1" t="s">
        <v>74</v>
      </c>
      <c r="AR777" s="1" t="s">
        <v>74</v>
      </c>
      <c r="AS777" s="1" t="s">
        <v>74</v>
      </c>
      <c r="AT777" s="1" t="s">
        <v>7726</v>
      </c>
      <c r="AU777" s="1">
        <v>1999.0</v>
      </c>
      <c r="AV777" s="1">
        <v>83.0</v>
      </c>
      <c r="AW777" s="1">
        <v>10.0</v>
      </c>
      <c r="AX777" s="1" t="s">
        <v>74</v>
      </c>
      <c r="AY777" s="1" t="s">
        <v>74</v>
      </c>
      <c r="AZ777" s="1" t="s">
        <v>74</v>
      </c>
      <c r="BA777" s="1" t="s">
        <v>74</v>
      </c>
      <c r="BB777" s="1">
        <v>1966.0</v>
      </c>
      <c r="BC777" s="1">
        <v>1969.0</v>
      </c>
      <c r="BD777" s="1" t="s">
        <v>74</v>
      </c>
      <c r="BE777" s="1" t="s">
        <v>7727</v>
      </c>
      <c r="BF777" s="2" t="str">
        <f>HYPERLINK("http://dx.doi.org/10.1103/PhysRevLett.83.1966","http://dx.doi.org/10.1103/PhysRevLett.83.1966")</f>
        <v>http://dx.doi.org/10.1103/PhysRevLett.83.1966</v>
      </c>
      <c r="BG777" s="1" t="s">
        <v>74</v>
      </c>
      <c r="BH777" s="1" t="s">
        <v>74</v>
      </c>
      <c r="BI777" s="1" t="s">
        <v>74</v>
      </c>
      <c r="BJ777" s="1" t="s">
        <v>74</v>
      </c>
      <c r="BK777" s="1" t="s">
        <v>74</v>
      </c>
      <c r="BL777" s="1" t="s">
        <v>74</v>
      </c>
      <c r="BM777" s="1" t="s">
        <v>74</v>
      </c>
      <c r="BN777" s="1" t="s">
        <v>74</v>
      </c>
      <c r="BO777" s="1" t="s">
        <v>74</v>
      </c>
      <c r="BP777" s="1" t="s">
        <v>74</v>
      </c>
      <c r="BQ777" s="1" t="s">
        <v>74</v>
      </c>
      <c r="BR777" s="1" t="s">
        <v>74</v>
      </c>
      <c r="BS777" s="1" t="s">
        <v>7728</v>
      </c>
      <c r="BT777" s="1" t="str">
        <f>HYPERLINK("https%3A%2F%2Fwww.webofscience.com%2Fwos%2Fwoscc%2Ffull-record%2FWOS:000082392800017","View Full Record in Web of Science")</f>
        <v>View Full Record in Web of Science</v>
      </c>
    </row>
    <row r="778" ht="12.75" customHeight="1">
      <c r="A778" s="1" t="s">
        <v>72</v>
      </c>
      <c r="B778" s="1" t="s">
        <v>7729</v>
      </c>
      <c r="C778" s="1" t="s">
        <v>74</v>
      </c>
      <c r="D778" s="1" t="s">
        <v>74</v>
      </c>
      <c r="E778" s="1" t="s">
        <v>74</v>
      </c>
      <c r="F778" s="1" t="s">
        <v>7730</v>
      </c>
      <c r="G778" s="1" t="s">
        <v>74</v>
      </c>
      <c r="H778" s="1" t="s">
        <v>74</v>
      </c>
      <c r="I778" s="1" t="s">
        <v>7731</v>
      </c>
      <c r="J778" s="1" t="s">
        <v>7732</v>
      </c>
      <c r="K778" s="1" t="s">
        <v>74</v>
      </c>
      <c r="L778" s="1" t="s">
        <v>74</v>
      </c>
      <c r="M778" s="1" t="s">
        <v>74</v>
      </c>
      <c r="N778" s="1" t="s">
        <v>74</v>
      </c>
      <c r="O778" s="1" t="s">
        <v>74</v>
      </c>
      <c r="P778" s="1" t="s">
        <v>74</v>
      </c>
      <c r="Q778" s="1" t="s">
        <v>74</v>
      </c>
      <c r="R778" s="1" t="s">
        <v>74</v>
      </c>
      <c r="S778" s="1" t="s">
        <v>74</v>
      </c>
      <c r="T778" s="1" t="s">
        <v>74</v>
      </c>
      <c r="U778" s="1" t="s">
        <v>74</v>
      </c>
      <c r="V778" s="1" t="s">
        <v>7733</v>
      </c>
      <c r="W778" s="1" t="s">
        <v>74</v>
      </c>
      <c r="X778" s="1" t="s">
        <v>74</v>
      </c>
      <c r="Y778" s="1" t="s">
        <v>74</v>
      </c>
      <c r="Z778" s="1" t="s">
        <v>74</v>
      </c>
      <c r="AA778" s="1" t="s">
        <v>7734</v>
      </c>
      <c r="AB778" s="1" t="s">
        <v>7735</v>
      </c>
      <c r="AC778" s="1" t="s">
        <v>74</v>
      </c>
      <c r="AD778" s="1" t="s">
        <v>74</v>
      </c>
      <c r="AE778" s="1" t="s">
        <v>74</v>
      </c>
      <c r="AF778" s="1" t="s">
        <v>74</v>
      </c>
      <c r="AG778" s="1" t="s">
        <v>74</v>
      </c>
      <c r="AH778" s="1" t="s">
        <v>74</v>
      </c>
      <c r="AI778" s="1" t="s">
        <v>74</v>
      </c>
      <c r="AJ778" s="1" t="s">
        <v>74</v>
      </c>
      <c r="AK778" s="1" t="s">
        <v>74</v>
      </c>
      <c r="AL778" s="1" t="s">
        <v>74</v>
      </c>
      <c r="AM778" s="1" t="s">
        <v>74</v>
      </c>
      <c r="AN778" s="1" t="s">
        <v>74</v>
      </c>
      <c r="AO778" s="1" t="s">
        <v>74</v>
      </c>
      <c r="AP778" s="1" t="s">
        <v>7736</v>
      </c>
      <c r="AQ778" s="1" t="s">
        <v>74</v>
      </c>
      <c r="AR778" s="1" t="s">
        <v>74</v>
      </c>
      <c r="AS778" s="1" t="s">
        <v>74</v>
      </c>
      <c r="AT778" s="1" t="s">
        <v>377</v>
      </c>
      <c r="AU778" s="1">
        <v>2023.0</v>
      </c>
      <c r="AV778" s="1">
        <v>35.0</v>
      </c>
      <c r="AW778" s="1" t="s">
        <v>74</v>
      </c>
      <c r="AX778" s="1" t="s">
        <v>74</v>
      </c>
      <c r="AY778" s="1" t="s">
        <v>74</v>
      </c>
      <c r="AZ778" s="1" t="s">
        <v>74</v>
      </c>
      <c r="BA778" s="1" t="s">
        <v>74</v>
      </c>
      <c r="BB778" s="1" t="s">
        <v>74</v>
      </c>
      <c r="BC778" s="1" t="s">
        <v>74</v>
      </c>
      <c r="BD778" s="1">
        <v>100502.0</v>
      </c>
      <c r="BE778" s="1" t="s">
        <v>7737</v>
      </c>
      <c r="BF778" s="2" t="str">
        <f>HYPERLINK("http://dx.doi.org/10.1016/j.jarmap.2023.100502","http://dx.doi.org/10.1016/j.jarmap.2023.100502")</f>
        <v>http://dx.doi.org/10.1016/j.jarmap.2023.100502</v>
      </c>
      <c r="BG778" s="1" t="s">
        <v>74</v>
      </c>
      <c r="BH778" s="1" t="s">
        <v>1919</v>
      </c>
      <c r="BI778" s="1" t="s">
        <v>74</v>
      </c>
      <c r="BJ778" s="1" t="s">
        <v>74</v>
      </c>
      <c r="BK778" s="1" t="s">
        <v>74</v>
      </c>
      <c r="BL778" s="1" t="s">
        <v>74</v>
      </c>
      <c r="BM778" s="1" t="s">
        <v>74</v>
      </c>
      <c r="BN778" s="1" t="s">
        <v>74</v>
      </c>
      <c r="BO778" s="1" t="s">
        <v>74</v>
      </c>
      <c r="BP778" s="1" t="s">
        <v>74</v>
      </c>
      <c r="BQ778" s="1" t="s">
        <v>74</v>
      </c>
      <c r="BR778" s="1" t="s">
        <v>74</v>
      </c>
      <c r="BS778" s="1" t="s">
        <v>7738</v>
      </c>
      <c r="BT778" s="1" t="str">
        <f>HYPERLINK("https%3A%2F%2Fwww.webofscience.com%2Fwos%2Fwoscc%2Ffull-record%2FWOS:001050059000001","View Full Record in Web of Science")</f>
        <v>View Full Record in Web of Science</v>
      </c>
    </row>
    <row r="779" ht="12.75" customHeight="1">
      <c r="A779" s="1" t="s">
        <v>72</v>
      </c>
      <c r="B779" s="1" t="s">
        <v>7739</v>
      </c>
      <c r="C779" s="1" t="s">
        <v>74</v>
      </c>
      <c r="D779" s="1" t="s">
        <v>74</v>
      </c>
      <c r="E779" s="1" t="s">
        <v>74</v>
      </c>
      <c r="F779" s="1" t="s">
        <v>7740</v>
      </c>
      <c r="G779" s="1" t="s">
        <v>74</v>
      </c>
      <c r="H779" s="1" t="s">
        <v>74</v>
      </c>
      <c r="I779" s="1" t="s">
        <v>7741</v>
      </c>
      <c r="J779" s="1" t="s">
        <v>7742</v>
      </c>
      <c r="K779" s="1" t="s">
        <v>74</v>
      </c>
      <c r="L779" s="1" t="s">
        <v>74</v>
      </c>
      <c r="M779" s="1" t="s">
        <v>74</v>
      </c>
      <c r="N779" s="1" t="s">
        <v>74</v>
      </c>
      <c r="O779" s="1" t="s">
        <v>74</v>
      </c>
      <c r="P779" s="1" t="s">
        <v>74</v>
      </c>
      <c r="Q779" s="1" t="s">
        <v>74</v>
      </c>
      <c r="R779" s="1" t="s">
        <v>74</v>
      </c>
      <c r="S779" s="1" t="s">
        <v>74</v>
      </c>
      <c r="T779" s="1" t="s">
        <v>74</v>
      </c>
      <c r="U779" s="1" t="s">
        <v>74</v>
      </c>
      <c r="V779" s="1" t="s">
        <v>7743</v>
      </c>
      <c r="W779" s="1" t="s">
        <v>74</v>
      </c>
      <c r="X779" s="1" t="s">
        <v>74</v>
      </c>
      <c r="Y779" s="1" t="s">
        <v>74</v>
      </c>
      <c r="Z779" s="1" t="s">
        <v>74</v>
      </c>
      <c r="AA779" s="1" t="s">
        <v>7744</v>
      </c>
      <c r="AB779" s="1" t="s">
        <v>7745</v>
      </c>
      <c r="AC779" s="1" t="s">
        <v>74</v>
      </c>
      <c r="AD779" s="1" t="s">
        <v>74</v>
      </c>
      <c r="AE779" s="1" t="s">
        <v>74</v>
      </c>
      <c r="AF779" s="1" t="s">
        <v>74</v>
      </c>
      <c r="AG779" s="1" t="s">
        <v>74</v>
      </c>
      <c r="AH779" s="1" t="s">
        <v>74</v>
      </c>
      <c r="AI779" s="1" t="s">
        <v>74</v>
      </c>
      <c r="AJ779" s="1" t="s">
        <v>74</v>
      </c>
      <c r="AK779" s="1" t="s">
        <v>74</v>
      </c>
      <c r="AL779" s="1" t="s">
        <v>74</v>
      </c>
      <c r="AM779" s="1" t="s">
        <v>74</v>
      </c>
      <c r="AN779" s="1" t="s">
        <v>74</v>
      </c>
      <c r="AO779" s="1" t="s">
        <v>7746</v>
      </c>
      <c r="AP779" s="1" t="s">
        <v>7747</v>
      </c>
      <c r="AQ779" s="1" t="s">
        <v>74</v>
      </c>
      <c r="AR779" s="1" t="s">
        <v>74</v>
      </c>
      <c r="AS779" s="1" t="s">
        <v>74</v>
      </c>
      <c r="AT779" s="1" t="s">
        <v>191</v>
      </c>
      <c r="AU779" s="1">
        <v>2021.0</v>
      </c>
      <c r="AV779" s="1">
        <v>307.0</v>
      </c>
      <c r="AW779" s="1" t="s">
        <v>74</v>
      </c>
      <c r="AX779" s="1" t="s">
        <v>74</v>
      </c>
      <c r="AY779" s="1" t="s">
        <v>74</v>
      </c>
      <c r="AZ779" s="1" t="s">
        <v>74</v>
      </c>
      <c r="BA779" s="1" t="s">
        <v>74</v>
      </c>
      <c r="BB779" s="1" t="s">
        <v>74</v>
      </c>
      <c r="BC779" s="1" t="s">
        <v>74</v>
      </c>
      <c r="BD779" s="1">
        <v>113768.0</v>
      </c>
      <c r="BE779" s="1" t="s">
        <v>7748</v>
      </c>
      <c r="BF779" s="2" t="str">
        <f>HYPERLINK("http://dx.doi.org/10.1016/j.ygcen.2021.113768","http://dx.doi.org/10.1016/j.ygcen.2021.113768")</f>
        <v>http://dx.doi.org/10.1016/j.ygcen.2021.113768</v>
      </c>
      <c r="BG779" s="1" t="s">
        <v>74</v>
      </c>
      <c r="BH779" s="1" t="s">
        <v>427</v>
      </c>
      <c r="BI779" s="1" t="s">
        <v>74</v>
      </c>
      <c r="BJ779" s="1" t="s">
        <v>74</v>
      </c>
      <c r="BK779" s="1" t="s">
        <v>74</v>
      </c>
      <c r="BL779" s="1" t="s">
        <v>74</v>
      </c>
      <c r="BM779" s="1" t="s">
        <v>74</v>
      </c>
      <c r="BN779" s="1">
        <v>3.3794273E7</v>
      </c>
      <c r="BO779" s="1" t="s">
        <v>74</v>
      </c>
      <c r="BP779" s="1" t="s">
        <v>74</v>
      </c>
      <c r="BQ779" s="1" t="s">
        <v>74</v>
      </c>
      <c r="BR779" s="1" t="s">
        <v>74</v>
      </c>
      <c r="BS779" s="1" t="s">
        <v>7749</v>
      </c>
      <c r="BT779" s="1" t="str">
        <f>HYPERLINK("https%3A%2F%2Fwww.webofscience.com%2Fwos%2Fwoscc%2Ffull-record%2FWOS:000641586300006","View Full Record in Web of Science")</f>
        <v>View Full Record in Web of Science</v>
      </c>
    </row>
    <row r="780" ht="12.75" customHeight="1">
      <c r="A780" s="1" t="s">
        <v>647</v>
      </c>
      <c r="B780" s="1" t="s">
        <v>637</v>
      </c>
      <c r="C780" s="1" t="s">
        <v>74</v>
      </c>
      <c r="D780" s="1" t="s">
        <v>7750</v>
      </c>
      <c r="E780" s="1" t="s">
        <v>74</v>
      </c>
      <c r="F780" s="1" t="s">
        <v>638</v>
      </c>
      <c r="G780" s="1" t="s">
        <v>74</v>
      </c>
      <c r="H780" s="1" t="s">
        <v>74</v>
      </c>
      <c r="I780" s="1" t="s">
        <v>7751</v>
      </c>
      <c r="J780" s="1" t="s">
        <v>7752</v>
      </c>
      <c r="K780" s="1" t="s">
        <v>7753</v>
      </c>
      <c r="L780" s="1" t="s">
        <v>74</v>
      </c>
      <c r="M780" s="1" t="s">
        <v>74</v>
      </c>
      <c r="N780" s="1" t="s">
        <v>74</v>
      </c>
      <c r="O780" s="1" t="s">
        <v>7754</v>
      </c>
      <c r="P780" s="1" t="s">
        <v>7755</v>
      </c>
      <c r="Q780" s="1" t="s">
        <v>7756</v>
      </c>
      <c r="R780" s="1" t="s">
        <v>7757</v>
      </c>
      <c r="S780" s="1" t="s">
        <v>74</v>
      </c>
      <c r="T780" s="1" t="s">
        <v>74</v>
      </c>
      <c r="U780" s="1" t="s">
        <v>74</v>
      </c>
      <c r="V780" s="1" t="s">
        <v>7758</v>
      </c>
      <c r="W780" s="1" t="s">
        <v>74</v>
      </c>
      <c r="X780" s="1" t="s">
        <v>74</v>
      </c>
      <c r="Y780" s="1" t="s">
        <v>74</v>
      </c>
      <c r="Z780" s="1" t="s">
        <v>74</v>
      </c>
      <c r="AA780" s="1" t="s">
        <v>74</v>
      </c>
      <c r="AB780" s="1" t="s">
        <v>74</v>
      </c>
      <c r="AC780" s="1" t="s">
        <v>74</v>
      </c>
      <c r="AD780" s="1" t="s">
        <v>74</v>
      </c>
      <c r="AE780" s="1" t="s">
        <v>74</v>
      </c>
      <c r="AF780" s="1" t="s">
        <v>74</v>
      </c>
      <c r="AG780" s="1" t="s">
        <v>74</v>
      </c>
      <c r="AH780" s="1" t="s">
        <v>74</v>
      </c>
      <c r="AI780" s="1" t="s">
        <v>74</v>
      </c>
      <c r="AJ780" s="1" t="s">
        <v>74</v>
      </c>
      <c r="AK780" s="1" t="s">
        <v>74</v>
      </c>
      <c r="AL780" s="1" t="s">
        <v>74</v>
      </c>
      <c r="AM780" s="1" t="s">
        <v>74</v>
      </c>
      <c r="AN780" s="1" t="s">
        <v>74</v>
      </c>
      <c r="AO780" s="1" t="s">
        <v>7759</v>
      </c>
      <c r="AP780" s="1" t="s">
        <v>7760</v>
      </c>
      <c r="AQ780" s="1" t="s">
        <v>7761</v>
      </c>
      <c r="AR780" s="1" t="s">
        <v>74</v>
      </c>
      <c r="AS780" s="1" t="s">
        <v>74</v>
      </c>
      <c r="AT780" s="1" t="s">
        <v>74</v>
      </c>
      <c r="AU780" s="1">
        <v>2021.0</v>
      </c>
      <c r="AV780" s="1">
        <v>631.0</v>
      </c>
      <c r="AW780" s="1" t="s">
        <v>74</v>
      </c>
      <c r="AX780" s="1" t="s">
        <v>74</v>
      </c>
      <c r="AY780" s="1" t="s">
        <v>74</v>
      </c>
      <c r="AZ780" s="1" t="s">
        <v>74</v>
      </c>
      <c r="BA780" s="1" t="s">
        <v>74</v>
      </c>
      <c r="BB780" s="1">
        <v>663.0</v>
      </c>
      <c r="BC780" s="1">
        <v>672.0</v>
      </c>
      <c r="BD780" s="1" t="s">
        <v>74</v>
      </c>
      <c r="BE780" s="1" t="s">
        <v>7762</v>
      </c>
      <c r="BF780" s="2" t="str">
        <f>HYPERLINK("http://dx.doi.org/10.1007/978-3-030-85902-2_71","http://dx.doi.org/10.1007/978-3-030-85902-2_71")</f>
        <v>http://dx.doi.org/10.1007/978-3-030-85902-2_71</v>
      </c>
      <c r="BG780" s="1" t="s">
        <v>74</v>
      </c>
      <c r="BH780" s="1" t="s">
        <v>74</v>
      </c>
      <c r="BI780" s="1" t="s">
        <v>74</v>
      </c>
      <c r="BJ780" s="1" t="s">
        <v>74</v>
      </c>
      <c r="BK780" s="1" t="s">
        <v>74</v>
      </c>
      <c r="BL780" s="1" t="s">
        <v>74</v>
      </c>
      <c r="BM780" s="1" t="s">
        <v>74</v>
      </c>
      <c r="BN780" s="1" t="s">
        <v>74</v>
      </c>
      <c r="BO780" s="1" t="s">
        <v>74</v>
      </c>
      <c r="BP780" s="1" t="s">
        <v>74</v>
      </c>
      <c r="BQ780" s="1" t="s">
        <v>74</v>
      </c>
      <c r="BR780" s="1" t="s">
        <v>74</v>
      </c>
      <c r="BS780" s="1" t="s">
        <v>7763</v>
      </c>
      <c r="BT780" s="1" t="str">
        <f>HYPERLINK("https%3A%2F%2Fwww.webofscience.com%2Fwos%2Fwoscc%2Ffull-record%2FWOS:000719354900071","View Full Record in Web of Science")</f>
        <v>View Full Record in Web of Science</v>
      </c>
    </row>
    <row r="781" ht="12.75" customHeight="1">
      <c r="A781" s="1" t="s">
        <v>72</v>
      </c>
      <c r="B781" s="1" t="s">
        <v>7764</v>
      </c>
      <c r="C781" s="1" t="s">
        <v>74</v>
      </c>
      <c r="D781" s="1" t="s">
        <v>74</v>
      </c>
      <c r="E781" s="1" t="s">
        <v>74</v>
      </c>
      <c r="F781" s="1" t="s">
        <v>7765</v>
      </c>
      <c r="G781" s="1" t="s">
        <v>74</v>
      </c>
      <c r="H781" s="1" t="s">
        <v>74</v>
      </c>
      <c r="I781" s="1" t="s">
        <v>7766</v>
      </c>
      <c r="J781" s="1" t="s">
        <v>4353</v>
      </c>
      <c r="K781" s="1" t="s">
        <v>74</v>
      </c>
      <c r="L781" s="1" t="s">
        <v>74</v>
      </c>
      <c r="M781" s="1" t="s">
        <v>74</v>
      </c>
      <c r="N781" s="1" t="s">
        <v>74</v>
      </c>
      <c r="O781" s="1" t="s">
        <v>74</v>
      </c>
      <c r="P781" s="1" t="s">
        <v>74</v>
      </c>
      <c r="Q781" s="1" t="s">
        <v>74</v>
      </c>
      <c r="R781" s="1" t="s">
        <v>74</v>
      </c>
      <c r="S781" s="1" t="s">
        <v>74</v>
      </c>
      <c r="T781" s="1" t="s">
        <v>74</v>
      </c>
      <c r="U781" s="1" t="s">
        <v>74</v>
      </c>
      <c r="V781" s="1" t="s">
        <v>7767</v>
      </c>
      <c r="W781" s="1" t="s">
        <v>74</v>
      </c>
      <c r="X781" s="1" t="s">
        <v>74</v>
      </c>
      <c r="Y781" s="1" t="s">
        <v>74</v>
      </c>
      <c r="Z781" s="1" t="s">
        <v>74</v>
      </c>
      <c r="AA781" s="1" t="s">
        <v>7768</v>
      </c>
      <c r="AB781" s="1" t="s">
        <v>7769</v>
      </c>
      <c r="AC781" s="1" t="s">
        <v>74</v>
      </c>
      <c r="AD781" s="1" t="s">
        <v>74</v>
      </c>
      <c r="AE781" s="1" t="s">
        <v>74</v>
      </c>
      <c r="AF781" s="1" t="s">
        <v>74</v>
      </c>
      <c r="AG781" s="1" t="s">
        <v>74</v>
      </c>
      <c r="AH781" s="1" t="s">
        <v>74</v>
      </c>
      <c r="AI781" s="1" t="s">
        <v>74</v>
      </c>
      <c r="AJ781" s="1" t="s">
        <v>74</v>
      </c>
      <c r="AK781" s="1" t="s">
        <v>74</v>
      </c>
      <c r="AL781" s="1" t="s">
        <v>74</v>
      </c>
      <c r="AM781" s="1" t="s">
        <v>74</v>
      </c>
      <c r="AN781" s="1" t="s">
        <v>74</v>
      </c>
      <c r="AO781" s="1" t="s">
        <v>4357</v>
      </c>
      <c r="AP781" s="1" t="s">
        <v>74</v>
      </c>
      <c r="AQ781" s="1" t="s">
        <v>74</v>
      </c>
      <c r="AR781" s="1" t="s">
        <v>74</v>
      </c>
      <c r="AS781" s="1" t="s">
        <v>74</v>
      </c>
      <c r="AT781" s="1" t="s">
        <v>7770</v>
      </c>
      <c r="AU781" s="1">
        <v>2020.0</v>
      </c>
      <c r="AV781" s="1">
        <v>11.0</v>
      </c>
      <c r="AW781" s="1" t="s">
        <v>74</v>
      </c>
      <c r="AX781" s="1" t="s">
        <v>74</v>
      </c>
      <c r="AY781" s="1" t="s">
        <v>74</v>
      </c>
      <c r="AZ781" s="1" t="s">
        <v>74</v>
      </c>
      <c r="BA781" s="1" t="s">
        <v>74</v>
      </c>
      <c r="BB781" s="1" t="s">
        <v>74</v>
      </c>
      <c r="BC781" s="1" t="s">
        <v>74</v>
      </c>
      <c r="BD781" s="1">
        <v>539165.0</v>
      </c>
      <c r="BE781" s="1" t="s">
        <v>7771</v>
      </c>
      <c r="BF781" s="2" t="str">
        <f>HYPERLINK("http://dx.doi.org/10.3389/fpsyg.2020.539165","http://dx.doi.org/10.3389/fpsyg.2020.539165")</f>
        <v>http://dx.doi.org/10.3389/fpsyg.2020.539165</v>
      </c>
      <c r="BG781" s="1" t="s">
        <v>74</v>
      </c>
      <c r="BH781" s="1" t="s">
        <v>74</v>
      </c>
      <c r="BI781" s="1" t="s">
        <v>74</v>
      </c>
      <c r="BJ781" s="1" t="s">
        <v>74</v>
      </c>
      <c r="BK781" s="1" t="s">
        <v>74</v>
      </c>
      <c r="BL781" s="1" t="s">
        <v>74</v>
      </c>
      <c r="BM781" s="1" t="s">
        <v>74</v>
      </c>
      <c r="BN781" s="1">
        <v>3.3117219E7</v>
      </c>
      <c r="BO781" s="1" t="s">
        <v>74</v>
      </c>
      <c r="BP781" s="1" t="s">
        <v>74</v>
      </c>
      <c r="BQ781" s="1" t="s">
        <v>74</v>
      </c>
      <c r="BR781" s="1" t="s">
        <v>74</v>
      </c>
      <c r="BS781" s="1" t="s">
        <v>7772</v>
      </c>
      <c r="BT781" s="1" t="str">
        <f>HYPERLINK("https%3A%2F%2Fwww.webofscience.com%2Fwos%2Fwoscc%2Ffull-record%2FWOS:000578734200001","View Full Record in Web of Science")</f>
        <v>View Full Record in Web of Science</v>
      </c>
    </row>
    <row r="782" ht="12.75" customHeight="1">
      <c r="A782" s="1" t="s">
        <v>72</v>
      </c>
      <c r="B782" s="1" t="s">
        <v>7773</v>
      </c>
      <c r="C782" s="1" t="s">
        <v>74</v>
      </c>
      <c r="D782" s="1" t="s">
        <v>74</v>
      </c>
      <c r="E782" s="1" t="s">
        <v>74</v>
      </c>
      <c r="F782" s="1" t="s">
        <v>7774</v>
      </c>
      <c r="G782" s="1" t="s">
        <v>74</v>
      </c>
      <c r="H782" s="1" t="s">
        <v>74</v>
      </c>
      <c r="I782" s="1" t="s">
        <v>7775</v>
      </c>
      <c r="J782" s="1" t="s">
        <v>383</v>
      </c>
      <c r="K782" s="1" t="s">
        <v>74</v>
      </c>
      <c r="L782" s="1" t="s">
        <v>74</v>
      </c>
      <c r="M782" s="1" t="s">
        <v>74</v>
      </c>
      <c r="N782" s="1" t="s">
        <v>74</v>
      </c>
      <c r="O782" s="1" t="s">
        <v>74</v>
      </c>
      <c r="P782" s="1" t="s">
        <v>74</v>
      </c>
      <c r="Q782" s="1" t="s">
        <v>74</v>
      </c>
      <c r="R782" s="1" t="s">
        <v>74</v>
      </c>
      <c r="S782" s="1" t="s">
        <v>74</v>
      </c>
      <c r="T782" s="1" t="s">
        <v>74</v>
      </c>
      <c r="U782" s="1" t="s">
        <v>74</v>
      </c>
      <c r="V782" s="1" t="s">
        <v>7776</v>
      </c>
      <c r="W782" s="1" t="s">
        <v>74</v>
      </c>
      <c r="X782" s="1" t="s">
        <v>74</v>
      </c>
      <c r="Y782" s="1" t="s">
        <v>74</v>
      </c>
      <c r="Z782" s="1" t="s">
        <v>74</v>
      </c>
      <c r="AA782" s="1" t="s">
        <v>7777</v>
      </c>
      <c r="AB782" s="1" t="s">
        <v>7778</v>
      </c>
      <c r="AC782" s="1" t="s">
        <v>74</v>
      </c>
      <c r="AD782" s="1" t="s">
        <v>74</v>
      </c>
      <c r="AE782" s="1" t="s">
        <v>74</v>
      </c>
      <c r="AF782" s="1" t="s">
        <v>74</v>
      </c>
      <c r="AG782" s="1" t="s">
        <v>74</v>
      </c>
      <c r="AH782" s="1" t="s">
        <v>74</v>
      </c>
      <c r="AI782" s="1" t="s">
        <v>74</v>
      </c>
      <c r="AJ782" s="1" t="s">
        <v>74</v>
      </c>
      <c r="AK782" s="1" t="s">
        <v>74</v>
      </c>
      <c r="AL782" s="1" t="s">
        <v>74</v>
      </c>
      <c r="AM782" s="1" t="s">
        <v>74</v>
      </c>
      <c r="AN782" s="1" t="s">
        <v>74</v>
      </c>
      <c r="AO782" s="1" t="s">
        <v>387</v>
      </c>
      <c r="AP782" s="1" t="s">
        <v>74</v>
      </c>
      <c r="AQ782" s="1" t="s">
        <v>74</v>
      </c>
      <c r="AR782" s="1" t="s">
        <v>74</v>
      </c>
      <c r="AS782" s="1" t="s">
        <v>74</v>
      </c>
      <c r="AT782" s="1" t="s">
        <v>7779</v>
      </c>
      <c r="AU782" s="1">
        <v>2019.0</v>
      </c>
      <c r="AV782" s="1">
        <v>9.0</v>
      </c>
      <c r="AW782" s="1" t="s">
        <v>74</v>
      </c>
      <c r="AX782" s="1" t="s">
        <v>74</v>
      </c>
      <c r="AY782" s="1" t="s">
        <v>74</v>
      </c>
      <c r="AZ782" s="1" t="s">
        <v>74</v>
      </c>
      <c r="BA782" s="1" t="s">
        <v>74</v>
      </c>
      <c r="BB782" s="1" t="s">
        <v>74</v>
      </c>
      <c r="BC782" s="1" t="s">
        <v>74</v>
      </c>
      <c r="BD782" s="1">
        <v>16945.0</v>
      </c>
      <c r="BE782" s="1" t="s">
        <v>7780</v>
      </c>
      <c r="BF782" s="2" t="str">
        <f>HYPERLINK("http://dx.doi.org/10.1038/s41598-019-53486-7","http://dx.doi.org/10.1038/s41598-019-53486-7")</f>
        <v>http://dx.doi.org/10.1038/s41598-019-53486-7</v>
      </c>
      <c r="BG782" s="1" t="s">
        <v>74</v>
      </c>
      <c r="BH782" s="1" t="s">
        <v>74</v>
      </c>
      <c r="BI782" s="1" t="s">
        <v>74</v>
      </c>
      <c r="BJ782" s="1" t="s">
        <v>74</v>
      </c>
      <c r="BK782" s="1" t="s">
        <v>74</v>
      </c>
      <c r="BL782" s="1" t="s">
        <v>74</v>
      </c>
      <c r="BM782" s="1" t="s">
        <v>74</v>
      </c>
      <c r="BN782" s="1">
        <v>3.1740708E7</v>
      </c>
      <c r="BO782" s="1" t="s">
        <v>74</v>
      </c>
      <c r="BP782" s="1" t="s">
        <v>74</v>
      </c>
      <c r="BQ782" s="1" t="s">
        <v>74</v>
      </c>
      <c r="BR782" s="1" t="s">
        <v>74</v>
      </c>
      <c r="BS782" s="1" t="s">
        <v>7781</v>
      </c>
      <c r="BT782" s="1" t="str">
        <f>HYPERLINK("https%3A%2F%2Fwww.webofscience.com%2Fwos%2Fwoscc%2Ffull-record%2FWOS:000496920900001","View Full Record in Web of Science")</f>
        <v>View Full Record in Web of Science</v>
      </c>
    </row>
    <row r="783" ht="12.75" customHeight="1">
      <c r="A783" s="1" t="s">
        <v>72</v>
      </c>
      <c r="B783" s="1" t="s">
        <v>7782</v>
      </c>
      <c r="C783" s="1" t="s">
        <v>74</v>
      </c>
      <c r="D783" s="1" t="s">
        <v>74</v>
      </c>
      <c r="E783" s="1" t="s">
        <v>74</v>
      </c>
      <c r="F783" s="1" t="s">
        <v>7783</v>
      </c>
      <c r="G783" s="1" t="s">
        <v>74</v>
      </c>
      <c r="H783" s="1" t="s">
        <v>74</v>
      </c>
      <c r="I783" s="1" t="s">
        <v>7784</v>
      </c>
      <c r="J783" s="1" t="s">
        <v>1954</v>
      </c>
      <c r="K783" s="1" t="s">
        <v>74</v>
      </c>
      <c r="L783" s="1" t="s">
        <v>74</v>
      </c>
      <c r="M783" s="1" t="s">
        <v>74</v>
      </c>
      <c r="N783" s="1" t="s">
        <v>74</v>
      </c>
      <c r="O783" s="1" t="s">
        <v>74</v>
      </c>
      <c r="P783" s="1" t="s">
        <v>74</v>
      </c>
      <c r="Q783" s="1" t="s">
        <v>74</v>
      </c>
      <c r="R783" s="1" t="s">
        <v>74</v>
      </c>
      <c r="S783" s="1" t="s">
        <v>74</v>
      </c>
      <c r="T783" s="1" t="s">
        <v>74</v>
      </c>
      <c r="U783" s="1" t="s">
        <v>74</v>
      </c>
      <c r="V783" s="1" t="s">
        <v>7785</v>
      </c>
      <c r="W783" s="1" t="s">
        <v>74</v>
      </c>
      <c r="X783" s="1" t="s">
        <v>74</v>
      </c>
      <c r="Y783" s="1" t="s">
        <v>74</v>
      </c>
      <c r="Z783" s="1" t="s">
        <v>74</v>
      </c>
      <c r="AA783" s="1" t="s">
        <v>7786</v>
      </c>
      <c r="AB783" s="1" t="s">
        <v>7787</v>
      </c>
      <c r="AC783" s="1" t="s">
        <v>74</v>
      </c>
      <c r="AD783" s="1" t="s">
        <v>74</v>
      </c>
      <c r="AE783" s="1" t="s">
        <v>74</v>
      </c>
      <c r="AF783" s="1" t="s">
        <v>74</v>
      </c>
      <c r="AG783" s="1" t="s">
        <v>74</v>
      </c>
      <c r="AH783" s="1" t="s">
        <v>74</v>
      </c>
      <c r="AI783" s="1" t="s">
        <v>74</v>
      </c>
      <c r="AJ783" s="1" t="s">
        <v>74</v>
      </c>
      <c r="AK783" s="1" t="s">
        <v>74</v>
      </c>
      <c r="AL783" s="1" t="s">
        <v>74</v>
      </c>
      <c r="AM783" s="1" t="s">
        <v>74</v>
      </c>
      <c r="AN783" s="1" t="s">
        <v>74</v>
      </c>
      <c r="AO783" s="1" t="s">
        <v>1958</v>
      </c>
      <c r="AP783" s="1" t="s">
        <v>1959</v>
      </c>
      <c r="AQ783" s="1" t="s">
        <v>74</v>
      </c>
      <c r="AR783" s="1" t="s">
        <v>74</v>
      </c>
      <c r="AS783" s="1" t="s">
        <v>74</v>
      </c>
      <c r="AT783" s="1" t="s">
        <v>250</v>
      </c>
      <c r="AU783" s="1">
        <v>2019.0</v>
      </c>
      <c r="AV783" s="1">
        <v>37.0</v>
      </c>
      <c r="AW783" s="1">
        <v>3.0</v>
      </c>
      <c r="AX783" s="1" t="s">
        <v>74</v>
      </c>
      <c r="AY783" s="1" t="s">
        <v>74</v>
      </c>
      <c r="AZ783" s="1" t="s">
        <v>74</v>
      </c>
      <c r="BA783" s="1" t="s">
        <v>74</v>
      </c>
      <c r="BB783" s="1">
        <v>908.0</v>
      </c>
      <c r="BC783" s="1">
        <v>911.0</v>
      </c>
      <c r="BD783" s="1" t="s">
        <v>74</v>
      </c>
      <c r="BE783" s="1" t="s">
        <v>7788</v>
      </c>
      <c r="BF783" s="2" t="str">
        <f>HYPERLINK("http://dx.doi.org/10.4067/S0717-95022019000300908","http://dx.doi.org/10.4067/S0717-95022019000300908")</f>
        <v>http://dx.doi.org/10.4067/S0717-95022019000300908</v>
      </c>
      <c r="BG783" s="1" t="s">
        <v>74</v>
      </c>
      <c r="BH783" s="1" t="s">
        <v>74</v>
      </c>
      <c r="BI783" s="1" t="s">
        <v>74</v>
      </c>
      <c r="BJ783" s="1" t="s">
        <v>74</v>
      </c>
      <c r="BK783" s="1" t="s">
        <v>74</v>
      </c>
      <c r="BL783" s="1" t="s">
        <v>74</v>
      </c>
      <c r="BM783" s="1" t="s">
        <v>74</v>
      </c>
      <c r="BN783" s="1" t="s">
        <v>74</v>
      </c>
      <c r="BO783" s="1" t="s">
        <v>74</v>
      </c>
      <c r="BP783" s="1" t="s">
        <v>74</v>
      </c>
      <c r="BQ783" s="1" t="s">
        <v>74</v>
      </c>
      <c r="BR783" s="1" t="s">
        <v>74</v>
      </c>
      <c r="BS783" s="1" t="s">
        <v>7789</v>
      </c>
      <c r="BT783" s="1" t="str">
        <f>HYPERLINK("https%3A%2F%2Fwww.webofscience.com%2Fwos%2Fwoscc%2Ffull-record%2FWOS:000476478000021","View Full Record in Web of Science")</f>
        <v>View Full Record in Web of Science</v>
      </c>
    </row>
    <row r="784" ht="12.75" customHeight="1">
      <c r="A784" s="1" t="s">
        <v>72</v>
      </c>
      <c r="B784" s="1" t="s">
        <v>7790</v>
      </c>
      <c r="C784" s="1" t="s">
        <v>74</v>
      </c>
      <c r="D784" s="1" t="s">
        <v>74</v>
      </c>
      <c r="E784" s="1" t="s">
        <v>74</v>
      </c>
      <c r="F784" s="1" t="s">
        <v>7791</v>
      </c>
      <c r="G784" s="1" t="s">
        <v>74</v>
      </c>
      <c r="H784" s="1" t="s">
        <v>74</v>
      </c>
      <c r="I784" s="1" t="s">
        <v>7792</v>
      </c>
      <c r="J784" s="1" t="s">
        <v>3838</v>
      </c>
      <c r="K784" s="1" t="s">
        <v>74</v>
      </c>
      <c r="L784" s="1" t="s">
        <v>74</v>
      </c>
      <c r="M784" s="1" t="s">
        <v>74</v>
      </c>
      <c r="N784" s="1" t="s">
        <v>74</v>
      </c>
      <c r="O784" s="1" t="s">
        <v>74</v>
      </c>
      <c r="P784" s="1" t="s">
        <v>74</v>
      </c>
      <c r="Q784" s="1" t="s">
        <v>74</v>
      </c>
      <c r="R784" s="1" t="s">
        <v>74</v>
      </c>
      <c r="S784" s="1" t="s">
        <v>74</v>
      </c>
      <c r="T784" s="1" t="s">
        <v>74</v>
      </c>
      <c r="U784" s="1" t="s">
        <v>74</v>
      </c>
      <c r="V784" s="1" t="s">
        <v>7793</v>
      </c>
      <c r="W784" s="1" t="s">
        <v>74</v>
      </c>
      <c r="X784" s="1" t="s">
        <v>74</v>
      </c>
      <c r="Y784" s="1" t="s">
        <v>74</v>
      </c>
      <c r="Z784" s="1" t="s">
        <v>74</v>
      </c>
      <c r="AA784" s="1" t="s">
        <v>7794</v>
      </c>
      <c r="AB784" s="1" t="s">
        <v>7795</v>
      </c>
      <c r="AC784" s="1" t="s">
        <v>74</v>
      </c>
      <c r="AD784" s="1" t="s">
        <v>74</v>
      </c>
      <c r="AE784" s="1" t="s">
        <v>74</v>
      </c>
      <c r="AF784" s="1" t="s">
        <v>74</v>
      </c>
      <c r="AG784" s="1" t="s">
        <v>74</v>
      </c>
      <c r="AH784" s="1" t="s">
        <v>74</v>
      </c>
      <c r="AI784" s="1" t="s">
        <v>74</v>
      </c>
      <c r="AJ784" s="1" t="s">
        <v>74</v>
      </c>
      <c r="AK784" s="1" t="s">
        <v>74</v>
      </c>
      <c r="AL784" s="1" t="s">
        <v>74</v>
      </c>
      <c r="AM784" s="1" t="s">
        <v>74</v>
      </c>
      <c r="AN784" s="1" t="s">
        <v>74</v>
      </c>
      <c r="AO784" s="1" t="s">
        <v>74</v>
      </c>
      <c r="AP784" s="1" t="s">
        <v>3842</v>
      </c>
      <c r="AQ784" s="1" t="s">
        <v>74</v>
      </c>
      <c r="AR784" s="1" t="s">
        <v>74</v>
      </c>
      <c r="AS784" s="1" t="s">
        <v>74</v>
      </c>
      <c r="AT784" s="1" t="s">
        <v>7796</v>
      </c>
      <c r="AU784" s="1">
        <v>2019.0</v>
      </c>
      <c r="AV784" s="1">
        <v>12.0</v>
      </c>
      <c r="AW784" s="1">
        <v>12.0</v>
      </c>
      <c r="AX784" s="1" t="s">
        <v>74</v>
      </c>
      <c r="AY784" s="1" t="s">
        <v>74</v>
      </c>
      <c r="AZ784" s="1" t="s">
        <v>74</v>
      </c>
      <c r="BA784" s="1" t="s">
        <v>74</v>
      </c>
      <c r="BB784" s="1" t="s">
        <v>74</v>
      </c>
      <c r="BC784" s="1" t="s">
        <v>74</v>
      </c>
      <c r="BD784" s="1">
        <v>2325.0</v>
      </c>
      <c r="BE784" s="1" t="s">
        <v>7797</v>
      </c>
      <c r="BF784" s="2" t="str">
        <f>HYPERLINK("http://dx.doi.org/10.3390/en12122325","http://dx.doi.org/10.3390/en12122325")</f>
        <v>http://dx.doi.org/10.3390/en12122325</v>
      </c>
      <c r="BG784" s="1" t="s">
        <v>74</v>
      </c>
      <c r="BH784" s="1" t="s">
        <v>74</v>
      </c>
      <c r="BI784" s="1" t="s">
        <v>74</v>
      </c>
      <c r="BJ784" s="1" t="s">
        <v>74</v>
      </c>
      <c r="BK784" s="1" t="s">
        <v>74</v>
      </c>
      <c r="BL784" s="1" t="s">
        <v>74</v>
      </c>
      <c r="BM784" s="1" t="s">
        <v>74</v>
      </c>
      <c r="BN784" s="1" t="s">
        <v>74</v>
      </c>
      <c r="BO784" s="1" t="s">
        <v>74</v>
      </c>
      <c r="BP784" s="1" t="s">
        <v>74</v>
      </c>
      <c r="BQ784" s="1" t="s">
        <v>74</v>
      </c>
      <c r="BR784" s="1" t="s">
        <v>74</v>
      </c>
      <c r="BS784" s="1" t="s">
        <v>7798</v>
      </c>
      <c r="BT784" s="1" t="str">
        <f>HYPERLINK("https%3A%2F%2Fwww.webofscience.com%2Fwos%2Fwoscc%2Ffull-record%2FWOS:000473821400098","View Full Record in Web of Science")</f>
        <v>View Full Record in Web of Science</v>
      </c>
    </row>
    <row r="785" ht="12.75" customHeight="1">
      <c r="A785" s="1" t="s">
        <v>72</v>
      </c>
      <c r="B785" s="1" t="s">
        <v>7799</v>
      </c>
      <c r="C785" s="1" t="s">
        <v>74</v>
      </c>
      <c r="D785" s="1" t="s">
        <v>74</v>
      </c>
      <c r="E785" s="1" t="s">
        <v>74</v>
      </c>
      <c r="F785" s="1" t="s">
        <v>7800</v>
      </c>
      <c r="G785" s="1" t="s">
        <v>74</v>
      </c>
      <c r="H785" s="1" t="s">
        <v>74</v>
      </c>
      <c r="I785" s="1" t="s">
        <v>7801</v>
      </c>
      <c r="J785" s="1" t="s">
        <v>383</v>
      </c>
      <c r="K785" s="1" t="s">
        <v>74</v>
      </c>
      <c r="L785" s="1" t="s">
        <v>74</v>
      </c>
      <c r="M785" s="1" t="s">
        <v>74</v>
      </c>
      <c r="N785" s="1" t="s">
        <v>74</v>
      </c>
      <c r="O785" s="1" t="s">
        <v>74</v>
      </c>
      <c r="P785" s="1" t="s">
        <v>74</v>
      </c>
      <c r="Q785" s="1" t="s">
        <v>74</v>
      </c>
      <c r="R785" s="1" t="s">
        <v>74</v>
      </c>
      <c r="S785" s="1" t="s">
        <v>74</v>
      </c>
      <c r="T785" s="1" t="s">
        <v>74</v>
      </c>
      <c r="U785" s="1" t="s">
        <v>74</v>
      </c>
      <c r="V785" s="1" t="s">
        <v>7802</v>
      </c>
      <c r="W785" s="1" t="s">
        <v>74</v>
      </c>
      <c r="X785" s="1" t="s">
        <v>74</v>
      </c>
      <c r="Y785" s="1" t="s">
        <v>74</v>
      </c>
      <c r="Z785" s="1" t="s">
        <v>74</v>
      </c>
      <c r="AA785" s="1" t="s">
        <v>7803</v>
      </c>
      <c r="AB785" s="1" t="s">
        <v>7804</v>
      </c>
      <c r="AC785" s="1" t="s">
        <v>74</v>
      </c>
      <c r="AD785" s="1" t="s">
        <v>74</v>
      </c>
      <c r="AE785" s="1" t="s">
        <v>74</v>
      </c>
      <c r="AF785" s="1" t="s">
        <v>74</v>
      </c>
      <c r="AG785" s="1" t="s">
        <v>74</v>
      </c>
      <c r="AH785" s="1" t="s">
        <v>74</v>
      </c>
      <c r="AI785" s="1" t="s">
        <v>74</v>
      </c>
      <c r="AJ785" s="1" t="s">
        <v>74</v>
      </c>
      <c r="AK785" s="1" t="s">
        <v>74</v>
      </c>
      <c r="AL785" s="1" t="s">
        <v>74</v>
      </c>
      <c r="AM785" s="1" t="s">
        <v>74</v>
      </c>
      <c r="AN785" s="1" t="s">
        <v>74</v>
      </c>
      <c r="AO785" s="1" t="s">
        <v>387</v>
      </c>
      <c r="AP785" s="1" t="s">
        <v>74</v>
      </c>
      <c r="AQ785" s="1" t="s">
        <v>74</v>
      </c>
      <c r="AR785" s="1" t="s">
        <v>74</v>
      </c>
      <c r="AS785" s="1" t="s">
        <v>74</v>
      </c>
      <c r="AT785" s="1" t="s">
        <v>7805</v>
      </c>
      <c r="AU785" s="1">
        <v>2018.0</v>
      </c>
      <c r="AV785" s="1">
        <v>8.0</v>
      </c>
      <c r="AW785" s="1" t="s">
        <v>74</v>
      </c>
      <c r="AX785" s="1" t="s">
        <v>74</v>
      </c>
      <c r="AY785" s="1" t="s">
        <v>74</v>
      </c>
      <c r="AZ785" s="1" t="s">
        <v>74</v>
      </c>
      <c r="BA785" s="1" t="s">
        <v>74</v>
      </c>
      <c r="BB785" s="1" t="s">
        <v>74</v>
      </c>
      <c r="BC785" s="1" t="s">
        <v>74</v>
      </c>
      <c r="BD785" s="1">
        <v>6280.0</v>
      </c>
      <c r="BE785" s="1" t="s">
        <v>7806</v>
      </c>
      <c r="BF785" s="2" t="str">
        <f>HYPERLINK("http://dx.doi.org/10.1038/s41598-018-24582-x","http://dx.doi.org/10.1038/s41598-018-24582-x")</f>
        <v>http://dx.doi.org/10.1038/s41598-018-24582-x</v>
      </c>
      <c r="BG785" s="1" t="s">
        <v>74</v>
      </c>
      <c r="BH785" s="1" t="s">
        <v>74</v>
      </c>
      <c r="BI785" s="1" t="s">
        <v>74</v>
      </c>
      <c r="BJ785" s="1" t="s">
        <v>74</v>
      </c>
      <c r="BK785" s="1" t="s">
        <v>74</v>
      </c>
      <c r="BL785" s="1" t="s">
        <v>74</v>
      </c>
      <c r="BM785" s="1" t="s">
        <v>74</v>
      </c>
      <c r="BN785" s="1">
        <v>2.9674646E7</v>
      </c>
      <c r="BO785" s="1" t="s">
        <v>74</v>
      </c>
      <c r="BP785" s="1" t="s">
        <v>74</v>
      </c>
      <c r="BQ785" s="1" t="s">
        <v>74</v>
      </c>
      <c r="BR785" s="1" t="s">
        <v>74</v>
      </c>
      <c r="BS785" s="1" t="s">
        <v>7807</v>
      </c>
      <c r="BT785" s="1" t="str">
        <f>HYPERLINK("https%3A%2F%2Fwww.webofscience.com%2Fwos%2Fwoscc%2Ffull-record%2FWOS:000430382700018","View Full Record in Web of Science")</f>
        <v>View Full Record in Web of Science</v>
      </c>
    </row>
    <row r="786" ht="12.75" customHeight="1">
      <c r="A786" s="1" t="s">
        <v>72</v>
      </c>
      <c r="B786" s="1" t="s">
        <v>7808</v>
      </c>
      <c r="C786" s="1" t="s">
        <v>74</v>
      </c>
      <c r="D786" s="1" t="s">
        <v>74</v>
      </c>
      <c r="E786" s="1" t="s">
        <v>74</v>
      </c>
      <c r="F786" s="1" t="s">
        <v>7809</v>
      </c>
      <c r="G786" s="1" t="s">
        <v>74</v>
      </c>
      <c r="H786" s="1" t="s">
        <v>74</v>
      </c>
      <c r="I786" s="1" t="s">
        <v>7810</v>
      </c>
      <c r="J786" s="1" t="s">
        <v>7811</v>
      </c>
      <c r="K786" s="1" t="s">
        <v>74</v>
      </c>
      <c r="L786" s="1" t="s">
        <v>74</v>
      </c>
      <c r="M786" s="1" t="s">
        <v>74</v>
      </c>
      <c r="N786" s="1" t="s">
        <v>74</v>
      </c>
      <c r="O786" s="1" t="s">
        <v>74</v>
      </c>
      <c r="P786" s="1" t="s">
        <v>74</v>
      </c>
      <c r="Q786" s="1" t="s">
        <v>74</v>
      </c>
      <c r="R786" s="1" t="s">
        <v>74</v>
      </c>
      <c r="S786" s="1" t="s">
        <v>74</v>
      </c>
      <c r="T786" s="1" t="s">
        <v>74</v>
      </c>
      <c r="U786" s="1" t="s">
        <v>74</v>
      </c>
      <c r="V786" s="1" t="s">
        <v>7812</v>
      </c>
      <c r="W786" s="1" t="s">
        <v>74</v>
      </c>
      <c r="X786" s="1" t="s">
        <v>74</v>
      </c>
      <c r="Y786" s="1" t="s">
        <v>74</v>
      </c>
      <c r="Z786" s="1" t="s">
        <v>74</v>
      </c>
      <c r="AA786" s="1" t="s">
        <v>7813</v>
      </c>
      <c r="AB786" s="1" t="s">
        <v>7814</v>
      </c>
      <c r="AC786" s="1" t="s">
        <v>74</v>
      </c>
      <c r="AD786" s="1" t="s">
        <v>74</v>
      </c>
      <c r="AE786" s="1" t="s">
        <v>74</v>
      </c>
      <c r="AF786" s="1" t="s">
        <v>74</v>
      </c>
      <c r="AG786" s="1" t="s">
        <v>74</v>
      </c>
      <c r="AH786" s="1" t="s">
        <v>74</v>
      </c>
      <c r="AI786" s="1" t="s">
        <v>74</v>
      </c>
      <c r="AJ786" s="1" t="s">
        <v>74</v>
      </c>
      <c r="AK786" s="1" t="s">
        <v>74</v>
      </c>
      <c r="AL786" s="1" t="s">
        <v>74</v>
      </c>
      <c r="AM786" s="1" t="s">
        <v>74</v>
      </c>
      <c r="AN786" s="1" t="s">
        <v>74</v>
      </c>
      <c r="AO786" s="1" t="s">
        <v>7815</v>
      </c>
      <c r="AP786" s="1" t="s">
        <v>7816</v>
      </c>
      <c r="AQ786" s="1" t="s">
        <v>74</v>
      </c>
      <c r="AR786" s="1" t="s">
        <v>74</v>
      </c>
      <c r="AS786" s="1" t="s">
        <v>74</v>
      </c>
      <c r="AT786" s="1" t="s">
        <v>438</v>
      </c>
      <c r="AU786" s="1">
        <v>2017.0</v>
      </c>
      <c r="AV786" s="1">
        <v>41.0</v>
      </c>
      <c r="AW786" s="1">
        <v>4.0</v>
      </c>
      <c r="AX786" s="1" t="s">
        <v>74</v>
      </c>
      <c r="AY786" s="1" t="s">
        <v>74</v>
      </c>
      <c r="AZ786" s="1" t="s">
        <v>74</v>
      </c>
      <c r="BA786" s="1" t="s">
        <v>74</v>
      </c>
      <c r="BB786" s="1">
        <v>475.0</v>
      </c>
      <c r="BC786" s="1">
        <v>482.0</v>
      </c>
      <c r="BD786" s="1" t="s">
        <v>74</v>
      </c>
      <c r="BE786" s="1" t="s">
        <v>7817</v>
      </c>
      <c r="BF786" s="2" t="str">
        <f>HYPERLINK("http://dx.doi.org/10.1038/ijo.2016.230","http://dx.doi.org/10.1038/ijo.2016.230")</f>
        <v>http://dx.doi.org/10.1038/ijo.2016.230</v>
      </c>
      <c r="BG786" s="1" t="s">
        <v>74</v>
      </c>
      <c r="BH786" s="1" t="s">
        <v>74</v>
      </c>
      <c r="BI786" s="1" t="s">
        <v>74</v>
      </c>
      <c r="BJ786" s="1" t="s">
        <v>74</v>
      </c>
      <c r="BK786" s="1" t="s">
        <v>74</v>
      </c>
      <c r="BL786" s="1" t="s">
        <v>74</v>
      </c>
      <c r="BM786" s="1" t="s">
        <v>74</v>
      </c>
      <c r="BN786" s="1">
        <v>2.8017965E7</v>
      </c>
      <c r="BO786" s="1" t="s">
        <v>74</v>
      </c>
      <c r="BP786" s="1" t="s">
        <v>74</v>
      </c>
      <c r="BQ786" s="1" t="s">
        <v>74</v>
      </c>
      <c r="BR786" s="1" t="s">
        <v>74</v>
      </c>
      <c r="BS786" s="1" t="s">
        <v>7818</v>
      </c>
      <c r="BT786" s="1" t="str">
        <f>HYPERLINK("https%3A%2F%2Fwww.webofscience.com%2Fwos%2Fwoscc%2Ffull-record%2FWOS:000399342200001","View Full Record in Web of Science")</f>
        <v>View Full Record in Web of Science</v>
      </c>
    </row>
    <row r="787" ht="12.75" customHeight="1">
      <c r="A787" s="1" t="s">
        <v>72</v>
      </c>
      <c r="B787" s="1" t="s">
        <v>7819</v>
      </c>
      <c r="C787" s="1" t="s">
        <v>74</v>
      </c>
      <c r="D787" s="1" t="s">
        <v>74</v>
      </c>
      <c r="E787" s="1" t="s">
        <v>74</v>
      </c>
      <c r="F787" s="1" t="s">
        <v>7820</v>
      </c>
      <c r="G787" s="1" t="s">
        <v>74</v>
      </c>
      <c r="H787" s="1" t="s">
        <v>74</v>
      </c>
      <c r="I787" s="1" t="s">
        <v>7821</v>
      </c>
      <c r="J787" s="1" t="s">
        <v>7822</v>
      </c>
      <c r="K787" s="1" t="s">
        <v>74</v>
      </c>
      <c r="L787" s="1" t="s">
        <v>74</v>
      </c>
      <c r="M787" s="1" t="s">
        <v>74</v>
      </c>
      <c r="N787" s="1" t="s">
        <v>74</v>
      </c>
      <c r="O787" s="1" t="s">
        <v>74</v>
      </c>
      <c r="P787" s="1" t="s">
        <v>74</v>
      </c>
      <c r="Q787" s="1" t="s">
        <v>74</v>
      </c>
      <c r="R787" s="1" t="s">
        <v>74</v>
      </c>
      <c r="S787" s="1" t="s">
        <v>74</v>
      </c>
      <c r="T787" s="1" t="s">
        <v>74</v>
      </c>
      <c r="U787" s="1" t="s">
        <v>74</v>
      </c>
      <c r="V787" s="1" t="s">
        <v>7823</v>
      </c>
      <c r="W787" s="1" t="s">
        <v>74</v>
      </c>
      <c r="X787" s="1" t="s">
        <v>74</v>
      </c>
      <c r="Y787" s="1" t="s">
        <v>74</v>
      </c>
      <c r="Z787" s="1" t="s">
        <v>74</v>
      </c>
      <c r="AA787" s="1" t="s">
        <v>7824</v>
      </c>
      <c r="AB787" s="1" t="s">
        <v>7825</v>
      </c>
      <c r="AC787" s="1" t="s">
        <v>74</v>
      </c>
      <c r="AD787" s="1" t="s">
        <v>74</v>
      </c>
      <c r="AE787" s="1" t="s">
        <v>74</v>
      </c>
      <c r="AF787" s="1" t="s">
        <v>74</v>
      </c>
      <c r="AG787" s="1" t="s">
        <v>74</v>
      </c>
      <c r="AH787" s="1" t="s">
        <v>74</v>
      </c>
      <c r="AI787" s="1" t="s">
        <v>74</v>
      </c>
      <c r="AJ787" s="1" t="s">
        <v>74</v>
      </c>
      <c r="AK787" s="1" t="s">
        <v>74</v>
      </c>
      <c r="AL787" s="1" t="s">
        <v>74</v>
      </c>
      <c r="AM787" s="1" t="s">
        <v>74</v>
      </c>
      <c r="AN787" s="1" t="s">
        <v>74</v>
      </c>
      <c r="AO787" s="1" t="s">
        <v>7826</v>
      </c>
      <c r="AP787" s="1" t="s">
        <v>74</v>
      </c>
      <c r="AQ787" s="1" t="s">
        <v>74</v>
      </c>
      <c r="AR787" s="1" t="s">
        <v>74</v>
      </c>
      <c r="AS787" s="1" t="s">
        <v>74</v>
      </c>
      <c r="AT787" s="1" t="s">
        <v>74</v>
      </c>
      <c r="AU787" s="1">
        <v>2016.0</v>
      </c>
      <c r="AV787" s="1">
        <v>66.0</v>
      </c>
      <c r="AW787" s="1">
        <v>3.0</v>
      </c>
      <c r="AX787" s="1" t="s">
        <v>74</v>
      </c>
      <c r="AY787" s="1" t="s">
        <v>74</v>
      </c>
      <c r="AZ787" s="1" t="s">
        <v>74</v>
      </c>
      <c r="BA787" s="1" t="s">
        <v>74</v>
      </c>
      <c r="BB787" s="1">
        <v>397.0</v>
      </c>
      <c r="BC787" s="1">
        <v>410.0</v>
      </c>
      <c r="BD787" s="1" t="s">
        <v>74</v>
      </c>
      <c r="BE787" s="1" t="s">
        <v>74</v>
      </c>
      <c r="BF787" s="1" t="s">
        <v>74</v>
      </c>
      <c r="BG787" s="1" t="s">
        <v>74</v>
      </c>
      <c r="BH787" s="1" t="s">
        <v>74</v>
      </c>
      <c r="BI787" s="1" t="s">
        <v>74</v>
      </c>
      <c r="BJ787" s="1" t="s">
        <v>74</v>
      </c>
      <c r="BK787" s="1" t="s">
        <v>74</v>
      </c>
      <c r="BL787" s="1" t="s">
        <v>74</v>
      </c>
      <c r="BM787" s="1" t="s">
        <v>74</v>
      </c>
      <c r="BN787" s="1" t="s">
        <v>74</v>
      </c>
      <c r="BO787" s="1" t="s">
        <v>74</v>
      </c>
      <c r="BP787" s="1" t="s">
        <v>74</v>
      </c>
      <c r="BQ787" s="1" t="s">
        <v>74</v>
      </c>
      <c r="BR787" s="1" t="s">
        <v>74</v>
      </c>
      <c r="BS787" s="1" t="s">
        <v>7827</v>
      </c>
      <c r="BT787" s="1" t="str">
        <f>HYPERLINK("https%3A%2F%2Fwww.webofscience.com%2Fwos%2Fwoscc%2Ffull-record%2FWOS:000389767200007","View Full Record in Web of Science")</f>
        <v>View Full Record in Web of Science</v>
      </c>
    </row>
    <row r="788" ht="12.75" customHeight="1">
      <c r="A788" s="1" t="s">
        <v>72</v>
      </c>
      <c r="B788" s="1" t="s">
        <v>7828</v>
      </c>
      <c r="C788" s="1" t="s">
        <v>74</v>
      </c>
      <c r="D788" s="1" t="s">
        <v>74</v>
      </c>
      <c r="E788" s="1" t="s">
        <v>74</v>
      </c>
      <c r="F788" s="1" t="s">
        <v>7829</v>
      </c>
      <c r="G788" s="1" t="s">
        <v>74</v>
      </c>
      <c r="H788" s="1" t="s">
        <v>74</v>
      </c>
      <c r="I788" s="1" t="s">
        <v>7830</v>
      </c>
      <c r="J788" s="1" t="s">
        <v>7831</v>
      </c>
      <c r="K788" s="1" t="s">
        <v>74</v>
      </c>
      <c r="L788" s="1" t="s">
        <v>74</v>
      </c>
      <c r="M788" s="1" t="s">
        <v>74</v>
      </c>
      <c r="N788" s="1" t="s">
        <v>74</v>
      </c>
      <c r="O788" s="1" t="s">
        <v>74</v>
      </c>
      <c r="P788" s="1" t="s">
        <v>74</v>
      </c>
      <c r="Q788" s="1" t="s">
        <v>74</v>
      </c>
      <c r="R788" s="1" t="s">
        <v>74</v>
      </c>
      <c r="S788" s="1" t="s">
        <v>74</v>
      </c>
      <c r="T788" s="1" t="s">
        <v>74</v>
      </c>
      <c r="U788" s="1" t="s">
        <v>74</v>
      </c>
      <c r="V788" s="1" t="s">
        <v>7832</v>
      </c>
      <c r="W788" s="1" t="s">
        <v>74</v>
      </c>
      <c r="X788" s="1" t="s">
        <v>74</v>
      </c>
      <c r="Y788" s="1" t="s">
        <v>74</v>
      </c>
      <c r="Z788" s="1" t="s">
        <v>74</v>
      </c>
      <c r="AA788" s="1" t="s">
        <v>7833</v>
      </c>
      <c r="AB788" s="1" t="s">
        <v>7834</v>
      </c>
      <c r="AC788" s="1" t="s">
        <v>74</v>
      </c>
      <c r="AD788" s="1" t="s">
        <v>74</v>
      </c>
      <c r="AE788" s="1" t="s">
        <v>74</v>
      </c>
      <c r="AF788" s="1" t="s">
        <v>74</v>
      </c>
      <c r="AG788" s="1" t="s">
        <v>74</v>
      </c>
      <c r="AH788" s="1" t="s">
        <v>74</v>
      </c>
      <c r="AI788" s="1" t="s">
        <v>74</v>
      </c>
      <c r="AJ788" s="1" t="s">
        <v>74</v>
      </c>
      <c r="AK788" s="1" t="s">
        <v>74</v>
      </c>
      <c r="AL788" s="1" t="s">
        <v>74</v>
      </c>
      <c r="AM788" s="1" t="s">
        <v>74</v>
      </c>
      <c r="AN788" s="1" t="s">
        <v>74</v>
      </c>
      <c r="AO788" s="1" t="s">
        <v>7835</v>
      </c>
      <c r="AP788" s="1" t="s">
        <v>7836</v>
      </c>
      <c r="AQ788" s="1" t="s">
        <v>74</v>
      </c>
      <c r="AR788" s="1" t="s">
        <v>74</v>
      </c>
      <c r="AS788" s="1" t="s">
        <v>74</v>
      </c>
      <c r="AT788" s="1" t="s">
        <v>74</v>
      </c>
      <c r="AU788" s="1">
        <v>2015.0</v>
      </c>
      <c r="AV788" s="1">
        <v>3.0</v>
      </c>
      <c r="AW788" s="1">
        <v>18.0</v>
      </c>
      <c r="AX788" s="1" t="s">
        <v>74</v>
      </c>
      <c r="AY788" s="1" t="s">
        <v>74</v>
      </c>
      <c r="AZ788" s="1" t="s">
        <v>74</v>
      </c>
      <c r="BA788" s="1" t="s">
        <v>74</v>
      </c>
      <c r="BB788" s="1">
        <v>4688.0</v>
      </c>
      <c r="BC788" s="1">
        <v>4697.0</v>
      </c>
      <c r="BD788" s="1" t="s">
        <v>74</v>
      </c>
      <c r="BE788" s="1" t="s">
        <v>7837</v>
      </c>
      <c r="BF788" s="2" t="str">
        <f>HYPERLINK("http://dx.doi.org/10.1039/c4tc02988g","http://dx.doi.org/10.1039/c4tc02988g")</f>
        <v>http://dx.doi.org/10.1039/c4tc02988g</v>
      </c>
      <c r="BG788" s="1" t="s">
        <v>74</v>
      </c>
      <c r="BH788" s="1" t="s">
        <v>74</v>
      </c>
      <c r="BI788" s="1" t="s">
        <v>74</v>
      </c>
      <c r="BJ788" s="1" t="s">
        <v>74</v>
      </c>
      <c r="BK788" s="1" t="s">
        <v>74</v>
      </c>
      <c r="BL788" s="1" t="s">
        <v>74</v>
      </c>
      <c r="BM788" s="1" t="s">
        <v>74</v>
      </c>
      <c r="BN788" s="1" t="s">
        <v>74</v>
      </c>
      <c r="BO788" s="1" t="s">
        <v>74</v>
      </c>
      <c r="BP788" s="1" t="s">
        <v>74</v>
      </c>
      <c r="BQ788" s="1" t="s">
        <v>74</v>
      </c>
      <c r="BR788" s="1" t="s">
        <v>74</v>
      </c>
      <c r="BS788" s="1" t="s">
        <v>7838</v>
      </c>
      <c r="BT788" s="1" t="str">
        <f>HYPERLINK("https%3A%2F%2Fwww.webofscience.com%2Fwos%2Fwoscc%2Ffull-record%2FWOS:000353768100013","View Full Record in Web of Science")</f>
        <v>View Full Record in Web of Science</v>
      </c>
    </row>
    <row r="789" ht="12.75" customHeight="1">
      <c r="A789" s="1" t="s">
        <v>72</v>
      </c>
      <c r="B789" s="1" t="s">
        <v>7839</v>
      </c>
      <c r="C789" s="1" t="s">
        <v>74</v>
      </c>
      <c r="D789" s="1" t="s">
        <v>74</v>
      </c>
      <c r="E789" s="1" t="s">
        <v>74</v>
      </c>
      <c r="F789" s="1" t="s">
        <v>7840</v>
      </c>
      <c r="G789" s="1" t="s">
        <v>74</v>
      </c>
      <c r="H789" s="1" t="s">
        <v>74</v>
      </c>
      <c r="I789" s="1" t="s">
        <v>7841</v>
      </c>
      <c r="J789" s="1" t="s">
        <v>7842</v>
      </c>
      <c r="K789" s="1" t="s">
        <v>74</v>
      </c>
      <c r="L789" s="1" t="s">
        <v>74</v>
      </c>
      <c r="M789" s="1" t="s">
        <v>74</v>
      </c>
      <c r="N789" s="1" t="s">
        <v>74</v>
      </c>
      <c r="O789" s="1" t="s">
        <v>74</v>
      </c>
      <c r="P789" s="1" t="s">
        <v>74</v>
      </c>
      <c r="Q789" s="1" t="s">
        <v>74</v>
      </c>
      <c r="R789" s="1" t="s">
        <v>74</v>
      </c>
      <c r="S789" s="1" t="s">
        <v>74</v>
      </c>
      <c r="T789" s="1" t="s">
        <v>74</v>
      </c>
      <c r="U789" s="1" t="s">
        <v>74</v>
      </c>
      <c r="V789" s="1" t="s">
        <v>7843</v>
      </c>
      <c r="W789" s="1" t="s">
        <v>74</v>
      </c>
      <c r="X789" s="1" t="s">
        <v>74</v>
      </c>
      <c r="Y789" s="1" t="s">
        <v>74</v>
      </c>
      <c r="Z789" s="1" t="s">
        <v>74</v>
      </c>
      <c r="AA789" s="1" t="s">
        <v>7844</v>
      </c>
      <c r="AB789" s="1" t="s">
        <v>7845</v>
      </c>
      <c r="AC789" s="1" t="s">
        <v>74</v>
      </c>
      <c r="AD789" s="1" t="s">
        <v>74</v>
      </c>
      <c r="AE789" s="1" t="s">
        <v>74</v>
      </c>
      <c r="AF789" s="1" t="s">
        <v>74</v>
      </c>
      <c r="AG789" s="1" t="s">
        <v>74</v>
      </c>
      <c r="AH789" s="1" t="s">
        <v>74</v>
      </c>
      <c r="AI789" s="1" t="s">
        <v>74</v>
      </c>
      <c r="AJ789" s="1" t="s">
        <v>74</v>
      </c>
      <c r="AK789" s="1" t="s">
        <v>74</v>
      </c>
      <c r="AL789" s="1" t="s">
        <v>74</v>
      </c>
      <c r="AM789" s="1" t="s">
        <v>74</v>
      </c>
      <c r="AN789" s="1" t="s">
        <v>74</v>
      </c>
      <c r="AO789" s="1" t="s">
        <v>7846</v>
      </c>
      <c r="AP789" s="1" t="s">
        <v>7847</v>
      </c>
      <c r="AQ789" s="1" t="s">
        <v>74</v>
      </c>
      <c r="AR789" s="1" t="s">
        <v>74</v>
      </c>
      <c r="AS789" s="1" t="s">
        <v>74</v>
      </c>
      <c r="AT789" s="1" t="s">
        <v>7848</v>
      </c>
      <c r="AU789" s="1">
        <v>2024.0</v>
      </c>
      <c r="AV789" s="1" t="s">
        <v>74</v>
      </c>
      <c r="AW789" s="1" t="s">
        <v>74</v>
      </c>
      <c r="AX789" s="1" t="s">
        <v>74</v>
      </c>
      <c r="AY789" s="1" t="s">
        <v>74</v>
      </c>
      <c r="AZ789" s="1" t="s">
        <v>74</v>
      </c>
      <c r="BA789" s="1" t="s">
        <v>74</v>
      </c>
      <c r="BB789" s="1" t="s">
        <v>74</v>
      </c>
      <c r="BC789" s="1" t="s">
        <v>74</v>
      </c>
      <c r="BD789" s="1" t="s">
        <v>74</v>
      </c>
      <c r="BE789" s="1" t="s">
        <v>7849</v>
      </c>
      <c r="BF789" s="2" t="str">
        <f>HYPERLINK("http://dx.doi.org/10.1177/19401612241298853","http://dx.doi.org/10.1177/19401612241298853")</f>
        <v>http://dx.doi.org/10.1177/19401612241298853</v>
      </c>
      <c r="BG789" s="1" t="s">
        <v>74</v>
      </c>
      <c r="BH789" s="1" t="s">
        <v>3489</v>
      </c>
      <c r="BI789" s="1" t="s">
        <v>74</v>
      </c>
      <c r="BJ789" s="1" t="s">
        <v>74</v>
      </c>
      <c r="BK789" s="1" t="s">
        <v>74</v>
      </c>
      <c r="BL789" s="1" t="s">
        <v>74</v>
      </c>
      <c r="BM789" s="1" t="s">
        <v>74</v>
      </c>
      <c r="BN789" s="1" t="s">
        <v>74</v>
      </c>
      <c r="BO789" s="1" t="s">
        <v>74</v>
      </c>
      <c r="BP789" s="1" t="s">
        <v>74</v>
      </c>
      <c r="BQ789" s="1" t="s">
        <v>74</v>
      </c>
      <c r="BR789" s="1" t="s">
        <v>74</v>
      </c>
      <c r="BS789" s="1" t="s">
        <v>7850</v>
      </c>
      <c r="BT789" s="1" t="str">
        <f>HYPERLINK("https%3A%2F%2Fwww.webofscience.com%2Fwos%2Fwoscc%2Ffull-record%2FWOS:001369649600001","View Full Record in Web of Science")</f>
        <v>View Full Record in Web of Science</v>
      </c>
    </row>
    <row r="790" ht="12.75" customHeight="1">
      <c r="A790" s="1" t="s">
        <v>72</v>
      </c>
      <c r="B790" s="1" t="s">
        <v>7851</v>
      </c>
      <c r="C790" s="1" t="s">
        <v>74</v>
      </c>
      <c r="D790" s="1" t="s">
        <v>74</v>
      </c>
      <c r="E790" s="1" t="s">
        <v>74</v>
      </c>
      <c r="F790" s="1" t="s">
        <v>7852</v>
      </c>
      <c r="G790" s="1" t="s">
        <v>74</v>
      </c>
      <c r="H790" s="1" t="s">
        <v>74</v>
      </c>
      <c r="I790" s="1" t="s">
        <v>7853</v>
      </c>
      <c r="J790" s="1" t="s">
        <v>3860</v>
      </c>
      <c r="K790" s="1" t="s">
        <v>74</v>
      </c>
      <c r="L790" s="1" t="s">
        <v>74</v>
      </c>
      <c r="M790" s="1" t="s">
        <v>74</v>
      </c>
      <c r="N790" s="1" t="s">
        <v>74</v>
      </c>
      <c r="O790" s="1" t="s">
        <v>74</v>
      </c>
      <c r="P790" s="1" t="s">
        <v>74</v>
      </c>
      <c r="Q790" s="1" t="s">
        <v>74</v>
      </c>
      <c r="R790" s="1" t="s">
        <v>74</v>
      </c>
      <c r="S790" s="1" t="s">
        <v>74</v>
      </c>
      <c r="T790" s="1" t="s">
        <v>74</v>
      </c>
      <c r="U790" s="1" t="s">
        <v>74</v>
      </c>
      <c r="V790" s="1" t="s">
        <v>7854</v>
      </c>
      <c r="W790" s="1" t="s">
        <v>74</v>
      </c>
      <c r="X790" s="1" t="s">
        <v>74</v>
      </c>
      <c r="Y790" s="1" t="s">
        <v>74</v>
      </c>
      <c r="Z790" s="1" t="s">
        <v>74</v>
      </c>
      <c r="AA790" s="1" t="s">
        <v>7855</v>
      </c>
      <c r="AB790" s="1" t="s">
        <v>7856</v>
      </c>
      <c r="AC790" s="1" t="s">
        <v>74</v>
      </c>
      <c r="AD790" s="1" t="s">
        <v>74</v>
      </c>
      <c r="AE790" s="1" t="s">
        <v>74</v>
      </c>
      <c r="AF790" s="1" t="s">
        <v>74</v>
      </c>
      <c r="AG790" s="1" t="s">
        <v>74</v>
      </c>
      <c r="AH790" s="1" t="s">
        <v>74</v>
      </c>
      <c r="AI790" s="1" t="s">
        <v>74</v>
      </c>
      <c r="AJ790" s="1" t="s">
        <v>74</v>
      </c>
      <c r="AK790" s="1" t="s">
        <v>74</v>
      </c>
      <c r="AL790" s="1" t="s">
        <v>74</v>
      </c>
      <c r="AM790" s="1" t="s">
        <v>74</v>
      </c>
      <c r="AN790" s="1" t="s">
        <v>74</v>
      </c>
      <c r="AO790" s="1" t="s">
        <v>74</v>
      </c>
      <c r="AP790" s="1" t="s">
        <v>3864</v>
      </c>
      <c r="AQ790" s="1" t="s">
        <v>74</v>
      </c>
      <c r="AR790" s="1" t="s">
        <v>74</v>
      </c>
      <c r="AS790" s="1" t="s">
        <v>74</v>
      </c>
      <c r="AT790" s="1" t="s">
        <v>398</v>
      </c>
      <c r="AU790" s="1">
        <v>2024.0</v>
      </c>
      <c r="AV790" s="1">
        <v>16.0</v>
      </c>
      <c r="AW790" s="1">
        <v>3.0</v>
      </c>
      <c r="AX790" s="1" t="s">
        <v>74</v>
      </c>
      <c r="AY790" s="1" t="s">
        <v>74</v>
      </c>
      <c r="AZ790" s="1" t="s">
        <v>74</v>
      </c>
      <c r="BA790" s="1" t="s">
        <v>74</v>
      </c>
      <c r="BB790" s="1" t="s">
        <v>74</v>
      </c>
      <c r="BC790" s="1" t="s">
        <v>74</v>
      </c>
      <c r="BD790" s="1">
        <v>1302.0</v>
      </c>
      <c r="BE790" s="1" t="s">
        <v>7857</v>
      </c>
      <c r="BF790" s="2" t="str">
        <f>HYPERLINK("http://dx.doi.org/10.3390/su16031302","http://dx.doi.org/10.3390/su16031302")</f>
        <v>http://dx.doi.org/10.3390/su16031302</v>
      </c>
      <c r="BG790" s="1" t="s">
        <v>74</v>
      </c>
      <c r="BH790" s="1" t="s">
        <v>74</v>
      </c>
      <c r="BI790" s="1" t="s">
        <v>74</v>
      </c>
      <c r="BJ790" s="1" t="s">
        <v>74</v>
      </c>
      <c r="BK790" s="1" t="s">
        <v>74</v>
      </c>
      <c r="BL790" s="1" t="s">
        <v>74</v>
      </c>
      <c r="BM790" s="1" t="s">
        <v>74</v>
      </c>
      <c r="BN790" s="1" t="s">
        <v>74</v>
      </c>
      <c r="BO790" s="1" t="s">
        <v>74</v>
      </c>
      <c r="BP790" s="1" t="s">
        <v>74</v>
      </c>
      <c r="BQ790" s="1" t="s">
        <v>74</v>
      </c>
      <c r="BR790" s="1" t="s">
        <v>74</v>
      </c>
      <c r="BS790" s="1" t="s">
        <v>7858</v>
      </c>
      <c r="BT790" s="1" t="str">
        <f>HYPERLINK("https%3A%2F%2Fwww.webofscience.com%2Fwos%2Fwoscc%2Ffull-record%2FWOS:001160136000001","View Full Record in Web of Science")</f>
        <v>View Full Record in Web of Science</v>
      </c>
    </row>
    <row r="791" ht="12.75" customHeight="1">
      <c r="A791" s="1" t="s">
        <v>72</v>
      </c>
      <c r="B791" s="1" t="s">
        <v>7859</v>
      </c>
      <c r="C791" s="1" t="s">
        <v>74</v>
      </c>
      <c r="D791" s="1" t="s">
        <v>74</v>
      </c>
      <c r="E791" s="1" t="s">
        <v>74</v>
      </c>
      <c r="F791" s="1" t="s">
        <v>7860</v>
      </c>
      <c r="G791" s="1" t="s">
        <v>74</v>
      </c>
      <c r="H791" s="1" t="s">
        <v>74</v>
      </c>
      <c r="I791" s="1" t="s">
        <v>7861</v>
      </c>
      <c r="J791" s="1" t="s">
        <v>7862</v>
      </c>
      <c r="K791" s="1" t="s">
        <v>74</v>
      </c>
      <c r="L791" s="1" t="s">
        <v>74</v>
      </c>
      <c r="M791" s="1" t="s">
        <v>74</v>
      </c>
      <c r="N791" s="1" t="s">
        <v>74</v>
      </c>
      <c r="O791" s="1" t="s">
        <v>74</v>
      </c>
      <c r="P791" s="1" t="s">
        <v>74</v>
      </c>
      <c r="Q791" s="1" t="s">
        <v>74</v>
      </c>
      <c r="R791" s="1" t="s">
        <v>74</v>
      </c>
      <c r="S791" s="1" t="s">
        <v>74</v>
      </c>
      <c r="T791" s="1" t="s">
        <v>74</v>
      </c>
      <c r="U791" s="1" t="s">
        <v>74</v>
      </c>
      <c r="V791" s="1" t="s">
        <v>74</v>
      </c>
      <c r="W791" s="1" t="s">
        <v>74</v>
      </c>
      <c r="X791" s="1" t="s">
        <v>74</v>
      </c>
      <c r="Y791" s="1" t="s">
        <v>74</v>
      </c>
      <c r="Z791" s="1" t="s">
        <v>74</v>
      </c>
      <c r="AA791" s="1" t="s">
        <v>7863</v>
      </c>
      <c r="AB791" s="1" t="s">
        <v>7864</v>
      </c>
      <c r="AC791" s="1" t="s">
        <v>74</v>
      </c>
      <c r="AD791" s="1" t="s">
        <v>74</v>
      </c>
      <c r="AE791" s="1" t="s">
        <v>74</v>
      </c>
      <c r="AF791" s="1" t="s">
        <v>74</v>
      </c>
      <c r="AG791" s="1" t="s">
        <v>74</v>
      </c>
      <c r="AH791" s="1" t="s">
        <v>74</v>
      </c>
      <c r="AI791" s="1" t="s">
        <v>74</v>
      </c>
      <c r="AJ791" s="1" t="s">
        <v>74</v>
      </c>
      <c r="AK791" s="1" t="s">
        <v>74</v>
      </c>
      <c r="AL791" s="1" t="s">
        <v>74</v>
      </c>
      <c r="AM791" s="1" t="s">
        <v>74</v>
      </c>
      <c r="AN791" s="1" t="s">
        <v>74</v>
      </c>
      <c r="AO791" s="1" t="s">
        <v>7865</v>
      </c>
      <c r="AP791" s="1" t="s">
        <v>7866</v>
      </c>
      <c r="AQ791" s="1" t="s">
        <v>74</v>
      </c>
      <c r="AR791" s="1" t="s">
        <v>74</v>
      </c>
      <c r="AS791" s="1" t="s">
        <v>74</v>
      </c>
      <c r="AT791" s="1" t="s">
        <v>1304</v>
      </c>
      <c r="AU791" s="1">
        <v>2024.0</v>
      </c>
      <c r="AV791" s="1">
        <v>26.0</v>
      </c>
      <c r="AW791" s="1">
        <v>5.0</v>
      </c>
      <c r="AX791" s="1" t="s">
        <v>74</v>
      </c>
      <c r="AY791" s="1" t="s">
        <v>74</v>
      </c>
      <c r="AZ791" s="1" t="s">
        <v>74</v>
      </c>
      <c r="BA791" s="1" t="s">
        <v>74</v>
      </c>
      <c r="BB791" s="1">
        <v>529.0</v>
      </c>
      <c r="BC791" s="1">
        <v>531.0</v>
      </c>
      <c r="BD791" s="1" t="s">
        <v>74</v>
      </c>
      <c r="BE791" s="1" t="s">
        <v>7867</v>
      </c>
      <c r="BF791" s="2" t="str">
        <f>HYPERLINK("http://dx.doi.org/10.1089/fpsam.2023.0207","http://dx.doi.org/10.1089/fpsam.2023.0207")</f>
        <v>http://dx.doi.org/10.1089/fpsam.2023.0207</v>
      </c>
      <c r="BG791" s="1" t="s">
        <v>74</v>
      </c>
      <c r="BH791" s="1" t="s">
        <v>2792</v>
      </c>
      <c r="BI791" s="1" t="s">
        <v>74</v>
      </c>
      <c r="BJ791" s="1" t="s">
        <v>74</v>
      </c>
      <c r="BK791" s="1" t="s">
        <v>74</v>
      </c>
      <c r="BL791" s="1" t="s">
        <v>74</v>
      </c>
      <c r="BM791" s="1" t="s">
        <v>74</v>
      </c>
      <c r="BN791" s="1">
        <v>3.830113E7</v>
      </c>
      <c r="BO791" s="1" t="s">
        <v>74</v>
      </c>
      <c r="BP791" s="1" t="s">
        <v>74</v>
      </c>
      <c r="BQ791" s="1" t="s">
        <v>74</v>
      </c>
      <c r="BR791" s="1" t="s">
        <v>74</v>
      </c>
      <c r="BS791" s="1" t="s">
        <v>7868</v>
      </c>
      <c r="BT791" s="1" t="str">
        <f>HYPERLINK("https%3A%2F%2Fwww.webofscience.com%2Fwos%2Fwoscc%2Ffull-record%2FWOS:001155698700002","View Full Record in Web of Science")</f>
        <v>View Full Record in Web of Science</v>
      </c>
    </row>
    <row r="792" ht="12.75" customHeight="1">
      <c r="A792" s="1" t="s">
        <v>72</v>
      </c>
      <c r="B792" s="1" t="s">
        <v>7869</v>
      </c>
      <c r="C792" s="1" t="s">
        <v>74</v>
      </c>
      <c r="D792" s="1" t="s">
        <v>74</v>
      </c>
      <c r="E792" s="1" t="s">
        <v>74</v>
      </c>
      <c r="F792" s="1" t="s">
        <v>7870</v>
      </c>
      <c r="G792" s="1" t="s">
        <v>74</v>
      </c>
      <c r="H792" s="1" t="s">
        <v>74</v>
      </c>
      <c r="I792" s="1" t="s">
        <v>7871</v>
      </c>
      <c r="J792" s="1" t="s">
        <v>383</v>
      </c>
      <c r="K792" s="1" t="s">
        <v>74</v>
      </c>
      <c r="L792" s="1" t="s">
        <v>74</v>
      </c>
      <c r="M792" s="1" t="s">
        <v>74</v>
      </c>
      <c r="N792" s="1" t="s">
        <v>74</v>
      </c>
      <c r="O792" s="1" t="s">
        <v>74</v>
      </c>
      <c r="P792" s="1" t="s">
        <v>74</v>
      </c>
      <c r="Q792" s="1" t="s">
        <v>74</v>
      </c>
      <c r="R792" s="1" t="s">
        <v>74</v>
      </c>
      <c r="S792" s="1" t="s">
        <v>74</v>
      </c>
      <c r="T792" s="1" t="s">
        <v>74</v>
      </c>
      <c r="U792" s="1" t="s">
        <v>74</v>
      </c>
      <c r="V792" s="1" t="s">
        <v>7872</v>
      </c>
      <c r="W792" s="1" t="s">
        <v>74</v>
      </c>
      <c r="X792" s="1" t="s">
        <v>74</v>
      </c>
      <c r="Y792" s="1" t="s">
        <v>74</v>
      </c>
      <c r="Z792" s="1" t="s">
        <v>74</v>
      </c>
      <c r="AA792" s="1" t="s">
        <v>7873</v>
      </c>
      <c r="AB792" s="1" t="s">
        <v>7874</v>
      </c>
      <c r="AC792" s="1" t="s">
        <v>74</v>
      </c>
      <c r="AD792" s="1" t="s">
        <v>74</v>
      </c>
      <c r="AE792" s="1" t="s">
        <v>74</v>
      </c>
      <c r="AF792" s="1" t="s">
        <v>74</v>
      </c>
      <c r="AG792" s="1" t="s">
        <v>74</v>
      </c>
      <c r="AH792" s="1" t="s">
        <v>74</v>
      </c>
      <c r="AI792" s="1" t="s">
        <v>74</v>
      </c>
      <c r="AJ792" s="1" t="s">
        <v>74</v>
      </c>
      <c r="AK792" s="1" t="s">
        <v>74</v>
      </c>
      <c r="AL792" s="1" t="s">
        <v>74</v>
      </c>
      <c r="AM792" s="1" t="s">
        <v>74</v>
      </c>
      <c r="AN792" s="1" t="s">
        <v>74</v>
      </c>
      <c r="AO792" s="1" t="s">
        <v>387</v>
      </c>
      <c r="AP792" s="1" t="s">
        <v>74</v>
      </c>
      <c r="AQ792" s="1" t="s">
        <v>74</v>
      </c>
      <c r="AR792" s="1" t="s">
        <v>74</v>
      </c>
      <c r="AS792" s="1" t="s">
        <v>74</v>
      </c>
      <c r="AT792" s="1" t="s">
        <v>5929</v>
      </c>
      <c r="AU792" s="1">
        <v>2024.0</v>
      </c>
      <c r="AV792" s="1">
        <v>14.0</v>
      </c>
      <c r="AW792" s="1">
        <v>1.0</v>
      </c>
      <c r="AX792" s="1" t="s">
        <v>74</v>
      </c>
      <c r="AY792" s="1" t="s">
        <v>74</v>
      </c>
      <c r="AZ792" s="1" t="s">
        <v>74</v>
      </c>
      <c r="BA792" s="1" t="s">
        <v>74</v>
      </c>
      <c r="BB792" s="1" t="s">
        <v>74</v>
      </c>
      <c r="BC792" s="1" t="s">
        <v>74</v>
      </c>
      <c r="BD792" s="1">
        <v>1974.0</v>
      </c>
      <c r="BE792" s="1" t="s">
        <v>7875</v>
      </c>
      <c r="BF792" s="2" t="str">
        <f>HYPERLINK("http://dx.doi.org/10.1038/s41598-024-52481-x","http://dx.doi.org/10.1038/s41598-024-52481-x")</f>
        <v>http://dx.doi.org/10.1038/s41598-024-52481-x</v>
      </c>
      <c r="BG792" s="1" t="s">
        <v>74</v>
      </c>
      <c r="BH792" s="1" t="s">
        <v>74</v>
      </c>
      <c r="BI792" s="1" t="s">
        <v>74</v>
      </c>
      <c r="BJ792" s="1" t="s">
        <v>74</v>
      </c>
      <c r="BK792" s="1" t="s">
        <v>74</v>
      </c>
      <c r="BL792" s="1" t="s">
        <v>74</v>
      </c>
      <c r="BM792" s="1" t="s">
        <v>74</v>
      </c>
      <c r="BN792" s="1">
        <v>3.826339E7</v>
      </c>
      <c r="BO792" s="1" t="s">
        <v>74</v>
      </c>
      <c r="BP792" s="1" t="s">
        <v>74</v>
      </c>
      <c r="BQ792" s="1" t="s">
        <v>74</v>
      </c>
      <c r="BR792" s="1" t="s">
        <v>74</v>
      </c>
      <c r="BS792" s="1" t="s">
        <v>7876</v>
      </c>
      <c r="BT792" s="1" t="str">
        <f>HYPERLINK("https%3A%2F%2Fwww.webofscience.com%2Fwos%2Fwoscc%2Ffull-record%2FWOS:001155174100018","View Full Record in Web of Science")</f>
        <v>View Full Record in Web of Science</v>
      </c>
    </row>
    <row r="793" ht="12.75" customHeight="1">
      <c r="A793" s="1" t="s">
        <v>72</v>
      </c>
      <c r="B793" s="1" t="s">
        <v>7877</v>
      </c>
      <c r="C793" s="1" t="s">
        <v>74</v>
      </c>
      <c r="D793" s="1" t="s">
        <v>74</v>
      </c>
      <c r="E793" s="1" t="s">
        <v>74</v>
      </c>
      <c r="F793" s="1" t="s">
        <v>7878</v>
      </c>
      <c r="G793" s="1" t="s">
        <v>74</v>
      </c>
      <c r="H793" s="1" t="s">
        <v>74</v>
      </c>
      <c r="I793" s="1" t="s">
        <v>7879</v>
      </c>
      <c r="J793" s="1" t="s">
        <v>3292</v>
      </c>
      <c r="K793" s="1" t="s">
        <v>74</v>
      </c>
      <c r="L793" s="1" t="s">
        <v>74</v>
      </c>
      <c r="M793" s="1" t="s">
        <v>74</v>
      </c>
      <c r="N793" s="1" t="s">
        <v>74</v>
      </c>
      <c r="O793" s="1" t="s">
        <v>74</v>
      </c>
      <c r="P793" s="1" t="s">
        <v>74</v>
      </c>
      <c r="Q793" s="1" t="s">
        <v>74</v>
      </c>
      <c r="R793" s="1" t="s">
        <v>74</v>
      </c>
      <c r="S793" s="1" t="s">
        <v>74</v>
      </c>
      <c r="T793" s="1" t="s">
        <v>74</v>
      </c>
      <c r="U793" s="1" t="s">
        <v>74</v>
      </c>
      <c r="V793" s="1" t="s">
        <v>7880</v>
      </c>
      <c r="W793" s="1" t="s">
        <v>74</v>
      </c>
      <c r="X793" s="1" t="s">
        <v>74</v>
      </c>
      <c r="Y793" s="1" t="s">
        <v>74</v>
      </c>
      <c r="Z793" s="1" t="s">
        <v>74</v>
      </c>
      <c r="AA793" s="1" t="s">
        <v>7881</v>
      </c>
      <c r="AB793" s="1" t="s">
        <v>74</v>
      </c>
      <c r="AC793" s="1" t="s">
        <v>74</v>
      </c>
      <c r="AD793" s="1" t="s">
        <v>74</v>
      </c>
      <c r="AE793" s="1" t="s">
        <v>74</v>
      </c>
      <c r="AF793" s="1" t="s">
        <v>74</v>
      </c>
      <c r="AG793" s="1" t="s">
        <v>74</v>
      </c>
      <c r="AH793" s="1" t="s">
        <v>74</v>
      </c>
      <c r="AI793" s="1" t="s">
        <v>74</v>
      </c>
      <c r="AJ793" s="1" t="s">
        <v>74</v>
      </c>
      <c r="AK793" s="1" t="s">
        <v>74</v>
      </c>
      <c r="AL793" s="1" t="s">
        <v>74</v>
      </c>
      <c r="AM793" s="1" t="s">
        <v>74</v>
      </c>
      <c r="AN793" s="1" t="s">
        <v>74</v>
      </c>
      <c r="AO793" s="1" t="s">
        <v>74</v>
      </c>
      <c r="AP793" s="1" t="s">
        <v>3296</v>
      </c>
      <c r="AQ793" s="1" t="s">
        <v>74</v>
      </c>
      <c r="AR793" s="1" t="s">
        <v>74</v>
      </c>
      <c r="AS793" s="1" t="s">
        <v>74</v>
      </c>
      <c r="AT793" s="1" t="s">
        <v>7882</v>
      </c>
      <c r="AU793" s="1">
        <v>2023.0</v>
      </c>
      <c r="AV793" s="1">
        <v>13.0</v>
      </c>
      <c r="AW793" s="1">
        <v>17.0</v>
      </c>
      <c r="AX793" s="1" t="s">
        <v>74</v>
      </c>
      <c r="AY793" s="1" t="s">
        <v>74</v>
      </c>
      <c r="AZ793" s="1" t="s">
        <v>74</v>
      </c>
      <c r="BA793" s="1" t="s">
        <v>74</v>
      </c>
      <c r="BB793" s="1">
        <v>11296.0</v>
      </c>
      <c r="BC793" s="1">
        <v>11296.0</v>
      </c>
      <c r="BD793" s="1" t="s">
        <v>74</v>
      </c>
      <c r="BE793" s="1" t="s">
        <v>7883</v>
      </c>
      <c r="BF793" s="2" t="str">
        <f>HYPERLINK("http://dx.doi.org/10.1039/d3ra90033a","http://dx.doi.org/10.1039/d3ra90033a")</f>
        <v>http://dx.doi.org/10.1039/d3ra90033a</v>
      </c>
      <c r="BG793" s="1" t="s">
        <v>74</v>
      </c>
      <c r="BH793" s="1" t="s">
        <v>74</v>
      </c>
      <c r="BI793" s="1" t="s">
        <v>74</v>
      </c>
      <c r="BJ793" s="1" t="s">
        <v>74</v>
      </c>
      <c r="BK793" s="1" t="s">
        <v>74</v>
      </c>
      <c r="BL793" s="1" t="s">
        <v>74</v>
      </c>
      <c r="BM793" s="1" t="s">
        <v>74</v>
      </c>
      <c r="BN793" s="1">
        <v>3.7057271E7</v>
      </c>
      <c r="BO793" s="1" t="s">
        <v>74</v>
      </c>
      <c r="BP793" s="1" t="s">
        <v>74</v>
      </c>
      <c r="BQ793" s="1" t="s">
        <v>74</v>
      </c>
      <c r="BR793" s="1" t="s">
        <v>74</v>
      </c>
      <c r="BS793" s="1" t="s">
        <v>7884</v>
      </c>
      <c r="BT793" s="1" t="str">
        <f>HYPERLINK("https%3A%2F%2Fwww.webofscience.com%2Fwos%2Fwoscc%2Ffull-record%2FWOS:000968811600001","View Full Record in Web of Science")</f>
        <v>View Full Record in Web of Science</v>
      </c>
    </row>
    <row r="794" ht="12.75" customHeight="1">
      <c r="A794" s="1" t="s">
        <v>72</v>
      </c>
      <c r="B794" s="1" t="s">
        <v>7885</v>
      </c>
      <c r="C794" s="1" t="s">
        <v>74</v>
      </c>
      <c r="D794" s="1" t="s">
        <v>74</v>
      </c>
      <c r="E794" s="1" t="s">
        <v>74</v>
      </c>
      <c r="F794" s="1" t="s">
        <v>7886</v>
      </c>
      <c r="G794" s="1" t="s">
        <v>74</v>
      </c>
      <c r="H794" s="1" t="s">
        <v>74</v>
      </c>
      <c r="I794" s="1" t="s">
        <v>7887</v>
      </c>
      <c r="J794" s="1" t="s">
        <v>4353</v>
      </c>
      <c r="K794" s="1" t="s">
        <v>74</v>
      </c>
      <c r="L794" s="1" t="s">
        <v>74</v>
      </c>
      <c r="M794" s="1" t="s">
        <v>74</v>
      </c>
      <c r="N794" s="1" t="s">
        <v>74</v>
      </c>
      <c r="O794" s="1" t="s">
        <v>74</v>
      </c>
      <c r="P794" s="1" t="s">
        <v>74</v>
      </c>
      <c r="Q794" s="1" t="s">
        <v>74</v>
      </c>
      <c r="R794" s="1" t="s">
        <v>74</v>
      </c>
      <c r="S794" s="1" t="s">
        <v>74</v>
      </c>
      <c r="T794" s="1" t="s">
        <v>74</v>
      </c>
      <c r="U794" s="1" t="s">
        <v>74</v>
      </c>
      <c r="V794" s="1" t="s">
        <v>7888</v>
      </c>
      <c r="W794" s="1" t="s">
        <v>74</v>
      </c>
      <c r="X794" s="1" t="s">
        <v>74</v>
      </c>
      <c r="Y794" s="1" t="s">
        <v>74</v>
      </c>
      <c r="Z794" s="1" t="s">
        <v>74</v>
      </c>
      <c r="AA794" s="1" t="s">
        <v>7889</v>
      </c>
      <c r="AB794" s="1" t="s">
        <v>7890</v>
      </c>
      <c r="AC794" s="1" t="s">
        <v>74</v>
      </c>
      <c r="AD794" s="1" t="s">
        <v>74</v>
      </c>
      <c r="AE794" s="1" t="s">
        <v>74</v>
      </c>
      <c r="AF794" s="1" t="s">
        <v>74</v>
      </c>
      <c r="AG794" s="1" t="s">
        <v>74</v>
      </c>
      <c r="AH794" s="1" t="s">
        <v>74</v>
      </c>
      <c r="AI794" s="1" t="s">
        <v>74</v>
      </c>
      <c r="AJ794" s="1" t="s">
        <v>74</v>
      </c>
      <c r="AK794" s="1" t="s">
        <v>74</v>
      </c>
      <c r="AL794" s="1" t="s">
        <v>74</v>
      </c>
      <c r="AM794" s="1" t="s">
        <v>74</v>
      </c>
      <c r="AN794" s="1" t="s">
        <v>74</v>
      </c>
      <c r="AO794" s="1" t="s">
        <v>4357</v>
      </c>
      <c r="AP794" s="1" t="s">
        <v>74</v>
      </c>
      <c r="AQ794" s="1" t="s">
        <v>74</v>
      </c>
      <c r="AR794" s="1" t="s">
        <v>74</v>
      </c>
      <c r="AS794" s="1" t="s">
        <v>74</v>
      </c>
      <c r="AT794" s="1" t="s">
        <v>1897</v>
      </c>
      <c r="AU794" s="1">
        <v>2021.0</v>
      </c>
      <c r="AV794" s="1">
        <v>11.0</v>
      </c>
      <c r="AW794" s="1" t="s">
        <v>74</v>
      </c>
      <c r="AX794" s="1" t="s">
        <v>74</v>
      </c>
      <c r="AY794" s="1" t="s">
        <v>74</v>
      </c>
      <c r="AZ794" s="1" t="s">
        <v>74</v>
      </c>
      <c r="BA794" s="1" t="s">
        <v>74</v>
      </c>
      <c r="BB794" s="1" t="s">
        <v>74</v>
      </c>
      <c r="BC794" s="1" t="s">
        <v>74</v>
      </c>
      <c r="BD794" s="1">
        <v>620782.0</v>
      </c>
      <c r="BE794" s="1" t="s">
        <v>7891</v>
      </c>
      <c r="BF794" s="2" t="str">
        <f>HYPERLINK("http://dx.doi.org/10.3389/fpsyg.2020.620782","http://dx.doi.org/10.3389/fpsyg.2020.620782")</f>
        <v>http://dx.doi.org/10.3389/fpsyg.2020.620782</v>
      </c>
      <c r="BG794" s="1" t="s">
        <v>74</v>
      </c>
      <c r="BH794" s="1" t="s">
        <v>74</v>
      </c>
      <c r="BI794" s="1" t="s">
        <v>74</v>
      </c>
      <c r="BJ794" s="1" t="s">
        <v>74</v>
      </c>
      <c r="BK794" s="1" t="s">
        <v>74</v>
      </c>
      <c r="BL794" s="1" t="s">
        <v>74</v>
      </c>
      <c r="BM794" s="1" t="s">
        <v>74</v>
      </c>
      <c r="BN794" s="1">
        <v>3.3584455E7</v>
      </c>
      <c r="BO794" s="1" t="s">
        <v>74</v>
      </c>
      <c r="BP794" s="1" t="s">
        <v>74</v>
      </c>
      <c r="BQ794" s="1" t="s">
        <v>74</v>
      </c>
      <c r="BR794" s="1" t="s">
        <v>74</v>
      </c>
      <c r="BS794" s="1" t="s">
        <v>7892</v>
      </c>
      <c r="BT794" s="1" t="str">
        <f>HYPERLINK("https%3A%2F%2Fwww.webofscience.com%2Fwos%2Fwoscc%2Ffull-record%2FWOS:000616528700001","View Full Record in Web of Science")</f>
        <v>View Full Record in Web of Science</v>
      </c>
    </row>
    <row r="795" ht="12.75" customHeight="1">
      <c r="A795" s="1" t="s">
        <v>72</v>
      </c>
      <c r="B795" s="1" t="s">
        <v>5711</v>
      </c>
      <c r="C795" s="1" t="s">
        <v>74</v>
      </c>
      <c r="D795" s="1" t="s">
        <v>74</v>
      </c>
      <c r="E795" s="1" t="s">
        <v>74</v>
      </c>
      <c r="F795" s="1" t="s">
        <v>5712</v>
      </c>
      <c r="G795" s="1" t="s">
        <v>74</v>
      </c>
      <c r="H795" s="1" t="s">
        <v>74</v>
      </c>
      <c r="I795" s="1" t="s">
        <v>7893</v>
      </c>
      <c r="J795" s="1" t="s">
        <v>7894</v>
      </c>
      <c r="K795" s="1" t="s">
        <v>74</v>
      </c>
      <c r="L795" s="1" t="s">
        <v>74</v>
      </c>
      <c r="M795" s="1" t="s">
        <v>74</v>
      </c>
      <c r="N795" s="1" t="s">
        <v>74</v>
      </c>
      <c r="O795" s="1" t="s">
        <v>74</v>
      </c>
      <c r="P795" s="1" t="s">
        <v>74</v>
      </c>
      <c r="Q795" s="1" t="s">
        <v>74</v>
      </c>
      <c r="R795" s="1" t="s">
        <v>74</v>
      </c>
      <c r="S795" s="1" t="s">
        <v>74</v>
      </c>
      <c r="T795" s="1" t="s">
        <v>74</v>
      </c>
      <c r="U795" s="1" t="s">
        <v>74</v>
      </c>
      <c r="V795" s="1" t="s">
        <v>7895</v>
      </c>
      <c r="W795" s="1" t="s">
        <v>74</v>
      </c>
      <c r="X795" s="1" t="s">
        <v>74</v>
      </c>
      <c r="Y795" s="1" t="s">
        <v>74</v>
      </c>
      <c r="Z795" s="1" t="s">
        <v>74</v>
      </c>
      <c r="AA795" s="1" t="s">
        <v>7896</v>
      </c>
      <c r="AB795" s="1" t="s">
        <v>7897</v>
      </c>
      <c r="AC795" s="1" t="s">
        <v>74</v>
      </c>
      <c r="AD795" s="1" t="s">
        <v>74</v>
      </c>
      <c r="AE795" s="1" t="s">
        <v>74</v>
      </c>
      <c r="AF795" s="1" t="s">
        <v>74</v>
      </c>
      <c r="AG795" s="1" t="s">
        <v>74</v>
      </c>
      <c r="AH795" s="1" t="s">
        <v>74</v>
      </c>
      <c r="AI795" s="1" t="s">
        <v>74</v>
      </c>
      <c r="AJ795" s="1" t="s">
        <v>74</v>
      </c>
      <c r="AK795" s="1" t="s">
        <v>74</v>
      </c>
      <c r="AL795" s="1" t="s">
        <v>74</v>
      </c>
      <c r="AM795" s="1" t="s">
        <v>74</v>
      </c>
      <c r="AN795" s="1" t="s">
        <v>74</v>
      </c>
      <c r="AO795" s="1" t="s">
        <v>74</v>
      </c>
      <c r="AP795" s="1" t="s">
        <v>7898</v>
      </c>
      <c r="AQ795" s="1" t="s">
        <v>74</v>
      </c>
      <c r="AR795" s="1" t="s">
        <v>74</v>
      </c>
      <c r="AS795" s="1" t="s">
        <v>74</v>
      </c>
      <c r="AT795" s="1" t="s">
        <v>203</v>
      </c>
      <c r="AU795" s="1">
        <v>2020.0</v>
      </c>
      <c r="AV795" s="1">
        <v>1.0</v>
      </c>
      <c r="AW795" s="1">
        <v>1.0</v>
      </c>
      <c r="AX795" s="1" t="s">
        <v>74</v>
      </c>
      <c r="AY795" s="1" t="s">
        <v>74</v>
      </c>
      <c r="AZ795" s="1" t="s">
        <v>74</v>
      </c>
      <c r="BA795" s="1" t="s">
        <v>74</v>
      </c>
      <c r="BB795" s="1" t="s">
        <v>74</v>
      </c>
      <c r="BC795" s="1" t="s">
        <v>74</v>
      </c>
      <c r="BD795" s="1">
        <v>15002.0</v>
      </c>
      <c r="BE795" s="1" t="s">
        <v>7899</v>
      </c>
      <c r="BF795" s="2" t="str">
        <f>HYPERLINK("http://dx.doi.org/10.1088/2632-2153/ab43b4","http://dx.doi.org/10.1088/2632-2153/ab43b4")</f>
        <v>http://dx.doi.org/10.1088/2632-2153/ab43b4</v>
      </c>
      <c r="BG795" s="1" t="s">
        <v>74</v>
      </c>
      <c r="BH795" s="1" t="s">
        <v>74</v>
      </c>
      <c r="BI795" s="1" t="s">
        <v>74</v>
      </c>
      <c r="BJ795" s="1" t="s">
        <v>74</v>
      </c>
      <c r="BK795" s="1" t="s">
        <v>74</v>
      </c>
      <c r="BL795" s="1" t="s">
        <v>74</v>
      </c>
      <c r="BM795" s="1" t="s">
        <v>74</v>
      </c>
      <c r="BN795" s="1" t="s">
        <v>74</v>
      </c>
      <c r="BO795" s="1" t="s">
        <v>74</v>
      </c>
      <c r="BP795" s="1" t="s">
        <v>74</v>
      </c>
      <c r="BQ795" s="1" t="s">
        <v>74</v>
      </c>
      <c r="BR795" s="1" t="s">
        <v>74</v>
      </c>
      <c r="BS795" s="1" t="s">
        <v>7900</v>
      </c>
      <c r="BT795" s="1" t="str">
        <f>HYPERLINK("https%3A%2F%2Fwww.webofscience.com%2Fwos%2Fwoscc%2Ffull-record%2FWOS:000660868000001","View Full Record in Web of Science")</f>
        <v>View Full Record in Web of Science</v>
      </c>
    </row>
    <row r="796" ht="12.75" customHeight="1">
      <c r="A796" s="1" t="s">
        <v>72</v>
      </c>
      <c r="B796" s="1" t="s">
        <v>7901</v>
      </c>
      <c r="C796" s="1" t="s">
        <v>74</v>
      </c>
      <c r="D796" s="1" t="s">
        <v>74</v>
      </c>
      <c r="E796" s="1" t="s">
        <v>74</v>
      </c>
      <c r="F796" s="1" t="s">
        <v>7902</v>
      </c>
      <c r="G796" s="1" t="s">
        <v>74</v>
      </c>
      <c r="H796" s="1" t="s">
        <v>74</v>
      </c>
      <c r="I796" s="1" t="s">
        <v>7903</v>
      </c>
      <c r="J796" s="1" t="s">
        <v>7904</v>
      </c>
      <c r="K796" s="1" t="s">
        <v>74</v>
      </c>
      <c r="L796" s="1" t="s">
        <v>74</v>
      </c>
      <c r="M796" s="1" t="s">
        <v>74</v>
      </c>
      <c r="N796" s="1" t="s">
        <v>74</v>
      </c>
      <c r="O796" s="1" t="s">
        <v>74</v>
      </c>
      <c r="P796" s="1" t="s">
        <v>74</v>
      </c>
      <c r="Q796" s="1" t="s">
        <v>74</v>
      </c>
      <c r="R796" s="1" t="s">
        <v>74</v>
      </c>
      <c r="S796" s="1" t="s">
        <v>74</v>
      </c>
      <c r="T796" s="1" t="s">
        <v>74</v>
      </c>
      <c r="U796" s="1" t="s">
        <v>74</v>
      </c>
      <c r="V796" s="1" t="s">
        <v>7905</v>
      </c>
      <c r="W796" s="1" t="s">
        <v>74</v>
      </c>
      <c r="X796" s="1" t="s">
        <v>74</v>
      </c>
      <c r="Y796" s="1" t="s">
        <v>74</v>
      </c>
      <c r="Z796" s="1" t="s">
        <v>74</v>
      </c>
      <c r="AA796" s="1" t="s">
        <v>7309</v>
      </c>
      <c r="AB796" s="1" t="s">
        <v>7310</v>
      </c>
      <c r="AC796" s="1" t="s">
        <v>74</v>
      </c>
      <c r="AD796" s="1" t="s">
        <v>74</v>
      </c>
      <c r="AE796" s="1" t="s">
        <v>74</v>
      </c>
      <c r="AF796" s="1" t="s">
        <v>74</v>
      </c>
      <c r="AG796" s="1" t="s">
        <v>74</v>
      </c>
      <c r="AH796" s="1" t="s">
        <v>74</v>
      </c>
      <c r="AI796" s="1" t="s">
        <v>74</v>
      </c>
      <c r="AJ796" s="1" t="s">
        <v>74</v>
      </c>
      <c r="AK796" s="1" t="s">
        <v>74</v>
      </c>
      <c r="AL796" s="1" t="s">
        <v>74</v>
      </c>
      <c r="AM796" s="1" t="s">
        <v>74</v>
      </c>
      <c r="AN796" s="1" t="s">
        <v>74</v>
      </c>
      <c r="AO796" s="1" t="s">
        <v>7906</v>
      </c>
      <c r="AP796" s="1" t="s">
        <v>7907</v>
      </c>
      <c r="AQ796" s="1" t="s">
        <v>74</v>
      </c>
      <c r="AR796" s="1" t="s">
        <v>74</v>
      </c>
      <c r="AS796" s="1" t="s">
        <v>74</v>
      </c>
      <c r="AT796" s="1" t="s">
        <v>259</v>
      </c>
      <c r="AU796" s="1">
        <v>2019.0</v>
      </c>
      <c r="AV796" s="1">
        <v>141.0</v>
      </c>
      <c r="AW796" s="1">
        <v>8.0</v>
      </c>
      <c r="AX796" s="1" t="s">
        <v>74</v>
      </c>
      <c r="AY796" s="1" t="s">
        <v>74</v>
      </c>
      <c r="AZ796" s="1" t="s">
        <v>74</v>
      </c>
      <c r="BA796" s="1" t="s">
        <v>74</v>
      </c>
      <c r="BB796" s="1" t="s">
        <v>74</v>
      </c>
      <c r="BC796" s="1" t="s">
        <v>74</v>
      </c>
      <c r="BD796" s="1">
        <v>81107.0</v>
      </c>
      <c r="BE796" s="1" t="s">
        <v>7908</v>
      </c>
      <c r="BF796" s="2" t="str">
        <f>HYPERLINK("http://dx.doi.org/10.1115/1.4042558","http://dx.doi.org/10.1115/1.4042558")</f>
        <v>http://dx.doi.org/10.1115/1.4042558</v>
      </c>
      <c r="BG796" s="1" t="s">
        <v>74</v>
      </c>
      <c r="BH796" s="1" t="s">
        <v>74</v>
      </c>
      <c r="BI796" s="1" t="s">
        <v>74</v>
      </c>
      <c r="BJ796" s="1" t="s">
        <v>74</v>
      </c>
      <c r="BK796" s="1" t="s">
        <v>74</v>
      </c>
      <c r="BL796" s="1" t="s">
        <v>74</v>
      </c>
      <c r="BM796" s="1" t="s">
        <v>74</v>
      </c>
      <c r="BN796" s="1" t="s">
        <v>74</v>
      </c>
      <c r="BO796" s="1" t="s">
        <v>74</v>
      </c>
      <c r="BP796" s="1" t="s">
        <v>74</v>
      </c>
      <c r="BQ796" s="1" t="s">
        <v>74</v>
      </c>
      <c r="BR796" s="1" t="s">
        <v>74</v>
      </c>
      <c r="BS796" s="1" t="s">
        <v>7909</v>
      </c>
      <c r="BT796" s="1" t="str">
        <f>HYPERLINK("https%3A%2F%2Fwww.webofscience.com%2Fwos%2Fwoscc%2Ffull-record%2FWOS:000471286100007","View Full Record in Web of Science")</f>
        <v>View Full Record in Web of Science</v>
      </c>
    </row>
    <row r="797" ht="12.75" customHeight="1">
      <c r="A797" s="1" t="s">
        <v>72</v>
      </c>
      <c r="B797" s="1" t="s">
        <v>7910</v>
      </c>
      <c r="C797" s="1" t="s">
        <v>74</v>
      </c>
      <c r="D797" s="1" t="s">
        <v>74</v>
      </c>
      <c r="E797" s="1" t="s">
        <v>74</v>
      </c>
      <c r="F797" s="1" t="s">
        <v>7911</v>
      </c>
      <c r="G797" s="1" t="s">
        <v>74</v>
      </c>
      <c r="H797" s="1" t="s">
        <v>74</v>
      </c>
      <c r="I797" s="1" t="s">
        <v>7912</v>
      </c>
      <c r="J797" s="1" t="s">
        <v>7913</v>
      </c>
      <c r="K797" s="1" t="s">
        <v>74</v>
      </c>
      <c r="L797" s="1" t="s">
        <v>74</v>
      </c>
      <c r="M797" s="1" t="s">
        <v>74</v>
      </c>
      <c r="N797" s="1" t="s">
        <v>74</v>
      </c>
      <c r="O797" s="1" t="s">
        <v>74</v>
      </c>
      <c r="P797" s="1" t="s">
        <v>74</v>
      </c>
      <c r="Q797" s="1" t="s">
        <v>74</v>
      </c>
      <c r="R797" s="1" t="s">
        <v>74</v>
      </c>
      <c r="S797" s="1" t="s">
        <v>74</v>
      </c>
      <c r="T797" s="1" t="s">
        <v>74</v>
      </c>
      <c r="U797" s="1" t="s">
        <v>74</v>
      </c>
      <c r="V797" s="1" t="s">
        <v>7914</v>
      </c>
      <c r="W797" s="1" t="s">
        <v>74</v>
      </c>
      <c r="X797" s="1" t="s">
        <v>74</v>
      </c>
      <c r="Y797" s="1" t="s">
        <v>74</v>
      </c>
      <c r="Z797" s="1" t="s">
        <v>74</v>
      </c>
      <c r="AA797" s="1" t="s">
        <v>7915</v>
      </c>
      <c r="AB797" s="1" t="s">
        <v>7916</v>
      </c>
      <c r="AC797" s="1" t="s">
        <v>74</v>
      </c>
      <c r="AD797" s="1" t="s">
        <v>74</v>
      </c>
      <c r="AE797" s="1" t="s">
        <v>74</v>
      </c>
      <c r="AF797" s="1" t="s">
        <v>74</v>
      </c>
      <c r="AG797" s="1" t="s">
        <v>74</v>
      </c>
      <c r="AH797" s="1" t="s">
        <v>74</v>
      </c>
      <c r="AI797" s="1" t="s">
        <v>74</v>
      </c>
      <c r="AJ797" s="1" t="s">
        <v>74</v>
      </c>
      <c r="AK797" s="1" t="s">
        <v>74</v>
      </c>
      <c r="AL797" s="1" t="s">
        <v>74</v>
      </c>
      <c r="AM797" s="1" t="s">
        <v>74</v>
      </c>
      <c r="AN797" s="1" t="s">
        <v>74</v>
      </c>
      <c r="AO797" s="1" t="s">
        <v>7917</v>
      </c>
      <c r="AP797" s="1" t="s">
        <v>7918</v>
      </c>
      <c r="AQ797" s="1" t="s">
        <v>74</v>
      </c>
      <c r="AR797" s="1" t="s">
        <v>74</v>
      </c>
      <c r="AS797" s="1" t="s">
        <v>74</v>
      </c>
      <c r="AT797" s="1" t="s">
        <v>7919</v>
      </c>
      <c r="AU797" s="1">
        <v>2017.0</v>
      </c>
      <c r="AV797" s="1">
        <v>142.0</v>
      </c>
      <c r="AW797" s="1">
        <v>12.0</v>
      </c>
      <c r="AX797" s="1" t="s">
        <v>74</v>
      </c>
      <c r="AY797" s="1" t="s">
        <v>74</v>
      </c>
      <c r="AZ797" s="1" t="s">
        <v>74</v>
      </c>
      <c r="BA797" s="1" t="s">
        <v>74</v>
      </c>
      <c r="BB797" s="1">
        <v>2067.0</v>
      </c>
      <c r="BC797" s="1">
        <v>2089.0</v>
      </c>
      <c r="BD797" s="1" t="s">
        <v>74</v>
      </c>
      <c r="BE797" s="1" t="s">
        <v>7920</v>
      </c>
      <c r="BF797" s="2" t="str">
        <f>HYPERLINK("http://dx.doi.org/10.1039/c7an00288b","http://dx.doi.org/10.1039/c7an00288b")</f>
        <v>http://dx.doi.org/10.1039/c7an00288b</v>
      </c>
      <c r="BG797" s="1" t="s">
        <v>74</v>
      </c>
      <c r="BH797" s="1" t="s">
        <v>74</v>
      </c>
      <c r="BI797" s="1" t="s">
        <v>74</v>
      </c>
      <c r="BJ797" s="1" t="s">
        <v>74</v>
      </c>
      <c r="BK797" s="1" t="s">
        <v>74</v>
      </c>
      <c r="BL797" s="1" t="s">
        <v>74</v>
      </c>
      <c r="BM797" s="1" t="s">
        <v>74</v>
      </c>
      <c r="BN797" s="1">
        <v>2.8524202E7</v>
      </c>
      <c r="BO797" s="1" t="s">
        <v>74</v>
      </c>
      <c r="BP797" s="1" t="s">
        <v>74</v>
      </c>
      <c r="BQ797" s="1" t="s">
        <v>74</v>
      </c>
      <c r="BR797" s="1" t="s">
        <v>74</v>
      </c>
      <c r="BS797" s="1" t="s">
        <v>7921</v>
      </c>
      <c r="BT797" s="1" t="str">
        <f>HYPERLINK("https%3A%2F%2Fwww.webofscience.com%2Fwos%2Fwoscc%2Ffull-record%2FWOS:000403318300001","View Full Record in Web of Science")</f>
        <v>View Full Record in Web of Science</v>
      </c>
    </row>
    <row r="798" ht="12.75" customHeight="1">
      <c r="A798" s="1" t="s">
        <v>72</v>
      </c>
      <c r="B798" s="1" t="s">
        <v>7922</v>
      </c>
      <c r="C798" s="1" t="s">
        <v>74</v>
      </c>
      <c r="D798" s="1" t="s">
        <v>74</v>
      </c>
      <c r="E798" s="1" t="s">
        <v>74</v>
      </c>
      <c r="F798" s="1" t="s">
        <v>7923</v>
      </c>
      <c r="G798" s="1" t="s">
        <v>74</v>
      </c>
      <c r="H798" s="1" t="s">
        <v>74</v>
      </c>
      <c r="I798" s="1" t="s">
        <v>7924</v>
      </c>
      <c r="J798" s="1" t="s">
        <v>7925</v>
      </c>
      <c r="K798" s="1" t="s">
        <v>74</v>
      </c>
      <c r="L798" s="1" t="s">
        <v>74</v>
      </c>
      <c r="M798" s="1" t="s">
        <v>74</v>
      </c>
      <c r="N798" s="1" t="s">
        <v>74</v>
      </c>
      <c r="O798" s="1" t="s">
        <v>74</v>
      </c>
      <c r="P798" s="1" t="s">
        <v>74</v>
      </c>
      <c r="Q798" s="1" t="s">
        <v>74</v>
      </c>
      <c r="R798" s="1" t="s">
        <v>74</v>
      </c>
      <c r="S798" s="1" t="s">
        <v>74</v>
      </c>
      <c r="T798" s="1" t="s">
        <v>74</v>
      </c>
      <c r="U798" s="1" t="s">
        <v>74</v>
      </c>
      <c r="V798" s="1" t="s">
        <v>7926</v>
      </c>
      <c r="W798" s="1" t="s">
        <v>74</v>
      </c>
      <c r="X798" s="1" t="s">
        <v>74</v>
      </c>
      <c r="Y798" s="1" t="s">
        <v>74</v>
      </c>
      <c r="Z798" s="1" t="s">
        <v>74</v>
      </c>
      <c r="AA798" s="1" t="s">
        <v>7927</v>
      </c>
      <c r="AB798" s="1" t="s">
        <v>7928</v>
      </c>
      <c r="AC798" s="1" t="s">
        <v>74</v>
      </c>
      <c r="AD798" s="1" t="s">
        <v>74</v>
      </c>
      <c r="AE798" s="1" t="s">
        <v>74</v>
      </c>
      <c r="AF798" s="1" t="s">
        <v>74</v>
      </c>
      <c r="AG798" s="1" t="s">
        <v>74</v>
      </c>
      <c r="AH798" s="1" t="s">
        <v>74</v>
      </c>
      <c r="AI798" s="1" t="s">
        <v>74</v>
      </c>
      <c r="AJ798" s="1" t="s">
        <v>74</v>
      </c>
      <c r="AK798" s="1" t="s">
        <v>74</v>
      </c>
      <c r="AL798" s="1" t="s">
        <v>74</v>
      </c>
      <c r="AM798" s="1" t="s">
        <v>74</v>
      </c>
      <c r="AN798" s="1" t="s">
        <v>74</v>
      </c>
      <c r="AO798" s="1" t="s">
        <v>7929</v>
      </c>
      <c r="AP798" s="1" t="s">
        <v>7930</v>
      </c>
      <c r="AQ798" s="1" t="s">
        <v>74</v>
      </c>
      <c r="AR798" s="1" t="s">
        <v>74</v>
      </c>
      <c r="AS798" s="1" t="s">
        <v>74</v>
      </c>
      <c r="AT798" s="1" t="s">
        <v>411</v>
      </c>
      <c r="AU798" s="1">
        <v>2016.0</v>
      </c>
      <c r="AV798" s="1">
        <v>44.0</v>
      </c>
      <c r="AW798" s="1">
        <v>6.0</v>
      </c>
      <c r="AX798" s="1" t="s">
        <v>74</v>
      </c>
      <c r="AY798" s="1" t="s">
        <v>74</v>
      </c>
      <c r="AZ798" s="1" t="s">
        <v>74</v>
      </c>
      <c r="BA798" s="1" t="s">
        <v>74</v>
      </c>
      <c r="BB798" s="1">
        <v>1404.0</v>
      </c>
      <c r="BC798" s="1">
        <v>1418.0</v>
      </c>
      <c r="BD798" s="1" t="s">
        <v>74</v>
      </c>
      <c r="BE798" s="1" t="s">
        <v>7931</v>
      </c>
      <c r="BF798" s="2" t="str">
        <f>HYPERLINK("http://dx.doi.org/10.1177/0305735616634452","http://dx.doi.org/10.1177/0305735616634452")</f>
        <v>http://dx.doi.org/10.1177/0305735616634452</v>
      </c>
      <c r="BG798" s="1" t="s">
        <v>74</v>
      </c>
      <c r="BH798" s="1" t="s">
        <v>74</v>
      </c>
      <c r="BI798" s="1" t="s">
        <v>74</v>
      </c>
      <c r="BJ798" s="1" t="s">
        <v>74</v>
      </c>
      <c r="BK798" s="1" t="s">
        <v>74</v>
      </c>
      <c r="BL798" s="1" t="s">
        <v>74</v>
      </c>
      <c r="BM798" s="1" t="s">
        <v>74</v>
      </c>
      <c r="BN798" s="1" t="s">
        <v>74</v>
      </c>
      <c r="BO798" s="1" t="s">
        <v>74</v>
      </c>
      <c r="BP798" s="1" t="s">
        <v>74</v>
      </c>
      <c r="BQ798" s="1" t="s">
        <v>74</v>
      </c>
      <c r="BR798" s="1" t="s">
        <v>74</v>
      </c>
      <c r="BS798" s="1" t="s">
        <v>7932</v>
      </c>
      <c r="BT798" s="1" t="str">
        <f>HYPERLINK("https%3A%2F%2Fwww.webofscience.com%2Fwos%2Fwoscc%2Ffull-record%2FWOS:000393210700013","View Full Record in Web of Science")</f>
        <v>View Full Record in Web of Science</v>
      </c>
    </row>
    <row r="799" ht="12.75" customHeight="1">
      <c r="A799" s="1" t="s">
        <v>72</v>
      </c>
      <c r="B799" s="1" t="s">
        <v>7933</v>
      </c>
      <c r="C799" s="1" t="s">
        <v>74</v>
      </c>
      <c r="D799" s="1" t="s">
        <v>74</v>
      </c>
      <c r="E799" s="1" t="s">
        <v>74</v>
      </c>
      <c r="F799" s="1" t="s">
        <v>7934</v>
      </c>
      <c r="G799" s="1" t="s">
        <v>74</v>
      </c>
      <c r="H799" s="1" t="s">
        <v>74</v>
      </c>
      <c r="I799" s="1" t="s">
        <v>7935</v>
      </c>
      <c r="J799" s="1" t="s">
        <v>7936</v>
      </c>
      <c r="K799" s="1" t="s">
        <v>74</v>
      </c>
      <c r="L799" s="1" t="s">
        <v>74</v>
      </c>
      <c r="M799" s="1" t="s">
        <v>74</v>
      </c>
      <c r="N799" s="1" t="s">
        <v>74</v>
      </c>
      <c r="O799" s="1" t="s">
        <v>74</v>
      </c>
      <c r="P799" s="1" t="s">
        <v>74</v>
      </c>
      <c r="Q799" s="1" t="s">
        <v>74</v>
      </c>
      <c r="R799" s="1" t="s">
        <v>74</v>
      </c>
      <c r="S799" s="1" t="s">
        <v>74</v>
      </c>
      <c r="T799" s="1" t="s">
        <v>74</v>
      </c>
      <c r="U799" s="1" t="s">
        <v>74</v>
      </c>
      <c r="V799" s="1" t="s">
        <v>7937</v>
      </c>
      <c r="W799" s="1" t="s">
        <v>74</v>
      </c>
      <c r="X799" s="1" t="s">
        <v>74</v>
      </c>
      <c r="Y799" s="1" t="s">
        <v>74</v>
      </c>
      <c r="Z799" s="1" t="s">
        <v>74</v>
      </c>
      <c r="AA799" s="1" t="s">
        <v>7938</v>
      </c>
      <c r="AB799" s="1" t="s">
        <v>7939</v>
      </c>
      <c r="AC799" s="1" t="s">
        <v>74</v>
      </c>
      <c r="AD799" s="1" t="s">
        <v>74</v>
      </c>
      <c r="AE799" s="1" t="s">
        <v>74</v>
      </c>
      <c r="AF799" s="1" t="s">
        <v>74</v>
      </c>
      <c r="AG799" s="1" t="s">
        <v>74</v>
      </c>
      <c r="AH799" s="1" t="s">
        <v>74</v>
      </c>
      <c r="AI799" s="1" t="s">
        <v>74</v>
      </c>
      <c r="AJ799" s="1" t="s">
        <v>74</v>
      </c>
      <c r="AK799" s="1" t="s">
        <v>74</v>
      </c>
      <c r="AL799" s="1" t="s">
        <v>74</v>
      </c>
      <c r="AM799" s="1" t="s">
        <v>74</v>
      </c>
      <c r="AN799" s="1" t="s">
        <v>74</v>
      </c>
      <c r="AO799" s="1" t="s">
        <v>7940</v>
      </c>
      <c r="AP799" s="1" t="s">
        <v>7941</v>
      </c>
      <c r="AQ799" s="1" t="s">
        <v>74</v>
      </c>
      <c r="AR799" s="1" t="s">
        <v>74</v>
      </c>
      <c r="AS799" s="1" t="s">
        <v>74</v>
      </c>
      <c r="AT799" s="1" t="s">
        <v>438</v>
      </c>
      <c r="AU799" s="1">
        <v>2013.0</v>
      </c>
      <c r="AV799" s="1">
        <v>13.0</v>
      </c>
      <c r="AW799" s="1">
        <v>2.0</v>
      </c>
      <c r="AX799" s="1" t="s">
        <v>74</v>
      </c>
      <c r="AY799" s="1" t="s">
        <v>74</v>
      </c>
      <c r="AZ799" s="1" t="s">
        <v>74</v>
      </c>
      <c r="BA799" s="1" t="s">
        <v>74</v>
      </c>
      <c r="BB799" s="1">
        <v>462.0</v>
      </c>
      <c r="BC799" s="1">
        <v>473.0</v>
      </c>
      <c r="BD799" s="1" t="s">
        <v>74</v>
      </c>
      <c r="BE799" s="1" t="s">
        <v>7942</v>
      </c>
      <c r="BF799" s="2" t="str">
        <f>HYPERLINK("http://dx.doi.org/10.4209/aaqr.2012.10.0261","http://dx.doi.org/10.4209/aaqr.2012.10.0261")</f>
        <v>http://dx.doi.org/10.4209/aaqr.2012.10.0261</v>
      </c>
      <c r="BG799" s="1" t="s">
        <v>74</v>
      </c>
      <c r="BH799" s="1" t="s">
        <v>74</v>
      </c>
      <c r="BI799" s="1" t="s">
        <v>74</v>
      </c>
      <c r="BJ799" s="1" t="s">
        <v>74</v>
      </c>
      <c r="BK799" s="1" t="s">
        <v>74</v>
      </c>
      <c r="BL799" s="1" t="s">
        <v>74</v>
      </c>
      <c r="BM799" s="1" t="s">
        <v>74</v>
      </c>
      <c r="BN799" s="1" t="s">
        <v>74</v>
      </c>
      <c r="BO799" s="1" t="s">
        <v>74</v>
      </c>
      <c r="BP799" s="1" t="s">
        <v>74</v>
      </c>
      <c r="BQ799" s="1" t="s">
        <v>74</v>
      </c>
      <c r="BR799" s="1" t="s">
        <v>74</v>
      </c>
      <c r="BS799" s="1" t="s">
        <v>7943</v>
      </c>
      <c r="BT799" s="1" t="str">
        <f>HYPERLINK("https%3A%2F%2Fwww.webofscience.com%2Fwos%2Fwoscc%2Ffull-record%2FWOS:000315327400004","View Full Record in Web of Science")</f>
        <v>View Full Record in Web of Science</v>
      </c>
    </row>
    <row r="800" ht="12.75" customHeight="1">
      <c r="A800" s="1" t="s">
        <v>72</v>
      </c>
      <c r="B800" s="1" t="s">
        <v>7944</v>
      </c>
      <c r="C800" s="1" t="s">
        <v>74</v>
      </c>
      <c r="D800" s="1" t="s">
        <v>74</v>
      </c>
      <c r="E800" s="1" t="s">
        <v>74</v>
      </c>
      <c r="F800" s="1" t="s">
        <v>7945</v>
      </c>
      <c r="G800" s="1" t="s">
        <v>74</v>
      </c>
      <c r="H800" s="1" t="s">
        <v>74</v>
      </c>
      <c r="I800" s="1" t="s">
        <v>7946</v>
      </c>
      <c r="J800" s="1" t="s">
        <v>7947</v>
      </c>
      <c r="K800" s="1" t="s">
        <v>74</v>
      </c>
      <c r="L800" s="1" t="s">
        <v>74</v>
      </c>
      <c r="M800" s="1" t="s">
        <v>74</v>
      </c>
      <c r="N800" s="1" t="s">
        <v>74</v>
      </c>
      <c r="O800" s="1" t="s">
        <v>74</v>
      </c>
      <c r="P800" s="1" t="s">
        <v>74</v>
      </c>
      <c r="Q800" s="1" t="s">
        <v>74</v>
      </c>
      <c r="R800" s="1" t="s">
        <v>74</v>
      </c>
      <c r="S800" s="1" t="s">
        <v>74</v>
      </c>
      <c r="T800" s="1" t="s">
        <v>74</v>
      </c>
      <c r="U800" s="1" t="s">
        <v>74</v>
      </c>
      <c r="V800" s="1" t="s">
        <v>7948</v>
      </c>
      <c r="W800" s="1" t="s">
        <v>74</v>
      </c>
      <c r="X800" s="1" t="s">
        <v>74</v>
      </c>
      <c r="Y800" s="1" t="s">
        <v>74</v>
      </c>
      <c r="Z800" s="1" t="s">
        <v>74</v>
      </c>
      <c r="AA800" s="1" t="s">
        <v>7949</v>
      </c>
      <c r="AB800" s="1" t="s">
        <v>7950</v>
      </c>
      <c r="AC800" s="1" t="s">
        <v>74</v>
      </c>
      <c r="AD800" s="1" t="s">
        <v>74</v>
      </c>
      <c r="AE800" s="1" t="s">
        <v>74</v>
      </c>
      <c r="AF800" s="1" t="s">
        <v>74</v>
      </c>
      <c r="AG800" s="1" t="s">
        <v>74</v>
      </c>
      <c r="AH800" s="1" t="s">
        <v>74</v>
      </c>
      <c r="AI800" s="1" t="s">
        <v>74</v>
      </c>
      <c r="AJ800" s="1" t="s">
        <v>74</v>
      </c>
      <c r="AK800" s="1" t="s">
        <v>74</v>
      </c>
      <c r="AL800" s="1" t="s">
        <v>74</v>
      </c>
      <c r="AM800" s="1" t="s">
        <v>74</v>
      </c>
      <c r="AN800" s="1" t="s">
        <v>74</v>
      </c>
      <c r="AO800" s="1" t="s">
        <v>7951</v>
      </c>
      <c r="AP800" s="1" t="s">
        <v>7952</v>
      </c>
      <c r="AQ800" s="1" t="s">
        <v>74</v>
      </c>
      <c r="AR800" s="1" t="s">
        <v>74</v>
      </c>
      <c r="AS800" s="1" t="s">
        <v>74</v>
      </c>
      <c r="AT800" s="1" t="s">
        <v>559</v>
      </c>
      <c r="AU800" s="1">
        <v>2012.0</v>
      </c>
      <c r="AV800" s="1">
        <v>108.0</v>
      </c>
      <c r="AW800" s="1">
        <v>11.0</v>
      </c>
      <c r="AX800" s="1" t="s">
        <v>74</v>
      </c>
      <c r="AY800" s="1" t="s">
        <v>74</v>
      </c>
      <c r="AZ800" s="1" t="s">
        <v>74</v>
      </c>
      <c r="BA800" s="1" t="s">
        <v>74</v>
      </c>
      <c r="BB800" s="1">
        <v>3009.0</v>
      </c>
      <c r="BC800" s="1">
        <v>3023.0</v>
      </c>
      <c r="BD800" s="1" t="s">
        <v>74</v>
      </c>
      <c r="BE800" s="1" t="s">
        <v>7953</v>
      </c>
      <c r="BF800" s="2" t="str">
        <f>HYPERLINK("http://dx.doi.org/10.1152/jn.01033.2011","http://dx.doi.org/10.1152/jn.01033.2011")</f>
        <v>http://dx.doi.org/10.1152/jn.01033.2011</v>
      </c>
      <c r="BG800" s="1" t="s">
        <v>74</v>
      </c>
      <c r="BH800" s="1" t="s">
        <v>74</v>
      </c>
      <c r="BI800" s="1" t="s">
        <v>74</v>
      </c>
      <c r="BJ800" s="1" t="s">
        <v>74</v>
      </c>
      <c r="BK800" s="1" t="s">
        <v>74</v>
      </c>
      <c r="BL800" s="1" t="s">
        <v>74</v>
      </c>
      <c r="BM800" s="1" t="s">
        <v>74</v>
      </c>
      <c r="BN800" s="1">
        <v>2.2956791E7</v>
      </c>
      <c r="BO800" s="1" t="s">
        <v>74</v>
      </c>
      <c r="BP800" s="1" t="s">
        <v>74</v>
      </c>
      <c r="BQ800" s="1" t="s">
        <v>74</v>
      </c>
      <c r="BR800" s="1" t="s">
        <v>74</v>
      </c>
      <c r="BS800" s="1" t="s">
        <v>7954</v>
      </c>
      <c r="BT800" s="1" t="str">
        <f>HYPERLINK("https%3A%2F%2Fwww.webofscience.com%2Fwos%2Fwoscc%2Ffull-record%2FWOS:000312127600013","View Full Record in Web of Science")</f>
        <v>View Full Record in Web of Science</v>
      </c>
    </row>
    <row r="801" ht="12.75" customHeight="1">
      <c r="A801" s="1" t="s">
        <v>647</v>
      </c>
      <c r="B801" s="1" t="s">
        <v>7955</v>
      </c>
      <c r="C801" s="1" t="s">
        <v>74</v>
      </c>
      <c r="D801" s="1" t="s">
        <v>7956</v>
      </c>
      <c r="E801" s="1" t="s">
        <v>74</v>
      </c>
      <c r="F801" s="1" t="s">
        <v>7957</v>
      </c>
      <c r="G801" s="1" t="s">
        <v>74</v>
      </c>
      <c r="H801" s="1" t="s">
        <v>74</v>
      </c>
      <c r="I801" s="1" t="s">
        <v>7958</v>
      </c>
      <c r="J801" s="1" t="s">
        <v>7959</v>
      </c>
      <c r="K801" s="1" t="s">
        <v>1658</v>
      </c>
      <c r="L801" s="1" t="s">
        <v>74</v>
      </c>
      <c r="M801" s="1" t="s">
        <v>74</v>
      </c>
      <c r="N801" s="1" t="s">
        <v>74</v>
      </c>
      <c r="O801" s="1" t="s">
        <v>7960</v>
      </c>
      <c r="P801" s="1" t="s">
        <v>7961</v>
      </c>
      <c r="Q801" s="1" t="s">
        <v>7962</v>
      </c>
      <c r="R801" s="1" t="s">
        <v>74</v>
      </c>
      <c r="S801" s="1" t="s">
        <v>74</v>
      </c>
      <c r="T801" s="1" t="s">
        <v>74</v>
      </c>
      <c r="U801" s="1" t="s">
        <v>74</v>
      </c>
      <c r="V801" s="1" t="s">
        <v>7963</v>
      </c>
      <c r="W801" s="1" t="s">
        <v>74</v>
      </c>
      <c r="X801" s="1" t="s">
        <v>74</v>
      </c>
      <c r="Y801" s="1" t="s">
        <v>74</v>
      </c>
      <c r="Z801" s="1" t="s">
        <v>74</v>
      </c>
      <c r="AA801" s="1" t="s">
        <v>7964</v>
      </c>
      <c r="AB801" s="1" t="s">
        <v>7965</v>
      </c>
      <c r="AC801" s="1" t="s">
        <v>74</v>
      </c>
      <c r="AD801" s="1" t="s">
        <v>74</v>
      </c>
      <c r="AE801" s="1" t="s">
        <v>74</v>
      </c>
      <c r="AF801" s="1" t="s">
        <v>74</v>
      </c>
      <c r="AG801" s="1" t="s">
        <v>74</v>
      </c>
      <c r="AH801" s="1" t="s">
        <v>74</v>
      </c>
      <c r="AI801" s="1" t="s">
        <v>74</v>
      </c>
      <c r="AJ801" s="1" t="s">
        <v>74</v>
      </c>
      <c r="AK801" s="1" t="s">
        <v>74</v>
      </c>
      <c r="AL801" s="1" t="s">
        <v>74</v>
      </c>
      <c r="AM801" s="1" t="s">
        <v>74</v>
      </c>
      <c r="AN801" s="1" t="s">
        <v>74</v>
      </c>
      <c r="AO801" s="1" t="s">
        <v>1666</v>
      </c>
      <c r="AP801" s="1" t="s">
        <v>1667</v>
      </c>
      <c r="AQ801" s="1" t="s">
        <v>7966</v>
      </c>
      <c r="AR801" s="1" t="s">
        <v>74</v>
      </c>
      <c r="AS801" s="1" t="s">
        <v>74</v>
      </c>
      <c r="AT801" s="1" t="s">
        <v>74</v>
      </c>
      <c r="AU801" s="1">
        <v>2011.0</v>
      </c>
      <c r="AV801" s="1">
        <v>7017.0</v>
      </c>
      <c r="AW801" s="1" t="s">
        <v>74</v>
      </c>
      <c r="AX801" s="1" t="s">
        <v>7967</v>
      </c>
      <c r="AY801" s="1" t="s">
        <v>74</v>
      </c>
      <c r="AZ801" s="1" t="s">
        <v>74</v>
      </c>
      <c r="BA801" s="1" t="s">
        <v>74</v>
      </c>
      <c r="BB801" s="1">
        <v>375.0</v>
      </c>
      <c r="BC801" s="1" t="s">
        <v>661</v>
      </c>
      <c r="BD801" s="1" t="s">
        <v>74</v>
      </c>
      <c r="BE801" s="1" t="s">
        <v>74</v>
      </c>
      <c r="BF801" s="1" t="s">
        <v>74</v>
      </c>
      <c r="BG801" s="1" t="s">
        <v>74</v>
      </c>
      <c r="BH801" s="1" t="s">
        <v>74</v>
      </c>
      <c r="BI801" s="1" t="s">
        <v>74</v>
      </c>
      <c r="BJ801" s="1" t="s">
        <v>74</v>
      </c>
      <c r="BK801" s="1" t="s">
        <v>74</v>
      </c>
      <c r="BL801" s="1" t="s">
        <v>74</v>
      </c>
      <c r="BM801" s="1" t="s">
        <v>74</v>
      </c>
      <c r="BN801" s="1" t="s">
        <v>74</v>
      </c>
      <c r="BO801" s="1" t="s">
        <v>74</v>
      </c>
      <c r="BP801" s="1" t="s">
        <v>74</v>
      </c>
      <c r="BQ801" s="1" t="s">
        <v>74</v>
      </c>
      <c r="BR801" s="1" t="s">
        <v>74</v>
      </c>
      <c r="BS801" s="1" t="s">
        <v>7968</v>
      </c>
      <c r="BT801" s="1" t="str">
        <f>HYPERLINK("https%3A%2F%2Fwww.webofscience.com%2Fwos%2Fwoscc%2Ffull-record%2FWOS:000307023000036","View Full Record in Web of Science")</f>
        <v>View Full Record in Web of Science</v>
      </c>
    </row>
    <row r="802" ht="12.75" customHeight="1">
      <c r="A802" s="1" t="s">
        <v>72</v>
      </c>
      <c r="B802" s="1" t="s">
        <v>7969</v>
      </c>
      <c r="C802" s="1" t="s">
        <v>74</v>
      </c>
      <c r="D802" s="1" t="s">
        <v>74</v>
      </c>
      <c r="E802" s="1" t="s">
        <v>74</v>
      </c>
      <c r="F802" s="1" t="s">
        <v>7970</v>
      </c>
      <c r="G802" s="1" t="s">
        <v>74</v>
      </c>
      <c r="H802" s="1" t="s">
        <v>74</v>
      </c>
      <c r="I802" s="1" t="s">
        <v>7971</v>
      </c>
      <c r="J802" s="1" t="s">
        <v>406</v>
      </c>
      <c r="K802" s="1" t="s">
        <v>74</v>
      </c>
      <c r="L802" s="1" t="s">
        <v>74</v>
      </c>
      <c r="M802" s="1" t="s">
        <v>74</v>
      </c>
      <c r="N802" s="1" t="s">
        <v>74</v>
      </c>
      <c r="O802" s="1" t="s">
        <v>74</v>
      </c>
      <c r="P802" s="1" t="s">
        <v>74</v>
      </c>
      <c r="Q802" s="1" t="s">
        <v>74</v>
      </c>
      <c r="R802" s="1" t="s">
        <v>74</v>
      </c>
      <c r="S802" s="1" t="s">
        <v>74</v>
      </c>
      <c r="T802" s="1" t="s">
        <v>74</v>
      </c>
      <c r="U802" s="1" t="s">
        <v>74</v>
      </c>
      <c r="V802" s="1" t="s">
        <v>7972</v>
      </c>
      <c r="W802" s="1" t="s">
        <v>74</v>
      </c>
      <c r="X802" s="1" t="s">
        <v>74</v>
      </c>
      <c r="Y802" s="1" t="s">
        <v>74</v>
      </c>
      <c r="Z802" s="1" t="s">
        <v>74</v>
      </c>
      <c r="AA802" s="1" t="s">
        <v>7973</v>
      </c>
      <c r="AB802" s="1" t="s">
        <v>7974</v>
      </c>
      <c r="AC802" s="1" t="s">
        <v>74</v>
      </c>
      <c r="AD802" s="1" t="s">
        <v>74</v>
      </c>
      <c r="AE802" s="1" t="s">
        <v>74</v>
      </c>
      <c r="AF802" s="1" t="s">
        <v>74</v>
      </c>
      <c r="AG802" s="1" t="s">
        <v>74</v>
      </c>
      <c r="AH802" s="1" t="s">
        <v>74</v>
      </c>
      <c r="AI802" s="1" t="s">
        <v>74</v>
      </c>
      <c r="AJ802" s="1" t="s">
        <v>74</v>
      </c>
      <c r="AK802" s="1" t="s">
        <v>74</v>
      </c>
      <c r="AL802" s="1" t="s">
        <v>74</v>
      </c>
      <c r="AM802" s="1" t="s">
        <v>74</v>
      </c>
      <c r="AN802" s="1" t="s">
        <v>74</v>
      </c>
      <c r="AO802" s="1" t="s">
        <v>74</v>
      </c>
      <c r="AP802" s="1" t="s">
        <v>410</v>
      </c>
      <c r="AQ802" s="1" t="s">
        <v>74</v>
      </c>
      <c r="AR802" s="1" t="s">
        <v>74</v>
      </c>
      <c r="AS802" s="1" t="s">
        <v>74</v>
      </c>
      <c r="AT802" s="1" t="s">
        <v>316</v>
      </c>
      <c r="AU802" s="1">
        <v>2023.0</v>
      </c>
      <c r="AV802" s="1">
        <v>9.0</v>
      </c>
      <c r="AW802" s="1">
        <v>10.0</v>
      </c>
      <c r="AX802" s="1" t="s">
        <v>74</v>
      </c>
      <c r="AY802" s="1" t="s">
        <v>74</v>
      </c>
      <c r="AZ802" s="1" t="s">
        <v>74</v>
      </c>
      <c r="BA802" s="1" t="s">
        <v>74</v>
      </c>
      <c r="BB802" s="1" t="s">
        <v>74</v>
      </c>
      <c r="BC802" s="1" t="s">
        <v>74</v>
      </c>
      <c r="BD802" s="1" t="s">
        <v>7975</v>
      </c>
      <c r="BE802" s="1" t="s">
        <v>7976</v>
      </c>
      <c r="BF802" s="2" t="str">
        <f>HYPERLINK("http://dx.doi.org/10.1016/j.heliyon.2023.e20888","http://dx.doi.org/10.1016/j.heliyon.2023.e20888")</f>
        <v>http://dx.doi.org/10.1016/j.heliyon.2023.e20888</v>
      </c>
      <c r="BG802" s="1" t="s">
        <v>74</v>
      </c>
      <c r="BH802" s="1" t="s">
        <v>414</v>
      </c>
      <c r="BI802" s="1" t="s">
        <v>74</v>
      </c>
      <c r="BJ802" s="1" t="s">
        <v>74</v>
      </c>
      <c r="BK802" s="1" t="s">
        <v>74</v>
      </c>
      <c r="BL802" s="1" t="s">
        <v>74</v>
      </c>
      <c r="BM802" s="1" t="s">
        <v>74</v>
      </c>
      <c r="BN802" s="1">
        <v>3.7876474E7</v>
      </c>
      <c r="BO802" s="1" t="s">
        <v>74</v>
      </c>
      <c r="BP802" s="1" t="s">
        <v>74</v>
      </c>
      <c r="BQ802" s="1" t="s">
        <v>74</v>
      </c>
      <c r="BR802" s="1" t="s">
        <v>74</v>
      </c>
      <c r="BS802" s="1" t="s">
        <v>7977</v>
      </c>
      <c r="BT802" s="1" t="str">
        <f>HYPERLINK("https%3A%2F%2Fwww.webofscience.com%2Fwos%2Fwoscc%2Ffull-record%2FWOS:001149309600001","View Full Record in Web of Science")</f>
        <v>View Full Record in Web of Science</v>
      </c>
    </row>
    <row r="803" ht="12.75" customHeight="1">
      <c r="A803" s="1" t="s">
        <v>72</v>
      </c>
      <c r="B803" s="1" t="s">
        <v>7978</v>
      </c>
      <c r="C803" s="1" t="s">
        <v>74</v>
      </c>
      <c r="D803" s="1" t="s">
        <v>74</v>
      </c>
      <c r="E803" s="1" t="s">
        <v>74</v>
      </c>
      <c r="F803" s="1" t="s">
        <v>7979</v>
      </c>
      <c r="G803" s="1" t="s">
        <v>74</v>
      </c>
      <c r="H803" s="1" t="s">
        <v>74</v>
      </c>
      <c r="I803" s="1" t="s">
        <v>7980</v>
      </c>
      <c r="J803" s="1" t="s">
        <v>7981</v>
      </c>
      <c r="K803" s="1" t="s">
        <v>74</v>
      </c>
      <c r="L803" s="1" t="s">
        <v>74</v>
      </c>
      <c r="M803" s="1" t="s">
        <v>74</v>
      </c>
      <c r="N803" s="1" t="s">
        <v>74</v>
      </c>
      <c r="O803" s="1" t="s">
        <v>74</v>
      </c>
      <c r="P803" s="1" t="s">
        <v>74</v>
      </c>
      <c r="Q803" s="1" t="s">
        <v>74</v>
      </c>
      <c r="R803" s="1" t="s">
        <v>74</v>
      </c>
      <c r="S803" s="1" t="s">
        <v>74</v>
      </c>
      <c r="T803" s="1" t="s">
        <v>74</v>
      </c>
      <c r="U803" s="1" t="s">
        <v>74</v>
      </c>
      <c r="V803" s="1" t="s">
        <v>7982</v>
      </c>
      <c r="W803" s="1" t="s">
        <v>74</v>
      </c>
      <c r="X803" s="1" t="s">
        <v>74</v>
      </c>
      <c r="Y803" s="1" t="s">
        <v>74</v>
      </c>
      <c r="Z803" s="1" t="s">
        <v>74</v>
      </c>
      <c r="AA803" s="1" t="s">
        <v>7983</v>
      </c>
      <c r="AB803" s="1" t="s">
        <v>7984</v>
      </c>
      <c r="AC803" s="1" t="s">
        <v>74</v>
      </c>
      <c r="AD803" s="1" t="s">
        <v>74</v>
      </c>
      <c r="AE803" s="1" t="s">
        <v>74</v>
      </c>
      <c r="AF803" s="1" t="s">
        <v>74</v>
      </c>
      <c r="AG803" s="1" t="s">
        <v>74</v>
      </c>
      <c r="AH803" s="1" t="s">
        <v>74</v>
      </c>
      <c r="AI803" s="1" t="s">
        <v>74</v>
      </c>
      <c r="AJ803" s="1" t="s">
        <v>74</v>
      </c>
      <c r="AK803" s="1" t="s">
        <v>74</v>
      </c>
      <c r="AL803" s="1" t="s">
        <v>74</v>
      </c>
      <c r="AM803" s="1" t="s">
        <v>74</v>
      </c>
      <c r="AN803" s="1" t="s">
        <v>74</v>
      </c>
      <c r="AO803" s="1" t="s">
        <v>7985</v>
      </c>
      <c r="AP803" s="1" t="s">
        <v>74</v>
      </c>
      <c r="AQ803" s="1" t="s">
        <v>74</v>
      </c>
      <c r="AR803" s="1" t="s">
        <v>74</v>
      </c>
      <c r="AS803" s="1" t="s">
        <v>74</v>
      </c>
      <c r="AT803" s="1" t="s">
        <v>316</v>
      </c>
      <c r="AU803" s="1">
        <v>2022.0</v>
      </c>
      <c r="AV803" s="1">
        <v>5.0</v>
      </c>
      <c r="AW803" s="1">
        <v>5.0</v>
      </c>
      <c r="AX803" s="1" t="s">
        <v>74</v>
      </c>
      <c r="AY803" s="1" t="s">
        <v>74</v>
      </c>
      <c r="AZ803" s="1" t="s">
        <v>74</v>
      </c>
      <c r="BA803" s="1" t="s">
        <v>74</v>
      </c>
      <c r="BB803" s="1" t="s">
        <v>74</v>
      </c>
      <c r="BC803" s="1" t="s">
        <v>74</v>
      </c>
      <c r="BD803" s="1">
        <v>168.0</v>
      </c>
      <c r="BE803" s="1" t="s">
        <v>7986</v>
      </c>
      <c r="BF803" s="2" t="str">
        <f>HYPERLINK("http://dx.doi.org/10.3390/fire5050168","http://dx.doi.org/10.3390/fire5050168")</f>
        <v>http://dx.doi.org/10.3390/fire5050168</v>
      </c>
      <c r="BG803" s="1" t="s">
        <v>74</v>
      </c>
      <c r="BH803" s="1" t="s">
        <v>74</v>
      </c>
      <c r="BI803" s="1" t="s">
        <v>74</v>
      </c>
      <c r="BJ803" s="1" t="s">
        <v>74</v>
      </c>
      <c r="BK803" s="1" t="s">
        <v>74</v>
      </c>
      <c r="BL803" s="1" t="s">
        <v>74</v>
      </c>
      <c r="BM803" s="1" t="s">
        <v>74</v>
      </c>
      <c r="BN803" s="1" t="s">
        <v>74</v>
      </c>
      <c r="BO803" s="1" t="s">
        <v>74</v>
      </c>
      <c r="BP803" s="1" t="s">
        <v>74</v>
      </c>
      <c r="BQ803" s="1" t="s">
        <v>74</v>
      </c>
      <c r="BR803" s="1" t="s">
        <v>74</v>
      </c>
      <c r="BS803" s="1" t="s">
        <v>7987</v>
      </c>
      <c r="BT803" s="1" t="str">
        <f>HYPERLINK("https%3A%2F%2Fwww.webofscience.com%2Fwos%2Fwoscc%2Ffull-record%2FWOS:000874349000001","View Full Record in Web of Science")</f>
        <v>View Full Record in Web of Science</v>
      </c>
    </row>
    <row r="804" ht="12.75" customHeight="1">
      <c r="A804" s="1" t="s">
        <v>72</v>
      </c>
      <c r="B804" s="1" t="s">
        <v>7988</v>
      </c>
      <c r="C804" s="1" t="s">
        <v>74</v>
      </c>
      <c r="D804" s="1" t="s">
        <v>74</v>
      </c>
      <c r="E804" s="1" t="s">
        <v>74</v>
      </c>
      <c r="F804" s="1" t="s">
        <v>7989</v>
      </c>
      <c r="G804" s="1" t="s">
        <v>74</v>
      </c>
      <c r="H804" s="1" t="s">
        <v>74</v>
      </c>
      <c r="I804" s="1" t="s">
        <v>7990</v>
      </c>
      <c r="J804" s="1" t="s">
        <v>1590</v>
      </c>
      <c r="K804" s="1" t="s">
        <v>74</v>
      </c>
      <c r="L804" s="1" t="s">
        <v>74</v>
      </c>
      <c r="M804" s="1" t="s">
        <v>74</v>
      </c>
      <c r="N804" s="1" t="s">
        <v>74</v>
      </c>
      <c r="O804" s="1" t="s">
        <v>74</v>
      </c>
      <c r="P804" s="1" t="s">
        <v>74</v>
      </c>
      <c r="Q804" s="1" t="s">
        <v>74</v>
      </c>
      <c r="R804" s="1" t="s">
        <v>74</v>
      </c>
      <c r="S804" s="1" t="s">
        <v>74</v>
      </c>
      <c r="T804" s="1" t="s">
        <v>74</v>
      </c>
      <c r="U804" s="1" t="s">
        <v>74</v>
      </c>
      <c r="V804" s="1" t="s">
        <v>7991</v>
      </c>
      <c r="W804" s="1" t="s">
        <v>74</v>
      </c>
      <c r="X804" s="1" t="s">
        <v>74</v>
      </c>
      <c r="Y804" s="1" t="s">
        <v>74</v>
      </c>
      <c r="Z804" s="1" t="s">
        <v>74</v>
      </c>
      <c r="AA804" s="1" t="s">
        <v>7992</v>
      </c>
      <c r="AB804" s="1" t="s">
        <v>7993</v>
      </c>
      <c r="AC804" s="1" t="s">
        <v>74</v>
      </c>
      <c r="AD804" s="1" t="s">
        <v>74</v>
      </c>
      <c r="AE804" s="1" t="s">
        <v>74</v>
      </c>
      <c r="AF804" s="1" t="s">
        <v>74</v>
      </c>
      <c r="AG804" s="1" t="s">
        <v>74</v>
      </c>
      <c r="AH804" s="1" t="s">
        <v>74</v>
      </c>
      <c r="AI804" s="1" t="s">
        <v>74</v>
      </c>
      <c r="AJ804" s="1" t="s">
        <v>74</v>
      </c>
      <c r="AK804" s="1" t="s">
        <v>74</v>
      </c>
      <c r="AL804" s="1" t="s">
        <v>74</v>
      </c>
      <c r="AM804" s="1" t="s">
        <v>74</v>
      </c>
      <c r="AN804" s="1" t="s">
        <v>74</v>
      </c>
      <c r="AO804" s="1" t="s">
        <v>1594</v>
      </c>
      <c r="AP804" s="1" t="s">
        <v>1595</v>
      </c>
      <c r="AQ804" s="1" t="s">
        <v>74</v>
      </c>
      <c r="AR804" s="1" t="s">
        <v>74</v>
      </c>
      <c r="AS804" s="1" t="s">
        <v>74</v>
      </c>
      <c r="AT804" s="1" t="s">
        <v>7994</v>
      </c>
      <c r="AU804" s="1">
        <v>2022.0</v>
      </c>
      <c r="AV804" s="1">
        <v>105.0</v>
      </c>
      <c r="AW804" s="1">
        <v>5.0</v>
      </c>
      <c r="AX804" s="1" t="s">
        <v>74</v>
      </c>
      <c r="AY804" s="1" t="s">
        <v>74</v>
      </c>
      <c r="AZ804" s="1" t="s">
        <v>74</v>
      </c>
      <c r="BA804" s="1" t="s">
        <v>74</v>
      </c>
      <c r="BB804" s="1" t="s">
        <v>74</v>
      </c>
      <c r="BC804" s="1" t="s">
        <v>74</v>
      </c>
      <c r="BD804" s="1">
        <v>52406.0</v>
      </c>
      <c r="BE804" s="1" t="s">
        <v>7995</v>
      </c>
      <c r="BF804" s="2" t="str">
        <f>HYPERLINK("http://dx.doi.org/10.1103/PhysRevA.105.052406","http://dx.doi.org/10.1103/PhysRevA.105.052406")</f>
        <v>http://dx.doi.org/10.1103/PhysRevA.105.052406</v>
      </c>
      <c r="BG804" s="1" t="s">
        <v>74</v>
      </c>
      <c r="BH804" s="1" t="s">
        <v>74</v>
      </c>
      <c r="BI804" s="1" t="s">
        <v>74</v>
      </c>
      <c r="BJ804" s="1" t="s">
        <v>74</v>
      </c>
      <c r="BK804" s="1" t="s">
        <v>74</v>
      </c>
      <c r="BL804" s="1" t="s">
        <v>74</v>
      </c>
      <c r="BM804" s="1" t="s">
        <v>74</v>
      </c>
      <c r="BN804" s="1" t="s">
        <v>74</v>
      </c>
      <c r="BO804" s="1" t="s">
        <v>74</v>
      </c>
      <c r="BP804" s="1" t="s">
        <v>74</v>
      </c>
      <c r="BQ804" s="1" t="s">
        <v>74</v>
      </c>
      <c r="BR804" s="1" t="s">
        <v>74</v>
      </c>
      <c r="BS804" s="1" t="s">
        <v>7996</v>
      </c>
      <c r="BT804" s="1" t="str">
        <f>HYPERLINK("https%3A%2F%2Fwww.webofscience.com%2Fwos%2Fwoscc%2Ffull-record%2FWOS:000798841200003","View Full Record in Web of Science")</f>
        <v>View Full Record in Web of Science</v>
      </c>
    </row>
    <row r="805" ht="12.75" customHeight="1">
      <c r="A805" s="1" t="s">
        <v>72</v>
      </c>
      <c r="B805" s="1" t="s">
        <v>7304</v>
      </c>
      <c r="C805" s="1" t="s">
        <v>74</v>
      </c>
      <c r="D805" s="1" t="s">
        <v>74</v>
      </c>
      <c r="E805" s="1" t="s">
        <v>74</v>
      </c>
      <c r="F805" s="1" t="s">
        <v>7305</v>
      </c>
      <c r="G805" s="1" t="s">
        <v>74</v>
      </c>
      <c r="H805" s="1" t="s">
        <v>74</v>
      </c>
      <c r="I805" s="1" t="s">
        <v>7997</v>
      </c>
      <c r="J805" s="1" t="s">
        <v>7998</v>
      </c>
      <c r="K805" s="1" t="s">
        <v>74</v>
      </c>
      <c r="L805" s="1" t="s">
        <v>74</v>
      </c>
      <c r="M805" s="1" t="s">
        <v>74</v>
      </c>
      <c r="N805" s="1" t="s">
        <v>74</v>
      </c>
      <c r="O805" s="1" t="s">
        <v>74</v>
      </c>
      <c r="P805" s="1" t="s">
        <v>74</v>
      </c>
      <c r="Q805" s="1" t="s">
        <v>74</v>
      </c>
      <c r="R805" s="1" t="s">
        <v>74</v>
      </c>
      <c r="S805" s="1" t="s">
        <v>74</v>
      </c>
      <c r="T805" s="1" t="s">
        <v>74</v>
      </c>
      <c r="U805" s="1" t="s">
        <v>74</v>
      </c>
      <c r="V805" s="1" t="s">
        <v>7999</v>
      </c>
      <c r="W805" s="1" t="s">
        <v>74</v>
      </c>
      <c r="X805" s="1" t="s">
        <v>74</v>
      </c>
      <c r="Y805" s="1" t="s">
        <v>74</v>
      </c>
      <c r="Z805" s="1" t="s">
        <v>74</v>
      </c>
      <c r="AA805" s="1" t="s">
        <v>7309</v>
      </c>
      <c r="AB805" s="1" t="s">
        <v>7310</v>
      </c>
      <c r="AC805" s="1" t="s">
        <v>74</v>
      </c>
      <c r="AD805" s="1" t="s">
        <v>74</v>
      </c>
      <c r="AE805" s="1" t="s">
        <v>74</v>
      </c>
      <c r="AF805" s="1" t="s">
        <v>74</v>
      </c>
      <c r="AG805" s="1" t="s">
        <v>74</v>
      </c>
      <c r="AH805" s="1" t="s">
        <v>74</v>
      </c>
      <c r="AI805" s="1" t="s">
        <v>74</v>
      </c>
      <c r="AJ805" s="1" t="s">
        <v>74</v>
      </c>
      <c r="AK805" s="1" t="s">
        <v>74</v>
      </c>
      <c r="AL805" s="1" t="s">
        <v>74</v>
      </c>
      <c r="AM805" s="1" t="s">
        <v>74</v>
      </c>
      <c r="AN805" s="1" t="s">
        <v>74</v>
      </c>
      <c r="AO805" s="1" t="s">
        <v>8000</v>
      </c>
      <c r="AP805" s="1" t="s">
        <v>8001</v>
      </c>
      <c r="AQ805" s="1" t="s">
        <v>74</v>
      </c>
      <c r="AR805" s="1" t="s">
        <v>74</v>
      </c>
      <c r="AS805" s="1" t="s">
        <v>74</v>
      </c>
      <c r="AT805" s="1" t="s">
        <v>719</v>
      </c>
      <c r="AU805" s="1">
        <v>2019.0</v>
      </c>
      <c r="AV805" s="1">
        <v>41.0</v>
      </c>
      <c r="AW805" s="1">
        <v>7.0</v>
      </c>
      <c r="AX805" s="1" t="s">
        <v>74</v>
      </c>
      <c r="AY805" s="1" t="s">
        <v>74</v>
      </c>
      <c r="AZ805" s="1" t="s">
        <v>74</v>
      </c>
      <c r="BA805" s="1" t="s">
        <v>74</v>
      </c>
      <c r="BB805" s="1" t="s">
        <v>74</v>
      </c>
      <c r="BC805" s="1" t="s">
        <v>74</v>
      </c>
      <c r="BD805" s="1">
        <v>286.0</v>
      </c>
      <c r="BE805" s="1" t="s">
        <v>8002</v>
      </c>
      <c r="BF805" s="2" t="str">
        <f>HYPERLINK("http://dx.doi.org/10.1007/s40430-019-1723-x","http://dx.doi.org/10.1007/s40430-019-1723-x")</f>
        <v>http://dx.doi.org/10.1007/s40430-019-1723-x</v>
      </c>
      <c r="BG805" s="1" t="s">
        <v>74</v>
      </c>
      <c r="BH805" s="1" t="s">
        <v>74</v>
      </c>
      <c r="BI805" s="1" t="s">
        <v>74</v>
      </c>
      <c r="BJ805" s="1" t="s">
        <v>74</v>
      </c>
      <c r="BK805" s="1" t="s">
        <v>74</v>
      </c>
      <c r="BL805" s="1" t="s">
        <v>74</v>
      </c>
      <c r="BM805" s="1" t="s">
        <v>74</v>
      </c>
      <c r="BN805" s="1" t="s">
        <v>74</v>
      </c>
      <c r="BO805" s="1" t="s">
        <v>74</v>
      </c>
      <c r="BP805" s="1" t="s">
        <v>74</v>
      </c>
      <c r="BQ805" s="1" t="s">
        <v>74</v>
      </c>
      <c r="BR805" s="1" t="s">
        <v>74</v>
      </c>
      <c r="BS805" s="1" t="s">
        <v>8003</v>
      </c>
      <c r="BT805" s="1" t="str">
        <f>HYPERLINK("https%3A%2F%2Fwww.webofscience.com%2Fwos%2Fwoscc%2Ffull-record%2FWOS:000471642000002","View Full Record in Web of Science")</f>
        <v>View Full Record in Web of Science</v>
      </c>
    </row>
    <row r="806" ht="12.75" customHeight="1">
      <c r="A806" s="1" t="s">
        <v>72</v>
      </c>
      <c r="B806" s="1" t="s">
        <v>8004</v>
      </c>
      <c r="C806" s="1" t="s">
        <v>74</v>
      </c>
      <c r="D806" s="1" t="s">
        <v>74</v>
      </c>
      <c r="E806" s="1" t="s">
        <v>74</v>
      </c>
      <c r="F806" s="1" t="s">
        <v>8005</v>
      </c>
      <c r="G806" s="1" t="s">
        <v>74</v>
      </c>
      <c r="H806" s="1" t="s">
        <v>74</v>
      </c>
      <c r="I806" s="1" t="s">
        <v>8006</v>
      </c>
      <c r="J806" s="1" t="s">
        <v>8007</v>
      </c>
      <c r="K806" s="1" t="s">
        <v>74</v>
      </c>
      <c r="L806" s="1" t="s">
        <v>74</v>
      </c>
      <c r="M806" s="1" t="s">
        <v>74</v>
      </c>
      <c r="N806" s="1" t="s">
        <v>74</v>
      </c>
      <c r="O806" s="1" t="s">
        <v>74</v>
      </c>
      <c r="P806" s="1" t="s">
        <v>74</v>
      </c>
      <c r="Q806" s="1" t="s">
        <v>74</v>
      </c>
      <c r="R806" s="1" t="s">
        <v>74</v>
      </c>
      <c r="S806" s="1" t="s">
        <v>74</v>
      </c>
      <c r="T806" s="1" t="s">
        <v>74</v>
      </c>
      <c r="U806" s="1" t="s">
        <v>74</v>
      </c>
      <c r="V806" s="1" t="s">
        <v>8008</v>
      </c>
      <c r="W806" s="1" t="s">
        <v>74</v>
      </c>
      <c r="X806" s="1" t="s">
        <v>74</v>
      </c>
      <c r="Y806" s="1" t="s">
        <v>74</v>
      </c>
      <c r="Z806" s="1" t="s">
        <v>74</v>
      </c>
      <c r="AA806" s="1" t="s">
        <v>74</v>
      </c>
      <c r="AB806" s="1" t="s">
        <v>8009</v>
      </c>
      <c r="AC806" s="1" t="s">
        <v>74</v>
      </c>
      <c r="AD806" s="1" t="s">
        <v>74</v>
      </c>
      <c r="AE806" s="1" t="s">
        <v>74</v>
      </c>
      <c r="AF806" s="1" t="s">
        <v>74</v>
      </c>
      <c r="AG806" s="1" t="s">
        <v>74</v>
      </c>
      <c r="AH806" s="1" t="s">
        <v>74</v>
      </c>
      <c r="AI806" s="1" t="s">
        <v>74</v>
      </c>
      <c r="AJ806" s="1" t="s">
        <v>74</v>
      </c>
      <c r="AK806" s="1" t="s">
        <v>74</v>
      </c>
      <c r="AL806" s="1" t="s">
        <v>74</v>
      </c>
      <c r="AM806" s="1" t="s">
        <v>74</v>
      </c>
      <c r="AN806" s="1" t="s">
        <v>74</v>
      </c>
      <c r="AO806" s="1" t="s">
        <v>8010</v>
      </c>
      <c r="AP806" s="1" t="s">
        <v>74</v>
      </c>
      <c r="AQ806" s="1" t="s">
        <v>74</v>
      </c>
      <c r="AR806" s="1" t="s">
        <v>74</v>
      </c>
      <c r="AS806" s="1" t="s">
        <v>74</v>
      </c>
      <c r="AT806" s="1" t="s">
        <v>155</v>
      </c>
      <c r="AU806" s="1">
        <v>2019.0</v>
      </c>
      <c r="AV806" s="1" t="s">
        <v>74</v>
      </c>
      <c r="AW806" s="1">
        <v>6.0</v>
      </c>
      <c r="AX806" s="1" t="s">
        <v>74</v>
      </c>
      <c r="AY806" s="1" t="s">
        <v>74</v>
      </c>
      <c r="AZ806" s="1" t="s">
        <v>74</v>
      </c>
      <c r="BA806" s="1" t="s">
        <v>74</v>
      </c>
      <c r="BB806" s="1" t="s">
        <v>74</v>
      </c>
      <c r="BC806" s="1" t="s">
        <v>74</v>
      </c>
      <c r="BD806" s="1">
        <v>37.0</v>
      </c>
      <c r="BE806" s="1" t="s">
        <v>8011</v>
      </c>
      <c r="BF806" s="2" t="str">
        <f>HYPERLINK("http://dx.doi.org/10.1088/1475-7516/2019/06/037","http://dx.doi.org/10.1088/1475-7516/2019/06/037")</f>
        <v>http://dx.doi.org/10.1088/1475-7516/2019/06/037</v>
      </c>
      <c r="BG806" s="1" t="s">
        <v>74</v>
      </c>
      <c r="BH806" s="1" t="s">
        <v>74</v>
      </c>
      <c r="BI806" s="1" t="s">
        <v>74</v>
      </c>
      <c r="BJ806" s="1" t="s">
        <v>74</v>
      </c>
      <c r="BK806" s="1" t="s">
        <v>74</v>
      </c>
      <c r="BL806" s="1" t="s">
        <v>74</v>
      </c>
      <c r="BM806" s="1" t="s">
        <v>74</v>
      </c>
      <c r="BN806" s="1" t="s">
        <v>74</v>
      </c>
      <c r="BO806" s="1" t="s">
        <v>74</v>
      </c>
      <c r="BP806" s="1" t="s">
        <v>74</v>
      </c>
      <c r="BQ806" s="1" t="s">
        <v>74</v>
      </c>
      <c r="BR806" s="1" t="s">
        <v>74</v>
      </c>
      <c r="BS806" s="1" t="s">
        <v>8012</v>
      </c>
      <c r="BT806" s="1" t="str">
        <f>HYPERLINK("https%3A%2F%2Fwww.webofscience.com%2Fwos%2Fwoscc%2Ffull-record%2FWOS:000471997300005","View Full Record in Web of Science")</f>
        <v>View Full Record in Web of Science</v>
      </c>
    </row>
    <row r="807" ht="12.75" customHeight="1">
      <c r="A807" s="1" t="s">
        <v>72</v>
      </c>
      <c r="B807" s="1" t="s">
        <v>8013</v>
      </c>
      <c r="C807" s="1" t="s">
        <v>74</v>
      </c>
      <c r="D807" s="1" t="s">
        <v>74</v>
      </c>
      <c r="E807" s="1" t="s">
        <v>74</v>
      </c>
      <c r="F807" s="1" t="s">
        <v>8014</v>
      </c>
      <c r="G807" s="1" t="s">
        <v>74</v>
      </c>
      <c r="H807" s="1" t="s">
        <v>74</v>
      </c>
      <c r="I807" s="1" t="s">
        <v>8015</v>
      </c>
      <c r="J807" s="1" t="s">
        <v>8016</v>
      </c>
      <c r="K807" s="1" t="s">
        <v>74</v>
      </c>
      <c r="L807" s="1" t="s">
        <v>74</v>
      </c>
      <c r="M807" s="1" t="s">
        <v>74</v>
      </c>
      <c r="N807" s="1" t="s">
        <v>74</v>
      </c>
      <c r="O807" s="1" t="s">
        <v>74</v>
      </c>
      <c r="P807" s="1" t="s">
        <v>74</v>
      </c>
      <c r="Q807" s="1" t="s">
        <v>74</v>
      </c>
      <c r="R807" s="1" t="s">
        <v>74</v>
      </c>
      <c r="S807" s="1" t="s">
        <v>74</v>
      </c>
      <c r="T807" s="1" t="s">
        <v>74</v>
      </c>
      <c r="U807" s="1" t="s">
        <v>74</v>
      </c>
      <c r="V807" s="1" t="s">
        <v>8017</v>
      </c>
      <c r="W807" s="1" t="s">
        <v>74</v>
      </c>
      <c r="X807" s="1" t="s">
        <v>74</v>
      </c>
      <c r="Y807" s="1" t="s">
        <v>74</v>
      </c>
      <c r="Z807" s="1" t="s">
        <v>74</v>
      </c>
      <c r="AA807" s="1" t="s">
        <v>8018</v>
      </c>
      <c r="AB807" s="1" t="s">
        <v>8019</v>
      </c>
      <c r="AC807" s="1" t="s">
        <v>74</v>
      </c>
      <c r="AD807" s="1" t="s">
        <v>74</v>
      </c>
      <c r="AE807" s="1" t="s">
        <v>74</v>
      </c>
      <c r="AF807" s="1" t="s">
        <v>74</v>
      </c>
      <c r="AG807" s="1" t="s">
        <v>74</v>
      </c>
      <c r="AH807" s="1" t="s">
        <v>74</v>
      </c>
      <c r="AI807" s="1" t="s">
        <v>74</v>
      </c>
      <c r="AJ807" s="1" t="s">
        <v>74</v>
      </c>
      <c r="AK807" s="1" t="s">
        <v>74</v>
      </c>
      <c r="AL807" s="1" t="s">
        <v>74</v>
      </c>
      <c r="AM807" s="1" t="s">
        <v>74</v>
      </c>
      <c r="AN807" s="1" t="s">
        <v>74</v>
      </c>
      <c r="AO807" s="1" t="s">
        <v>8020</v>
      </c>
      <c r="AP807" s="1" t="s">
        <v>8021</v>
      </c>
      <c r="AQ807" s="1" t="s">
        <v>74</v>
      </c>
      <c r="AR807" s="1" t="s">
        <v>74</v>
      </c>
      <c r="AS807" s="1" t="s">
        <v>74</v>
      </c>
      <c r="AT807" s="1" t="s">
        <v>398</v>
      </c>
      <c r="AU807" s="1">
        <v>2019.0</v>
      </c>
      <c r="AV807" s="1">
        <v>135.0</v>
      </c>
      <c r="AW807" s="1" t="s">
        <v>74</v>
      </c>
      <c r="AX807" s="1" t="s">
        <v>74</v>
      </c>
      <c r="AY807" s="1" t="s">
        <v>74</v>
      </c>
      <c r="AZ807" s="1" t="s">
        <v>74</v>
      </c>
      <c r="BA807" s="1" t="s">
        <v>74</v>
      </c>
      <c r="BB807" s="1">
        <v>423.0</v>
      </c>
      <c r="BC807" s="1">
        <v>431.0</v>
      </c>
      <c r="BD807" s="1" t="s">
        <v>74</v>
      </c>
      <c r="BE807" s="1" t="s">
        <v>8022</v>
      </c>
      <c r="BF807" s="2" t="str">
        <f>HYPERLINK("http://dx.doi.org/10.1016/j.plaphy.2018.11.019","http://dx.doi.org/10.1016/j.plaphy.2018.11.019")</f>
        <v>http://dx.doi.org/10.1016/j.plaphy.2018.11.019</v>
      </c>
      <c r="BG807" s="1" t="s">
        <v>74</v>
      </c>
      <c r="BH807" s="1" t="s">
        <v>74</v>
      </c>
      <c r="BI807" s="1" t="s">
        <v>74</v>
      </c>
      <c r="BJ807" s="1" t="s">
        <v>74</v>
      </c>
      <c r="BK807" s="1" t="s">
        <v>74</v>
      </c>
      <c r="BL807" s="1" t="s">
        <v>74</v>
      </c>
      <c r="BM807" s="1" t="s">
        <v>74</v>
      </c>
      <c r="BN807" s="1">
        <v>3.050193E7</v>
      </c>
      <c r="BO807" s="1" t="s">
        <v>74</v>
      </c>
      <c r="BP807" s="1" t="s">
        <v>74</v>
      </c>
      <c r="BQ807" s="1" t="s">
        <v>74</v>
      </c>
      <c r="BR807" s="1" t="s">
        <v>74</v>
      </c>
      <c r="BS807" s="1" t="s">
        <v>8023</v>
      </c>
      <c r="BT807" s="1" t="str">
        <f>HYPERLINK("https%3A%2F%2Fwww.webofscience.com%2Fwos%2Fwoscc%2Ffull-record%2FWOS:000457659900046","View Full Record in Web of Science")</f>
        <v>View Full Record in Web of Science</v>
      </c>
    </row>
    <row r="808" ht="12.75" customHeight="1">
      <c r="A808" s="1" t="s">
        <v>72</v>
      </c>
      <c r="B808" s="1" t="s">
        <v>8024</v>
      </c>
      <c r="C808" s="1" t="s">
        <v>74</v>
      </c>
      <c r="D808" s="1" t="s">
        <v>74</v>
      </c>
      <c r="E808" s="1" t="s">
        <v>74</v>
      </c>
      <c r="F808" s="1" t="s">
        <v>8025</v>
      </c>
      <c r="G808" s="1" t="s">
        <v>74</v>
      </c>
      <c r="H808" s="1" t="s">
        <v>74</v>
      </c>
      <c r="I808" s="1" t="s">
        <v>8026</v>
      </c>
      <c r="J808" s="1" t="s">
        <v>174</v>
      </c>
      <c r="K808" s="1" t="s">
        <v>74</v>
      </c>
      <c r="L808" s="1" t="s">
        <v>74</v>
      </c>
      <c r="M808" s="1" t="s">
        <v>74</v>
      </c>
      <c r="N808" s="1" t="s">
        <v>74</v>
      </c>
      <c r="O808" s="1" t="s">
        <v>74</v>
      </c>
      <c r="P808" s="1" t="s">
        <v>74</v>
      </c>
      <c r="Q808" s="1" t="s">
        <v>74</v>
      </c>
      <c r="R808" s="1" t="s">
        <v>74</v>
      </c>
      <c r="S808" s="1" t="s">
        <v>74</v>
      </c>
      <c r="T808" s="1" t="s">
        <v>74</v>
      </c>
      <c r="U808" s="1" t="s">
        <v>74</v>
      </c>
      <c r="V808" s="1" t="s">
        <v>8027</v>
      </c>
      <c r="W808" s="1" t="s">
        <v>74</v>
      </c>
      <c r="X808" s="1" t="s">
        <v>74</v>
      </c>
      <c r="Y808" s="1" t="s">
        <v>74</v>
      </c>
      <c r="Z808" s="1" t="s">
        <v>74</v>
      </c>
      <c r="AA808" s="1" t="s">
        <v>8028</v>
      </c>
      <c r="AB808" s="1" t="s">
        <v>8029</v>
      </c>
      <c r="AC808" s="1" t="s">
        <v>74</v>
      </c>
      <c r="AD808" s="1" t="s">
        <v>74</v>
      </c>
      <c r="AE808" s="1" t="s">
        <v>74</v>
      </c>
      <c r="AF808" s="1" t="s">
        <v>74</v>
      </c>
      <c r="AG808" s="1" t="s">
        <v>74</v>
      </c>
      <c r="AH808" s="1" t="s">
        <v>74</v>
      </c>
      <c r="AI808" s="1" t="s">
        <v>74</v>
      </c>
      <c r="AJ808" s="1" t="s">
        <v>74</v>
      </c>
      <c r="AK808" s="1" t="s">
        <v>74</v>
      </c>
      <c r="AL808" s="1" t="s">
        <v>74</v>
      </c>
      <c r="AM808" s="1" t="s">
        <v>74</v>
      </c>
      <c r="AN808" s="1" t="s">
        <v>74</v>
      </c>
      <c r="AO808" s="1" t="s">
        <v>178</v>
      </c>
      <c r="AP808" s="1" t="s">
        <v>74</v>
      </c>
      <c r="AQ808" s="1" t="s">
        <v>74</v>
      </c>
      <c r="AR808" s="1" t="s">
        <v>74</v>
      </c>
      <c r="AS808" s="1" t="s">
        <v>74</v>
      </c>
      <c r="AT808" s="1" t="s">
        <v>6093</v>
      </c>
      <c r="AU808" s="1">
        <v>2017.0</v>
      </c>
      <c r="AV808" s="1">
        <v>12.0</v>
      </c>
      <c r="AW808" s="1">
        <v>12.0</v>
      </c>
      <c r="AX808" s="1" t="s">
        <v>74</v>
      </c>
      <c r="AY808" s="1" t="s">
        <v>74</v>
      </c>
      <c r="AZ808" s="1" t="s">
        <v>74</v>
      </c>
      <c r="BA808" s="1" t="s">
        <v>74</v>
      </c>
      <c r="BB808" s="1" t="s">
        <v>74</v>
      </c>
      <c r="BC808" s="1" t="s">
        <v>74</v>
      </c>
      <c r="BD808" s="1" t="s">
        <v>8030</v>
      </c>
      <c r="BE808" s="1" t="s">
        <v>8031</v>
      </c>
      <c r="BF808" s="2" t="str">
        <f>HYPERLINK("http://dx.doi.org/10.1371/journal.pone.0189979","http://dx.doi.org/10.1371/journal.pone.0189979")</f>
        <v>http://dx.doi.org/10.1371/journal.pone.0189979</v>
      </c>
      <c r="BG808" s="1" t="s">
        <v>74</v>
      </c>
      <c r="BH808" s="1" t="s">
        <v>74</v>
      </c>
      <c r="BI808" s="1" t="s">
        <v>74</v>
      </c>
      <c r="BJ808" s="1" t="s">
        <v>74</v>
      </c>
      <c r="BK808" s="1" t="s">
        <v>74</v>
      </c>
      <c r="BL808" s="1" t="s">
        <v>74</v>
      </c>
      <c r="BM808" s="1" t="s">
        <v>74</v>
      </c>
      <c r="BN808" s="1">
        <v>2.9267316E7</v>
      </c>
      <c r="BO808" s="1" t="s">
        <v>74</v>
      </c>
      <c r="BP808" s="1" t="s">
        <v>74</v>
      </c>
      <c r="BQ808" s="1" t="s">
        <v>74</v>
      </c>
      <c r="BR808" s="1" t="s">
        <v>74</v>
      </c>
      <c r="BS808" s="1" t="s">
        <v>8032</v>
      </c>
      <c r="BT808" s="1" t="str">
        <f>HYPERLINK("https%3A%2F%2Fwww.webofscience.com%2Fwos%2Fwoscc%2Ffull-record%2FWOS:000418587400073","View Full Record in Web of Science")</f>
        <v>View Full Record in Web of Science</v>
      </c>
    </row>
    <row r="809" ht="12.75" customHeight="1">
      <c r="A809" s="1" t="s">
        <v>72</v>
      </c>
      <c r="B809" s="1" t="s">
        <v>8033</v>
      </c>
      <c r="C809" s="1" t="s">
        <v>74</v>
      </c>
      <c r="D809" s="1" t="s">
        <v>74</v>
      </c>
      <c r="E809" s="1" t="s">
        <v>74</v>
      </c>
      <c r="F809" s="1" t="s">
        <v>8034</v>
      </c>
      <c r="G809" s="1" t="s">
        <v>74</v>
      </c>
      <c r="H809" s="1" t="s">
        <v>74</v>
      </c>
      <c r="I809" s="1" t="s">
        <v>8035</v>
      </c>
      <c r="J809" s="1" t="s">
        <v>8036</v>
      </c>
      <c r="K809" s="1" t="s">
        <v>74</v>
      </c>
      <c r="L809" s="1" t="s">
        <v>74</v>
      </c>
      <c r="M809" s="1" t="s">
        <v>74</v>
      </c>
      <c r="N809" s="1" t="s">
        <v>74</v>
      </c>
      <c r="O809" s="1" t="s">
        <v>74</v>
      </c>
      <c r="P809" s="1" t="s">
        <v>74</v>
      </c>
      <c r="Q809" s="1" t="s">
        <v>74</v>
      </c>
      <c r="R809" s="1" t="s">
        <v>74</v>
      </c>
      <c r="S809" s="1" t="s">
        <v>74</v>
      </c>
      <c r="T809" s="1" t="s">
        <v>74</v>
      </c>
      <c r="U809" s="1" t="s">
        <v>74</v>
      </c>
      <c r="V809" s="1" t="s">
        <v>8037</v>
      </c>
      <c r="W809" s="1" t="s">
        <v>74</v>
      </c>
      <c r="X809" s="1" t="s">
        <v>74</v>
      </c>
      <c r="Y809" s="1" t="s">
        <v>74</v>
      </c>
      <c r="Z809" s="1" t="s">
        <v>74</v>
      </c>
      <c r="AA809" s="1" t="s">
        <v>8038</v>
      </c>
      <c r="AB809" s="1" t="s">
        <v>8039</v>
      </c>
      <c r="AC809" s="1" t="s">
        <v>74</v>
      </c>
      <c r="AD809" s="1" t="s">
        <v>74</v>
      </c>
      <c r="AE809" s="1" t="s">
        <v>74</v>
      </c>
      <c r="AF809" s="1" t="s">
        <v>74</v>
      </c>
      <c r="AG809" s="1" t="s">
        <v>74</v>
      </c>
      <c r="AH809" s="1" t="s">
        <v>74</v>
      </c>
      <c r="AI809" s="1" t="s">
        <v>74</v>
      </c>
      <c r="AJ809" s="1" t="s">
        <v>74</v>
      </c>
      <c r="AK809" s="1" t="s">
        <v>74</v>
      </c>
      <c r="AL809" s="1" t="s">
        <v>74</v>
      </c>
      <c r="AM809" s="1" t="s">
        <v>74</v>
      </c>
      <c r="AN809" s="1" t="s">
        <v>74</v>
      </c>
      <c r="AO809" s="1" t="s">
        <v>8040</v>
      </c>
      <c r="AP809" s="1" t="s">
        <v>74</v>
      </c>
      <c r="AQ809" s="1" t="s">
        <v>74</v>
      </c>
      <c r="AR809" s="1" t="s">
        <v>74</v>
      </c>
      <c r="AS809" s="1" t="s">
        <v>74</v>
      </c>
      <c r="AT809" s="1" t="s">
        <v>8041</v>
      </c>
      <c r="AU809" s="1">
        <v>2013.0</v>
      </c>
      <c r="AV809" s="1">
        <v>54.0</v>
      </c>
      <c r="AW809" s="1">
        <v>11.0</v>
      </c>
      <c r="AX809" s="1" t="s">
        <v>74</v>
      </c>
      <c r="AY809" s="1" t="s">
        <v>74</v>
      </c>
      <c r="AZ809" s="1" t="s">
        <v>74</v>
      </c>
      <c r="BA809" s="1" t="s">
        <v>74</v>
      </c>
      <c r="BB809" s="1">
        <v>2690.0</v>
      </c>
      <c r="BC809" s="1">
        <v>2698.0</v>
      </c>
      <c r="BD809" s="1" t="s">
        <v>74</v>
      </c>
      <c r="BE809" s="1" t="s">
        <v>8042</v>
      </c>
      <c r="BF809" s="2" t="str">
        <f>HYPERLINK("http://dx.doi.org/10.1016/j.polymer.2013.03.048","http://dx.doi.org/10.1016/j.polymer.2013.03.048")</f>
        <v>http://dx.doi.org/10.1016/j.polymer.2013.03.048</v>
      </c>
      <c r="BG809" s="1" t="s">
        <v>74</v>
      </c>
      <c r="BH809" s="1" t="s">
        <v>74</v>
      </c>
      <c r="BI809" s="1" t="s">
        <v>74</v>
      </c>
      <c r="BJ809" s="1" t="s">
        <v>74</v>
      </c>
      <c r="BK809" s="1" t="s">
        <v>74</v>
      </c>
      <c r="BL809" s="1" t="s">
        <v>74</v>
      </c>
      <c r="BM809" s="1" t="s">
        <v>74</v>
      </c>
      <c r="BN809" s="1" t="s">
        <v>74</v>
      </c>
      <c r="BO809" s="1" t="s">
        <v>74</v>
      </c>
      <c r="BP809" s="1" t="s">
        <v>74</v>
      </c>
      <c r="BQ809" s="1" t="s">
        <v>74</v>
      </c>
      <c r="BR809" s="1" t="s">
        <v>74</v>
      </c>
      <c r="BS809" s="1" t="s">
        <v>8043</v>
      </c>
      <c r="BT809" s="1" t="str">
        <f>HYPERLINK("https%3A%2F%2Fwww.webofscience.com%2Fwos%2Fwoscc%2Ffull-record%2FWOS:000318748300012","View Full Record in Web of Science")</f>
        <v>View Full Record in Web of Science</v>
      </c>
    </row>
    <row r="810" ht="12.75" customHeight="1">
      <c r="A810" s="1" t="s">
        <v>72</v>
      </c>
      <c r="B810" s="1" t="s">
        <v>8044</v>
      </c>
      <c r="C810" s="1" t="s">
        <v>74</v>
      </c>
      <c r="D810" s="1" t="s">
        <v>74</v>
      </c>
      <c r="E810" s="1" t="s">
        <v>74</v>
      </c>
      <c r="F810" s="1" t="s">
        <v>8045</v>
      </c>
      <c r="G810" s="1" t="s">
        <v>74</v>
      </c>
      <c r="H810" s="1" t="s">
        <v>74</v>
      </c>
      <c r="I810" s="1" t="s">
        <v>8046</v>
      </c>
      <c r="J810" s="1" t="s">
        <v>8047</v>
      </c>
      <c r="K810" s="1" t="s">
        <v>74</v>
      </c>
      <c r="L810" s="1" t="s">
        <v>74</v>
      </c>
      <c r="M810" s="1" t="s">
        <v>74</v>
      </c>
      <c r="N810" s="1" t="s">
        <v>74</v>
      </c>
      <c r="O810" s="1" t="s">
        <v>74</v>
      </c>
      <c r="P810" s="1" t="s">
        <v>74</v>
      </c>
      <c r="Q810" s="1" t="s">
        <v>74</v>
      </c>
      <c r="R810" s="1" t="s">
        <v>74</v>
      </c>
      <c r="S810" s="1" t="s">
        <v>74</v>
      </c>
      <c r="T810" s="1" t="s">
        <v>74</v>
      </c>
      <c r="U810" s="1" t="s">
        <v>74</v>
      </c>
      <c r="V810" s="1" t="s">
        <v>8048</v>
      </c>
      <c r="W810" s="1" t="s">
        <v>74</v>
      </c>
      <c r="X810" s="1" t="s">
        <v>74</v>
      </c>
      <c r="Y810" s="1" t="s">
        <v>74</v>
      </c>
      <c r="Z810" s="1" t="s">
        <v>74</v>
      </c>
      <c r="AA810" s="1" t="s">
        <v>8049</v>
      </c>
      <c r="AB810" s="1" t="s">
        <v>8050</v>
      </c>
      <c r="AC810" s="1" t="s">
        <v>74</v>
      </c>
      <c r="AD810" s="1" t="s">
        <v>74</v>
      </c>
      <c r="AE810" s="1" t="s">
        <v>74</v>
      </c>
      <c r="AF810" s="1" t="s">
        <v>74</v>
      </c>
      <c r="AG810" s="1" t="s">
        <v>74</v>
      </c>
      <c r="AH810" s="1" t="s">
        <v>74</v>
      </c>
      <c r="AI810" s="1" t="s">
        <v>74</v>
      </c>
      <c r="AJ810" s="1" t="s">
        <v>74</v>
      </c>
      <c r="AK810" s="1" t="s">
        <v>74</v>
      </c>
      <c r="AL810" s="1" t="s">
        <v>74</v>
      </c>
      <c r="AM810" s="1" t="s">
        <v>74</v>
      </c>
      <c r="AN810" s="1" t="s">
        <v>74</v>
      </c>
      <c r="AO810" s="1" t="s">
        <v>8051</v>
      </c>
      <c r="AP810" s="1" t="s">
        <v>74</v>
      </c>
      <c r="AQ810" s="1" t="s">
        <v>74</v>
      </c>
      <c r="AR810" s="1" t="s">
        <v>74</v>
      </c>
      <c r="AS810" s="1" t="s">
        <v>74</v>
      </c>
      <c r="AT810" s="1" t="s">
        <v>4088</v>
      </c>
      <c r="AU810" s="1">
        <v>2012.0</v>
      </c>
      <c r="AV810" s="1">
        <v>101.0</v>
      </c>
      <c r="AW810" s="1">
        <v>12.0</v>
      </c>
      <c r="AX810" s="1" t="s">
        <v>74</v>
      </c>
      <c r="AY810" s="1" t="s">
        <v>74</v>
      </c>
      <c r="AZ810" s="1" t="s">
        <v>74</v>
      </c>
      <c r="BA810" s="1" t="s">
        <v>74</v>
      </c>
      <c r="BB810" s="1" t="s">
        <v>74</v>
      </c>
      <c r="BC810" s="1" t="s">
        <v>74</v>
      </c>
      <c r="BD810" s="1">
        <v>122412.0</v>
      </c>
      <c r="BE810" s="1" t="s">
        <v>8052</v>
      </c>
      <c r="BF810" s="2" t="str">
        <f>HYPERLINK("http://dx.doi.org/10.1063/1.4754117","http://dx.doi.org/10.1063/1.4754117")</f>
        <v>http://dx.doi.org/10.1063/1.4754117</v>
      </c>
      <c r="BG810" s="1" t="s">
        <v>74</v>
      </c>
      <c r="BH810" s="1" t="s">
        <v>74</v>
      </c>
      <c r="BI810" s="1" t="s">
        <v>74</v>
      </c>
      <c r="BJ810" s="1" t="s">
        <v>74</v>
      </c>
      <c r="BK810" s="1" t="s">
        <v>74</v>
      </c>
      <c r="BL810" s="1" t="s">
        <v>74</v>
      </c>
      <c r="BM810" s="1" t="s">
        <v>74</v>
      </c>
      <c r="BN810" s="1" t="s">
        <v>74</v>
      </c>
      <c r="BO810" s="1" t="s">
        <v>74</v>
      </c>
      <c r="BP810" s="1" t="s">
        <v>74</v>
      </c>
      <c r="BQ810" s="1" t="s">
        <v>74</v>
      </c>
      <c r="BR810" s="1" t="s">
        <v>74</v>
      </c>
      <c r="BS810" s="1" t="s">
        <v>8053</v>
      </c>
      <c r="BT810" s="1" t="str">
        <f>HYPERLINK("https%3A%2F%2Fwww.webofscience.com%2Fwos%2Fwoscc%2Ffull-record%2FWOS:000309425700060","View Full Record in Web of Science")</f>
        <v>View Full Record in Web of Science</v>
      </c>
    </row>
    <row r="811" ht="12.75" customHeight="1">
      <c r="A811" s="1" t="s">
        <v>72</v>
      </c>
      <c r="B811" s="1" t="s">
        <v>8054</v>
      </c>
      <c r="C811" s="1" t="s">
        <v>74</v>
      </c>
      <c r="D811" s="1" t="s">
        <v>74</v>
      </c>
      <c r="E811" s="1" t="s">
        <v>74</v>
      </c>
      <c r="F811" s="1" t="s">
        <v>8055</v>
      </c>
      <c r="G811" s="1" t="s">
        <v>74</v>
      </c>
      <c r="H811" s="1" t="s">
        <v>74</v>
      </c>
      <c r="I811" s="1" t="s">
        <v>8056</v>
      </c>
      <c r="J811" s="1" t="s">
        <v>8057</v>
      </c>
      <c r="K811" s="1" t="s">
        <v>74</v>
      </c>
      <c r="L811" s="1" t="s">
        <v>74</v>
      </c>
      <c r="M811" s="1" t="s">
        <v>74</v>
      </c>
      <c r="N811" s="1" t="s">
        <v>74</v>
      </c>
      <c r="O811" s="1" t="s">
        <v>74</v>
      </c>
      <c r="P811" s="1" t="s">
        <v>74</v>
      </c>
      <c r="Q811" s="1" t="s">
        <v>74</v>
      </c>
      <c r="R811" s="1" t="s">
        <v>74</v>
      </c>
      <c r="S811" s="1" t="s">
        <v>74</v>
      </c>
      <c r="T811" s="1" t="s">
        <v>74</v>
      </c>
      <c r="U811" s="1" t="s">
        <v>74</v>
      </c>
      <c r="V811" s="1" t="s">
        <v>8058</v>
      </c>
      <c r="W811" s="1" t="s">
        <v>74</v>
      </c>
      <c r="X811" s="1" t="s">
        <v>74</v>
      </c>
      <c r="Y811" s="1" t="s">
        <v>74</v>
      </c>
      <c r="Z811" s="1" t="s">
        <v>74</v>
      </c>
      <c r="AA811" s="1" t="s">
        <v>8059</v>
      </c>
      <c r="AB811" s="1" t="s">
        <v>8060</v>
      </c>
      <c r="AC811" s="1" t="s">
        <v>74</v>
      </c>
      <c r="AD811" s="1" t="s">
        <v>74</v>
      </c>
      <c r="AE811" s="1" t="s">
        <v>74</v>
      </c>
      <c r="AF811" s="1" t="s">
        <v>74</v>
      </c>
      <c r="AG811" s="1" t="s">
        <v>74</v>
      </c>
      <c r="AH811" s="1" t="s">
        <v>74</v>
      </c>
      <c r="AI811" s="1" t="s">
        <v>74</v>
      </c>
      <c r="AJ811" s="1" t="s">
        <v>74</v>
      </c>
      <c r="AK811" s="1" t="s">
        <v>74</v>
      </c>
      <c r="AL811" s="1" t="s">
        <v>74</v>
      </c>
      <c r="AM811" s="1" t="s">
        <v>74</v>
      </c>
      <c r="AN811" s="1" t="s">
        <v>74</v>
      </c>
      <c r="AO811" s="1" t="s">
        <v>8061</v>
      </c>
      <c r="AP811" s="1" t="s">
        <v>8062</v>
      </c>
      <c r="AQ811" s="1" t="s">
        <v>74</v>
      </c>
      <c r="AR811" s="1" t="s">
        <v>74</v>
      </c>
      <c r="AS811" s="1" t="s">
        <v>74</v>
      </c>
      <c r="AT811" s="1" t="s">
        <v>250</v>
      </c>
      <c r="AU811" s="1">
        <v>2010.0</v>
      </c>
      <c r="AV811" s="1">
        <v>254.0</v>
      </c>
      <c r="AW811" s="1" t="s">
        <v>7419</v>
      </c>
      <c r="AX811" s="1" t="s">
        <v>74</v>
      </c>
      <c r="AY811" s="1" t="s">
        <v>74</v>
      </c>
      <c r="AZ811" s="1" t="s">
        <v>74</v>
      </c>
      <c r="BA811" s="1" t="s">
        <v>74</v>
      </c>
      <c r="BB811" s="1">
        <v>2086.0</v>
      </c>
      <c r="BC811" s="1">
        <v>2095.0</v>
      </c>
      <c r="BD811" s="1" t="s">
        <v>74</v>
      </c>
      <c r="BE811" s="1" t="s">
        <v>8063</v>
      </c>
      <c r="BF811" s="2" t="str">
        <f>HYPERLINK("http://dx.doi.org/10.1016/j.ccr.2010.04.003","http://dx.doi.org/10.1016/j.ccr.2010.04.003")</f>
        <v>http://dx.doi.org/10.1016/j.ccr.2010.04.003</v>
      </c>
      <c r="BG811" s="1" t="s">
        <v>74</v>
      </c>
      <c r="BH811" s="1" t="s">
        <v>74</v>
      </c>
      <c r="BI811" s="1" t="s">
        <v>74</v>
      </c>
      <c r="BJ811" s="1" t="s">
        <v>74</v>
      </c>
      <c r="BK811" s="1" t="s">
        <v>74</v>
      </c>
      <c r="BL811" s="1" t="s">
        <v>74</v>
      </c>
      <c r="BM811" s="1" t="s">
        <v>74</v>
      </c>
      <c r="BN811" s="1" t="s">
        <v>74</v>
      </c>
      <c r="BO811" s="1" t="s">
        <v>74</v>
      </c>
      <c r="BP811" s="1" t="s">
        <v>74</v>
      </c>
      <c r="BQ811" s="1" t="s">
        <v>74</v>
      </c>
      <c r="BR811" s="1" t="s">
        <v>74</v>
      </c>
      <c r="BS811" s="1" t="s">
        <v>8064</v>
      </c>
      <c r="BT811" s="1" t="str">
        <f>HYPERLINK("https%3A%2F%2Fwww.webofscience.com%2Fwos%2Fwoscc%2Ffull-record%2FWOS:000280379500009","View Full Record in Web of Science")</f>
        <v>View Full Record in Web of Science</v>
      </c>
    </row>
    <row r="812" ht="12.75" customHeight="1">
      <c r="A812" s="1" t="s">
        <v>72</v>
      </c>
      <c r="B812" s="1" t="s">
        <v>8065</v>
      </c>
      <c r="C812" s="1" t="s">
        <v>74</v>
      </c>
      <c r="D812" s="1" t="s">
        <v>74</v>
      </c>
      <c r="E812" s="1" t="s">
        <v>74</v>
      </c>
      <c r="F812" s="1" t="s">
        <v>8066</v>
      </c>
      <c r="G812" s="1" t="s">
        <v>74</v>
      </c>
      <c r="H812" s="1" t="s">
        <v>74</v>
      </c>
      <c r="I812" s="1" t="s">
        <v>8067</v>
      </c>
      <c r="J812" s="1" t="s">
        <v>1432</v>
      </c>
      <c r="K812" s="1" t="s">
        <v>74</v>
      </c>
      <c r="L812" s="1" t="s">
        <v>74</v>
      </c>
      <c r="M812" s="1" t="s">
        <v>74</v>
      </c>
      <c r="N812" s="1" t="s">
        <v>74</v>
      </c>
      <c r="O812" s="1" t="s">
        <v>74</v>
      </c>
      <c r="P812" s="1" t="s">
        <v>74</v>
      </c>
      <c r="Q812" s="1" t="s">
        <v>74</v>
      </c>
      <c r="R812" s="1" t="s">
        <v>74</v>
      </c>
      <c r="S812" s="1" t="s">
        <v>74</v>
      </c>
      <c r="T812" s="1" t="s">
        <v>74</v>
      </c>
      <c r="U812" s="1" t="s">
        <v>74</v>
      </c>
      <c r="V812" s="1" t="s">
        <v>8068</v>
      </c>
      <c r="W812" s="1" t="s">
        <v>74</v>
      </c>
      <c r="X812" s="1" t="s">
        <v>74</v>
      </c>
      <c r="Y812" s="1" t="s">
        <v>74</v>
      </c>
      <c r="Z812" s="1" t="s">
        <v>74</v>
      </c>
      <c r="AA812" s="1" t="s">
        <v>74</v>
      </c>
      <c r="AB812" s="1" t="s">
        <v>74</v>
      </c>
      <c r="AC812" s="1" t="s">
        <v>74</v>
      </c>
      <c r="AD812" s="1" t="s">
        <v>74</v>
      </c>
      <c r="AE812" s="1" t="s">
        <v>74</v>
      </c>
      <c r="AF812" s="1" t="s">
        <v>74</v>
      </c>
      <c r="AG812" s="1" t="s">
        <v>74</v>
      </c>
      <c r="AH812" s="1" t="s">
        <v>74</v>
      </c>
      <c r="AI812" s="1" t="s">
        <v>74</v>
      </c>
      <c r="AJ812" s="1" t="s">
        <v>74</v>
      </c>
      <c r="AK812" s="1" t="s">
        <v>74</v>
      </c>
      <c r="AL812" s="1" t="s">
        <v>74</v>
      </c>
      <c r="AM812" s="1" t="s">
        <v>74</v>
      </c>
      <c r="AN812" s="1" t="s">
        <v>74</v>
      </c>
      <c r="AO812" s="1" t="s">
        <v>1436</v>
      </c>
      <c r="AP812" s="1" t="s">
        <v>1437</v>
      </c>
      <c r="AQ812" s="1" t="s">
        <v>74</v>
      </c>
      <c r="AR812" s="1" t="s">
        <v>74</v>
      </c>
      <c r="AS812" s="1" t="s">
        <v>74</v>
      </c>
      <c r="AT812" s="1" t="s">
        <v>327</v>
      </c>
      <c r="AU812" s="1">
        <v>2010.0</v>
      </c>
      <c r="AV812" s="1">
        <v>306.0</v>
      </c>
      <c r="AW812" s="1" t="s">
        <v>8069</v>
      </c>
      <c r="AX812" s="1" t="s">
        <v>74</v>
      </c>
      <c r="AY812" s="1" t="s">
        <v>74</v>
      </c>
      <c r="AZ812" s="1" t="s">
        <v>74</v>
      </c>
      <c r="BA812" s="1" t="s">
        <v>74</v>
      </c>
      <c r="BB812" s="1">
        <v>7.0</v>
      </c>
      <c r="BC812" s="1">
        <v>23.0</v>
      </c>
      <c r="BD812" s="1" t="s">
        <v>74</v>
      </c>
      <c r="BE812" s="1" t="s">
        <v>8070</v>
      </c>
      <c r="BF812" s="2" t="str">
        <f>HYPERLINK("http://dx.doi.org/10.1016/j.aquaculture.2010.05.020","http://dx.doi.org/10.1016/j.aquaculture.2010.05.020")</f>
        <v>http://dx.doi.org/10.1016/j.aquaculture.2010.05.020</v>
      </c>
      <c r="BG812" s="1" t="s">
        <v>74</v>
      </c>
      <c r="BH812" s="1" t="s">
        <v>74</v>
      </c>
      <c r="BI812" s="1" t="s">
        <v>74</v>
      </c>
      <c r="BJ812" s="1" t="s">
        <v>74</v>
      </c>
      <c r="BK812" s="1" t="s">
        <v>74</v>
      </c>
      <c r="BL812" s="1" t="s">
        <v>74</v>
      </c>
      <c r="BM812" s="1" t="s">
        <v>74</v>
      </c>
      <c r="BN812" s="1" t="s">
        <v>74</v>
      </c>
      <c r="BO812" s="1" t="s">
        <v>74</v>
      </c>
      <c r="BP812" s="1" t="s">
        <v>74</v>
      </c>
      <c r="BQ812" s="1" t="s">
        <v>74</v>
      </c>
      <c r="BR812" s="1" t="s">
        <v>74</v>
      </c>
      <c r="BS812" s="1" t="s">
        <v>8071</v>
      </c>
      <c r="BT812" s="1" t="str">
        <f>HYPERLINK("https%3A%2F%2Fwww.webofscience.com%2Fwos%2Fwoscc%2Ffull-record%2FWOS:000280735200002","View Full Record in Web of Science")</f>
        <v>View Full Record in Web of Science</v>
      </c>
    </row>
    <row r="813" ht="12.75" customHeight="1">
      <c r="A813" s="1" t="s">
        <v>72</v>
      </c>
      <c r="B813" s="1" t="s">
        <v>8072</v>
      </c>
      <c r="C813" s="1" t="s">
        <v>74</v>
      </c>
      <c r="D813" s="1" t="s">
        <v>74</v>
      </c>
      <c r="E813" s="1" t="s">
        <v>74</v>
      </c>
      <c r="F813" s="1" t="s">
        <v>8073</v>
      </c>
      <c r="G813" s="1" t="s">
        <v>74</v>
      </c>
      <c r="H813" s="1" t="s">
        <v>74</v>
      </c>
      <c r="I813" s="1" t="s">
        <v>8074</v>
      </c>
      <c r="J813" s="1" t="s">
        <v>406</v>
      </c>
      <c r="K813" s="1" t="s">
        <v>74</v>
      </c>
      <c r="L813" s="1" t="s">
        <v>74</v>
      </c>
      <c r="M813" s="1" t="s">
        <v>74</v>
      </c>
      <c r="N813" s="1" t="s">
        <v>74</v>
      </c>
      <c r="O813" s="1" t="s">
        <v>74</v>
      </c>
      <c r="P813" s="1" t="s">
        <v>74</v>
      </c>
      <c r="Q813" s="1" t="s">
        <v>74</v>
      </c>
      <c r="R813" s="1" t="s">
        <v>74</v>
      </c>
      <c r="S813" s="1" t="s">
        <v>74</v>
      </c>
      <c r="T813" s="1" t="s">
        <v>74</v>
      </c>
      <c r="U813" s="1" t="s">
        <v>74</v>
      </c>
      <c r="V813" s="1" t="s">
        <v>8075</v>
      </c>
      <c r="W813" s="1" t="s">
        <v>74</v>
      </c>
      <c r="X813" s="1" t="s">
        <v>74</v>
      </c>
      <c r="Y813" s="1" t="s">
        <v>74</v>
      </c>
      <c r="Z813" s="1" t="s">
        <v>74</v>
      </c>
      <c r="AA813" s="1" t="s">
        <v>8076</v>
      </c>
      <c r="AB813" s="1" t="s">
        <v>8077</v>
      </c>
      <c r="AC813" s="1" t="s">
        <v>74</v>
      </c>
      <c r="AD813" s="1" t="s">
        <v>74</v>
      </c>
      <c r="AE813" s="1" t="s">
        <v>74</v>
      </c>
      <c r="AF813" s="1" t="s">
        <v>74</v>
      </c>
      <c r="AG813" s="1" t="s">
        <v>74</v>
      </c>
      <c r="AH813" s="1" t="s">
        <v>74</v>
      </c>
      <c r="AI813" s="1" t="s">
        <v>74</v>
      </c>
      <c r="AJ813" s="1" t="s">
        <v>74</v>
      </c>
      <c r="AK813" s="1" t="s">
        <v>74</v>
      </c>
      <c r="AL813" s="1" t="s">
        <v>74</v>
      </c>
      <c r="AM813" s="1" t="s">
        <v>74</v>
      </c>
      <c r="AN813" s="1" t="s">
        <v>74</v>
      </c>
      <c r="AO813" s="1" t="s">
        <v>74</v>
      </c>
      <c r="AP813" s="1" t="s">
        <v>410</v>
      </c>
      <c r="AQ813" s="1" t="s">
        <v>74</v>
      </c>
      <c r="AR813" s="1" t="s">
        <v>74</v>
      </c>
      <c r="AS813" s="1" t="s">
        <v>74</v>
      </c>
      <c r="AT813" s="1" t="s">
        <v>1888</v>
      </c>
      <c r="AU813" s="1">
        <v>2024.0</v>
      </c>
      <c r="AV813" s="1">
        <v>10.0</v>
      </c>
      <c r="AW813" s="1">
        <v>12.0</v>
      </c>
      <c r="AX813" s="1" t="s">
        <v>74</v>
      </c>
      <c r="AY813" s="1" t="s">
        <v>74</v>
      </c>
      <c r="AZ813" s="1" t="s">
        <v>74</v>
      </c>
      <c r="BA813" s="1" t="s">
        <v>74</v>
      </c>
      <c r="BB813" s="1" t="s">
        <v>74</v>
      </c>
      <c r="BC813" s="1" t="s">
        <v>74</v>
      </c>
      <c r="BD813" s="1" t="s">
        <v>8078</v>
      </c>
      <c r="BE813" s="1" t="s">
        <v>8079</v>
      </c>
      <c r="BF813" s="2" t="str">
        <f>HYPERLINK("http://dx.doi.org/10.1016/j.heliyon.2024.e32894","http://dx.doi.org/10.1016/j.heliyon.2024.e32894")</f>
        <v>http://dx.doi.org/10.1016/j.heliyon.2024.e32894</v>
      </c>
      <c r="BG813" s="1" t="s">
        <v>74</v>
      </c>
      <c r="BH813" s="1" t="s">
        <v>6990</v>
      </c>
      <c r="BI813" s="1" t="s">
        <v>74</v>
      </c>
      <c r="BJ813" s="1" t="s">
        <v>74</v>
      </c>
      <c r="BK813" s="1" t="s">
        <v>74</v>
      </c>
      <c r="BL813" s="1" t="s">
        <v>74</v>
      </c>
      <c r="BM813" s="1" t="s">
        <v>74</v>
      </c>
      <c r="BN813" s="1">
        <v>3.8994084E7</v>
      </c>
      <c r="BO813" s="1" t="s">
        <v>74</v>
      </c>
      <c r="BP813" s="1" t="s">
        <v>74</v>
      </c>
      <c r="BQ813" s="1" t="s">
        <v>74</v>
      </c>
      <c r="BR813" s="1" t="s">
        <v>74</v>
      </c>
      <c r="BS813" s="1" t="s">
        <v>8080</v>
      </c>
      <c r="BT813" s="1" t="str">
        <f>HYPERLINK("https%3A%2F%2Fwww.webofscience.com%2Fwos%2Fwoscc%2Ffull-record%2FWOS:001258739100001","View Full Record in Web of Science")</f>
        <v>View Full Record in Web of Science</v>
      </c>
    </row>
    <row r="814" ht="12.75" customHeight="1">
      <c r="A814" s="1" t="s">
        <v>72</v>
      </c>
      <c r="B814" s="1" t="s">
        <v>8081</v>
      </c>
      <c r="C814" s="1" t="s">
        <v>74</v>
      </c>
      <c r="D814" s="1" t="s">
        <v>74</v>
      </c>
      <c r="E814" s="1" t="s">
        <v>74</v>
      </c>
      <c r="F814" s="1" t="s">
        <v>8082</v>
      </c>
      <c r="G814" s="1" t="s">
        <v>74</v>
      </c>
      <c r="H814" s="1" t="s">
        <v>74</v>
      </c>
      <c r="I814" s="1" t="s">
        <v>8083</v>
      </c>
      <c r="J814" s="1" t="s">
        <v>8084</v>
      </c>
      <c r="K814" s="1" t="s">
        <v>74</v>
      </c>
      <c r="L814" s="1" t="s">
        <v>74</v>
      </c>
      <c r="M814" s="1" t="s">
        <v>74</v>
      </c>
      <c r="N814" s="1" t="s">
        <v>74</v>
      </c>
      <c r="O814" s="1" t="s">
        <v>74</v>
      </c>
      <c r="P814" s="1" t="s">
        <v>74</v>
      </c>
      <c r="Q814" s="1" t="s">
        <v>74</v>
      </c>
      <c r="R814" s="1" t="s">
        <v>74</v>
      </c>
      <c r="S814" s="1" t="s">
        <v>74</v>
      </c>
      <c r="T814" s="1" t="s">
        <v>74</v>
      </c>
      <c r="U814" s="1" t="s">
        <v>74</v>
      </c>
      <c r="V814" s="1" t="s">
        <v>8085</v>
      </c>
      <c r="W814" s="1" t="s">
        <v>74</v>
      </c>
      <c r="X814" s="1" t="s">
        <v>74</v>
      </c>
      <c r="Y814" s="1" t="s">
        <v>74</v>
      </c>
      <c r="Z814" s="1" t="s">
        <v>74</v>
      </c>
      <c r="AA814" s="1" t="s">
        <v>8086</v>
      </c>
      <c r="AB814" s="1" t="s">
        <v>8087</v>
      </c>
      <c r="AC814" s="1" t="s">
        <v>74</v>
      </c>
      <c r="AD814" s="1" t="s">
        <v>74</v>
      </c>
      <c r="AE814" s="1" t="s">
        <v>74</v>
      </c>
      <c r="AF814" s="1" t="s">
        <v>74</v>
      </c>
      <c r="AG814" s="1" t="s">
        <v>74</v>
      </c>
      <c r="AH814" s="1" t="s">
        <v>74</v>
      </c>
      <c r="AI814" s="1" t="s">
        <v>74</v>
      </c>
      <c r="AJ814" s="1" t="s">
        <v>74</v>
      </c>
      <c r="AK814" s="1" t="s">
        <v>74</v>
      </c>
      <c r="AL814" s="1" t="s">
        <v>74</v>
      </c>
      <c r="AM814" s="1" t="s">
        <v>74</v>
      </c>
      <c r="AN814" s="1" t="s">
        <v>74</v>
      </c>
      <c r="AO814" s="1" t="s">
        <v>8088</v>
      </c>
      <c r="AP814" s="1" t="s">
        <v>8089</v>
      </c>
      <c r="AQ814" s="1" t="s">
        <v>74</v>
      </c>
      <c r="AR814" s="1" t="s">
        <v>74</v>
      </c>
      <c r="AS814" s="1" t="s">
        <v>74</v>
      </c>
      <c r="AT814" s="1" t="s">
        <v>8090</v>
      </c>
      <c r="AU814" s="1">
        <v>2024.0</v>
      </c>
      <c r="AV814" s="1">
        <v>24.0</v>
      </c>
      <c r="AW814" s="1">
        <v>7.0</v>
      </c>
      <c r="AX814" s="1" t="s">
        <v>74</v>
      </c>
      <c r="AY814" s="1" t="s">
        <v>74</v>
      </c>
      <c r="AZ814" s="1" t="s">
        <v>74</v>
      </c>
      <c r="BA814" s="1" t="s">
        <v>74</v>
      </c>
      <c r="BB814" s="1">
        <v>2745.0</v>
      </c>
      <c r="BC814" s="1">
        <v>2754.0</v>
      </c>
      <c r="BD814" s="1" t="s">
        <v>74</v>
      </c>
      <c r="BE814" s="1" t="s">
        <v>8091</v>
      </c>
      <c r="BF814" s="2" t="str">
        <f>HYPERLINK("http://dx.doi.org/10.1021/acs.cgd.3c01353","http://dx.doi.org/10.1021/acs.cgd.3c01353")</f>
        <v>http://dx.doi.org/10.1021/acs.cgd.3c01353</v>
      </c>
      <c r="BG814" s="1" t="s">
        <v>74</v>
      </c>
      <c r="BH814" s="1" t="s">
        <v>4530</v>
      </c>
      <c r="BI814" s="1" t="s">
        <v>74</v>
      </c>
      <c r="BJ814" s="1" t="s">
        <v>74</v>
      </c>
      <c r="BK814" s="1" t="s">
        <v>74</v>
      </c>
      <c r="BL814" s="1" t="s">
        <v>74</v>
      </c>
      <c r="BM814" s="1" t="s">
        <v>74</v>
      </c>
      <c r="BN814" s="1" t="s">
        <v>74</v>
      </c>
      <c r="BO814" s="1" t="s">
        <v>74</v>
      </c>
      <c r="BP814" s="1" t="s">
        <v>74</v>
      </c>
      <c r="BQ814" s="1" t="s">
        <v>74</v>
      </c>
      <c r="BR814" s="1" t="s">
        <v>74</v>
      </c>
      <c r="BS814" s="1" t="s">
        <v>8092</v>
      </c>
      <c r="BT814" s="1" t="str">
        <f>HYPERLINK("https%3A%2F%2Fwww.webofscience.com%2Fwos%2Fwoscc%2Ffull-record%2FWOS:001162227100001","View Full Record in Web of Science")</f>
        <v>View Full Record in Web of Science</v>
      </c>
    </row>
    <row r="815" ht="12.75" customHeight="1">
      <c r="A815" s="1" t="s">
        <v>72</v>
      </c>
      <c r="B815" s="1" t="s">
        <v>8093</v>
      </c>
      <c r="C815" s="1" t="s">
        <v>74</v>
      </c>
      <c r="D815" s="1" t="s">
        <v>74</v>
      </c>
      <c r="E815" s="1" t="s">
        <v>74</v>
      </c>
      <c r="F815" s="1" t="s">
        <v>8094</v>
      </c>
      <c r="G815" s="1" t="s">
        <v>74</v>
      </c>
      <c r="H815" s="1" t="s">
        <v>74</v>
      </c>
      <c r="I815" s="1" t="s">
        <v>8095</v>
      </c>
      <c r="J815" s="1" t="s">
        <v>1072</v>
      </c>
      <c r="K815" s="1" t="s">
        <v>74</v>
      </c>
      <c r="L815" s="1" t="s">
        <v>74</v>
      </c>
      <c r="M815" s="1" t="s">
        <v>74</v>
      </c>
      <c r="N815" s="1" t="s">
        <v>74</v>
      </c>
      <c r="O815" s="1" t="s">
        <v>74</v>
      </c>
      <c r="P815" s="1" t="s">
        <v>74</v>
      </c>
      <c r="Q815" s="1" t="s">
        <v>74</v>
      </c>
      <c r="R815" s="1" t="s">
        <v>74</v>
      </c>
      <c r="S815" s="1" t="s">
        <v>74</v>
      </c>
      <c r="T815" s="1" t="s">
        <v>74</v>
      </c>
      <c r="U815" s="1" t="s">
        <v>74</v>
      </c>
      <c r="V815" s="1" t="s">
        <v>8096</v>
      </c>
      <c r="W815" s="1" t="s">
        <v>74</v>
      </c>
      <c r="X815" s="1" t="s">
        <v>74</v>
      </c>
      <c r="Y815" s="1" t="s">
        <v>74</v>
      </c>
      <c r="Z815" s="1" t="s">
        <v>74</v>
      </c>
      <c r="AA815" s="1" t="s">
        <v>8097</v>
      </c>
      <c r="AB815" s="1" t="s">
        <v>8098</v>
      </c>
      <c r="AC815" s="1" t="s">
        <v>74</v>
      </c>
      <c r="AD815" s="1" t="s">
        <v>74</v>
      </c>
      <c r="AE815" s="1" t="s">
        <v>74</v>
      </c>
      <c r="AF815" s="1" t="s">
        <v>74</v>
      </c>
      <c r="AG815" s="1" t="s">
        <v>74</v>
      </c>
      <c r="AH815" s="1" t="s">
        <v>74</v>
      </c>
      <c r="AI815" s="1" t="s">
        <v>74</v>
      </c>
      <c r="AJ815" s="1" t="s">
        <v>74</v>
      </c>
      <c r="AK815" s="1" t="s">
        <v>74</v>
      </c>
      <c r="AL815" s="1" t="s">
        <v>74</v>
      </c>
      <c r="AM815" s="1" t="s">
        <v>74</v>
      </c>
      <c r="AN815" s="1" t="s">
        <v>74</v>
      </c>
      <c r="AO815" s="1" t="s">
        <v>1075</v>
      </c>
      <c r="AP815" s="1" t="s">
        <v>1076</v>
      </c>
      <c r="AQ815" s="1" t="s">
        <v>74</v>
      </c>
      <c r="AR815" s="1" t="s">
        <v>74</v>
      </c>
      <c r="AS815" s="1" t="s">
        <v>74</v>
      </c>
      <c r="AT815" s="1" t="s">
        <v>74</v>
      </c>
      <c r="AU815" s="1">
        <v>2022.0</v>
      </c>
      <c r="AV815" s="1" t="s">
        <v>74</v>
      </c>
      <c r="AW815" s="1">
        <v>45.0</v>
      </c>
      <c r="AX815" s="1" t="s">
        <v>74</v>
      </c>
      <c r="AY815" s="1" t="s">
        <v>74</v>
      </c>
      <c r="AZ815" s="1" t="s">
        <v>74</v>
      </c>
      <c r="BA815" s="1" t="s">
        <v>74</v>
      </c>
      <c r="BB815" s="1">
        <v>598.0</v>
      </c>
      <c r="BC815" s="1">
        <v>610.0</v>
      </c>
      <c r="BD815" s="1" t="s">
        <v>74</v>
      </c>
      <c r="BE815" s="1" t="s">
        <v>74</v>
      </c>
      <c r="BF815" s="1" t="s">
        <v>74</v>
      </c>
      <c r="BG815" s="1" t="s">
        <v>74</v>
      </c>
      <c r="BH815" s="1" t="s">
        <v>74</v>
      </c>
      <c r="BI815" s="1" t="s">
        <v>74</v>
      </c>
      <c r="BJ815" s="1" t="s">
        <v>74</v>
      </c>
      <c r="BK815" s="1" t="s">
        <v>74</v>
      </c>
      <c r="BL815" s="1" t="s">
        <v>74</v>
      </c>
      <c r="BM815" s="1" t="s">
        <v>74</v>
      </c>
      <c r="BN815" s="1" t="s">
        <v>74</v>
      </c>
      <c r="BO815" s="1" t="s">
        <v>74</v>
      </c>
      <c r="BP815" s="1" t="s">
        <v>74</v>
      </c>
      <c r="BQ815" s="1" t="s">
        <v>74</v>
      </c>
      <c r="BR815" s="1" t="s">
        <v>74</v>
      </c>
      <c r="BS815" s="1" t="s">
        <v>8099</v>
      </c>
      <c r="BT815" s="1" t="str">
        <f>HYPERLINK("https%3A%2F%2Fwww.webofscience.com%2Fwos%2Fwoscc%2Ffull-record%2FWOS:000790706000001","View Full Record in Web of Science")</f>
        <v>View Full Record in Web of Science</v>
      </c>
    </row>
    <row r="816" ht="12.75" customHeight="1">
      <c r="A816" s="1" t="s">
        <v>72</v>
      </c>
      <c r="B816" s="1" t="s">
        <v>8100</v>
      </c>
      <c r="C816" s="1" t="s">
        <v>74</v>
      </c>
      <c r="D816" s="1" t="s">
        <v>74</v>
      </c>
      <c r="E816" s="1" t="s">
        <v>74</v>
      </c>
      <c r="F816" s="1" t="s">
        <v>8101</v>
      </c>
      <c r="G816" s="1" t="s">
        <v>74</v>
      </c>
      <c r="H816" s="1" t="s">
        <v>74</v>
      </c>
      <c r="I816" s="1" t="s">
        <v>8102</v>
      </c>
      <c r="J816" s="1" t="s">
        <v>8103</v>
      </c>
      <c r="K816" s="1" t="s">
        <v>74</v>
      </c>
      <c r="L816" s="1" t="s">
        <v>74</v>
      </c>
      <c r="M816" s="1" t="s">
        <v>74</v>
      </c>
      <c r="N816" s="1" t="s">
        <v>74</v>
      </c>
      <c r="O816" s="1" t="s">
        <v>74</v>
      </c>
      <c r="P816" s="1" t="s">
        <v>74</v>
      </c>
      <c r="Q816" s="1" t="s">
        <v>74</v>
      </c>
      <c r="R816" s="1" t="s">
        <v>74</v>
      </c>
      <c r="S816" s="1" t="s">
        <v>74</v>
      </c>
      <c r="T816" s="1" t="s">
        <v>74</v>
      </c>
      <c r="U816" s="1" t="s">
        <v>74</v>
      </c>
      <c r="V816" s="1" t="s">
        <v>8104</v>
      </c>
      <c r="W816" s="1" t="s">
        <v>74</v>
      </c>
      <c r="X816" s="1" t="s">
        <v>74</v>
      </c>
      <c r="Y816" s="1" t="s">
        <v>74</v>
      </c>
      <c r="Z816" s="1" t="s">
        <v>74</v>
      </c>
      <c r="AA816" s="1" t="s">
        <v>8105</v>
      </c>
      <c r="AB816" s="1" t="s">
        <v>8106</v>
      </c>
      <c r="AC816" s="1" t="s">
        <v>74</v>
      </c>
      <c r="AD816" s="1" t="s">
        <v>74</v>
      </c>
      <c r="AE816" s="1" t="s">
        <v>74</v>
      </c>
      <c r="AF816" s="1" t="s">
        <v>74</v>
      </c>
      <c r="AG816" s="1" t="s">
        <v>74</v>
      </c>
      <c r="AH816" s="1" t="s">
        <v>74</v>
      </c>
      <c r="AI816" s="1" t="s">
        <v>74</v>
      </c>
      <c r="AJ816" s="1" t="s">
        <v>74</v>
      </c>
      <c r="AK816" s="1" t="s">
        <v>74</v>
      </c>
      <c r="AL816" s="1" t="s">
        <v>74</v>
      </c>
      <c r="AM816" s="1" t="s">
        <v>74</v>
      </c>
      <c r="AN816" s="1" t="s">
        <v>74</v>
      </c>
      <c r="AO816" s="1" t="s">
        <v>8107</v>
      </c>
      <c r="AP816" s="1" t="s">
        <v>8108</v>
      </c>
      <c r="AQ816" s="1" t="s">
        <v>74</v>
      </c>
      <c r="AR816" s="1" t="s">
        <v>74</v>
      </c>
      <c r="AS816" s="1" t="s">
        <v>74</v>
      </c>
      <c r="AT816" s="1" t="s">
        <v>3119</v>
      </c>
      <c r="AU816" s="1">
        <v>2021.0</v>
      </c>
      <c r="AV816" s="1">
        <v>193.0</v>
      </c>
      <c r="AW816" s="1" t="s">
        <v>74</v>
      </c>
      <c r="AX816" s="1" t="s">
        <v>8109</v>
      </c>
      <c r="AY816" s="1" t="s">
        <v>74</v>
      </c>
      <c r="AZ816" s="1" t="s">
        <v>74</v>
      </c>
      <c r="BA816" s="1" t="s">
        <v>74</v>
      </c>
      <c r="BB816" s="1">
        <v>258.0</v>
      </c>
      <c r="BC816" s="1">
        <v>268.0</v>
      </c>
      <c r="BD816" s="1" t="s">
        <v>74</v>
      </c>
      <c r="BE816" s="1" t="s">
        <v>8110</v>
      </c>
      <c r="BF816" s="2" t="str">
        <f>HYPERLINK("http://dx.doi.org/10.1016/j.ijbiomac.2021.10.018","http://dx.doi.org/10.1016/j.ijbiomac.2021.10.018")</f>
        <v>http://dx.doi.org/10.1016/j.ijbiomac.2021.10.018</v>
      </c>
      <c r="BG816" s="1" t="s">
        <v>74</v>
      </c>
      <c r="BH816" s="1" t="s">
        <v>98</v>
      </c>
      <c r="BI816" s="1" t="s">
        <v>74</v>
      </c>
      <c r="BJ816" s="1" t="s">
        <v>74</v>
      </c>
      <c r="BK816" s="1" t="s">
        <v>74</v>
      </c>
      <c r="BL816" s="1" t="s">
        <v>74</v>
      </c>
      <c r="BM816" s="1" t="s">
        <v>74</v>
      </c>
      <c r="BN816" s="1">
        <v>3.4655589E7</v>
      </c>
      <c r="BO816" s="1" t="s">
        <v>74</v>
      </c>
      <c r="BP816" s="1" t="s">
        <v>74</v>
      </c>
      <c r="BQ816" s="1" t="s">
        <v>74</v>
      </c>
      <c r="BR816" s="1" t="s">
        <v>74</v>
      </c>
      <c r="BS816" s="1" t="s">
        <v>8111</v>
      </c>
      <c r="BT816" s="1" t="str">
        <f>HYPERLINK("https%3A%2F%2Fwww.webofscience.com%2Fwos%2Fwoscc%2Ffull-record%2FWOS:000729555700003","View Full Record in Web of Science")</f>
        <v>View Full Record in Web of Science</v>
      </c>
    </row>
    <row r="817" ht="12.75" customHeight="1">
      <c r="A817" s="1" t="s">
        <v>72</v>
      </c>
      <c r="B817" s="1" t="s">
        <v>8112</v>
      </c>
      <c r="C817" s="1" t="s">
        <v>74</v>
      </c>
      <c r="D817" s="1" t="s">
        <v>74</v>
      </c>
      <c r="E817" s="1" t="s">
        <v>74</v>
      </c>
      <c r="F817" s="1" t="s">
        <v>8113</v>
      </c>
      <c r="G817" s="1" t="s">
        <v>74</v>
      </c>
      <c r="H817" s="1" t="s">
        <v>74</v>
      </c>
      <c r="I817" s="1" t="s">
        <v>8114</v>
      </c>
      <c r="J817" s="1" t="s">
        <v>1633</v>
      </c>
      <c r="K817" s="1" t="s">
        <v>74</v>
      </c>
      <c r="L817" s="1" t="s">
        <v>74</v>
      </c>
      <c r="M817" s="1" t="s">
        <v>74</v>
      </c>
      <c r="N817" s="1" t="s">
        <v>74</v>
      </c>
      <c r="O817" s="1" t="s">
        <v>74</v>
      </c>
      <c r="P817" s="1" t="s">
        <v>74</v>
      </c>
      <c r="Q817" s="1" t="s">
        <v>74</v>
      </c>
      <c r="R817" s="1" t="s">
        <v>74</v>
      </c>
      <c r="S817" s="1" t="s">
        <v>74</v>
      </c>
      <c r="T817" s="1" t="s">
        <v>74</v>
      </c>
      <c r="U817" s="1" t="s">
        <v>74</v>
      </c>
      <c r="V817" s="1" t="s">
        <v>8115</v>
      </c>
      <c r="W817" s="1" t="s">
        <v>74</v>
      </c>
      <c r="X817" s="1" t="s">
        <v>74</v>
      </c>
      <c r="Y817" s="1" t="s">
        <v>74</v>
      </c>
      <c r="Z817" s="1" t="s">
        <v>74</v>
      </c>
      <c r="AA817" s="1" t="s">
        <v>8116</v>
      </c>
      <c r="AB817" s="1" t="s">
        <v>8117</v>
      </c>
      <c r="AC817" s="1" t="s">
        <v>74</v>
      </c>
      <c r="AD817" s="1" t="s">
        <v>74</v>
      </c>
      <c r="AE817" s="1" t="s">
        <v>74</v>
      </c>
      <c r="AF817" s="1" t="s">
        <v>74</v>
      </c>
      <c r="AG817" s="1" t="s">
        <v>74</v>
      </c>
      <c r="AH817" s="1" t="s">
        <v>74</v>
      </c>
      <c r="AI817" s="1" t="s">
        <v>74</v>
      </c>
      <c r="AJ817" s="1" t="s">
        <v>74</v>
      </c>
      <c r="AK817" s="1" t="s">
        <v>74</v>
      </c>
      <c r="AL817" s="1" t="s">
        <v>74</v>
      </c>
      <c r="AM817" s="1" t="s">
        <v>74</v>
      </c>
      <c r="AN817" s="1" t="s">
        <v>74</v>
      </c>
      <c r="AO817" s="1" t="s">
        <v>1637</v>
      </c>
      <c r="AP817" s="1" t="s">
        <v>1638</v>
      </c>
      <c r="AQ817" s="1" t="s">
        <v>74</v>
      </c>
      <c r="AR817" s="1" t="s">
        <v>74</v>
      </c>
      <c r="AS817" s="1" t="s">
        <v>74</v>
      </c>
      <c r="AT817" s="1" t="s">
        <v>8118</v>
      </c>
      <c r="AU817" s="1">
        <v>2021.0</v>
      </c>
      <c r="AV817" s="1">
        <v>45.0</v>
      </c>
      <c r="AW817" s="1">
        <v>18.0</v>
      </c>
      <c r="AX817" s="1" t="s">
        <v>74</v>
      </c>
      <c r="AY817" s="1" t="s">
        <v>74</v>
      </c>
      <c r="AZ817" s="1" t="s">
        <v>74</v>
      </c>
      <c r="BA817" s="1" t="s">
        <v>74</v>
      </c>
      <c r="BB817" s="1">
        <v>8345.0</v>
      </c>
      <c r="BC817" s="1">
        <v>8351.0</v>
      </c>
      <c r="BD817" s="1" t="s">
        <v>74</v>
      </c>
      <c r="BE817" s="1" t="s">
        <v>8119</v>
      </c>
      <c r="BF817" s="2" t="str">
        <f>HYPERLINK("http://dx.doi.org/10.1039/d1nj01510a","http://dx.doi.org/10.1039/d1nj01510a")</f>
        <v>http://dx.doi.org/10.1039/d1nj01510a</v>
      </c>
      <c r="BG817" s="1" t="s">
        <v>74</v>
      </c>
      <c r="BH817" s="1" t="s">
        <v>427</v>
      </c>
      <c r="BI817" s="1" t="s">
        <v>74</v>
      </c>
      <c r="BJ817" s="1" t="s">
        <v>74</v>
      </c>
      <c r="BK817" s="1" t="s">
        <v>74</v>
      </c>
      <c r="BL817" s="1" t="s">
        <v>74</v>
      </c>
      <c r="BM817" s="1" t="s">
        <v>74</v>
      </c>
      <c r="BN817" s="1" t="s">
        <v>74</v>
      </c>
      <c r="BO817" s="1" t="s">
        <v>74</v>
      </c>
      <c r="BP817" s="1" t="s">
        <v>74</v>
      </c>
      <c r="BQ817" s="1" t="s">
        <v>74</v>
      </c>
      <c r="BR817" s="1" t="s">
        <v>74</v>
      </c>
      <c r="BS817" s="1" t="s">
        <v>8120</v>
      </c>
      <c r="BT817" s="1" t="str">
        <f>HYPERLINK("https%3A%2F%2Fwww.webofscience.com%2Fwos%2Fwoscc%2Ffull-record%2FWOS:000642583800001","View Full Record in Web of Science")</f>
        <v>View Full Record in Web of Science</v>
      </c>
    </row>
    <row r="818" ht="12.75" customHeight="1">
      <c r="A818" s="1" t="s">
        <v>72</v>
      </c>
      <c r="B818" s="1" t="s">
        <v>8121</v>
      </c>
      <c r="C818" s="1" t="s">
        <v>74</v>
      </c>
      <c r="D818" s="1" t="s">
        <v>74</v>
      </c>
      <c r="E818" s="1" t="s">
        <v>74</v>
      </c>
      <c r="F818" s="1" t="s">
        <v>8122</v>
      </c>
      <c r="G818" s="1" t="s">
        <v>74</v>
      </c>
      <c r="H818" s="1" t="s">
        <v>74</v>
      </c>
      <c r="I818" s="1" t="s">
        <v>8123</v>
      </c>
      <c r="J818" s="1" t="s">
        <v>8124</v>
      </c>
      <c r="K818" s="1" t="s">
        <v>74</v>
      </c>
      <c r="L818" s="1" t="s">
        <v>74</v>
      </c>
      <c r="M818" s="1" t="s">
        <v>74</v>
      </c>
      <c r="N818" s="1" t="s">
        <v>74</v>
      </c>
      <c r="O818" s="1" t="s">
        <v>74</v>
      </c>
      <c r="P818" s="1" t="s">
        <v>74</v>
      </c>
      <c r="Q818" s="1" t="s">
        <v>74</v>
      </c>
      <c r="R818" s="1" t="s">
        <v>74</v>
      </c>
      <c r="S818" s="1" t="s">
        <v>74</v>
      </c>
      <c r="T818" s="1" t="s">
        <v>74</v>
      </c>
      <c r="U818" s="1" t="s">
        <v>74</v>
      </c>
      <c r="V818" s="1" t="s">
        <v>8125</v>
      </c>
      <c r="W818" s="1" t="s">
        <v>74</v>
      </c>
      <c r="X818" s="1" t="s">
        <v>74</v>
      </c>
      <c r="Y818" s="1" t="s">
        <v>74</v>
      </c>
      <c r="Z818" s="1" t="s">
        <v>74</v>
      </c>
      <c r="AA818" s="1" t="s">
        <v>8126</v>
      </c>
      <c r="AB818" s="1" t="s">
        <v>8127</v>
      </c>
      <c r="AC818" s="1" t="s">
        <v>74</v>
      </c>
      <c r="AD818" s="1" t="s">
        <v>74</v>
      </c>
      <c r="AE818" s="1" t="s">
        <v>74</v>
      </c>
      <c r="AF818" s="1" t="s">
        <v>74</v>
      </c>
      <c r="AG818" s="1" t="s">
        <v>74</v>
      </c>
      <c r="AH818" s="1" t="s">
        <v>74</v>
      </c>
      <c r="AI818" s="1" t="s">
        <v>74</v>
      </c>
      <c r="AJ818" s="1" t="s">
        <v>74</v>
      </c>
      <c r="AK818" s="1" t="s">
        <v>74</v>
      </c>
      <c r="AL818" s="1" t="s">
        <v>74</v>
      </c>
      <c r="AM818" s="1" t="s">
        <v>74</v>
      </c>
      <c r="AN818" s="1" t="s">
        <v>74</v>
      </c>
      <c r="AO818" s="1" t="s">
        <v>8128</v>
      </c>
      <c r="AP818" s="1" t="s">
        <v>8129</v>
      </c>
      <c r="AQ818" s="1" t="s">
        <v>74</v>
      </c>
      <c r="AR818" s="1" t="s">
        <v>74</v>
      </c>
      <c r="AS818" s="1" t="s">
        <v>74</v>
      </c>
      <c r="AT818" s="1" t="s">
        <v>8130</v>
      </c>
      <c r="AU818" s="1">
        <v>2021.0</v>
      </c>
      <c r="AV818" s="1">
        <v>285.0</v>
      </c>
      <c r="AW818" s="1" t="s">
        <v>74</v>
      </c>
      <c r="AX818" s="1" t="s">
        <v>74</v>
      </c>
      <c r="AY818" s="1" t="s">
        <v>74</v>
      </c>
      <c r="AZ818" s="1" t="s">
        <v>74</v>
      </c>
      <c r="BA818" s="1" t="s">
        <v>74</v>
      </c>
      <c r="BB818" s="1" t="s">
        <v>74</v>
      </c>
      <c r="BC818" s="1" t="s">
        <v>74</v>
      </c>
      <c r="BD818" s="1">
        <v>122895.0</v>
      </c>
      <c r="BE818" s="1" t="s">
        <v>8131</v>
      </c>
      <c r="BF818" s="2" t="str">
        <f>HYPERLINK("http://dx.doi.org/10.1016/j.conbuildmat.2021.122895","http://dx.doi.org/10.1016/j.conbuildmat.2021.122895")</f>
        <v>http://dx.doi.org/10.1016/j.conbuildmat.2021.122895</v>
      </c>
      <c r="BG818" s="1" t="s">
        <v>74</v>
      </c>
      <c r="BH818" s="1" t="s">
        <v>109</v>
      </c>
      <c r="BI818" s="1" t="s">
        <v>74</v>
      </c>
      <c r="BJ818" s="1" t="s">
        <v>74</v>
      </c>
      <c r="BK818" s="1" t="s">
        <v>74</v>
      </c>
      <c r="BL818" s="1" t="s">
        <v>74</v>
      </c>
      <c r="BM818" s="1" t="s">
        <v>74</v>
      </c>
      <c r="BN818" s="1" t="s">
        <v>74</v>
      </c>
      <c r="BO818" s="1" t="s">
        <v>74</v>
      </c>
      <c r="BP818" s="1" t="s">
        <v>74</v>
      </c>
      <c r="BQ818" s="1" t="s">
        <v>74</v>
      </c>
      <c r="BR818" s="1" t="s">
        <v>74</v>
      </c>
      <c r="BS818" s="1" t="s">
        <v>8132</v>
      </c>
      <c r="BT818" s="1" t="str">
        <f>HYPERLINK("https%3A%2F%2Fwww.webofscience.com%2Fwos%2Fwoscc%2Ffull-record%2FWOS:000647562800004","View Full Record in Web of Science")</f>
        <v>View Full Record in Web of Science</v>
      </c>
    </row>
    <row r="819" ht="12.75" customHeight="1">
      <c r="A819" s="1" t="s">
        <v>72</v>
      </c>
      <c r="B819" s="1" t="s">
        <v>8133</v>
      </c>
      <c r="C819" s="1" t="s">
        <v>74</v>
      </c>
      <c r="D819" s="1" t="s">
        <v>74</v>
      </c>
      <c r="E819" s="1" t="s">
        <v>74</v>
      </c>
      <c r="F819" s="1" t="s">
        <v>8134</v>
      </c>
      <c r="G819" s="1" t="s">
        <v>74</v>
      </c>
      <c r="H819" s="1" t="s">
        <v>74</v>
      </c>
      <c r="I819" s="1" t="s">
        <v>8135</v>
      </c>
      <c r="J819" s="1" t="s">
        <v>3730</v>
      </c>
      <c r="K819" s="1" t="s">
        <v>74</v>
      </c>
      <c r="L819" s="1" t="s">
        <v>74</v>
      </c>
      <c r="M819" s="1" t="s">
        <v>74</v>
      </c>
      <c r="N819" s="1" t="s">
        <v>74</v>
      </c>
      <c r="O819" s="1" t="s">
        <v>74</v>
      </c>
      <c r="P819" s="1" t="s">
        <v>74</v>
      </c>
      <c r="Q819" s="1" t="s">
        <v>74</v>
      </c>
      <c r="R819" s="1" t="s">
        <v>74</v>
      </c>
      <c r="S819" s="1" t="s">
        <v>74</v>
      </c>
      <c r="T819" s="1" t="s">
        <v>74</v>
      </c>
      <c r="U819" s="1" t="s">
        <v>74</v>
      </c>
      <c r="V819" s="1" t="s">
        <v>8136</v>
      </c>
      <c r="W819" s="1" t="s">
        <v>74</v>
      </c>
      <c r="X819" s="1" t="s">
        <v>74</v>
      </c>
      <c r="Y819" s="1" t="s">
        <v>74</v>
      </c>
      <c r="Z819" s="1" t="s">
        <v>74</v>
      </c>
      <c r="AA819" s="1" t="s">
        <v>8137</v>
      </c>
      <c r="AB819" s="1" t="s">
        <v>8138</v>
      </c>
      <c r="AC819" s="1" t="s">
        <v>74</v>
      </c>
      <c r="AD819" s="1" t="s">
        <v>74</v>
      </c>
      <c r="AE819" s="1" t="s">
        <v>74</v>
      </c>
      <c r="AF819" s="1" t="s">
        <v>74</v>
      </c>
      <c r="AG819" s="1" t="s">
        <v>74</v>
      </c>
      <c r="AH819" s="1" t="s">
        <v>74</v>
      </c>
      <c r="AI819" s="1" t="s">
        <v>74</v>
      </c>
      <c r="AJ819" s="1" t="s">
        <v>74</v>
      </c>
      <c r="AK819" s="1" t="s">
        <v>74</v>
      </c>
      <c r="AL819" s="1" t="s">
        <v>74</v>
      </c>
      <c r="AM819" s="1" t="s">
        <v>74</v>
      </c>
      <c r="AN819" s="1" t="s">
        <v>74</v>
      </c>
      <c r="AO819" s="1" t="s">
        <v>3734</v>
      </c>
      <c r="AP819" s="1" t="s">
        <v>3735</v>
      </c>
      <c r="AQ819" s="1" t="s">
        <v>74</v>
      </c>
      <c r="AR819" s="1" t="s">
        <v>74</v>
      </c>
      <c r="AS819" s="1" t="s">
        <v>74</v>
      </c>
      <c r="AT819" s="1" t="s">
        <v>250</v>
      </c>
      <c r="AU819" s="1">
        <v>2014.0</v>
      </c>
      <c r="AV819" s="1">
        <v>165.0</v>
      </c>
      <c r="AW819" s="1">
        <v>7.0</v>
      </c>
      <c r="AX819" s="1" t="s">
        <v>74</v>
      </c>
      <c r="AY819" s="1" t="s">
        <v>74</v>
      </c>
      <c r="AZ819" s="1" t="s">
        <v>74</v>
      </c>
      <c r="BA819" s="1" t="s">
        <v>74</v>
      </c>
      <c r="BB819" s="1">
        <v>566.0</v>
      </c>
      <c r="BC819" s="1">
        <v>570.0</v>
      </c>
      <c r="BD819" s="1" t="s">
        <v>74</v>
      </c>
      <c r="BE819" s="1" t="s">
        <v>8139</v>
      </c>
      <c r="BF819" s="2" t="str">
        <f>HYPERLINK("http://dx.doi.org/10.1016/j.resmic.2014.07.003","http://dx.doi.org/10.1016/j.resmic.2014.07.003")</f>
        <v>http://dx.doi.org/10.1016/j.resmic.2014.07.003</v>
      </c>
      <c r="BG819" s="1" t="s">
        <v>74</v>
      </c>
      <c r="BH819" s="1" t="s">
        <v>74</v>
      </c>
      <c r="BI819" s="1" t="s">
        <v>74</v>
      </c>
      <c r="BJ819" s="1" t="s">
        <v>74</v>
      </c>
      <c r="BK819" s="1" t="s">
        <v>74</v>
      </c>
      <c r="BL819" s="1" t="s">
        <v>74</v>
      </c>
      <c r="BM819" s="1" t="s">
        <v>74</v>
      </c>
      <c r="BN819" s="1">
        <v>2.5049169E7</v>
      </c>
      <c r="BO819" s="1" t="s">
        <v>74</v>
      </c>
      <c r="BP819" s="1" t="s">
        <v>74</v>
      </c>
      <c r="BQ819" s="1" t="s">
        <v>74</v>
      </c>
      <c r="BR819" s="1" t="s">
        <v>74</v>
      </c>
      <c r="BS819" s="1" t="s">
        <v>8140</v>
      </c>
      <c r="BT819" s="1" t="str">
        <f>HYPERLINK("https%3A%2F%2Fwww.webofscience.com%2Fwos%2Fwoscc%2Ffull-record%2FWOS:000347674900011","View Full Record in Web of Science")</f>
        <v>View Full Record in Web of Science</v>
      </c>
    </row>
    <row r="820" ht="12.75" customHeight="1">
      <c r="A820" s="1" t="s">
        <v>72</v>
      </c>
      <c r="B820" s="1" t="s">
        <v>8141</v>
      </c>
      <c r="C820" s="1" t="s">
        <v>74</v>
      </c>
      <c r="D820" s="1" t="s">
        <v>74</v>
      </c>
      <c r="E820" s="1" t="s">
        <v>74</v>
      </c>
      <c r="F820" s="1" t="s">
        <v>8142</v>
      </c>
      <c r="G820" s="1" t="s">
        <v>74</v>
      </c>
      <c r="H820" s="1" t="s">
        <v>74</v>
      </c>
      <c r="I820" s="1" t="s">
        <v>8143</v>
      </c>
      <c r="J820" s="1" t="s">
        <v>8144</v>
      </c>
      <c r="K820" s="1" t="s">
        <v>74</v>
      </c>
      <c r="L820" s="1" t="s">
        <v>74</v>
      </c>
      <c r="M820" s="1" t="s">
        <v>74</v>
      </c>
      <c r="N820" s="1" t="s">
        <v>74</v>
      </c>
      <c r="O820" s="1" t="s">
        <v>74</v>
      </c>
      <c r="P820" s="1" t="s">
        <v>74</v>
      </c>
      <c r="Q820" s="1" t="s">
        <v>74</v>
      </c>
      <c r="R820" s="1" t="s">
        <v>74</v>
      </c>
      <c r="S820" s="1" t="s">
        <v>74</v>
      </c>
      <c r="T820" s="1" t="s">
        <v>74</v>
      </c>
      <c r="U820" s="1" t="s">
        <v>74</v>
      </c>
      <c r="V820" s="1" t="s">
        <v>8145</v>
      </c>
      <c r="W820" s="1" t="s">
        <v>74</v>
      </c>
      <c r="X820" s="1" t="s">
        <v>74</v>
      </c>
      <c r="Y820" s="1" t="s">
        <v>74</v>
      </c>
      <c r="Z820" s="1" t="s">
        <v>74</v>
      </c>
      <c r="AA820" s="1" t="s">
        <v>8146</v>
      </c>
      <c r="AB820" s="1" t="s">
        <v>8147</v>
      </c>
      <c r="AC820" s="1" t="s">
        <v>74</v>
      </c>
      <c r="AD820" s="1" t="s">
        <v>74</v>
      </c>
      <c r="AE820" s="1" t="s">
        <v>74</v>
      </c>
      <c r="AF820" s="1" t="s">
        <v>74</v>
      </c>
      <c r="AG820" s="1" t="s">
        <v>74</v>
      </c>
      <c r="AH820" s="1" t="s">
        <v>74</v>
      </c>
      <c r="AI820" s="1" t="s">
        <v>74</v>
      </c>
      <c r="AJ820" s="1" t="s">
        <v>74</v>
      </c>
      <c r="AK820" s="1" t="s">
        <v>74</v>
      </c>
      <c r="AL820" s="1" t="s">
        <v>74</v>
      </c>
      <c r="AM820" s="1" t="s">
        <v>74</v>
      </c>
      <c r="AN820" s="1" t="s">
        <v>74</v>
      </c>
      <c r="AO820" s="1" t="s">
        <v>8148</v>
      </c>
      <c r="AP820" s="1" t="s">
        <v>8149</v>
      </c>
      <c r="AQ820" s="1" t="s">
        <v>74</v>
      </c>
      <c r="AR820" s="1" t="s">
        <v>74</v>
      </c>
      <c r="AS820" s="1" t="s">
        <v>74</v>
      </c>
      <c r="AT820" s="1" t="s">
        <v>559</v>
      </c>
      <c r="AU820" s="1">
        <v>2013.0</v>
      </c>
      <c r="AV820" s="1">
        <v>32.0</v>
      </c>
      <c r="AW820" s="1">
        <v>8.0</v>
      </c>
      <c r="AX820" s="1" t="s">
        <v>74</v>
      </c>
      <c r="AY820" s="1" t="s">
        <v>74</v>
      </c>
      <c r="AZ820" s="1" t="s">
        <v>74</v>
      </c>
      <c r="BA820" s="1" t="s">
        <v>74</v>
      </c>
      <c r="BB820" s="1">
        <v>593.0</v>
      </c>
      <c r="BC820" s="1">
        <v>600.0</v>
      </c>
      <c r="BD820" s="1" t="s">
        <v>74</v>
      </c>
      <c r="BE820" s="1" t="s">
        <v>8150</v>
      </c>
      <c r="BF820" s="2" t="str">
        <f>HYPERLINK("http://dx.doi.org/10.1007/s10930-013-9521-2","http://dx.doi.org/10.1007/s10930-013-9521-2")</f>
        <v>http://dx.doi.org/10.1007/s10930-013-9521-2</v>
      </c>
      <c r="BG820" s="1" t="s">
        <v>74</v>
      </c>
      <c r="BH820" s="1" t="s">
        <v>74</v>
      </c>
      <c r="BI820" s="1" t="s">
        <v>74</v>
      </c>
      <c r="BJ820" s="1" t="s">
        <v>74</v>
      </c>
      <c r="BK820" s="1" t="s">
        <v>74</v>
      </c>
      <c r="BL820" s="1" t="s">
        <v>74</v>
      </c>
      <c r="BM820" s="1" t="s">
        <v>74</v>
      </c>
      <c r="BN820" s="1">
        <v>2.4197505E7</v>
      </c>
      <c r="BO820" s="1" t="s">
        <v>74</v>
      </c>
      <c r="BP820" s="1" t="s">
        <v>74</v>
      </c>
      <c r="BQ820" s="1" t="s">
        <v>74</v>
      </c>
      <c r="BR820" s="1" t="s">
        <v>74</v>
      </c>
      <c r="BS820" s="1" t="s">
        <v>8151</v>
      </c>
      <c r="BT820" s="1" t="str">
        <f>HYPERLINK("https%3A%2F%2Fwww.webofscience.com%2Fwos%2Fwoscc%2Ffull-record%2FWOS:000328080300001","View Full Record in Web of Science")</f>
        <v>View Full Record in Web of Science</v>
      </c>
    </row>
    <row r="821" ht="12.75" customHeight="1">
      <c r="A821" s="1" t="s">
        <v>72</v>
      </c>
      <c r="B821" s="1" t="s">
        <v>8152</v>
      </c>
      <c r="C821" s="1" t="s">
        <v>74</v>
      </c>
      <c r="D821" s="1" t="s">
        <v>74</v>
      </c>
      <c r="E821" s="1" t="s">
        <v>74</v>
      </c>
      <c r="F821" s="1" t="s">
        <v>8153</v>
      </c>
      <c r="G821" s="1" t="s">
        <v>74</v>
      </c>
      <c r="H821" s="1" t="s">
        <v>74</v>
      </c>
      <c r="I821" s="1" t="s">
        <v>8154</v>
      </c>
      <c r="J821" s="1" t="s">
        <v>8155</v>
      </c>
      <c r="K821" s="1" t="s">
        <v>74</v>
      </c>
      <c r="L821" s="1" t="s">
        <v>74</v>
      </c>
      <c r="M821" s="1" t="s">
        <v>74</v>
      </c>
      <c r="N821" s="1" t="s">
        <v>74</v>
      </c>
      <c r="O821" s="1" t="s">
        <v>74</v>
      </c>
      <c r="P821" s="1" t="s">
        <v>74</v>
      </c>
      <c r="Q821" s="1" t="s">
        <v>74</v>
      </c>
      <c r="R821" s="1" t="s">
        <v>74</v>
      </c>
      <c r="S821" s="1" t="s">
        <v>74</v>
      </c>
      <c r="T821" s="1" t="s">
        <v>74</v>
      </c>
      <c r="U821" s="1" t="s">
        <v>74</v>
      </c>
      <c r="V821" s="1" t="s">
        <v>8156</v>
      </c>
      <c r="W821" s="1" t="s">
        <v>74</v>
      </c>
      <c r="X821" s="1" t="s">
        <v>74</v>
      </c>
      <c r="Y821" s="1" t="s">
        <v>74</v>
      </c>
      <c r="Z821" s="1" t="s">
        <v>74</v>
      </c>
      <c r="AA821" s="1" t="s">
        <v>8157</v>
      </c>
      <c r="AB821" s="1" t="s">
        <v>8158</v>
      </c>
      <c r="AC821" s="1" t="s">
        <v>74</v>
      </c>
      <c r="AD821" s="1" t="s">
        <v>74</v>
      </c>
      <c r="AE821" s="1" t="s">
        <v>74</v>
      </c>
      <c r="AF821" s="1" t="s">
        <v>74</v>
      </c>
      <c r="AG821" s="1" t="s">
        <v>74</v>
      </c>
      <c r="AH821" s="1" t="s">
        <v>74</v>
      </c>
      <c r="AI821" s="1" t="s">
        <v>74</v>
      </c>
      <c r="AJ821" s="1" t="s">
        <v>74</v>
      </c>
      <c r="AK821" s="1" t="s">
        <v>74</v>
      </c>
      <c r="AL821" s="1" t="s">
        <v>74</v>
      </c>
      <c r="AM821" s="1" t="s">
        <v>74</v>
      </c>
      <c r="AN821" s="1" t="s">
        <v>74</v>
      </c>
      <c r="AO821" s="1" t="s">
        <v>8159</v>
      </c>
      <c r="AP821" s="1" t="s">
        <v>8160</v>
      </c>
      <c r="AQ821" s="1" t="s">
        <v>74</v>
      </c>
      <c r="AR821" s="1" t="s">
        <v>74</v>
      </c>
      <c r="AS821" s="1" t="s">
        <v>74</v>
      </c>
      <c r="AT821" s="1" t="s">
        <v>8161</v>
      </c>
      <c r="AU821" s="1">
        <v>2012.0</v>
      </c>
      <c r="AV821" s="1">
        <v>279.0</v>
      </c>
      <c r="AW821" s="1">
        <v>1734.0</v>
      </c>
      <c r="AX821" s="1" t="s">
        <v>74</v>
      </c>
      <c r="AY821" s="1" t="s">
        <v>74</v>
      </c>
      <c r="AZ821" s="1" t="s">
        <v>74</v>
      </c>
      <c r="BA821" s="1" t="s">
        <v>74</v>
      </c>
      <c r="BB821" s="1">
        <v>1768.0</v>
      </c>
      <c r="BC821" s="1">
        <v>1776.0</v>
      </c>
      <c r="BD821" s="1" t="s">
        <v>74</v>
      </c>
      <c r="BE821" s="1" t="s">
        <v>8162</v>
      </c>
      <c r="BF821" s="2" t="str">
        <f>HYPERLINK("http://dx.doi.org/10.1098/rspb.2011.1999","http://dx.doi.org/10.1098/rspb.2011.1999")</f>
        <v>http://dx.doi.org/10.1098/rspb.2011.1999</v>
      </c>
      <c r="BG821" s="1" t="s">
        <v>74</v>
      </c>
      <c r="BH821" s="1" t="s">
        <v>74</v>
      </c>
      <c r="BI821" s="1" t="s">
        <v>74</v>
      </c>
      <c r="BJ821" s="1" t="s">
        <v>74</v>
      </c>
      <c r="BK821" s="1" t="s">
        <v>74</v>
      </c>
      <c r="BL821" s="1" t="s">
        <v>74</v>
      </c>
      <c r="BM821" s="1" t="s">
        <v>74</v>
      </c>
      <c r="BN821" s="1">
        <v>2.2158952E7</v>
      </c>
      <c r="BO821" s="1" t="s">
        <v>74</v>
      </c>
      <c r="BP821" s="1" t="s">
        <v>74</v>
      </c>
      <c r="BQ821" s="1" t="s">
        <v>74</v>
      </c>
      <c r="BR821" s="1" t="s">
        <v>74</v>
      </c>
      <c r="BS821" s="1" t="s">
        <v>8163</v>
      </c>
      <c r="BT821" s="1" t="str">
        <f>HYPERLINK("https%3A%2F%2Fwww.webofscience.com%2Fwos%2Fwoscc%2Ffull-record%2FWOS:000301981300014","View Full Record in Web of Science")</f>
        <v>View Full Record in Web of Science</v>
      </c>
    </row>
    <row r="822" ht="12.75" customHeight="1">
      <c r="A822" s="1" t="s">
        <v>72</v>
      </c>
      <c r="B822" s="1" t="s">
        <v>8164</v>
      </c>
      <c r="C822" s="1" t="s">
        <v>74</v>
      </c>
      <c r="D822" s="1" t="s">
        <v>74</v>
      </c>
      <c r="E822" s="1" t="s">
        <v>74</v>
      </c>
      <c r="F822" s="1" t="s">
        <v>8165</v>
      </c>
      <c r="G822" s="1" t="s">
        <v>74</v>
      </c>
      <c r="H822" s="1" t="s">
        <v>74</v>
      </c>
      <c r="I822" s="1" t="s">
        <v>8166</v>
      </c>
      <c r="J822" s="1" t="s">
        <v>8167</v>
      </c>
      <c r="K822" s="1" t="s">
        <v>74</v>
      </c>
      <c r="L822" s="1" t="s">
        <v>74</v>
      </c>
      <c r="M822" s="1" t="s">
        <v>74</v>
      </c>
      <c r="N822" s="1" t="s">
        <v>74</v>
      </c>
      <c r="O822" s="1" t="s">
        <v>74</v>
      </c>
      <c r="P822" s="1" t="s">
        <v>74</v>
      </c>
      <c r="Q822" s="1" t="s">
        <v>74</v>
      </c>
      <c r="R822" s="1" t="s">
        <v>74</v>
      </c>
      <c r="S822" s="1" t="s">
        <v>74</v>
      </c>
      <c r="T822" s="1" t="s">
        <v>74</v>
      </c>
      <c r="U822" s="1" t="s">
        <v>74</v>
      </c>
      <c r="V822" s="1" t="s">
        <v>8168</v>
      </c>
      <c r="W822" s="1" t="s">
        <v>74</v>
      </c>
      <c r="X822" s="1" t="s">
        <v>74</v>
      </c>
      <c r="Y822" s="1" t="s">
        <v>74</v>
      </c>
      <c r="Z822" s="1" t="s">
        <v>74</v>
      </c>
      <c r="AA822" s="1" t="s">
        <v>8169</v>
      </c>
      <c r="AB822" s="1" t="s">
        <v>8170</v>
      </c>
      <c r="AC822" s="1" t="s">
        <v>74</v>
      </c>
      <c r="AD822" s="1" t="s">
        <v>74</v>
      </c>
      <c r="AE822" s="1" t="s">
        <v>74</v>
      </c>
      <c r="AF822" s="1" t="s">
        <v>74</v>
      </c>
      <c r="AG822" s="1" t="s">
        <v>74</v>
      </c>
      <c r="AH822" s="1" t="s">
        <v>74</v>
      </c>
      <c r="AI822" s="1" t="s">
        <v>74</v>
      </c>
      <c r="AJ822" s="1" t="s">
        <v>74</v>
      </c>
      <c r="AK822" s="1" t="s">
        <v>74</v>
      </c>
      <c r="AL822" s="1" t="s">
        <v>74</v>
      </c>
      <c r="AM822" s="1" t="s">
        <v>74</v>
      </c>
      <c r="AN822" s="1" t="s">
        <v>74</v>
      </c>
      <c r="AO822" s="1" t="s">
        <v>8171</v>
      </c>
      <c r="AP822" s="1" t="s">
        <v>8172</v>
      </c>
      <c r="AQ822" s="1" t="s">
        <v>74</v>
      </c>
      <c r="AR822" s="1" t="s">
        <v>74</v>
      </c>
      <c r="AS822" s="1" t="s">
        <v>74</v>
      </c>
      <c r="AT822" s="1" t="s">
        <v>8173</v>
      </c>
      <c r="AU822" s="1">
        <v>2010.0</v>
      </c>
      <c r="AV822" s="1">
        <v>204.0</v>
      </c>
      <c r="AW822" s="1">
        <v>1.0</v>
      </c>
      <c r="AX822" s="1" t="s">
        <v>74</v>
      </c>
      <c r="AY822" s="1" t="s">
        <v>74</v>
      </c>
      <c r="AZ822" s="1" t="s">
        <v>74</v>
      </c>
      <c r="BA822" s="1" t="s">
        <v>74</v>
      </c>
      <c r="BB822" s="1">
        <v>1.0</v>
      </c>
      <c r="BC822" s="1">
        <v>10.0</v>
      </c>
      <c r="BD822" s="1" t="s">
        <v>74</v>
      </c>
      <c r="BE822" s="1" t="s">
        <v>8174</v>
      </c>
      <c r="BF822" s="2" t="str">
        <f>HYPERLINK("http://dx.doi.org/10.1016/j.powtec.2010.06.024","http://dx.doi.org/10.1016/j.powtec.2010.06.024")</f>
        <v>http://dx.doi.org/10.1016/j.powtec.2010.06.024</v>
      </c>
      <c r="BG822" s="1" t="s">
        <v>74</v>
      </c>
      <c r="BH822" s="1" t="s">
        <v>74</v>
      </c>
      <c r="BI822" s="1" t="s">
        <v>74</v>
      </c>
      <c r="BJ822" s="1" t="s">
        <v>74</v>
      </c>
      <c r="BK822" s="1" t="s">
        <v>74</v>
      </c>
      <c r="BL822" s="1" t="s">
        <v>74</v>
      </c>
      <c r="BM822" s="1" t="s">
        <v>74</v>
      </c>
      <c r="BN822" s="1" t="s">
        <v>74</v>
      </c>
      <c r="BO822" s="1" t="s">
        <v>74</v>
      </c>
      <c r="BP822" s="1" t="s">
        <v>74</v>
      </c>
      <c r="BQ822" s="1" t="s">
        <v>74</v>
      </c>
      <c r="BR822" s="1" t="s">
        <v>74</v>
      </c>
      <c r="BS822" s="1" t="s">
        <v>8175</v>
      </c>
      <c r="BT822" s="1" t="str">
        <f>HYPERLINK("https%3A%2F%2Fwww.webofscience.com%2Fwos%2Fwoscc%2Ffull-record%2FWOS:000282997900001","View Full Record in Web of Science")</f>
        <v>View Full Record in Web of Science</v>
      </c>
    </row>
    <row r="823" ht="12.75" customHeight="1">
      <c r="A823" s="1" t="s">
        <v>72</v>
      </c>
      <c r="B823" s="1" t="s">
        <v>8176</v>
      </c>
      <c r="C823" s="1" t="s">
        <v>74</v>
      </c>
      <c r="D823" s="1" t="s">
        <v>74</v>
      </c>
      <c r="E823" s="1" t="s">
        <v>74</v>
      </c>
      <c r="F823" s="1" t="s">
        <v>8177</v>
      </c>
      <c r="G823" s="1" t="s">
        <v>74</v>
      </c>
      <c r="H823" s="1" t="s">
        <v>74</v>
      </c>
      <c r="I823" s="1" t="s">
        <v>8178</v>
      </c>
      <c r="J823" s="1" t="s">
        <v>8179</v>
      </c>
      <c r="K823" s="1" t="s">
        <v>74</v>
      </c>
      <c r="L823" s="1" t="s">
        <v>74</v>
      </c>
      <c r="M823" s="1" t="s">
        <v>74</v>
      </c>
      <c r="N823" s="1" t="s">
        <v>74</v>
      </c>
      <c r="O823" s="1" t="s">
        <v>74</v>
      </c>
      <c r="P823" s="1" t="s">
        <v>74</v>
      </c>
      <c r="Q823" s="1" t="s">
        <v>74</v>
      </c>
      <c r="R823" s="1" t="s">
        <v>74</v>
      </c>
      <c r="S823" s="1" t="s">
        <v>74</v>
      </c>
      <c r="T823" s="1" t="s">
        <v>74</v>
      </c>
      <c r="U823" s="1" t="s">
        <v>74</v>
      </c>
      <c r="V823" s="1" t="s">
        <v>8180</v>
      </c>
      <c r="W823" s="1" t="s">
        <v>74</v>
      </c>
      <c r="X823" s="1" t="s">
        <v>74</v>
      </c>
      <c r="Y823" s="1" t="s">
        <v>74</v>
      </c>
      <c r="Z823" s="1" t="s">
        <v>74</v>
      </c>
      <c r="AA823" s="1" t="s">
        <v>8181</v>
      </c>
      <c r="AB823" s="1" t="s">
        <v>8182</v>
      </c>
      <c r="AC823" s="1" t="s">
        <v>74</v>
      </c>
      <c r="AD823" s="1" t="s">
        <v>74</v>
      </c>
      <c r="AE823" s="1" t="s">
        <v>74</v>
      </c>
      <c r="AF823" s="1" t="s">
        <v>74</v>
      </c>
      <c r="AG823" s="1" t="s">
        <v>74</v>
      </c>
      <c r="AH823" s="1" t="s">
        <v>74</v>
      </c>
      <c r="AI823" s="1" t="s">
        <v>74</v>
      </c>
      <c r="AJ823" s="1" t="s">
        <v>74</v>
      </c>
      <c r="AK823" s="1" t="s">
        <v>74</v>
      </c>
      <c r="AL823" s="1" t="s">
        <v>74</v>
      </c>
      <c r="AM823" s="1" t="s">
        <v>74</v>
      </c>
      <c r="AN823" s="1" t="s">
        <v>74</v>
      </c>
      <c r="AO823" s="1" t="s">
        <v>8183</v>
      </c>
      <c r="AP823" s="1" t="s">
        <v>8184</v>
      </c>
      <c r="AQ823" s="1" t="s">
        <v>74</v>
      </c>
      <c r="AR823" s="1" t="s">
        <v>74</v>
      </c>
      <c r="AS823" s="1" t="s">
        <v>74</v>
      </c>
      <c r="AT823" s="1" t="s">
        <v>316</v>
      </c>
      <c r="AU823" s="1">
        <v>2010.0</v>
      </c>
      <c r="AV823" s="1">
        <v>58.0</v>
      </c>
      <c r="AW823" s="1">
        <v>5.0</v>
      </c>
      <c r="AX823" s="1" t="s">
        <v>74</v>
      </c>
      <c r="AY823" s="1" t="s">
        <v>74</v>
      </c>
      <c r="AZ823" s="1" t="s">
        <v>74</v>
      </c>
      <c r="BA823" s="1" t="s">
        <v>74</v>
      </c>
      <c r="BB823" s="1">
        <v>589.0</v>
      </c>
      <c r="BC823" s="1">
        <v>595.0</v>
      </c>
      <c r="BD823" s="1" t="s">
        <v>74</v>
      </c>
      <c r="BE823" s="1" t="s">
        <v>8185</v>
      </c>
      <c r="BF823" s="2" t="str">
        <f>HYPERLINK("http://dx.doi.org/10.1346/CCMN.2010.0580501","http://dx.doi.org/10.1346/CCMN.2010.0580501")</f>
        <v>http://dx.doi.org/10.1346/CCMN.2010.0580501</v>
      </c>
      <c r="BG823" s="1" t="s">
        <v>74</v>
      </c>
      <c r="BH823" s="1" t="s">
        <v>74</v>
      </c>
      <c r="BI823" s="1" t="s">
        <v>74</v>
      </c>
      <c r="BJ823" s="1" t="s">
        <v>74</v>
      </c>
      <c r="BK823" s="1" t="s">
        <v>74</v>
      </c>
      <c r="BL823" s="1" t="s">
        <v>74</v>
      </c>
      <c r="BM823" s="1" t="s">
        <v>74</v>
      </c>
      <c r="BN823" s="1" t="s">
        <v>74</v>
      </c>
      <c r="BO823" s="1" t="s">
        <v>74</v>
      </c>
      <c r="BP823" s="1" t="s">
        <v>74</v>
      </c>
      <c r="BQ823" s="1" t="s">
        <v>74</v>
      </c>
      <c r="BR823" s="1" t="s">
        <v>74</v>
      </c>
      <c r="BS823" s="1" t="s">
        <v>8186</v>
      </c>
      <c r="BT823" s="1" t="str">
        <f>HYPERLINK("https%3A%2F%2Fwww.webofscience.com%2Fwos%2Fwoscc%2Ffull-record%2FWOS:000289446600001","View Full Record in Web of Science")</f>
        <v>View Full Record in Web of Science</v>
      </c>
    </row>
    <row r="824" ht="12.75" customHeight="1">
      <c r="A824" s="1" t="s">
        <v>72</v>
      </c>
      <c r="B824" s="1" t="s">
        <v>8187</v>
      </c>
      <c r="C824" s="1" t="s">
        <v>74</v>
      </c>
      <c r="D824" s="1" t="s">
        <v>74</v>
      </c>
      <c r="E824" s="1" t="s">
        <v>74</v>
      </c>
      <c r="F824" s="1" t="s">
        <v>8188</v>
      </c>
      <c r="G824" s="1" t="s">
        <v>74</v>
      </c>
      <c r="H824" s="1" t="s">
        <v>74</v>
      </c>
      <c r="I824" s="1" t="s">
        <v>8189</v>
      </c>
      <c r="J824" s="1" t="s">
        <v>2754</v>
      </c>
      <c r="K824" s="1" t="s">
        <v>74</v>
      </c>
      <c r="L824" s="1" t="s">
        <v>74</v>
      </c>
      <c r="M824" s="1" t="s">
        <v>74</v>
      </c>
      <c r="N824" s="1" t="s">
        <v>74</v>
      </c>
      <c r="O824" s="1" t="s">
        <v>8190</v>
      </c>
      <c r="P824" s="1" t="s">
        <v>8191</v>
      </c>
      <c r="Q824" s="1" t="s">
        <v>8192</v>
      </c>
      <c r="R824" s="1" t="s">
        <v>8193</v>
      </c>
      <c r="S824" s="1" t="s">
        <v>74</v>
      </c>
      <c r="T824" s="1" t="s">
        <v>74</v>
      </c>
      <c r="U824" s="1" t="s">
        <v>74</v>
      </c>
      <c r="V824" s="1" t="s">
        <v>8194</v>
      </c>
      <c r="W824" s="1" t="s">
        <v>74</v>
      </c>
      <c r="X824" s="1" t="s">
        <v>74</v>
      </c>
      <c r="Y824" s="1" t="s">
        <v>74</v>
      </c>
      <c r="Z824" s="1" t="s">
        <v>74</v>
      </c>
      <c r="AA824" s="1" t="s">
        <v>8195</v>
      </c>
      <c r="AB824" s="1" t="s">
        <v>8196</v>
      </c>
      <c r="AC824" s="1" t="s">
        <v>74</v>
      </c>
      <c r="AD824" s="1" t="s">
        <v>74</v>
      </c>
      <c r="AE824" s="1" t="s">
        <v>74</v>
      </c>
      <c r="AF824" s="1" t="s">
        <v>74</v>
      </c>
      <c r="AG824" s="1" t="s">
        <v>74</v>
      </c>
      <c r="AH824" s="1" t="s">
        <v>74</v>
      </c>
      <c r="AI824" s="1" t="s">
        <v>74</v>
      </c>
      <c r="AJ824" s="1" t="s">
        <v>74</v>
      </c>
      <c r="AK824" s="1" t="s">
        <v>74</v>
      </c>
      <c r="AL824" s="1" t="s">
        <v>74</v>
      </c>
      <c r="AM824" s="1" t="s">
        <v>74</v>
      </c>
      <c r="AN824" s="1" t="s">
        <v>74</v>
      </c>
      <c r="AO824" s="1" t="s">
        <v>2758</v>
      </c>
      <c r="AP824" s="1" t="s">
        <v>74</v>
      </c>
      <c r="AQ824" s="1" t="s">
        <v>74</v>
      </c>
      <c r="AR824" s="1" t="s">
        <v>74</v>
      </c>
      <c r="AS824" s="1" t="s">
        <v>74</v>
      </c>
      <c r="AT824" s="1" t="s">
        <v>1198</v>
      </c>
      <c r="AU824" s="1">
        <v>2009.0</v>
      </c>
      <c r="AV824" s="1">
        <v>105.0</v>
      </c>
      <c r="AW824" s="1">
        <v>7.0</v>
      </c>
      <c r="AX824" s="1" t="s">
        <v>74</v>
      </c>
      <c r="AY824" s="1" t="s">
        <v>74</v>
      </c>
      <c r="AZ824" s="1" t="s">
        <v>74</v>
      </c>
      <c r="BA824" s="1" t="s">
        <v>74</v>
      </c>
      <c r="BB824" s="1" t="s">
        <v>74</v>
      </c>
      <c r="BC824" s="1" t="s">
        <v>74</v>
      </c>
      <c r="BD824" s="1" t="s">
        <v>8197</v>
      </c>
      <c r="BE824" s="1" t="s">
        <v>8198</v>
      </c>
      <c r="BF824" s="2" t="str">
        <f>HYPERLINK("http://dx.doi.org/10.1063/1.3074109","http://dx.doi.org/10.1063/1.3074109")</f>
        <v>http://dx.doi.org/10.1063/1.3074109</v>
      </c>
      <c r="BG824" s="1" t="s">
        <v>74</v>
      </c>
      <c r="BH824" s="1" t="s">
        <v>74</v>
      </c>
      <c r="BI824" s="1" t="s">
        <v>74</v>
      </c>
      <c r="BJ824" s="1" t="s">
        <v>74</v>
      </c>
      <c r="BK824" s="1" t="s">
        <v>74</v>
      </c>
      <c r="BL824" s="1" t="s">
        <v>74</v>
      </c>
      <c r="BM824" s="1" t="s">
        <v>74</v>
      </c>
      <c r="BN824" s="1" t="s">
        <v>74</v>
      </c>
      <c r="BO824" s="1" t="s">
        <v>74</v>
      </c>
      <c r="BP824" s="1" t="s">
        <v>74</v>
      </c>
      <c r="BQ824" s="1" t="s">
        <v>74</v>
      </c>
      <c r="BR824" s="1" t="s">
        <v>74</v>
      </c>
      <c r="BS824" s="1" t="s">
        <v>8199</v>
      </c>
      <c r="BT824" s="1" t="str">
        <f>HYPERLINK("https%3A%2F%2Fwww.webofscience.com%2Fwos%2Fwoscc%2Ffull-record%2FWOS:000266633500326","View Full Record in Web of Science")</f>
        <v>View Full Record in Web of Science</v>
      </c>
    </row>
    <row r="825" ht="12.75" customHeight="1">
      <c r="A825" s="1" t="s">
        <v>72</v>
      </c>
      <c r="B825" s="1" t="s">
        <v>8200</v>
      </c>
      <c r="C825" s="1" t="s">
        <v>74</v>
      </c>
      <c r="D825" s="1" t="s">
        <v>74</v>
      </c>
      <c r="E825" s="1" t="s">
        <v>74</v>
      </c>
      <c r="F825" s="1" t="s">
        <v>8201</v>
      </c>
      <c r="G825" s="1" t="s">
        <v>74</v>
      </c>
      <c r="H825" s="1" t="s">
        <v>74</v>
      </c>
      <c r="I825" s="1" t="s">
        <v>8202</v>
      </c>
      <c r="J825" s="1" t="s">
        <v>4177</v>
      </c>
      <c r="K825" s="1" t="s">
        <v>74</v>
      </c>
      <c r="L825" s="1" t="s">
        <v>74</v>
      </c>
      <c r="M825" s="1" t="s">
        <v>74</v>
      </c>
      <c r="N825" s="1" t="s">
        <v>74</v>
      </c>
      <c r="O825" s="1" t="s">
        <v>74</v>
      </c>
      <c r="P825" s="1" t="s">
        <v>74</v>
      </c>
      <c r="Q825" s="1" t="s">
        <v>74</v>
      </c>
      <c r="R825" s="1" t="s">
        <v>74</v>
      </c>
      <c r="S825" s="1" t="s">
        <v>74</v>
      </c>
      <c r="T825" s="1" t="s">
        <v>74</v>
      </c>
      <c r="U825" s="1" t="s">
        <v>74</v>
      </c>
      <c r="V825" s="1" t="s">
        <v>8203</v>
      </c>
      <c r="W825" s="1" t="s">
        <v>74</v>
      </c>
      <c r="X825" s="1" t="s">
        <v>74</v>
      </c>
      <c r="Y825" s="1" t="s">
        <v>74</v>
      </c>
      <c r="Z825" s="1" t="s">
        <v>74</v>
      </c>
      <c r="AA825" s="1" t="s">
        <v>7503</v>
      </c>
      <c r="AB825" s="1" t="s">
        <v>8204</v>
      </c>
      <c r="AC825" s="1" t="s">
        <v>74</v>
      </c>
      <c r="AD825" s="1" t="s">
        <v>74</v>
      </c>
      <c r="AE825" s="1" t="s">
        <v>74</v>
      </c>
      <c r="AF825" s="1" t="s">
        <v>74</v>
      </c>
      <c r="AG825" s="1" t="s">
        <v>74</v>
      </c>
      <c r="AH825" s="1" t="s">
        <v>74</v>
      </c>
      <c r="AI825" s="1" t="s">
        <v>74</v>
      </c>
      <c r="AJ825" s="1" t="s">
        <v>74</v>
      </c>
      <c r="AK825" s="1" t="s">
        <v>74</v>
      </c>
      <c r="AL825" s="1" t="s">
        <v>74</v>
      </c>
      <c r="AM825" s="1" t="s">
        <v>74</v>
      </c>
      <c r="AN825" s="1" t="s">
        <v>74</v>
      </c>
      <c r="AO825" s="1" t="s">
        <v>4180</v>
      </c>
      <c r="AP825" s="1" t="s">
        <v>74</v>
      </c>
      <c r="AQ825" s="1" t="s">
        <v>74</v>
      </c>
      <c r="AR825" s="1" t="s">
        <v>74</v>
      </c>
      <c r="AS825" s="1" t="s">
        <v>74</v>
      </c>
      <c r="AT825" s="1" t="s">
        <v>411</v>
      </c>
      <c r="AU825" s="1">
        <v>2008.0</v>
      </c>
      <c r="AV825" s="1">
        <v>33.0</v>
      </c>
      <c r="AW825" s="1">
        <v>11.0</v>
      </c>
      <c r="AX825" s="1" t="s">
        <v>74</v>
      </c>
      <c r="AY825" s="1" t="s">
        <v>74</v>
      </c>
      <c r="AZ825" s="1" t="s">
        <v>74</v>
      </c>
      <c r="BA825" s="1" t="s">
        <v>74</v>
      </c>
      <c r="BB825" s="1">
        <v>2458.0</v>
      </c>
      <c r="BC825" s="1">
        <v>2466.0</v>
      </c>
      <c r="BD825" s="1" t="s">
        <v>74</v>
      </c>
      <c r="BE825" s="1" t="s">
        <v>8205</v>
      </c>
      <c r="BF825" s="2" t="str">
        <f>HYPERLINK("http://dx.doi.org/10.1016/j.renene.2008.02.002","http://dx.doi.org/10.1016/j.renene.2008.02.002")</f>
        <v>http://dx.doi.org/10.1016/j.renene.2008.02.002</v>
      </c>
      <c r="BG825" s="1" t="s">
        <v>74</v>
      </c>
      <c r="BH825" s="1" t="s">
        <v>74</v>
      </c>
      <c r="BI825" s="1" t="s">
        <v>74</v>
      </c>
      <c r="BJ825" s="1" t="s">
        <v>74</v>
      </c>
      <c r="BK825" s="1" t="s">
        <v>74</v>
      </c>
      <c r="BL825" s="1" t="s">
        <v>74</v>
      </c>
      <c r="BM825" s="1" t="s">
        <v>74</v>
      </c>
      <c r="BN825" s="1" t="s">
        <v>74</v>
      </c>
      <c r="BO825" s="1" t="s">
        <v>74</v>
      </c>
      <c r="BP825" s="1" t="s">
        <v>74</v>
      </c>
      <c r="BQ825" s="1" t="s">
        <v>74</v>
      </c>
      <c r="BR825" s="1" t="s">
        <v>74</v>
      </c>
      <c r="BS825" s="1" t="s">
        <v>8206</v>
      </c>
      <c r="BT825" s="1" t="str">
        <f>HYPERLINK("https%3A%2F%2Fwww.webofscience.com%2Fwos%2Fwoscc%2Ffull-record%2FWOS:000258204600013","View Full Record in Web of Science")</f>
        <v>View Full Record in Web of Science</v>
      </c>
    </row>
    <row r="826" ht="12.75" customHeight="1">
      <c r="A826" s="1" t="s">
        <v>72</v>
      </c>
      <c r="B826" s="1" t="s">
        <v>8207</v>
      </c>
      <c r="C826" s="1" t="s">
        <v>74</v>
      </c>
      <c r="D826" s="1" t="s">
        <v>74</v>
      </c>
      <c r="E826" s="1" t="s">
        <v>74</v>
      </c>
      <c r="F826" s="1" t="s">
        <v>8207</v>
      </c>
      <c r="G826" s="1" t="s">
        <v>74</v>
      </c>
      <c r="H826" s="1" t="s">
        <v>74</v>
      </c>
      <c r="I826" s="1" t="s">
        <v>8208</v>
      </c>
      <c r="J826" s="1" t="s">
        <v>8209</v>
      </c>
      <c r="K826" s="1" t="s">
        <v>74</v>
      </c>
      <c r="L826" s="1" t="s">
        <v>74</v>
      </c>
      <c r="M826" s="1" t="s">
        <v>74</v>
      </c>
      <c r="N826" s="1" t="s">
        <v>74</v>
      </c>
      <c r="O826" s="1" t="s">
        <v>74</v>
      </c>
      <c r="P826" s="1" t="s">
        <v>74</v>
      </c>
      <c r="Q826" s="1" t="s">
        <v>74</v>
      </c>
      <c r="R826" s="1" t="s">
        <v>74</v>
      </c>
      <c r="S826" s="1" t="s">
        <v>74</v>
      </c>
      <c r="T826" s="1" t="s">
        <v>74</v>
      </c>
      <c r="U826" s="1" t="s">
        <v>74</v>
      </c>
      <c r="V826" s="1" t="s">
        <v>8210</v>
      </c>
      <c r="W826" s="1" t="s">
        <v>74</v>
      </c>
      <c r="X826" s="1" t="s">
        <v>74</v>
      </c>
      <c r="Y826" s="1" t="s">
        <v>74</v>
      </c>
      <c r="Z826" s="1" t="s">
        <v>74</v>
      </c>
      <c r="AA826" s="1" t="s">
        <v>7097</v>
      </c>
      <c r="AB826" s="1" t="s">
        <v>8211</v>
      </c>
      <c r="AC826" s="1" t="s">
        <v>74</v>
      </c>
      <c r="AD826" s="1" t="s">
        <v>74</v>
      </c>
      <c r="AE826" s="1" t="s">
        <v>74</v>
      </c>
      <c r="AF826" s="1" t="s">
        <v>74</v>
      </c>
      <c r="AG826" s="1" t="s">
        <v>74</v>
      </c>
      <c r="AH826" s="1" t="s">
        <v>74</v>
      </c>
      <c r="AI826" s="1" t="s">
        <v>74</v>
      </c>
      <c r="AJ826" s="1" t="s">
        <v>74</v>
      </c>
      <c r="AK826" s="1" t="s">
        <v>74</v>
      </c>
      <c r="AL826" s="1" t="s">
        <v>74</v>
      </c>
      <c r="AM826" s="1" t="s">
        <v>74</v>
      </c>
      <c r="AN826" s="1" t="s">
        <v>74</v>
      </c>
      <c r="AO826" s="1" t="s">
        <v>8212</v>
      </c>
      <c r="AP826" s="1" t="s">
        <v>74</v>
      </c>
      <c r="AQ826" s="1" t="s">
        <v>74</v>
      </c>
      <c r="AR826" s="1" t="s">
        <v>74</v>
      </c>
      <c r="AS826" s="1" t="s">
        <v>74</v>
      </c>
      <c r="AT826" s="1" t="s">
        <v>719</v>
      </c>
      <c r="AU826" s="1">
        <v>1998.0</v>
      </c>
      <c r="AV826" s="1">
        <v>31.0</v>
      </c>
      <c r="AW826" s="1">
        <v>1.0</v>
      </c>
      <c r="AX826" s="1" t="s">
        <v>74</v>
      </c>
      <c r="AY826" s="1" t="s">
        <v>74</v>
      </c>
      <c r="AZ826" s="1" t="s">
        <v>74</v>
      </c>
      <c r="BA826" s="1" t="s">
        <v>74</v>
      </c>
      <c r="BB826" s="1">
        <v>51.0</v>
      </c>
      <c r="BC826" s="1">
        <v>54.0</v>
      </c>
      <c r="BD826" s="1" t="s">
        <v>74</v>
      </c>
      <c r="BE826" s="1" t="s">
        <v>8213</v>
      </c>
      <c r="BF826" s="2" t="str">
        <f>HYPERLINK("http://dx.doi.org/10.1016/S0306-3623(97)00421-7","http://dx.doi.org/10.1016/S0306-3623(97)00421-7")</f>
        <v>http://dx.doi.org/10.1016/S0306-3623(97)00421-7</v>
      </c>
      <c r="BG826" s="1" t="s">
        <v>74</v>
      </c>
      <c r="BH826" s="1" t="s">
        <v>74</v>
      </c>
      <c r="BI826" s="1" t="s">
        <v>74</v>
      </c>
      <c r="BJ826" s="1" t="s">
        <v>74</v>
      </c>
      <c r="BK826" s="1" t="s">
        <v>74</v>
      </c>
      <c r="BL826" s="1" t="s">
        <v>74</v>
      </c>
      <c r="BM826" s="1" t="s">
        <v>74</v>
      </c>
      <c r="BN826" s="1">
        <v>9595278.0</v>
      </c>
      <c r="BO826" s="1" t="s">
        <v>74</v>
      </c>
      <c r="BP826" s="1" t="s">
        <v>74</v>
      </c>
      <c r="BQ826" s="1" t="s">
        <v>74</v>
      </c>
      <c r="BR826" s="1" t="s">
        <v>74</v>
      </c>
      <c r="BS826" s="1" t="s">
        <v>8214</v>
      </c>
      <c r="BT826" s="1" t="str">
        <f>HYPERLINK("https%3A%2F%2Fwww.webofscience.com%2Fwos%2Fwoscc%2Ffull-record%2FWOS:000073508200009","View Full Record in Web of Science")</f>
        <v>View Full Record in Web of Science</v>
      </c>
    </row>
    <row r="827" ht="12.75" customHeight="1">
      <c r="A827" s="1" t="s">
        <v>72</v>
      </c>
      <c r="B827" s="1" t="s">
        <v>8215</v>
      </c>
      <c r="C827" s="1" t="s">
        <v>74</v>
      </c>
      <c r="D827" s="1" t="s">
        <v>74</v>
      </c>
      <c r="E827" s="1" t="s">
        <v>74</v>
      </c>
      <c r="F827" s="1" t="s">
        <v>8216</v>
      </c>
      <c r="G827" s="1" t="s">
        <v>74</v>
      </c>
      <c r="H827" s="1" t="s">
        <v>74</v>
      </c>
      <c r="I827" s="1" t="s">
        <v>8217</v>
      </c>
      <c r="J827" s="1" t="s">
        <v>8218</v>
      </c>
      <c r="K827" s="1" t="s">
        <v>74</v>
      </c>
      <c r="L827" s="1" t="s">
        <v>74</v>
      </c>
      <c r="M827" s="1" t="s">
        <v>74</v>
      </c>
      <c r="N827" s="1" t="s">
        <v>74</v>
      </c>
      <c r="O827" s="1" t="s">
        <v>74</v>
      </c>
      <c r="P827" s="1" t="s">
        <v>74</v>
      </c>
      <c r="Q827" s="1" t="s">
        <v>74</v>
      </c>
      <c r="R827" s="1" t="s">
        <v>74</v>
      </c>
      <c r="S827" s="1" t="s">
        <v>74</v>
      </c>
      <c r="T827" s="1" t="s">
        <v>74</v>
      </c>
      <c r="U827" s="1" t="s">
        <v>74</v>
      </c>
      <c r="V827" s="1" t="s">
        <v>8219</v>
      </c>
      <c r="W827" s="1" t="s">
        <v>74</v>
      </c>
      <c r="X827" s="1" t="s">
        <v>74</v>
      </c>
      <c r="Y827" s="1" t="s">
        <v>74</v>
      </c>
      <c r="Z827" s="1" t="s">
        <v>74</v>
      </c>
      <c r="AA827" s="1" t="s">
        <v>8220</v>
      </c>
      <c r="AB827" s="1" t="s">
        <v>74</v>
      </c>
      <c r="AC827" s="1" t="s">
        <v>74</v>
      </c>
      <c r="AD827" s="1" t="s">
        <v>74</v>
      </c>
      <c r="AE827" s="1" t="s">
        <v>74</v>
      </c>
      <c r="AF827" s="1" t="s">
        <v>74</v>
      </c>
      <c r="AG827" s="1" t="s">
        <v>74</v>
      </c>
      <c r="AH827" s="1" t="s">
        <v>74</v>
      </c>
      <c r="AI827" s="1" t="s">
        <v>74</v>
      </c>
      <c r="AJ827" s="1" t="s">
        <v>74</v>
      </c>
      <c r="AK827" s="1" t="s">
        <v>74</v>
      </c>
      <c r="AL827" s="1" t="s">
        <v>74</v>
      </c>
      <c r="AM827" s="1" t="s">
        <v>74</v>
      </c>
      <c r="AN827" s="1" t="s">
        <v>74</v>
      </c>
      <c r="AO827" s="1" t="s">
        <v>8221</v>
      </c>
      <c r="AP827" s="1" t="s">
        <v>8222</v>
      </c>
      <c r="AQ827" s="1" t="s">
        <v>74</v>
      </c>
      <c r="AR827" s="1" t="s">
        <v>74</v>
      </c>
      <c r="AS827" s="1" t="s">
        <v>74</v>
      </c>
      <c r="AT827" s="1" t="s">
        <v>464</v>
      </c>
      <c r="AU827" s="1">
        <v>2025.0</v>
      </c>
      <c r="AV827" s="1">
        <v>14.0</v>
      </c>
      <c r="AW827" s="1">
        <v>1.0</v>
      </c>
      <c r="AX827" s="1" t="s">
        <v>74</v>
      </c>
      <c r="AY827" s="1" t="s">
        <v>74</v>
      </c>
      <c r="AZ827" s="1" t="s">
        <v>74</v>
      </c>
      <c r="BA827" s="1" t="s">
        <v>74</v>
      </c>
      <c r="BB827" s="1" t="s">
        <v>74</v>
      </c>
      <c r="BC827" s="1" t="s">
        <v>74</v>
      </c>
      <c r="BD827" s="1" t="s">
        <v>8223</v>
      </c>
      <c r="BE827" s="1" t="s">
        <v>8224</v>
      </c>
      <c r="BF827" s="2" t="str">
        <f>HYPERLINK("http://dx.doi.org/10.1049/ntw2.70000","http://dx.doi.org/10.1049/ntw2.70000")</f>
        <v>http://dx.doi.org/10.1049/ntw2.70000</v>
      </c>
      <c r="BG827" s="1" t="s">
        <v>74</v>
      </c>
      <c r="BH827" s="1" t="s">
        <v>74</v>
      </c>
      <c r="BI827" s="1" t="s">
        <v>74</v>
      </c>
      <c r="BJ827" s="1" t="s">
        <v>74</v>
      </c>
      <c r="BK827" s="1" t="s">
        <v>74</v>
      </c>
      <c r="BL827" s="1" t="s">
        <v>74</v>
      </c>
      <c r="BM827" s="1" t="s">
        <v>74</v>
      </c>
      <c r="BN827" s="1" t="s">
        <v>74</v>
      </c>
      <c r="BO827" s="1" t="s">
        <v>74</v>
      </c>
      <c r="BP827" s="1" t="s">
        <v>74</v>
      </c>
      <c r="BQ827" s="1" t="s">
        <v>74</v>
      </c>
      <c r="BR827" s="1" t="s">
        <v>74</v>
      </c>
      <c r="BS827" s="1" t="s">
        <v>8225</v>
      </c>
      <c r="BT827" s="1" t="str">
        <f>HYPERLINK("https%3A%2F%2Fwww.webofscience.com%2Fwos%2Fwoscc%2Ffull-record%2FWOS:001422032900001","View Full Record in Web of Science")</f>
        <v>View Full Record in Web of Science</v>
      </c>
    </row>
    <row r="828" ht="12.75" customHeight="1">
      <c r="A828" s="1" t="s">
        <v>72</v>
      </c>
      <c r="B828" s="1" t="s">
        <v>8226</v>
      </c>
      <c r="C828" s="1" t="s">
        <v>74</v>
      </c>
      <c r="D828" s="1" t="s">
        <v>74</v>
      </c>
      <c r="E828" s="1" t="s">
        <v>74</v>
      </c>
      <c r="F828" s="1" t="s">
        <v>8227</v>
      </c>
      <c r="G828" s="1" t="s">
        <v>74</v>
      </c>
      <c r="H828" s="1" t="s">
        <v>74</v>
      </c>
      <c r="I828" s="1" t="s">
        <v>8228</v>
      </c>
      <c r="J828" s="1" t="s">
        <v>383</v>
      </c>
      <c r="K828" s="1" t="s">
        <v>74</v>
      </c>
      <c r="L828" s="1" t="s">
        <v>74</v>
      </c>
      <c r="M828" s="1" t="s">
        <v>74</v>
      </c>
      <c r="N828" s="1" t="s">
        <v>74</v>
      </c>
      <c r="O828" s="1" t="s">
        <v>74</v>
      </c>
      <c r="P828" s="1" t="s">
        <v>74</v>
      </c>
      <c r="Q828" s="1" t="s">
        <v>74</v>
      </c>
      <c r="R828" s="1" t="s">
        <v>74</v>
      </c>
      <c r="S828" s="1" t="s">
        <v>74</v>
      </c>
      <c r="T828" s="1" t="s">
        <v>74</v>
      </c>
      <c r="U828" s="1" t="s">
        <v>74</v>
      </c>
      <c r="V828" s="1" t="s">
        <v>8229</v>
      </c>
      <c r="W828" s="1" t="s">
        <v>74</v>
      </c>
      <c r="X828" s="1" t="s">
        <v>74</v>
      </c>
      <c r="Y828" s="1" t="s">
        <v>74</v>
      </c>
      <c r="Z828" s="1" t="s">
        <v>74</v>
      </c>
      <c r="AA828" s="1" t="s">
        <v>8230</v>
      </c>
      <c r="AB828" s="1" t="s">
        <v>8231</v>
      </c>
      <c r="AC828" s="1" t="s">
        <v>74</v>
      </c>
      <c r="AD828" s="1" t="s">
        <v>74</v>
      </c>
      <c r="AE828" s="1" t="s">
        <v>74</v>
      </c>
      <c r="AF828" s="1" t="s">
        <v>74</v>
      </c>
      <c r="AG828" s="1" t="s">
        <v>74</v>
      </c>
      <c r="AH828" s="1" t="s">
        <v>74</v>
      </c>
      <c r="AI828" s="1" t="s">
        <v>74</v>
      </c>
      <c r="AJ828" s="1" t="s">
        <v>74</v>
      </c>
      <c r="AK828" s="1" t="s">
        <v>74</v>
      </c>
      <c r="AL828" s="1" t="s">
        <v>74</v>
      </c>
      <c r="AM828" s="1" t="s">
        <v>74</v>
      </c>
      <c r="AN828" s="1" t="s">
        <v>74</v>
      </c>
      <c r="AO828" s="1" t="s">
        <v>387</v>
      </c>
      <c r="AP828" s="1" t="s">
        <v>74</v>
      </c>
      <c r="AQ828" s="1" t="s">
        <v>74</v>
      </c>
      <c r="AR828" s="1" t="s">
        <v>74</v>
      </c>
      <c r="AS828" s="1" t="s">
        <v>74</v>
      </c>
      <c r="AT828" s="1" t="s">
        <v>7029</v>
      </c>
      <c r="AU828" s="1">
        <v>2024.0</v>
      </c>
      <c r="AV828" s="1">
        <v>14.0</v>
      </c>
      <c r="AW828" s="1">
        <v>1.0</v>
      </c>
      <c r="AX828" s="1" t="s">
        <v>74</v>
      </c>
      <c r="AY828" s="1" t="s">
        <v>74</v>
      </c>
      <c r="AZ828" s="1" t="s">
        <v>74</v>
      </c>
      <c r="BA828" s="1" t="s">
        <v>74</v>
      </c>
      <c r="BB828" s="1" t="s">
        <v>74</v>
      </c>
      <c r="BC828" s="1" t="s">
        <v>74</v>
      </c>
      <c r="BD828" s="1">
        <v>8818.0</v>
      </c>
      <c r="BE828" s="1" t="s">
        <v>8232</v>
      </c>
      <c r="BF828" s="2" t="str">
        <f>HYPERLINK("http://dx.doi.org/10.1038/s41598-024-59050-2","http://dx.doi.org/10.1038/s41598-024-59050-2")</f>
        <v>http://dx.doi.org/10.1038/s41598-024-59050-2</v>
      </c>
      <c r="BG828" s="1" t="s">
        <v>74</v>
      </c>
      <c r="BH828" s="1" t="s">
        <v>74</v>
      </c>
      <c r="BI828" s="1" t="s">
        <v>74</v>
      </c>
      <c r="BJ828" s="1" t="s">
        <v>74</v>
      </c>
      <c r="BK828" s="1" t="s">
        <v>74</v>
      </c>
      <c r="BL828" s="1" t="s">
        <v>74</v>
      </c>
      <c r="BM828" s="1" t="s">
        <v>74</v>
      </c>
      <c r="BN828" s="1">
        <v>3.8627578E7</v>
      </c>
      <c r="BO828" s="1" t="s">
        <v>74</v>
      </c>
      <c r="BP828" s="1" t="s">
        <v>74</v>
      </c>
      <c r="BQ828" s="1" t="s">
        <v>74</v>
      </c>
      <c r="BR828" s="1" t="s">
        <v>74</v>
      </c>
      <c r="BS828" s="1" t="s">
        <v>8233</v>
      </c>
      <c r="BT828" s="1" t="str">
        <f>HYPERLINK("https%3A%2F%2Fwww.webofscience.com%2Fwos%2Fwoscc%2Ffull-record%2FWOS:001205077500002","View Full Record in Web of Science")</f>
        <v>View Full Record in Web of Science</v>
      </c>
    </row>
    <row r="829" ht="12.75" customHeight="1">
      <c r="A829" s="1" t="s">
        <v>72</v>
      </c>
      <c r="B829" s="1" t="s">
        <v>8234</v>
      </c>
      <c r="C829" s="1" t="s">
        <v>74</v>
      </c>
      <c r="D829" s="1" t="s">
        <v>74</v>
      </c>
      <c r="E829" s="1" t="s">
        <v>74</v>
      </c>
      <c r="F829" s="1" t="s">
        <v>8235</v>
      </c>
      <c r="G829" s="1" t="s">
        <v>74</v>
      </c>
      <c r="H829" s="1" t="s">
        <v>74</v>
      </c>
      <c r="I829" s="1" t="s">
        <v>8236</v>
      </c>
      <c r="J829" s="1" t="s">
        <v>1633</v>
      </c>
      <c r="K829" s="1" t="s">
        <v>74</v>
      </c>
      <c r="L829" s="1" t="s">
        <v>74</v>
      </c>
      <c r="M829" s="1" t="s">
        <v>74</v>
      </c>
      <c r="N829" s="1" t="s">
        <v>74</v>
      </c>
      <c r="O829" s="1" t="s">
        <v>74</v>
      </c>
      <c r="P829" s="1" t="s">
        <v>74</v>
      </c>
      <c r="Q829" s="1" t="s">
        <v>74</v>
      </c>
      <c r="R829" s="1" t="s">
        <v>74</v>
      </c>
      <c r="S829" s="1" t="s">
        <v>74</v>
      </c>
      <c r="T829" s="1" t="s">
        <v>74</v>
      </c>
      <c r="U829" s="1" t="s">
        <v>74</v>
      </c>
      <c r="V829" s="1" t="s">
        <v>8237</v>
      </c>
      <c r="W829" s="1" t="s">
        <v>74</v>
      </c>
      <c r="X829" s="1" t="s">
        <v>74</v>
      </c>
      <c r="Y829" s="1" t="s">
        <v>74</v>
      </c>
      <c r="Z829" s="1" t="s">
        <v>74</v>
      </c>
      <c r="AA829" s="1" t="s">
        <v>8238</v>
      </c>
      <c r="AB829" s="1" t="s">
        <v>8239</v>
      </c>
      <c r="AC829" s="1" t="s">
        <v>74</v>
      </c>
      <c r="AD829" s="1" t="s">
        <v>74</v>
      </c>
      <c r="AE829" s="1" t="s">
        <v>74</v>
      </c>
      <c r="AF829" s="1" t="s">
        <v>74</v>
      </c>
      <c r="AG829" s="1" t="s">
        <v>74</v>
      </c>
      <c r="AH829" s="1" t="s">
        <v>74</v>
      </c>
      <c r="AI829" s="1" t="s">
        <v>74</v>
      </c>
      <c r="AJ829" s="1" t="s">
        <v>74</v>
      </c>
      <c r="AK829" s="1" t="s">
        <v>74</v>
      </c>
      <c r="AL829" s="1" t="s">
        <v>74</v>
      </c>
      <c r="AM829" s="1" t="s">
        <v>74</v>
      </c>
      <c r="AN829" s="1" t="s">
        <v>74</v>
      </c>
      <c r="AO829" s="1" t="s">
        <v>1637</v>
      </c>
      <c r="AP829" s="1" t="s">
        <v>1638</v>
      </c>
      <c r="AQ829" s="1" t="s">
        <v>74</v>
      </c>
      <c r="AR829" s="1" t="s">
        <v>74</v>
      </c>
      <c r="AS829" s="1" t="s">
        <v>74</v>
      </c>
      <c r="AT829" s="1" t="s">
        <v>2997</v>
      </c>
      <c r="AU829" s="1">
        <v>2024.0</v>
      </c>
      <c r="AV829" s="1">
        <v>48.0</v>
      </c>
      <c r="AW829" s="1">
        <v>9.0</v>
      </c>
      <c r="AX829" s="1" t="s">
        <v>74</v>
      </c>
      <c r="AY829" s="1" t="s">
        <v>74</v>
      </c>
      <c r="AZ829" s="1" t="s">
        <v>74</v>
      </c>
      <c r="BA829" s="1" t="s">
        <v>74</v>
      </c>
      <c r="BB829" s="1">
        <v>3924.0</v>
      </c>
      <c r="BC829" s="1">
        <v>3932.0</v>
      </c>
      <c r="BD829" s="1" t="s">
        <v>74</v>
      </c>
      <c r="BE829" s="1" t="s">
        <v>8240</v>
      </c>
      <c r="BF829" s="2" t="str">
        <f>HYPERLINK("http://dx.doi.org/10.1039/d3nj05956a","http://dx.doi.org/10.1039/d3nj05956a")</f>
        <v>http://dx.doi.org/10.1039/d3nj05956a</v>
      </c>
      <c r="BG829" s="1" t="s">
        <v>74</v>
      </c>
      <c r="BH829" s="1" t="s">
        <v>2792</v>
      </c>
      <c r="BI829" s="1" t="s">
        <v>74</v>
      </c>
      <c r="BJ829" s="1" t="s">
        <v>74</v>
      </c>
      <c r="BK829" s="1" t="s">
        <v>74</v>
      </c>
      <c r="BL829" s="1" t="s">
        <v>74</v>
      </c>
      <c r="BM829" s="1" t="s">
        <v>74</v>
      </c>
      <c r="BN829" s="1" t="s">
        <v>74</v>
      </c>
      <c r="BO829" s="1" t="s">
        <v>74</v>
      </c>
      <c r="BP829" s="1" t="s">
        <v>74</v>
      </c>
      <c r="BQ829" s="1" t="s">
        <v>74</v>
      </c>
      <c r="BR829" s="1" t="s">
        <v>74</v>
      </c>
      <c r="BS829" s="1" t="s">
        <v>8241</v>
      </c>
      <c r="BT829" s="1" t="str">
        <f>HYPERLINK("https%3A%2F%2Fwww.webofscience.com%2Fwos%2Fwoscc%2Ffull-record%2FWOS:001157810000001","View Full Record in Web of Science")</f>
        <v>View Full Record in Web of Science</v>
      </c>
    </row>
    <row r="830" ht="12.75" customHeight="1">
      <c r="A830" s="1" t="s">
        <v>72</v>
      </c>
      <c r="B830" s="1" t="s">
        <v>8242</v>
      </c>
      <c r="C830" s="1" t="s">
        <v>74</v>
      </c>
      <c r="D830" s="1" t="s">
        <v>74</v>
      </c>
      <c r="E830" s="1" t="s">
        <v>74</v>
      </c>
      <c r="F830" s="1" t="s">
        <v>8243</v>
      </c>
      <c r="G830" s="1" t="s">
        <v>74</v>
      </c>
      <c r="H830" s="1" t="s">
        <v>74</v>
      </c>
      <c r="I830" s="1" t="s">
        <v>8244</v>
      </c>
      <c r="J830" s="1" t="s">
        <v>8245</v>
      </c>
      <c r="K830" s="1" t="s">
        <v>74</v>
      </c>
      <c r="L830" s="1" t="s">
        <v>74</v>
      </c>
      <c r="M830" s="1" t="s">
        <v>74</v>
      </c>
      <c r="N830" s="1" t="s">
        <v>74</v>
      </c>
      <c r="O830" s="1" t="s">
        <v>74</v>
      </c>
      <c r="P830" s="1" t="s">
        <v>74</v>
      </c>
      <c r="Q830" s="1" t="s">
        <v>74</v>
      </c>
      <c r="R830" s="1" t="s">
        <v>74</v>
      </c>
      <c r="S830" s="1" t="s">
        <v>74</v>
      </c>
      <c r="T830" s="1" t="s">
        <v>74</v>
      </c>
      <c r="U830" s="1" t="s">
        <v>74</v>
      </c>
      <c r="V830" s="1" t="s">
        <v>8246</v>
      </c>
      <c r="W830" s="1" t="s">
        <v>74</v>
      </c>
      <c r="X830" s="1" t="s">
        <v>74</v>
      </c>
      <c r="Y830" s="1" t="s">
        <v>74</v>
      </c>
      <c r="Z830" s="1" t="s">
        <v>74</v>
      </c>
      <c r="AA830" s="1" t="s">
        <v>8247</v>
      </c>
      <c r="AB830" s="1" t="s">
        <v>74</v>
      </c>
      <c r="AC830" s="1" t="s">
        <v>74</v>
      </c>
      <c r="AD830" s="1" t="s">
        <v>74</v>
      </c>
      <c r="AE830" s="1" t="s">
        <v>74</v>
      </c>
      <c r="AF830" s="1" t="s">
        <v>74</v>
      </c>
      <c r="AG830" s="1" t="s">
        <v>74</v>
      </c>
      <c r="AH830" s="1" t="s">
        <v>74</v>
      </c>
      <c r="AI830" s="1" t="s">
        <v>74</v>
      </c>
      <c r="AJ830" s="1" t="s">
        <v>74</v>
      </c>
      <c r="AK830" s="1" t="s">
        <v>74</v>
      </c>
      <c r="AL830" s="1" t="s">
        <v>74</v>
      </c>
      <c r="AM830" s="1" t="s">
        <v>74</v>
      </c>
      <c r="AN830" s="1" t="s">
        <v>74</v>
      </c>
      <c r="AO830" s="1" t="s">
        <v>8248</v>
      </c>
      <c r="AP830" s="1" t="s">
        <v>74</v>
      </c>
      <c r="AQ830" s="1" t="s">
        <v>74</v>
      </c>
      <c r="AR830" s="1" t="s">
        <v>74</v>
      </c>
      <c r="AS830" s="1" t="s">
        <v>74</v>
      </c>
      <c r="AT830" s="1" t="s">
        <v>74</v>
      </c>
      <c r="AU830" s="1">
        <v>2024.0</v>
      </c>
      <c r="AV830" s="1">
        <v>18.0</v>
      </c>
      <c r="AW830" s="1">
        <v>2.0</v>
      </c>
      <c r="AX830" s="1" t="s">
        <v>74</v>
      </c>
      <c r="AY830" s="1" t="s">
        <v>74</v>
      </c>
      <c r="AZ830" s="1" t="s">
        <v>74</v>
      </c>
      <c r="BA830" s="1" t="s">
        <v>74</v>
      </c>
      <c r="BB830" s="1">
        <v>2771.0</v>
      </c>
      <c r="BC830" s="1">
        <v>2797.0</v>
      </c>
      <c r="BD830" s="1" t="s">
        <v>74</v>
      </c>
      <c r="BE830" s="1" t="s">
        <v>8249</v>
      </c>
      <c r="BF830" s="2" t="str">
        <f>HYPERLINK("http://dx.doi.org/10.1214/24-EJS2270","http://dx.doi.org/10.1214/24-EJS2270")</f>
        <v>http://dx.doi.org/10.1214/24-EJS2270</v>
      </c>
      <c r="BG830" s="1" t="s">
        <v>74</v>
      </c>
      <c r="BH830" s="1" t="s">
        <v>74</v>
      </c>
      <c r="BI830" s="1" t="s">
        <v>74</v>
      </c>
      <c r="BJ830" s="1" t="s">
        <v>74</v>
      </c>
      <c r="BK830" s="1" t="s">
        <v>74</v>
      </c>
      <c r="BL830" s="1" t="s">
        <v>74</v>
      </c>
      <c r="BM830" s="1" t="s">
        <v>74</v>
      </c>
      <c r="BN830" s="1" t="s">
        <v>74</v>
      </c>
      <c r="BO830" s="1" t="s">
        <v>74</v>
      </c>
      <c r="BP830" s="1" t="s">
        <v>74</v>
      </c>
      <c r="BQ830" s="1" t="s">
        <v>74</v>
      </c>
      <c r="BR830" s="1" t="s">
        <v>74</v>
      </c>
      <c r="BS830" s="1" t="s">
        <v>8250</v>
      </c>
      <c r="BT830" s="1" t="str">
        <f>HYPERLINK("https%3A%2F%2Fwww.webofscience.com%2Fwos%2Fwoscc%2Ffull-record%2FWOS:001321777600003","View Full Record in Web of Science")</f>
        <v>View Full Record in Web of Science</v>
      </c>
    </row>
    <row r="831" ht="12.75" customHeight="1">
      <c r="A831" s="1" t="s">
        <v>72</v>
      </c>
      <c r="B831" s="1" t="s">
        <v>8251</v>
      </c>
      <c r="C831" s="1" t="s">
        <v>74</v>
      </c>
      <c r="D831" s="1" t="s">
        <v>74</v>
      </c>
      <c r="E831" s="1" t="s">
        <v>74</v>
      </c>
      <c r="F831" s="1" t="s">
        <v>8252</v>
      </c>
      <c r="G831" s="1" t="s">
        <v>74</v>
      </c>
      <c r="H831" s="1" t="s">
        <v>74</v>
      </c>
      <c r="I831" s="1" t="s">
        <v>8253</v>
      </c>
      <c r="J831" s="1" t="s">
        <v>8084</v>
      </c>
      <c r="K831" s="1" t="s">
        <v>74</v>
      </c>
      <c r="L831" s="1" t="s">
        <v>74</v>
      </c>
      <c r="M831" s="1" t="s">
        <v>74</v>
      </c>
      <c r="N831" s="1" t="s">
        <v>74</v>
      </c>
      <c r="O831" s="1" t="s">
        <v>74</v>
      </c>
      <c r="P831" s="1" t="s">
        <v>74</v>
      </c>
      <c r="Q831" s="1" t="s">
        <v>74</v>
      </c>
      <c r="R831" s="1" t="s">
        <v>74</v>
      </c>
      <c r="S831" s="1" t="s">
        <v>74</v>
      </c>
      <c r="T831" s="1" t="s">
        <v>74</v>
      </c>
      <c r="U831" s="1" t="s">
        <v>74</v>
      </c>
      <c r="V831" s="1" t="s">
        <v>8254</v>
      </c>
      <c r="W831" s="1" t="s">
        <v>74</v>
      </c>
      <c r="X831" s="1" t="s">
        <v>74</v>
      </c>
      <c r="Y831" s="1" t="s">
        <v>74</v>
      </c>
      <c r="Z831" s="1" t="s">
        <v>74</v>
      </c>
      <c r="AA831" s="1" t="s">
        <v>8255</v>
      </c>
      <c r="AB831" s="1" t="s">
        <v>8256</v>
      </c>
      <c r="AC831" s="1" t="s">
        <v>74</v>
      </c>
      <c r="AD831" s="1" t="s">
        <v>74</v>
      </c>
      <c r="AE831" s="1" t="s">
        <v>74</v>
      </c>
      <c r="AF831" s="1" t="s">
        <v>74</v>
      </c>
      <c r="AG831" s="1" t="s">
        <v>74</v>
      </c>
      <c r="AH831" s="1" t="s">
        <v>74</v>
      </c>
      <c r="AI831" s="1" t="s">
        <v>74</v>
      </c>
      <c r="AJ831" s="1" t="s">
        <v>74</v>
      </c>
      <c r="AK831" s="1" t="s">
        <v>74</v>
      </c>
      <c r="AL831" s="1" t="s">
        <v>74</v>
      </c>
      <c r="AM831" s="1" t="s">
        <v>74</v>
      </c>
      <c r="AN831" s="1" t="s">
        <v>74</v>
      </c>
      <c r="AO831" s="1" t="s">
        <v>8088</v>
      </c>
      <c r="AP831" s="1" t="s">
        <v>8089</v>
      </c>
      <c r="AQ831" s="1" t="s">
        <v>74</v>
      </c>
      <c r="AR831" s="1" t="s">
        <v>74</v>
      </c>
      <c r="AS831" s="1" t="s">
        <v>74</v>
      </c>
      <c r="AT831" s="1" t="s">
        <v>893</v>
      </c>
      <c r="AU831" s="1">
        <v>2022.0</v>
      </c>
      <c r="AV831" s="1">
        <v>22.0</v>
      </c>
      <c r="AW831" s="1">
        <v>1.0</v>
      </c>
      <c r="AX831" s="1" t="s">
        <v>74</v>
      </c>
      <c r="AY831" s="1" t="s">
        <v>74</v>
      </c>
      <c r="AZ831" s="1" t="s">
        <v>74</v>
      </c>
      <c r="BA831" s="1" t="s">
        <v>74</v>
      </c>
      <c r="BB831" s="1">
        <v>237.0</v>
      </c>
      <c r="BC831" s="1">
        <v>250.0</v>
      </c>
      <c r="BD831" s="1" t="s">
        <v>74</v>
      </c>
      <c r="BE831" s="1" t="s">
        <v>8257</v>
      </c>
      <c r="BF831" s="2" t="str">
        <f>HYPERLINK("http://dx.doi.org/10.1021/acs.cgd.1c00877","http://dx.doi.org/10.1021/acs.cgd.1c00877")</f>
        <v>http://dx.doi.org/10.1021/acs.cgd.1c00877</v>
      </c>
      <c r="BG831" s="1" t="s">
        <v>74</v>
      </c>
      <c r="BH831" s="1" t="s">
        <v>895</v>
      </c>
      <c r="BI831" s="1" t="s">
        <v>74</v>
      </c>
      <c r="BJ831" s="1" t="s">
        <v>74</v>
      </c>
      <c r="BK831" s="1" t="s">
        <v>74</v>
      </c>
      <c r="BL831" s="1" t="s">
        <v>74</v>
      </c>
      <c r="BM831" s="1" t="s">
        <v>74</v>
      </c>
      <c r="BN831" s="1" t="s">
        <v>74</v>
      </c>
      <c r="BO831" s="1" t="s">
        <v>74</v>
      </c>
      <c r="BP831" s="1" t="s">
        <v>74</v>
      </c>
      <c r="BQ831" s="1" t="s">
        <v>74</v>
      </c>
      <c r="BR831" s="1" t="s">
        <v>74</v>
      </c>
      <c r="BS831" s="1" t="s">
        <v>8258</v>
      </c>
      <c r="BT831" s="1" t="str">
        <f>HYPERLINK("https%3A%2F%2Fwww.webofscience.com%2Fwos%2Fwoscc%2Ffull-record%2FWOS:000731116500001","View Full Record in Web of Science")</f>
        <v>View Full Record in Web of Science</v>
      </c>
    </row>
    <row r="832" ht="12.75" customHeight="1">
      <c r="A832" s="1" t="s">
        <v>72</v>
      </c>
      <c r="B832" s="1" t="s">
        <v>8259</v>
      </c>
      <c r="C832" s="1" t="s">
        <v>74</v>
      </c>
      <c r="D832" s="1" t="s">
        <v>74</v>
      </c>
      <c r="E832" s="1" t="s">
        <v>74</v>
      </c>
      <c r="F832" s="1" t="s">
        <v>8260</v>
      </c>
      <c r="G832" s="1" t="s">
        <v>74</v>
      </c>
      <c r="H832" s="1" t="s">
        <v>74</v>
      </c>
      <c r="I832" s="1" t="s">
        <v>8261</v>
      </c>
      <c r="J832" s="1" t="s">
        <v>8262</v>
      </c>
      <c r="K832" s="1" t="s">
        <v>74</v>
      </c>
      <c r="L832" s="1" t="s">
        <v>74</v>
      </c>
      <c r="M832" s="1" t="s">
        <v>74</v>
      </c>
      <c r="N832" s="1" t="s">
        <v>74</v>
      </c>
      <c r="O832" s="1" t="s">
        <v>74</v>
      </c>
      <c r="P832" s="1" t="s">
        <v>74</v>
      </c>
      <c r="Q832" s="1" t="s">
        <v>74</v>
      </c>
      <c r="R832" s="1" t="s">
        <v>74</v>
      </c>
      <c r="S832" s="1" t="s">
        <v>74</v>
      </c>
      <c r="T832" s="1" t="s">
        <v>74</v>
      </c>
      <c r="U832" s="1" t="s">
        <v>74</v>
      </c>
      <c r="V832" s="1" t="s">
        <v>8263</v>
      </c>
      <c r="W832" s="1" t="s">
        <v>74</v>
      </c>
      <c r="X832" s="1" t="s">
        <v>74</v>
      </c>
      <c r="Y832" s="1" t="s">
        <v>74</v>
      </c>
      <c r="Z832" s="1" t="s">
        <v>74</v>
      </c>
      <c r="AA832" s="1" t="s">
        <v>8264</v>
      </c>
      <c r="AB832" s="1" t="s">
        <v>8265</v>
      </c>
      <c r="AC832" s="1" t="s">
        <v>74</v>
      </c>
      <c r="AD832" s="1" t="s">
        <v>74</v>
      </c>
      <c r="AE832" s="1" t="s">
        <v>74</v>
      </c>
      <c r="AF832" s="1" t="s">
        <v>74</v>
      </c>
      <c r="AG832" s="1" t="s">
        <v>74</v>
      </c>
      <c r="AH832" s="1" t="s">
        <v>74</v>
      </c>
      <c r="AI832" s="1" t="s">
        <v>74</v>
      </c>
      <c r="AJ832" s="1" t="s">
        <v>74</v>
      </c>
      <c r="AK832" s="1" t="s">
        <v>74</v>
      </c>
      <c r="AL832" s="1" t="s">
        <v>74</v>
      </c>
      <c r="AM832" s="1" t="s">
        <v>74</v>
      </c>
      <c r="AN832" s="1" t="s">
        <v>74</v>
      </c>
      <c r="AO832" s="1" t="s">
        <v>8266</v>
      </c>
      <c r="AP832" s="1" t="s">
        <v>74</v>
      </c>
      <c r="AQ832" s="1" t="s">
        <v>74</v>
      </c>
      <c r="AR832" s="1" t="s">
        <v>74</v>
      </c>
      <c r="AS832" s="1" t="s">
        <v>74</v>
      </c>
      <c r="AT832" s="1" t="s">
        <v>1860</v>
      </c>
      <c r="AU832" s="1">
        <v>2021.0</v>
      </c>
      <c r="AV832" s="1">
        <v>12.0</v>
      </c>
      <c r="AW832" s="1">
        <v>1.0</v>
      </c>
      <c r="AX832" s="1" t="s">
        <v>74</v>
      </c>
      <c r="AY832" s="1" t="s">
        <v>74</v>
      </c>
      <c r="AZ832" s="1" t="s">
        <v>74</v>
      </c>
      <c r="BA832" s="1" t="s">
        <v>74</v>
      </c>
      <c r="BB832" s="1" t="s">
        <v>74</v>
      </c>
      <c r="BC832" s="1" t="s">
        <v>74</v>
      </c>
      <c r="BD832" s="1">
        <v>214.0</v>
      </c>
      <c r="BE832" s="1" t="s">
        <v>8267</v>
      </c>
      <c r="BF832" s="2" t="str">
        <f>HYPERLINK("http://dx.doi.org/10.1038/s41467-020-20535-z","http://dx.doi.org/10.1038/s41467-020-20535-z")</f>
        <v>http://dx.doi.org/10.1038/s41467-020-20535-z</v>
      </c>
      <c r="BG832" s="1" t="s">
        <v>74</v>
      </c>
      <c r="BH832" s="1" t="s">
        <v>74</v>
      </c>
      <c r="BI832" s="1" t="s">
        <v>74</v>
      </c>
      <c r="BJ832" s="1" t="s">
        <v>74</v>
      </c>
      <c r="BK832" s="1" t="s">
        <v>74</v>
      </c>
      <c r="BL832" s="1" t="s">
        <v>74</v>
      </c>
      <c r="BM832" s="1" t="s">
        <v>74</v>
      </c>
      <c r="BN832" s="1">
        <v>3.3431901E7</v>
      </c>
      <c r="BO832" s="1" t="s">
        <v>74</v>
      </c>
      <c r="BP832" s="1" t="s">
        <v>74</v>
      </c>
      <c r="BQ832" s="1" t="s">
        <v>74</v>
      </c>
      <c r="BR832" s="1" t="s">
        <v>74</v>
      </c>
      <c r="BS832" s="1" t="s">
        <v>8268</v>
      </c>
      <c r="BT832" s="1" t="str">
        <f>HYPERLINK("https%3A%2F%2Fwww.webofscience.com%2Fwos%2Fwoscc%2Ffull-record%2FWOS:000670282800005","View Full Record in Web of Science")</f>
        <v>View Full Record in Web of Science</v>
      </c>
    </row>
    <row r="833" ht="12.75" customHeight="1">
      <c r="A833" s="1" t="s">
        <v>72</v>
      </c>
      <c r="B833" s="1" t="s">
        <v>8269</v>
      </c>
      <c r="C833" s="1" t="s">
        <v>74</v>
      </c>
      <c r="D833" s="1" t="s">
        <v>74</v>
      </c>
      <c r="E833" s="1" t="s">
        <v>74</v>
      </c>
      <c r="F833" s="1" t="s">
        <v>8270</v>
      </c>
      <c r="G833" s="1" t="s">
        <v>74</v>
      </c>
      <c r="H833" s="1" t="s">
        <v>74</v>
      </c>
      <c r="I833" s="1" t="s">
        <v>8271</v>
      </c>
      <c r="J833" s="1" t="s">
        <v>8272</v>
      </c>
      <c r="K833" s="1" t="s">
        <v>74</v>
      </c>
      <c r="L833" s="1" t="s">
        <v>74</v>
      </c>
      <c r="M833" s="1" t="s">
        <v>74</v>
      </c>
      <c r="N833" s="1" t="s">
        <v>74</v>
      </c>
      <c r="O833" s="1" t="s">
        <v>74</v>
      </c>
      <c r="P833" s="1" t="s">
        <v>74</v>
      </c>
      <c r="Q833" s="1" t="s">
        <v>74</v>
      </c>
      <c r="R833" s="1" t="s">
        <v>74</v>
      </c>
      <c r="S833" s="1" t="s">
        <v>74</v>
      </c>
      <c r="T833" s="1" t="s">
        <v>74</v>
      </c>
      <c r="U833" s="1" t="s">
        <v>74</v>
      </c>
      <c r="V833" s="1" t="s">
        <v>8273</v>
      </c>
      <c r="W833" s="1" t="s">
        <v>74</v>
      </c>
      <c r="X833" s="1" t="s">
        <v>74</v>
      </c>
      <c r="Y833" s="1" t="s">
        <v>74</v>
      </c>
      <c r="Z833" s="1" t="s">
        <v>74</v>
      </c>
      <c r="AA833" s="1" t="s">
        <v>8274</v>
      </c>
      <c r="AB833" s="1" t="s">
        <v>8275</v>
      </c>
      <c r="AC833" s="1" t="s">
        <v>74</v>
      </c>
      <c r="AD833" s="1" t="s">
        <v>74</v>
      </c>
      <c r="AE833" s="1" t="s">
        <v>74</v>
      </c>
      <c r="AF833" s="1" t="s">
        <v>74</v>
      </c>
      <c r="AG833" s="1" t="s">
        <v>74</v>
      </c>
      <c r="AH833" s="1" t="s">
        <v>74</v>
      </c>
      <c r="AI833" s="1" t="s">
        <v>74</v>
      </c>
      <c r="AJ833" s="1" t="s">
        <v>74</v>
      </c>
      <c r="AK833" s="1" t="s">
        <v>74</v>
      </c>
      <c r="AL833" s="1" t="s">
        <v>74</v>
      </c>
      <c r="AM833" s="1" t="s">
        <v>74</v>
      </c>
      <c r="AN833" s="1" t="s">
        <v>74</v>
      </c>
      <c r="AO833" s="1" t="s">
        <v>8276</v>
      </c>
      <c r="AP833" s="1" t="s">
        <v>8277</v>
      </c>
      <c r="AQ833" s="1" t="s">
        <v>74</v>
      </c>
      <c r="AR833" s="1" t="s">
        <v>74</v>
      </c>
      <c r="AS833" s="1" t="s">
        <v>74</v>
      </c>
      <c r="AT833" s="1" t="s">
        <v>259</v>
      </c>
      <c r="AU833" s="1">
        <v>2021.0</v>
      </c>
      <c r="AV833" s="1">
        <v>58.0</v>
      </c>
      <c r="AW833" s="1">
        <v>8.0</v>
      </c>
      <c r="AX833" s="1" t="s">
        <v>74</v>
      </c>
      <c r="AY833" s="1" t="s">
        <v>74</v>
      </c>
      <c r="AZ833" s="1" t="s">
        <v>74</v>
      </c>
      <c r="BA833" s="1" t="s">
        <v>74</v>
      </c>
      <c r="BB833" s="1">
        <v>2914.0</v>
      </c>
      <c r="BC833" s="1">
        <v>2923.0</v>
      </c>
      <c r="BD833" s="1" t="s">
        <v>74</v>
      </c>
      <c r="BE833" s="1" t="s">
        <v>8278</v>
      </c>
      <c r="BF833" s="2" t="str">
        <f>HYPERLINK("http://dx.doi.org/10.1007/s13197-020-04793-9","http://dx.doi.org/10.1007/s13197-020-04793-9")</f>
        <v>http://dx.doi.org/10.1007/s13197-020-04793-9</v>
      </c>
      <c r="BG833" s="1" t="s">
        <v>74</v>
      </c>
      <c r="BH833" s="1" t="s">
        <v>8279</v>
      </c>
      <c r="BI833" s="1" t="s">
        <v>74</v>
      </c>
      <c r="BJ833" s="1" t="s">
        <v>74</v>
      </c>
      <c r="BK833" s="1" t="s">
        <v>74</v>
      </c>
      <c r="BL833" s="1" t="s">
        <v>74</v>
      </c>
      <c r="BM833" s="1" t="s">
        <v>74</v>
      </c>
      <c r="BN833" s="1">
        <v>3.4294953E7</v>
      </c>
      <c r="BO833" s="1" t="s">
        <v>74</v>
      </c>
      <c r="BP833" s="1" t="s">
        <v>74</v>
      </c>
      <c r="BQ833" s="1" t="s">
        <v>74</v>
      </c>
      <c r="BR833" s="1" t="s">
        <v>74</v>
      </c>
      <c r="BS833" s="1" t="s">
        <v>8280</v>
      </c>
      <c r="BT833" s="1" t="str">
        <f>HYPERLINK("https%3A%2F%2Fwww.webofscience.com%2Fwos%2Fwoscc%2Ffull-record%2FWOS:000571264300002","View Full Record in Web of Science")</f>
        <v>View Full Record in Web of Science</v>
      </c>
    </row>
    <row r="834" ht="12.75" customHeight="1">
      <c r="A834" s="1" t="s">
        <v>72</v>
      </c>
      <c r="B834" s="1" t="s">
        <v>8281</v>
      </c>
      <c r="C834" s="1" t="s">
        <v>74</v>
      </c>
      <c r="D834" s="1" t="s">
        <v>74</v>
      </c>
      <c r="E834" s="1" t="s">
        <v>74</v>
      </c>
      <c r="F834" s="1" t="s">
        <v>8282</v>
      </c>
      <c r="G834" s="1" t="s">
        <v>74</v>
      </c>
      <c r="H834" s="1" t="s">
        <v>74</v>
      </c>
      <c r="I834" s="1" t="s">
        <v>8283</v>
      </c>
      <c r="J834" s="1" t="s">
        <v>8284</v>
      </c>
      <c r="K834" s="1" t="s">
        <v>74</v>
      </c>
      <c r="L834" s="1" t="s">
        <v>74</v>
      </c>
      <c r="M834" s="1" t="s">
        <v>74</v>
      </c>
      <c r="N834" s="1" t="s">
        <v>74</v>
      </c>
      <c r="O834" s="1" t="s">
        <v>74</v>
      </c>
      <c r="P834" s="1" t="s">
        <v>74</v>
      </c>
      <c r="Q834" s="1" t="s">
        <v>74</v>
      </c>
      <c r="R834" s="1" t="s">
        <v>74</v>
      </c>
      <c r="S834" s="1" t="s">
        <v>74</v>
      </c>
      <c r="T834" s="1" t="s">
        <v>74</v>
      </c>
      <c r="U834" s="1" t="s">
        <v>74</v>
      </c>
      <c r="V834" s="1" t="s">
        <v>8285</v>
      </c>
      <c r="W834" s="1" t="s">
        <v>74</v>
      </c>
      <c r="X834" s="1" t="s">
        <v>74</v>
      </c>
      <c r="Y834" s="1" t="s">
        <v>74</v>
      </c>
      <c r="Z834" s="1" t="s">
        <v>74</v>
      </c>
      <c r="AA834" s="1" t="s">
        <v>8286</v>
      </c>
      <c r="AB834" s="1" t="s">
        <v>8287</v>
      </c>
      <c r="AC834" s="1" t="s">
        <v>74</v>
      </c>
      <c r="AD834" s="1" t="s">
        <v>74</v>
      </c>
      <c r="AE834" s="1" t="s">
        <v>74</v>
      </c>
      <c r="AF834" s="1" t="s">
        <v>74</v>
      </c>
      <c r="AG834" s="1" t="s">
        <v>74</v>
      </c>
      <c r="AH834" s="1" t="s">
        <v>74</v>
      </c>
      <c r="AI834" s="1" t="s">
        <v>74</v>
      </c>
      <c r="AJ834" s="1" t="s">
        <v>74</v>
      </c>
      <c r="AK834" s="1" t="s">
        <v>74</v>
      </c>
      <c r="AL834" s="1" t="s">
        <v>74</v>
      </c>
      <c r="AM834" s="1" t="s">
        <v>74</v>
      </c>
      <c r="AN834" s="1" t="s">
        <v>74</v>
      </c>
      <c r="AO834" s="1" t="s">
        <v>8288</v>
      </c>
      <c r="AP834" s="1" t="s">
        <v>8289</v>
      </c>
      <c r="AQ834" s="1" t="s">
        <v>74</v>
      </c>
      <c r="AR834" s="1" t="s">
        <v>74</v>
      </c>
      <c r="AS834" s="1" t="s">
        <v>74</v>
      </c>
      <c r="AT834" s="1" t="s">
        <v>438</v>
      </c>
      <c r="AU834" s="1">
        <v>2020.0</v>
      </c>
      <c r="AV834" s="1">
        <v>28.0</v>
      </c>
      <c r="AW834" s="1">
        <v>2.0</v>
      </c>
      <c r="AX834" s="1" t="s">
        <v>74</v>
      </c>
      <c r="AY834" s="1" t="s">
        <v>74</v>
      </c>
      <c r="AZ834" s="1" t="s">
        <v>74</v>
      </c>
      <c r="BA834" s="1" t="s">
        <v>74</v>
      </c>
      <c r="BB834" s="1">
        <v>263.0</v>
      </c>
      <c r="BC834" s="1">
        <v>283.0</v>
      </c>
      <c r="BD834" s="1" t="s">
        <v>8290</v>
      </c>
      <c r="BE834" s="1" t="s">
        <v>8291</v>
      </c>
      <c r="BF834" s="2" t="str">
        <f>HYPERLINK("http://dx.doi.org/10.1017/pan.2019.34","http://dx.doi.org/10.1017/pan.2019.34")</f>
        <v>http://dx.doi.org/10.1017/pan.2019.34</v>
      </c>
      <c r="BG834" s="1" t="s">
        <v>74</v>
      </c>
      <c r="BH834" s="1" t="s">
        <v>74</v>
      </c>
      <c r="BI834" s="1" t="s">
        <v>74</v>
      </c>
      <c r="BJ834" s="1" t="s">
        <v>74</v>
      </c>
      <c r="BK834" s="1" t="s">
        <v>74</v>
      </c>
      <c r="BL834" s="1" t="s">
        <v>74</v>
      </c>
      <c r="BM834" s="1" t="s">
        <v>74</v>
      </c>
      <c r="BN834" s="1" t="s">
        <v>74</v>
      </c>
      <c r="BO834" s="1" t="s">
        <v>74</v>
      </c>
      <c r="BP834" s="1" t="s">
        <v>74</v>
      </c>
      <c r="BQ834" s="1" t="s">
        <v>74</v>
      </c>
      <c r="BR834" s="1" t="s">
        <v>74</v>
      </c>
      <c r="BS834" s="1" t="s">
        <v>8292</v>
      </c>
      <c r="BT834" s="1" t="str">
        <f>HYPERLINK("https%3A%2F%2Fwww.webofscience.com%2Fwos%2Fwoscc%2Ffull-record%2FWOS:000517608900007","View Full Record in Web of Science")</f>
        <v>View Full Record in Web of Science</v>
      </c>
    </row>
    <row r="835" ht="12.75" customHeight="1">
      <c r="A835" s="1" t="s">
        <v>72</v>
      </c>
      <c r="B835" s="1" t="s">
        <v>8293</v>
      </c>
      <c r="C835" s="1" t="s">
        <v>74</v>
      </c>
      <c r="D835" s="1" t="s">
        <v>74</v>
      </c>
      <c r="E835" s="1" t="s">
        <v>74</v>
      </c>
      <c r="F835" s="1" t="s">
        <v>8294</v>
      </c>
      <c r="G835" s="1" t="s">
        <v>74</v>
      </c>
      <c r="H835" s="1" t="s">
        <v>74</v>
      </c>
      <c r="I835" s="1" t="s">
        <v>8295</v>
      </c>
      <c r="J835" s="1" t="s">
        <v>8296</v>
      </c>
      <c r="K835" s="1" t="s">
        <v>74</v>
      </c>
      <c r="L835" s="1" t="s">
        <v>74</v>
      </c>
      <c r="M835" s="1" t="s">
        <v>74</v>
      </c>
      <c r="N835" s="1" t="s">
        <v>74</v>
      </c>
      <c r="O835" s="1" t="s">
        <v>74</v>
      </c>
      <c r="P835" s="1" t="s">
        <v>74</v>
      </c>
      <c r="Q835" s="1" t="s">
        <v>74</v>
      </c>
      <c r="R835" s="1" t="s">
        <v>74</v>
      </c>
      <c r="S835" s="1" t="s">
        <v>74</v>
      </c>
      <c r="T835" s="1" t="s">
        <v>74</v>
      </c>
      <c r="U835" s="1" t="s">
        <v>74</v>
      </c>
      <c r="V835" s="1" t="s">
        <v>8297</v>
      </c>
      <c r="W835" s="1" t="s">
        <v>74</v>
      </c>
      <c r="X835" s="1" t="s">
        <v>74</v>
      </c>
      <c r="Y835" s="1" t="s">
        <v>74</v>
      </c>
      <c r="Z835" s="1" t="s">
        <v>74</v>
      </c>
      <c r="AA835" s="1" t="s">
        <v>8298</v>
      </c>
      <c r="AB835" s="1" t="s">
        <v>8299</v>
      </c>
      <c r="AC835" s="1" t="s">
        <v>74</v>
      </c>
      <c r="AD835" s="1" t="s">
        <v>74</v>
      </c>
      <c r="AE835" s="1" t="s">
        <v>74</v>
      </c>
      <c r="AF835" s="1" t="s">
        <v>74</v>
      </c>
      <c r="AG835" s="1" t="s">
        <v>74</v>
      </c>
      <c r="AH835" s="1" t="s">
        <v>74</v>
      </c>
      <c r="AI835" s="1" t="s">
        <v>74</v>
      </c>
      <c r="AJ835" s="1" t="s">
        <v>74</v>
      </c>
      <c r="AK835" s="1" t="s">
        <v>74</v>
      </c>
      <c r="AL835" s="1" t="s">
        <v>74</v>
      </c>
      <c r="AM835" s="1" t="s">
        <v>74</v>
      </c>
      <c r="AN835" s="1" t="s">
        <v>74</v>
      </c>
      <c r="AO835" s="1" t="s">
        <v>8300</v>
      </c>
      <c r="AP835" s="1" t="s">
        <v>8301</v>
      </c>
      <c r="AQ835" s="1" t="s">
        <v>74</v>
      </c>
      <c r="AR835" s="1" t="s">
        <v>74</v>
      </c>
      <c r="AS835" s="1" t="s">
        <v>74</v>
      </c>
      <c r="AT835" s="1" t="s">
        <v>259</v>
      </c>
      <c r="AU835" s="1">
        <v>2018.0</v>
      </c>
      <c r="AV835" s="1">
        <v>111.0</v>
      </c>
      <c r="AW835" s="1">
        <v>8.0</v>
      </c>
      <c r="AX835" s="1" t="s">
        <v>74</v>
      </c>
      <c r="AY835" s="1" t="s">
        <v>74</v>
      </c>
      <c r="AZ835" s="1" t="s">
        <v>399</v>
      </c>
      <c r="BA835" s="1" t="s">
        <v>74</v>
      </c>
      <c r="BB835" s="1">
        <v>1301.0</v>
      </c>
      <c r="BC835" s="1">
        <v>1313.0</v>
      </c>
      <c r="BD835" s="1" t="s">
        <v>74</v>
      </c>
      <c r="BE835" s="1" t="s">
        <v>8302</v>
      </c>
      <c r="BF835" s="2" t="str">
        <f>HYPERLINK("http://dx.doi.org/10.1007/s10482-018-1075-z","http://dx.doi.org/10.1007/s10482-018-1075-z")</f>
        <v>http://dx.doi.org/10.1007/s10482-018-1075-z</v>
      </c>
      <c r="BG835" s="1" t="s">
        <v>74</v>
      </c>
      <c r="BH835" s="1" t="s">
        <v>74</v>
      </c>
      <c r="BI835" s="1" t="s">
        <v>74</v>
      </c>
      <c r="BJ835" s="1" t="s">
        <v>74</v>
      </c>
      <c r="BK835" s="1" t="s">
        <v>74</v>
      </c>
      <c r="BL835" s="1" t="s">
        <v>74</v>
      </c>
      <c r="BM835" s="1" t="s">
        <v>74</v>
      </c>
      <c r="BN835" s="1">
        <v>2.9605897E7</v>
      </c>
      <c r="BO835" s="1" t="s">
        <v>74</v>
      </c>
      <c r="BP835" s="1" t="s">
        <v>74</v>
      </c>
      <c r="BQ835" s="1" t="s">
        <v>74</v>
      </c>
      <c r="BR835" s="1" t="s">
        <v>74</v>
      </c>
      <c r="BS835" s="1" t="s">
        <v>8303</v>
      </c>
      <c r="BT835" s="1" t="str">
        <f>HYPERLINK("https%3A%2F%2Fwww.webofscience.com%2Fwos%2Fwoscc%2Ffull-record%2FWOS:000439732000005","View Full Record in Web of Science")</f>
        <v>View Full Record in Web of Science</v>
      </c>
    </row>
    <row r="836" ht="12.75" customHeight="1">
      <c r="A836" s="1" t="s">
        <v>72</v>
      </c>
      <c r="B836" s="1" t="s">
        <v>8304</v>
      </c>
      <c r="C836" s="1" t="s">
        <v>74</v>
      </c>
      <c r="D836" s="1" t="s">
        <v>74</v>
      </c>
      <c r="E836" s="1" t="s">
        <v>74</v>
      </c>
      <c r="F836" s="1" t="s">
        <v>8305</v>
      </c>
      <c r="G836" s="1" t="s">
        <v>74</v>
      </c>
      <c r="H836" s="1" t="s">
        <v>74</v>
      </c>
      <c r="I836" s="1" t="s">
        <v>8306</v>
      </c>
      <c r="J836" s="1" t="s">
        <v>8307</v>
      </c>
      <c r="K836" s="1" t="s">
        <v>74</v>
      </c>
      <c r="L836" s="1" t="s">
        <v>74</v>
      </c>
      <c r="M836" s="1" t="s">
        <v>74</v>
      </c>
      <c r="N836" s="1" t="s">
        <v>74</v>
      </c>
      <c r="O836" s="1" t="s">
        <v>74</v>
      </c>
      <c r="P836" s="1" t="s">
        <v>74</v>
      </c>
      <c r="Q836" s="1" t="s">
        <v>74</v>
      </c>
      <c r="R836" s="1" t="s">
        <v>74</v>
      </c>
      <c r="S836" s="1" t="s">
        <v>74</v>
      </c>
      <c r="T836" s="1" t="s">
        <v>74</v>
      </c>
      <c r="U836" s="1" t="s">
        <v>74</v>
      </c>
      <c r="V836" s="1" t="s">
        <v>8308</v>
      </c>
      <c r="W836" s="1" t="s">
        <v>74</v>
      </c>
      <c r="X836" s="1" t="s">
        <v>74</v>
      </c>
      <c r="Y836" s="1" t="s">
        <v>74</v>
      </c>
      <c r="Z836" s="1" t="s">
        <v>74</v>
      </c>
      <c r="AA836" s="1" t="s">
        <v>8309</v>
      </c>
      <c r="AB836" s="1" t="s">
        <v>8310</v>
      </c>
      <c r="AC836" s="1" t="s">
        <v>74</v>
      </c>
      <c r="AD836" s="1" t="s">
        <v>74</v>
      </c>
      <c r="AE836" s="1" t="s">
        <v>74</v>
      </c>
      <c r="AF836" s="1" t="s">
        <v>74</v>
      </c>
      <c r="AG836" s="1" t="s">
        <v>74</v>
      </c>
      <c r="AH836" s="1" t="s">
        <v>74</v>
      </c>
      <c r="AI836" s="1" t="s">
        <v>74</v>
      </c>
      <c r="AJ836" s="1" t="s">
        <v>74</v>
      </c>
      <c r="AK836" s="1" t="s">
        <v>74</v>
      </c>
      <c r="AL836" s="1" t="s">
        <v>74</v>
      </c>
      <c r="AM836" s="1" t="s">
        <v>74</v>
      </c>
      <c r="AN836" s="1" t="s">
        <v>74</v>
      </c>
      <c r="AO836" s="1" t="s">
        <v>8311</v>
      </c>
      <c r="AP836" s="1" t="s">
        <v>8312</v>
      </c>
      <c r="AQ836" s="1" t="s">
        <v>74</v>
      </c>
      <c r="AR836" s="1" t="s">
        <v>74</v>
      </c>
      <c r="AS836" s="1" t="s">
        <v>74</v>
      </c>
      <c r="AT836" s="1" t="s">
        <v>719</v>
      </c>
      <c r="AU836" s="1">
        <v>2018.0</v>
      </c>
      <c r="AV836" s="1">
        <v>21.0</v>
      </c>
      <c r="AW836" s="1">
        <v>7.0</v>
      </c>
      <c r="AX836" s="1" t="s">
        <v>74</v>
      </c>
      <c r="AY836" s="1" t="s">
        <v>74</v>
      </c>
      <c r="AZ836" s="1" t="s">
        <v>74</v>
      </c>
      <c r="BA836" s="1" t="s">
        <v>74</v>
      </c>
      <c r="BB836" s="1">
        <v>727.0</v>
      </c>
      <c r="BC836" s="1">
        <v>735.0</v>
      </c>
      <c r="BD836" s="1" t="s">
        <v>74</v>
      </c>
      <c r="BE836" s="1" t="s">
        <v>8313</v>
      </c>
      <c r="BF836" s="2" t="str">
        <f>HYPERLINK("http://dx.doi.org/10.1016/j.jsams.2017.11.003","http://dx.doi.org/10.1016/j.jsams.2017.11.003")</f>
        <v>http://dx.doi.org/10.1016/j.jsams.2017.11.003</v>
      </c>
      <c r="BG836" s="1" t="s">
        <v>74</v>
      </c>
      <c r="BH836" s="1" t="s">
        <v>74</v>
      </c>
      <c r="BI836" s="1" t="s">
        <v>74</v>
      </c>
      <c r="BJ836" s="1" t="s">
        <v>74</v>
      </c>
      <c r="BK836" s="1" t="s">
        <v>74</v>
      </c>
      <c r="BL836" s="1" t="s">
        <v>74</v>
      </c>
      <c r="BM836" s="1" t="s">
        <v>74</v>
      </c>
      <c r="BN836" s="1">
        <v>2.9249685E7</v>
      </c>
      <c r="BO836" s="1" t="s">
        <v>74</v>
      </c>
      <c r="BP836" s="1" t="s">
        <v>74</v>
      </c>
      <c r="BQ836" s="1" t="s">
        <v>74</v>
      </c>
      <c r="BR836" s="1" t="s">
        <v>74</v>
      </c>
      <c r="BS836" s="1" t="s">
        <v>8314</v>
      </c>
      <c r="BT836" s="1" t="str">
        <f>HYPERLINK("https%3A%2F%2Fwww.webofscience.com%2Fwos%2Fwoscc%2Ffull-record%2FWOS:000436384000016","View Full Record in Web of Science")</f>
        <v>View Full Record in Web of Science</v>
      </c>
    </row>
    <row r="837" ht="12.75" customHeight="1">
      <c r="A837" s="1" t="s">
        <v>72</v>
      </c>
      <c r="B837" s="1" t="s">
        <v>8315</v>
      </c>
      <c r="C837" s="1" t="s">
        <v>74</v>
      </c>
      <c r="D837" s="1" t="s">
        <v>74</v>
      </c>
      <c r="E837" s="1" t="s">
        <v>74</v>
      </c>
      <c r="F837" s="1" t="s">
        <v>8316</v>
      </c>
      <c r="G837" s="1" t="s">
        <v>74</v>
      </c>
      <c r="H837" s="1" t="s">
        <v>74</v>
      </c>
      <c r="I837" s="1" t="s">
        <v>8317</v>
      </c>
      <c r="J837" s="1" t="s">
        <v>8318</v>
      </c>
      <c r="K837" s="1" t="s">
        <v>74</v>
      </c>
      <c r="L837" s="1" t="s">
        <v>74</v>
      </c>
      <c r="M837" s="1" t="s">
        <v>74</v>
      </c>
      <c r="N837" s="1" t="s">
        <v>74</v>
      </c>
      <c r="O837" s="1" t="s">
        <v>74</v>
      </c>
      <c r="P837" s="1" t="s">
        <v>74</v>
      </c>
      <c r="Q837" s="1" t="s">
        <v>74</v>
      </c>
      <c r="R837" s="1" t="s">
        <v>74</v>
      </c>
      <c r="S837" s="1" t="s">
        <v>74</v>
      </c>
      <c r="T837" s="1" t="s">
        <v>74</v>
      </c>
      <c r="U837" s="1" t="s">
        <v>74</v>
      </c>
      <c r="V837" s="1" t="s">
        <v>8319</v>
      </c>
      <c r="W837" s="1" t="s">
        <v>74</v>
      </c>
      <c r="X837" s="1" t="s">
        <v>74</v>
      </c>
      <c r="Y837" s="1" t="s">
        <v>74</v>
      </c>
      <c r="Z837" s="1" t="s">
        <v>74</v>
      </c>
      <c r="AA837" s="1" t="s">
        <v>8320</v>
      </c>
      <c r="AB837" s="1" t="s">
        <v>8321</v>
      </c>
      <c r="AC837" s="1" t="s">
        <v>74</v>
      </c>
      <c r="AD837" s="1" t="s">
        <v>74</v>
      </c>
      <c r="AE837" s="1" t="s">
        <v>74</v>
      </c>
      <c r="AF837" s="1" t="s">
        <v>74</v>
      </c>
      <c r="AG837" s="1" t="s">
        <v>74</v>
      </c>
      <c r="AH837" s="1" t="s">
        <v>74</v>
      </c>
      <c r="AI837" s="1" t="s">
        <v>74</v>
      </c>
      <c r="AJ837" s="1" t="s">
        <v>74</v>
      </c>
      <c r="AK837" s="1" t="s">
        <v>74</v>
      </c>
      <c r="AL837" s="1" t="s">
        <v>74</v>
      </c>
      <c r="AM837" s="1" t="s">
        <v>74</v>
      </c>
      <c r="AN837" s="1" t="s">
        <v>74</v>
      </c>
      <c r="AO837" s="1" t="s">
        <v>8322</v>
      </c>
      <c r="AP837" s="1" t="s">
        <v>8323</v>
      </c>
      <c r="AQ837" s="1" t="s">
        <v>74</v>
      </c>
      <c r="AR837" s="1" t="s">
        <v>74</v>
      </c>
      <c r="AS837" s="1" t="s">
        <v>74</v>
      </c>
      <c r="AT837" s="1" t="s">
        <v>96</v>
      </c>
      <c r="AU837" s="1">
        <v>2016.0</v>
      </c>
      <c r="AV837" s="1">
        <v>81.0</v>
      </c>
      <c r="AW837" s="1" t="s">
        <v>74</v>
      </c>
      <c r="AX837" s="1" t="s">
        <v>74</v>
      </c>
      <c r="AY837" s="1" t="s">
        <v>74</v>
      </c>
      <c r="AZ837" s="1" t="s">
        <v>74</v>
      </c>
      <c r="BA837" s="1" t="s">
        <v>74</v>
      </c>
      <c r="BB837" s="1">
        <v>219.0</v>
      </c>
      <c r="BC837" s="1">
        <v>232.0</v>
      </c>
      <c r="BD837" s="1" t="s">
        <v>74</v>
      </c>
      <c r="BE837" s="1" t="s">
        <v>8324</v>
      </c>
      <c r="BF837" s="2" t="str">
        <f>HYPERLINK("http://dx.doi.org/10.1016/j.ijsolstr.2015.11.027","http://dx.doi.org/10.1016/j.ijsolstr.2015.11.027")</f>
        <v>http://dx.doi.org/10.1016/j.ijsolstr.2015.11.027</v>
      </c>
      <c r="BG837" s="1" t="s">
        <v>74</v>
      </c>
      <c r="BH837" s="1" t="s">
        <v>74</v>
      </c>
      <c r="BI837" s="1" t="s">
        <v>74</v>
      </c>
      <c r="BJ837" s="1" t="s">
        <v>74</v>
      </c>
      <c r="BK837" s="1" t="s">
        <v>74</v>
      </c>
      <c r="BL837" s="1" t="s">
        <v>74</v>
      </c>
      <c r="BM837" s="1" t="s">
        <v>74</v>
      </c>
      <c r="BN837" s="1" t="s">
        <v>74</v>
      </c>
      <c r="BO837" s="1" t="s">
        <v>74</v>
      </c>
      <c r="BP837" s="1" t="s">
        <v>74</v>
      </c>
      <c r="BQ837" s="1" t="s">
        <v>74</v>
      </c>
      <c r="BR837" s="1" t="s">
        <v>74</v>
      </c>
      <c r="BS837" s="1" t="s">
        <v>8325</v>
      </c>
      <c r="BT837" s="1" t="str">
        <f>HYPERLINK("https%3A%2F%2Fwww.webofscience.com%2Fwos%2Fwoscc%2Ffull-record%2FWOS:000370089200018","View Full Record in Web of Science")</f>
        <v>View Full Record in Web of Science</v>
      </c>
    </row>
    <row r="838" ht="12.75" customHeight="1">
      <c r="A838" s="1" t="s">
        <v>72</v>
      </c>
      <c r="B838" s="1" t="s">
        <v>8326</v>
      </c>
      <c r="C838" s="1" t="s">
        <v>74</v>
      </c>
      <c r="D838" s="1" t="s">
        <v>74</v>
      </c>
      <c r="E838" s="1" t="s">
        <v>74</v>
      </c>
      <c r="F838" s="1" t="s">
        <v>8327</v>
      </c>
      <c r="G838" s="1" t="s">
        <v>74</v>
      </c>
      <c r="H838" s="1" t="s">
        <v>74</v>
      </c>
      <c r="I838" s="1" t="s">
        <v>8328</v>
      </c>
      <c r="J838" s="1" t="s">
        <v>8329</v>
      </c>
      <c r="K838" s="1" t="s">
        <v>74</v>
      </c>
      <c r="L838" s="1" t="s">
        <v>74</v>
      </c>
      <c r="M838" s="1" t="s">
        <v>74</v>
      </c>
      <c r="N838" s="1" t="s">
        <v>74</v>
      </c>
      <c r="O838" s="1" t="s">
        <v>74</v>
      </c>
      <c r="P838" s="1" t="s">
        <v>74</v>
      </c>
      <c r="Q838" s="1" t="s">
        <v>74</v>
      </c>
      <c r="R838" s="1" t="s">
        <v>74</v>
      </c>
      <c r="S838" s="1" t="s">
        <v>74</v>
      </c>
      <c r="T838" s="1" t="s">
        <v>74</v>
      </c>
      <c r="U838" s="1" t="s">
        <v>74</v>
      </c>
      <c r="V838" s="1" t="s">
        <v>8330</v>
      </c>
      <c r="W838" s="1" t="s">
        <v>74</v>
      </c>
      <c r="X838" s="1" t="s">
        <v>74</v>
      </c>
      <c r="Y838" s="1" t="s">
        <v>74</v>
      </c>
      <c r="Z838" s="1" t="s">
        <v>74</v>
      </c>
      <c r="AA838" s="1" t="s">
        <v>74</v>
      </c>
      <c r="AB838" s="1" t="s">
        <v>8331</v>
      </c>
      <c r="AC838" s="1" t="s">
        <v>74</v>
      </c>
      <c r="AD838" s="1" t="s">
        <v>74</v>
      </c>
      <c r="AE838" s="1" t="s">
        <v>74</v>
      </c>
      <c r="AF838" s="1" t="s">
        <v>74</v>
      </c>
      <c r="AG838" s="1" t="s">
        <v>74</v>
      </c>
      <c r="AH838" s="1" t="s">
        <v>74</v>
      </c>
      <c r="AI838" s="1" t="s">
        <v>74</v>
      </c>
      <c r="AJ838" s="1" t="s">
        <v>74</v>
      </c>
      <c r="AK838" s="1" t="s">
        <v>74</v>
      </c>
      <c r="AL838" s="1" t="s">
        <v>74</v>
      </c>
      <c r="AM838" s="1" t="s">
        <v>74</v>
      </c>
      <c r="AN838" s="1" t="s">
        <v>74</v>
      </c>
      <c r="AO838" s="1" t="s">
        <v>8332</v>
      </c>
      <c r="AP838" s="1" t="s">
        <v>74</v>
      </c>
      <c r="AQ838" s="1" t="s">
        <v>74</v>
      </c>
      <c r="AR838" s="1" t="s">
        <v>74</v>
      </c>
      <c r="AS838" s="1" t="s">
        <v>74</v>
      </c>
      <c r="AT838" s="1" t="s">
        <v>8333</v>
      </c>
      <c r="AU838" s="1">
        <v>2015.0</v>
      </c>
      <c r="AV838" s="1" t="s">
        <v>74</v>
      </c>
      <c r="AW838" s="1">
        <v>55.0</v>
      </c>
      <c r="AX838" s="1" t="s">
        <v>74</v>
      </c>
      <c r="AY838" s="1" t="s">
        <v>74</v>
      </c>
      <c r="AZ838" s="1" t="s">
        <v>74</v>
      </c>
      <c r="BA838" s="1" t="s">
        <v>74</v>
      </c>
      <c r="BB838" s="1">
        <v>207.0</v>
      </c>
      <c r="BC838" s="1">
        <v>230.0</v>
      </c>
      <c r="BD838" s="1" t="s">
        <v>74</v>
      </c>
      <c r="BE838" s="1" t="s">
        <v>8334</v>
      </c>
      <c r="BF838" s="2" t="str">
        <f>HYPERLINK("http://dx.doi.org/10.7440/histuit55.2015.09","http://dx.doi.org/10.7440/histuit55.2015.09")</f>
        <v>http://dx.doi.org/10.7440/histuit55.2015.09</v>
      </c>
      <c r="BG838" s="1" t="s">
        <v>74</v>
      </c>
      <c r="BH838" s="1" t="s">
        <v>74</v>
      </c>
      <c r="BI838" s="1" t="s">
        <v>74</v>
      </c>
      <c r="BJ838" s="1" t="s">
        <v>74</v>
      </c>
      <c r="BK838" s="1" t="s">
        <v>74</v>
      </c>
      <c r="BL838" s="1" t="s">
        <v>74</v>
      </c>
      <c r="BM838" s="1" t="s">
        <v>74</v>
      </c>
      <c r="BN838" s="1" t="s">
        <v>74</v>
      </c>
      <c r="BO838" s="1" t="s">
        <v>74</v>
      </c>
      <c r="BP838" s="1" t="s">
        <v>74</v>
      </c>
      <c r="BQ838" s="1" t="s">
        <v>74</v>
      </c>
      <c r="BR838" s="1" t="s">
        <v>74</v>
      </c>
      <c r="BS838" s="1" t="s">
        <v>8335</v>
      </c>
      <c r="BT838" s="1" t="str">
        <f>HYPERLINK("https%3A%2F%2Fwww.webofscience.com%2Fwos%2Fwoscc%2Ffull-record%2FWOS:000350513200010","View Full Record in Web of Science")</f>
        <v>View Full Record in Web of Science</v>
      </c>
    </row>
    <row r="839" ht="12.75" customHeight="1">
      <c r="A839" s="1" t="s">
        <v>647</v>
      </c>
      <c r="B839" s="1" t="s">
        <v>8336</v>
      </c>
      <c r="C839" s="1" t="s">
        <v>74</v>
      </c>
      <c r="D839" s="1" t="s">
        <v>74</v>
      </c>
      <c r="E839" s="1" t="s">
        <v>649</v>
      </c>
      <c r="F839" s="1" t="s">
        <v>8337</v>
      </c>
      <c r="G839" s="1" t="s">
        <v>74</v>
      </c>
      <c r="H839" s="1" t="s">
        <v>74</v>
      </c>
      <c r="I839" s="1" t="s">
        <v>8338</v>
      </c>
      <c r="J839" s="1" t="s">
        <v>8339</v>
      </c>
      <c r="K839" s="1" t="s">
        <v>74</v>
      </c>
      <c r="L839" s="1" t="s">
        <v>74</v>
      </c>
      <c r="M839" s="1" t="s">
        <v>74</v>
      </c>
      <c r="N839" s="1" t="s">
        <v>74</v>
      </c>
      <c r="O839" s="1" t="s">
        <v>8340</v>
      </c>
      <c r="P839" s="1" t="s">
        <v>8341</v>
      </c>
      <c r="Q839" s="1" t="s">
        <v>8342</v>
      </c>
      <c r="R839" s="1" t="s">
        <v>74</v>
      </c>
      <c r="S839" s="1" t="s">
        <v>74</v>
      </c>
      <c r="T839" s="1" t="s">
        <v>74</v>
      </c>
      <c r="U839" s="1" t="s">
        <v>74</v>
      </c>
      <c r="V839" s="1" t="s">
        <v>8343</v>
      </c>
      <c r="W839" s="1" t="s">
        <v>74</v>
      </c>
      <c r="X839" s="1" t="s">
        <v>74</v>
      </c>
      <c r="Y839" s="1" t="s">
        <v>74</v>
      </c>
      <c r="Z839" s="1" t="s">
        <v>74</v>
      </c>
      <c r="AA839" s="1" t="s">
        <v>8344</v>
      </c>
      <c r="AB839" s="1" t="s">
        <v>8345</v>
      </c>
      <c r="AC839" s="1" t="s">
        <v>74</v>
      </c>
      <c r="AD839" s="1" t="s">
        <v>74</v>
      </c>
      <c r="AE839" s="1" t="s">
        <v>74</v>
      </c>
      <c r="AF839" s="1" t="s">
        <v>74</v>
      </c>
      <c r="AG839" s="1" t="s">
        <v>74</v>
      </c>
      <c r="AH839" s="1" t="s">
        <v>74</v>
      </c>
      <c r="AI839" s="1" t="s">
        <v>74</v>
      </c>
      <c r="AJ839" s="1" t="s">
        <v>74</v>
      </c>
      <c r="AK839" s="1" t="s">
        <v>74</v>
      </c>
      <c r="AL839" s="1" t="s">
        <v>74</v>
      </c>
      <c r="AM839" s="1" t="s">
        <v>74</v>
      </c>
      <c r="AN839" s="1" t="s">
        <v>74</v>
      </c>
      <c r="AO839" s="1" t="s">
        <v>74</v>
      </c>
      <c r="AP839" s="1" t="s">
        <v>74</v>
      </c>
      <c r="AQ839" s="1" t="s">
        <v>8346</v>
      </c>
      <c r="AR839" s="1" t="s">
        <v>74</v>
      </c>
      <c r="AS839" s="1" t="s">
        <v>74</v>
      </c>
      <c r="AT839" s="1" t="s">
        <v>74</v>
      </c>
      <c r="AU839" s="1">
        <v>2014.0</v>
      </c>
      <c r="AV839" s="1" t="s">
        <v>74</v>
      </c>
      <c r="AW839" s="1" t="s">
        <v>74</v>
      </c>
      <c r="AX839" s="1" t="s">
        <v>74</v>
      </c>
      <c r="AY839" s="1" t="s">
        <v>74</v>
      </c>
      <c r="AZ839" s="1" t="s">
        <v>74</v>
      </c>
      <c r="BA839" s="1" t="s">
        <v>74</v>
      </c>
      <c r="BB839" s="1">
        <v>1165.0</v>
      </c>
      <c r="BC839" s="1">
        <v>1169.0</v>
      </c>
      <c r="BD839" s="1" t="s">
        <v>74</v>
      </c>
      <c r="BE839" s="1" t="s">
        <v>74</v>
      </c>
      <c r="BF839" s="1" t="s">
        <v>74</v>
      </c>
      <c r="BG839" s="1" t="s">
        <v>74</v>
      </c>
      <c r="BH839" s="1" t="s">
        <v>74</v>
      </c>
      <c r="BI839" s="1" t="s">
        <v>74</v>
      </c>
      <c r="BJ839" s="1" t="s">
        <v>74</v>
      </c>
      <c r="BK839" s="1" t="s">
        <v>74</v>
      </c>
      <c r="BL839" s="1" t="s">
        <v>74</v>
      </c>
      <c r="BM839" s="1" t="s">
        <v>74</v>
      </c>
      <c r="BN839" s="1" t="s">
        <v>74</v>
      </c>
      <c r="BO839" s="1" t="s">
        <v>74</v>
      </c>
      <c r="BP839" s="1" t="s">
        <v>74</v>
      </c>
      <c r="BQ839" s="1" t="s">
        <v>74</v>
      </c>
      <c r="BR839" s="1" t="s">
        <v>74</v>
      </c>
      <c r="BS839" s="1" t="s">
        <v>8347</v>
      </c>
      <c r="BT839" s="1" t="str">
        <f>HYPERLINK("https%3A%2F%2Fwww.webofscience.com%2Fwos%2Fwoscc%2Ffull-record%2FWOS:000354963600220","View Full Record in Web of Science")</f>
        <v>View Full Record in Web of Science</v>
      </c>
    </row>
    <row r="840" ht="12.75" customHeight="1">
      <c r="A840" s="1" t="s">
        <v>647</v>
      </c>
      <c r="B840" s="1" t="s">
        <v>8348</v>
      </c>
      <c r="C840" s="1" t="s">
        <v>74</v>
      </c>
      <c r="D840" s="1" t="s">
        <v>1654</v>
      </c>
      <c r="E840" s="1" t="s">
        <v>74</v>
      </c>
      <c r="F840" s="1" t="s">
        <v>8349</v>
      </c>
      <c r="G840" s="1" t="s">
        <v>74</v>
      </c>
      <c r="H840" s="1" t="s">
        <v>74</v>
      </c>
      <c r="I840" s="1" t="s">
        <v>8350</v>
      </c>
      <c r="J840" s="1" t="s">
        <v>1657</v>
      </c>
      <c r="K840" s="1" t="s">
        <v>1658</v>
      </c>
      <c r="L840" s="1" t="s">
        <v>74</v>
      </c>
      <c r="M840" s="1" t="s">
        <v>74</v>
      </c>
      <c r="N840" s="1" t="s">
        <v>74</v>
      </c>
      <c r="O840" s="1" t="s">
        <v>1659</v>
      </c>
      <c r="P840" s="1" t="s">
        <v>1660</v>
      </c>
      <c r="Q840" s="1" t="s">
        <v>1661</v>
      </c>
      <c r="R840" s="1" t="s">
        <v>1662</v>
      </c>
      <c r="S840" s="1" t="s">
        <v>74</v>
      </c>
      <c r="T840" s="1" t="s">
        <v>74</v>
      </c>
      <c r="U840" s="1" t="s">
        <v>74</v>
      </c>
      <c r="V840" s="1" t="s">
        <v>8351</v>
      </c>
      <c r="W840" s="1" t="s">
        <v>74</v>
      </c>
      <c r="X840" s="1" t="s">
        <v>74</v>
      </c>
      <c r="Y840" s="1" t="s">
        <v>74</v>
      </c>
      <c r="Z840" s="1" t="s">
        <v>74</v>
      </c>
      <c r="AA840" s="1" t="s">
        <v>8352</v>
      </c>
      <c r="AB840" s="1" t="s">
        <v>8353</v>
      </c>
      <c r="AC840" s="1" t="s">
        <v>74</v>
      </c>
      <c r="AD840" s="1" t="s">
        <v>74</v>
      </c>
      <c r="AE840" s="1" t="s">
        <v>74</v>
      </c>
      <c r="AF840" s="1" t="s">
        <v>74</v>
      </c>
      <c r="AG840" s="1" t="s">
        <v>74</v>
      </c>
      <c r="AH840" s="1" t="s">
        <v>74</v>
      </c>
      <c r="AI840" s="1" t="s">
        <v>74</v>
      </c>
      <c r="AJ840" s="1" t="s">
        <v>74</v>
      </c>
      <c r="AK840" s="1" t="s">
        <v>74</v>
      </c>
      <c r="AL840" s="1" t="s">
        <v>74</v>
      </c>
      <c r="AM840" s="1" t="s">
        <v>74</v>
      </c>
      <c r="AN840" s="1" t="s">
        <v>74</v>
      </c>
      <c r="AO840" s="1" t="s">
        <v>1666</v>
      </c>
      <c r="AP840" s="1" t="s">
        <v>1667</v>
      </c>
      <c r="AQ840" s="1" t="s">
        <v>1668</v>
      </c>
      <c r="AR840" s="1" t="s">
        <v>74</v>
      </c>
      <c r="AS840" s="1" t="s">
        <v>74</v>
      </c>
      <c r="AT840" s="1" t="s">
        <v>74</v>
      </c>
      <c r="AU840" s="1">
        <v>2012.0</v>
      </c>
      <c r="AV840" s="1">
        <v>7484.0</v>
      </c>
      <c r="AW840" s="1" t="s">
        <v>74</v>
      </c>
      <c r="AX840" s="1" t="s">
        <v>74</v>
      </c>
      <c r="AY840" s="1" t="s">
        <v>74</v>
      </c>
      <c r="AZ840" s="1" t="s">
        <v>74</v>
      </c>
      <c r="BA840" s="1" t="s">
        <v>74</v>
      </c>
      <c r="BB840" s="1">
        <v>298.0</v>
      </c>
      <c r="BC840" s="1">
        <v>310.0</v>
      </c>
      <c r="BD840" s="1" t="s">
        <v>74</v>
      </c>
      <c r="BE840" s="1" t="s">
        <v>74</v>
      </c>
      <c r="BF840" s="1" t="s">
        <v>74</v>
      </c>
      <c r="BG840" s="1" t="s">
        <v>74</v>
      </c>
      <c r="BH840" s="1" t="s">
        <v>74</v>
      </c>
      <c r="BI840" s="1" t="s">
        <v>74</v>
      </c>
      <c r="BJ840" s="1" t="s">
        <v>74</v>
      </c>
      <c r="BK840" s="1" t="s">
        <v>74</v>
      </c>
      <c r="BL840" s="1" t="s">
        <v>74</v>
      </c>
      <c r="BM840" s="1" t="s">
        <v>74</v>
      </c>
      <c r="BN840" s="1" t="s">
        <v>74</v>
      </c>
      <c r="BO840" s="1" t="s">
        <v>74</v>
      </c>
      <c r="BP840" s="1" t="s">
        <v>74</v>
      </c>
      <c r="BQ840" s="1" t="s">
        <v>74</v>
      </c>
      <c r="BR840" s="1" t="s">
        <v>74</v>
      </c>
      <c r="BS840" s="1" t="s">
        <v>8354</v>
      </c>
      <c r="BT840" s="1" t="str">
        <f>HYPERLINK("https%3A%2F%2Fwww.webofscience.com%2Fwos%2Fwoscc%2Ffull-record%2FWOS:000341235300030","View Full Record in Web of Science")</f>
        <v>View Full Record in Web of Science</v>
      </c>
    </row>
    <row r="841" ht="12.75" customHeight="1">
      <c r="A841" s="1" t="s">
        <v>72</v>
      </c>
      <c r="B841" s="1" t="s">
        <v>8355</v>
      </c>
      <c r="C841" s="1" t="s">
        <v>74</v>
      </c>
      <c r="D841" s="1" t="s">
        <v>74</v>
      </c>
      <c r="E841" s="1" t="s">
        <v>74</v>
      </c>
      <c r="F841" s="1" t="s">
        <v>8356</v>
      </c>
      <c r="G841" s="1" t="s">
        <v>74</v>
      </c>
      <c r="H841" s="1" t="s">
        <v>74</v>
      </c>
      <c r="I841" s="1" t="s">
        <v>8357</v>
      </c>
      <c r="J841" s="1" t="s">
        <v>6072</v>
      </c>
      <c r="K841" s="1" t="s">
        <v>74</v>
      </c>
      <c r="L841" s="1" t="s">
        <v>74</v>
      </c>
      <c r="M841" s="1" t="s">
        <v>74</v>
      </c>
      <c r="N841" s="1" t="s">
        <v>74</v>
      </c>
      <c r="O841" s="1" t="s">
        <v>74</v>
      </c>
      <c r="P841" s="1" t="s">
        <v>74</v>
      </c>
      <c r="Q841" s="1" t="s">
        <v>74</v>
      </c>
      <c r="R841" s="1" t="s">
        <v>74</v>
      </c>
      <c r="S841" s="1" t="s">
        <v>74</v>
      </c>
      <c r="T841" s="1" t="s">
        <v>74</v>
      </c>
      <c r="U841" s="1" t="s">
        <v>74</v>
      </c>
      <c r="V841" s="1" t="s">
        <v>8358</v>
      </c>
      <c r="W841" s="1" t="s">
        <v>74</v>
      </c>
      <c r="X841" s="1" t="s">
        <v>74</v>
      </c>
      <c r="Y841" s="1" t="s">
        <v>74</v>
      </c>
      <c r="Z841" s="1" t="s">
        <v>74</v>
      </c>
      <c r="AA841" s="1" t="s">
        <v>8359</v>
      </c>
      <c r="AB841" s="1" t="s">
        <v>8360</v>
      </c>
      <c r="AC841" s="1" t="s">
        <v>74</v>
      </c>
      <c r="AD841" s="1" t="s">
        <v>74</v>
      </c>
      <c r="AE841" s="1" t="s">
        <v>74</v>
      </c>
      <c r="AF841" s="1" t="s">
        <v>74</v>
      </c>
      <c r="AG841" s="1" t="s">
        <v>74</v>
      </c>
      <c r="AH841" s="1" t="s">
        <v>74</v>
      </c>
      <c r="AI841" s="1" t="s">
        <v>74</v>
      </c>
      <c r="AJ841" s="1" t="s">
        <v>74</v>
      </c>
      <c r="AK841" s="1" t="s">
        <v>74</v>
      </c>
      <c r="AL841" s="1" t="s">
        <v>74</v>
      </c>
      <c r="AM841" s="1" t="s">
        <v>74</v>
      </c>
      <c r="AN841" s="1" t="s">
        <v>74</v>
      </c>
      <c r="AO841" s="1" t="s">
        <v>6075</v>
      </c>
      <c r="AP841" s="1" t="s">
        <v>6076</v>
      </c>
      <c r="AQ841" s="1" t="s">
        <v>74</v>
      </c>
      <c r="AR841" s="1" t="s">
        <v>74</v>
      </c>
      <c r="AS841" s="1" t="s">
        <v>74</v>
      </c>
      <c r="AT841" s="1" t="s">
        <v>1304</v>
      </c>
      <c r="AU841" s="1">
        <v>2006.0</v>
      </c>
      <c r="AV841" s="1">
        <v>359.0</v>
      </c>
      <c r="AW841" s="1">
        <v>12.0</v>
      </c>
      <c r="AX841" s="1" t="s">
        <v>74</v>
      </c>
      <c r="AY841" s="1" t="s">
        <v>74</v>
      </c>
      <c r="AZ841" s="1" t="s">
        <v>74</v>
      </c>
      <c r="BA841" s="1" t="s">
        <v>74</v>
      </c>
      <c r="BB841" s="1">
        <v>3947.0</v>
      </c>
      <c r="BC841" s="1">
        <v>3953.0</v>
      </c>
      <c r="BD841" s="1" t="s">
        <v>74</v>
      </c>
      <c r="BE841" s="1" t="s">
        <v>8361</v>
      </c>
      <c r="BF841" s="2" t="str">
        <f>HYPERLINK("http://dx.doi.org/10.1016/j.ica.2006.04.027","http://dx.doi.org/10.1016/j.ica.2006.04.027")</f>
        <v>http://dx.doi.org/10.1016/j.ica.2006.04.027</v>
      </c>
      <c r="BG841" s="1" t="s">
        <v>74</v>
      </c>
      <c r="BH841" s="1" t="s">
        <v>74</v>
      </c>
      <c r="BI841" s="1" t="s">
        <v>74</v>
      </c>
      <c r="BJ841" s="1" t="s">
        <v>74</v>
      </c>
      <c r="BK841" s="1" t="s">
        <v>74</v>
      </c>
      <c r="BL841" s="1" t="s">
        <v>74</v>
      </c>
      <c r="BM841" s="1" t="s">
        <v>74</v>
      </c>
      <c r="BN841" s="1" t="s">
        <v>74</v>
      </c>
      <c r="BO841" s="1" t="s">
        <v>74</v>
      </c>
      <c r="BP841" s="1" t="s">
        <v>74</v>
      </c>
      <c r="BQ841" s="1" t="s">
        <v>74</v>
      </c>
      <c r="BR841" s="1" t="s">
        <v>74</v>
      </c>
      <c r="BS841" s="1" t="s">
        <v>8362</v>
      </c>
      <c r="BT841" s="1" t="str">
        <f>HYPERLINK("https%3A%2F%2Fwww.webofscience.com%2Fwos%2Fwoscc%2Ffull-record%2FWOS:000240489200020","View Full Record in Web of Science")</f>
        <v>View Full Record in Web of Science</v>
      </c>
    </row>
    <row r="842" ht="12.75" customHeight="1">
      <c r="A842" s="1" t="s">
        <v>260</v>
      </c>
      <c r="B842" s="1" t="s">
        <v>8363</v>
      </c>
      <c r="C842" s="1" t="s">
        <v>74</v>
      </c>
      <c r="D842" s="1" t="s">
        <v>8364</v>
      </c>
      <c r="E842" s="1" t="s">
        <v>74</v>
      </c>
      <c r="F842" s="1" t="s">
        <v>8363</v>
      </c>
      <c r="G842" s="1" t="s">
        <v>74</v>
      </c>
      <c r="H842" s="1" t="s">
        <v>74</v>
      </c>
      <c r="I842" s="1" t="s">
        <v>8365</v>
      </c>
      <c r="J842" s="1" t="s">
        <v>8366</v>
      </c>
      <c r="K842" s="1" t="s">
        <v>8367</v>
      </c>
      <c r="L842" s="1" t="s">
        <v>74</v>
      </c>
      <c r="M842" s="1" t="s">
        <v>74</v>
      </c>
      <c r="N842" s="1" t="s">
        <v>74</v>
      </c>
      <c r="O842" s="1" t="s">
        <v>8368</v>
      </c>
      <c r="P842" s="1" t="s">
        <v>8369</v>
      </c>
      <c r="Q842" s="1" t="s">
        <v>8370</v>
      </c>
      <c r="R842" s="1" t="s">
        <v>8371</v>
      </c>
      <c r="S842" s="1" t="s">
        <v>74</v>
      </c>
      <c r="T842" s="1" t="s">
        <v>74</v>
      </c>
      <c r="U842" s="1" t="s">
        <v>74</v>
      </c>
      <c r="V842" s="1" t="s">
        <v>8372</v>
      </c>
      <c r="W842" s="1" t="s">
        <v>74</v>
      </c>
      <c r="X842" s="1" t="s">
        <v>74</v>
      </c>
      <c r="Y842" s="1" t="s">
        <v>74</v>
      </c>
      <c r="Z842" s="1" t="s">
        <v>74</v>
      </c>
      <c r="AA842" s="1" t="s">
        <v>6437</v>
      </c>
      <c r="AB842" s="1" t="s">
        <v>740</v>
      </c>
      <c r="AC842" s="1" t="s">
        <v>74</v>
      </c>
      <c r="AD842" s="1" t="s">
        <v>74</v>
      </c>
      <c r="AE842" s="1" t="s">
        <v>74</v>
      </c>
      <c r="AF842" s="1" t="s">
        <v>74</v>
      </c>
      <c r="AG842" s="1" t="s">
        <v>74</v>
      </c>
      <c r="AH842" s="1" t="s">
        <v>74</v>
      </c>
      <c r="AI842" s="1" t="s">
        <v>74</v>
      </c>
      <c r="AJ842" s="1" t="s">
        <v>74</v>
      </c>
      <c r="AK842" s="1" t="s">
        <v>74</v>
      </c>
      <c r="AL842" s="1" t="s">
        <v>74</v>
      </c>
      <c r="AM842" s="1" t="s">
        <v>74</v>
      </c>
      <c r="AN842" s="1" t="s">
        <v>74</v>
      </c>
      <c r="AO842" s="1" t="s">
        <v>977</v>
      </c>
      <c r="AP842" s="1" t="s">
        <v>74</v>
      </c>
      <c r="AQ842" s="1" t="s">
        <v>74</v>
      </c>
      <c r="AR842" s="1" t="s">
        <v>74</v>
      </c>
      <c r="AS842" s="1" t="s">
        <v>74</v>
      </c>
      <c r="AT842" s="1" t="s">
        <v>74</v>
      </c>
      <c r="AU842" s="1">
        <v>2004.0</v>
      </c>
      <c r="AV842" s="1">
        <v>33.0</v>
      </c>
      <c r="AW842" s="1">
        <v>5.0</v>
      </c>
      <c r="AX842" s="1" t="s">
        <v>74</v>
      </c>
      <c r="AY842" s="1" t="s">
        <v>74</v>
      </c>
      <c r="AZ842" s="1" t="s">
        <v>74</v>
      </c>
      <c r="BA842" s="1" t="s">
        <v>74</v>
      </c>
      <c r="BB842" s="1">
        <v>737.0</v>
      </c>
      <c r="BC842" s="1">
        <v>741.0</v>
      </c>
      <c r="BD842" s="1" t="s">
        <v>74</v>
      </c>
      <c r="BE842" s="1" t="s">
        <v>8373</v>
      </c>
      <c r="BF842" s="2" t="str">
        <f>HYPERLINK("http://dx.doi.org/10.1016/S0273-1177(03)00641-0","http://dx.doi.org/10.1016/S0273-1177(03)00641-0")</f>
        <v>http://dx.doi.org/10.1016/S0273-1177(03)00641-0</v>
      </c>
      <c r="BG842" s="1" t="s">
        <v>74</v>
      </c>
      <c r="BH842" s="1" t="s">
        <v>74</v>
      </c>
      <c r="BI842" s="1" t="s">
        <v>74</v>
      </c>
      <c r="BJ842" s="1" t="s">
        <v>74</v>
      </c>
      <c r="BK842" s="1" t="s">
        <v>74</v>
      </c>
      <c r="BL842" s="1" t="s">
        <v>74</v>
      </c>
      <c r="BM842" s="1" t="s">
        <v>74</v>
      </c>
      <c r="BN842" s="1" t="s">
        <v>74</v>
      </c>
      <c r="BO842" s="1" t="s">
        <v>74</v>
      </c>
      <c r="BP842" s="1" t="s">
        <v>74</v>
      </c>
      <c r="BQ842" s="1" t="s">
        <v>74</v>
      </c>
      <c r="BR842" s="1" t="s">
        <v>74</v>
      </c>
      <c r="BS842" s="1" t="s">
        <v>8374</v>
      </c>
      <c r="BT842" s="1" t="str">
        <f>HYPERLINK("https%3A%2F%2Fwww.webofscience.com%2Fwos%2Fwoscc%2Ffull-record%2FWOS:000221642000011","View Full Record in Web of Science")</f>
        <v>View Full Record in Web of Science</v>
      </c>
    </row>
    <row r="843" ht="12.75" customHeight="1">
      <c r="A843" s="1" t="s">
        <v>72</v>
      </c>
      <c r="B843" s="1" t="s">
        <v>8375</v>
      </c>
      <c r="C843" s="1" t="s">
        <v>74</v>
      </c>
      <c r="D843" s="1" t="s">
        <v>74</v>
      </c>
      <c r="E843" s="1" t="s">
        <v>74</v>
      </c>
      <c r="F843" s="1" t="s">
        <v>8376</v>
      </c>
      <c r="G843" s="1" t="s">
        <v>74</v>
      </c>
      <c r="H843" s="1" t="s">
        <v>74</v>
      </c>
      <c r="I843" s="1" t="s">
        <v>8377</v>
      </c>
      <c r="J843" s="1" t="s">
        <v>8378</v>
      </c>
      <c r="K843" s="1" t="s">
        <v>74</v>
      </c>
      <c r="L843" s="1" t="s">
        <v>74</v>
      </c>
      <c r="M843" s="1" t="s">
        <v>74</v>
      </c>
      <c r="N843" s="1" t="s">
        <v>74</v>
      </c>
      <c r="O843" s="1" t="s">
        <v>74</v>
      </c>
      <c r="P843" s="1" t="s">
        <v>74</v>
      </c>
      <c r="Q843" s="1" t="s">
        <v>74</v>
      </c>
      <c r="R843" s="1" t="s">
        <v>74</v>
      </c>
      <c r="S843" s="1" t="s">
        <v>74</v>
      </c>
      <c r="T843" s="1" t="s">
        <v>74</v>
      </c>
      <c r="U843" s="1" t="s">
        <v>74</v>
      </c>
      <c r="V843" s="1" t="s">
        <v>8379</v>
      </c>
      <c r="W843" s="1" t="s">
        <v>74</v>
      </c>
      <c r="X843" s="1" t="s">
        <v>74</v>
      </c>
      <c r="Y843" s="1" t="s">
        <v>74</v>
      </c>
      <c r="Z843" s="1" t="s">
        <v>74</v>
      </c>
      <c r="AA843" s="1" t="s">
        <v>74</v>
      </c>
      <c r="AB843" s="1" t="s">
        <v>8380</v>
      </c>
      <c r="AC843" s="1" t="s">
        <v>74</v>
      </c>
      <c r="AD843" s="1" t="s">
        <v>74</v>
      </c>
      <c r="AE843" s="1" t="s">
        <v>74</v>
      </c>
      <c r="AF843" s="1" t="s">
        <v>74</v>
      </c>
      <c r="AG843" s="1" t="s">
        <v>74</v>
      </c>
      <c r="AH843" s="1" t="s">
        <v>74</v>
      </c>
      <c r="AI843" s="1" t="s">
        <v>74</v>
      </c>
      <c r="AJ843" s="1" t="s">
        <v>74</v>
      </c>
      <c r="AK843" s="1" t="s">
        <v>74</v>
      </c>
      <c r="AL843" s="1" t="s">
        <v>74</v>
      </c>
      <c r="AM843" s="1" t="s">
        <v>74</v>
      </c>
      <c r="AN843" s="1" t="s">
        <v>74</v>
      </c>
      <c r="AO843" s="1" t="s">
        <v>8381</v>
      </c>
      <c r="AP843" s="1" t="s">
        <v>8382</v>
      </c>
      <c r="AQ843" s="1" t="s">
        <v>74</v>
      </c>
      <c r="AR843" s="1" t="s">
        <v>74</v>
      </c>
      <c r="AS843" s="1" t="s">
        <v>74</v>
      </c>
      <c r="AT843" s="1" t="s">
        <v>438</v>
      </c>
      <c r="AU843" s="1">
        <v>2025.0</v>
      </c>
      <c r="AV843" s="1">
        <v>57.0</v>
      </c>
      <c r="AW843" s="1">
        <v>1.0</v>
      </c>
      <c r="AX843" s="1" t="s">
        <v>74</v>
      </c>
      <c r="AY843" s="1" t="s">
        <v>74</v>
      </c>
      <c r="AZ843" s="1" t="s">
        <v>74</v>
      </c>
      <c r="BA843" s="1" t="s">
        <v>74</v>
      </c>
      <c r="BB843" s="1">
        <v>231.0</v>
      </c>
      <c r="BC843" s="1">
        <v>254.0</v>
      </c>
      <c r="BD843" s="1" t="s">
        <v>74</v>
      </c>
      <c r="BE843" s="1" t="s">
        <v>8383</v>
      </c>
      <c r="BF843" s="2" t="str">
        <f>HYPERLINK("http://dx.doi.org/10.1007/s13158-024-00397-y","http://dx.doi.org/10.1007/s13158-024-00397-y")</f>
        <v>http://dx.doi.org/10.1007/s13158-024-00397-y</v>
      </c>
      <c r="BG843" s="1" t="s">
        <v>74</v>
      </c>
      <c r="BH843" s="1" t="s">
        <v>8384</v>
      </c>
      <c r="BI843" s="1" t="s">
        <v>74</v>
      </c>
      <c r="BJ843" s="1" t="s">
        <v>74</v>
      </c>
      <c r="BK843" s="1" t="s">
        <v>74</v>
      </c>
      <c r="BL843" s="1" t="s">
        <v>74</v>
      </c>
      <c r="BM843" s="1" t="s">
        <v>74</v>
      </c>
      <c r="BN843" s="1" t="s">
        <v>74</v>
      </c>
      <c r="BO843" s="1" t="s">
        <v>74</v>
      </c>
      <c r="BP843" s="1" t="s">
        <v>74</v>
      </c>
      <c r="BQ843" s="1" t="s">
        <v>74</v>
      </c>
      <c r="BR843" s="1" t="s">
        <v>74</v>
      </c>
      <c r="BS843" s="1" t="s">
        <v>8385</v>
      </c>
      <c r="BT843" s="1" t="str">
        <f>HYPERLINK("https%3A%2F%2Fwww.webofscience.com%2Fwos%2Fwoscc%2Ffull-record%2FWOS:001270796600001","View Full Record in Web of Science")</f>
        <v>View Full Record in Web of Science</v>
      </c>
    </row>
    <row r="844" ht="12.75" customHeight="1">
      <c r="A844" s="1" t="s">
        <v>72</v>
      </c>
      <c r="B844" s="1" t="s">
        <v>8386</v>
      </c>
      <c r="C844" s="1" t="s">
        <v>74</v>
      </c>
      <c r="D844" s="1" t="s">
        <v>74</v>
      </c>
      <c r="E844" s="1" t="s">
        <v>74</v>
      </c>
      <c r="F844" s="1" t="s">
        <v>8387</v>
      </c>
      <c r="G844" s="1" t="s">
        <v>74</v>
      </c>
      <c r="H844" s="1" t="s">
        <v>74</v>
      </c>
      <c r="I844" s="1" t="s">
        <v>8388</v>
      </c>
      <c r="J844" s="1" t="s">
        <v>3757</v>
      </c>
      <c r="K844" s="1" t="s">
        <v>74</v>
      </c>
      <c r="L844" s="1" t="s">
        <v>74</v>
      </c>
      <c r="M844" s="1" t="s">
        <v>74</v>
      </c>
      <c r="N844" s="1" t="s">
        <v>74</v>
      </c>
      <c r="O844" s="1" t="s">
        <v>74</v>
      </c>
      <c r="P844" s="1" t="s">
        <v>74</v>
      </c>
      <c r="Q844" s="1" t="s">
        <v>74</v>
      </c>
      <c r="R844" s="1" t="s">
        <v>74</v>
      </c>
      <c r="S844" s="1" t="s">
        <v>74</v>
      </c>
      <c r="T844" s="1" t="s">
        <v>74</v>
      </c>
      <c r="U844" s="1" t="s">
        <v>74</v>
      </c>
      <c r="V844" s="1" t="s">
        <v>8389</v>
      </c>
      <c r="W844" s="1" t="s">
        <v>74</v>
      </c>
      <c r="X844" s="1" t="s">
        <v>74</v>
      </c>
      <c r="Y844" s="1" t="s">
        <v>74</v>
      </c>
      <c r="Z844" s="1" t="s">
        <v>74</v>
      </c>
      <c r="AA844" s="1" t="s">
        <v>8390</v>
      </c>
      <c r="AB844" s="1" t="s">
        <v>8391</v>
      </c>
      <c r="AC844" s="1" t="s">
        <v>74</v>
      </c>
      <c r="AD844" s="1" t="s">
        <v>74</v>
      </c>
      <c r="AE844" s="1" t="s">
        <v>74</v>
      </c>
      <c r="AF844" s="1" t="s">
        <v>74</v>
      </c>
      <c r="AG844" s="1" t="s">
        <v>74</v>
      </c>
      <c r="AH844" s="1" t="s">
        <v>74</v>
      </c>
      <c r="AI844" s="1" t="s">
        <v>74</v>
      </c>
      <c r="AJ844" s="1" t="s">
        <v>74</v>
      </c>
      <c r="AK844" s="1" t="s">
        <v>74</v>
      </c>
      <c r="AL844" s="1" t="s">
        <v>74</v>
      </c>
      <c r="AM844" s="1" t="s">
        <v>74</v>
      </c>
      <c r="AN844" s="1" t="s">
        <v>74</v>
      </c>
      <c r="AO844" s="1" t="s">
        <v>74</v>
      </c>
      <c r="AP844" s="1" t="s">
        <v>3761</v>
      </c>
      <c r="AQ844" s="1" t="s">
        <v>74</v>
      </c>
      <c r="AR844" s="1" t="s">
        <v>74</v>
      </c>
      <c r="AS844" s="1" t="s">
        <v>74</v>
      </c>
      <c r="AT844" s="1" t="s">
        <v>316</v>
      </c>
      <c r="AU844" s="1">
        <v>2021.0</v>
      </c>
      <c r="AV844" s="1">
        <v>26.0</v>
      </c>
      <c r="AW844" s="1">
        <v>20.0</v>
      </c>
      <c r="AX844" s="1" t="s">
        <v>74</v>
      </c>
      <c r="AY844" s="1" t="s">
        <v>74</v>
      </c>
      <c r="AZ844" s="1" t="s">
        <v>74</v>
      </c>
      <c r="BA844" s="1" t="s">
        <v>74</v>
      </c>
      <c r="BB844" s="1" t="s">
        <v>74</v>
      </c>
      <c r="BC844" s="1" t="s">
        <v>74</v>
      </c>
      <c r="BD844" s="1">
        <v>6149.0</v>
      </c>
      <c r="BE844" s="1" t="s">
        <v>8392</v>
      </c>
      <c r="BF844" s="2" t="str">
        <f>HYPERLINK("http://dx.doi.org/10.3390/molecules26206149","http://dx.doi.org/10.3390/molecules26206149")</f>
        <v>http://dx.doi.org/10.3390/molecules26206149</v>
      </c>
      <c r="BG844" s="1" t="s">
        <v>74</v>
      </c>
      <c r="BH844" s="1" t="s">
        <v>74</v>
      </c>
      <c r="BI844" s="1" t="s">
        <v>74</v>
      </c>
      <c r="BJ844" s="1" t="s">
        <v>74</v>
      </c>
      <c r="BK844" s="1" t="s">
        <v>74</v>
      </c>
      <c r="BL844" s="1" t="s">
        <v>74</v>
      </c>
      <c r="BM844" s="1" t="s">
        <v>74</v>
      </c>
      <c r="BN844" s="1">
        <v>3.4684731E7</v>
      </c>
      <c r="BO844" s="1" t="s">
        <v>74</v>
      </c>
      <c r="BP844" s="1" t="s">
        <v>74</v>
      </c>
      <c r="BQ844" s="1" t="s">
        <v>74</v>
      </c>
      <c r="BR844" s="1" t="s">
        <v>74</v>
      </c>
      <c r="BS844" s="1" t="s">
        <v>8393</v>
      </c>
      <c r="BT844" s="1" t="str">
        <f>HYPERLINK("https%3A%2F%2Fwww.webofscience.com%2Fwos%2Fwoscc%2Ffull-record%2FWOS:000713978400001","View Full Record in Web of Science")</f>
        <v>View Full Record in Web of Science</v>
      </c>
    </row>
    <row r="845" ht="12.75" customHeight="1">
      <c r="A845" s="1" t="s">
        <v>72</v>
      </c>
      <c r="B845" s="1" t="s">
        <v>8394</v>
      </c>
      <c r="C845" s="1" t="s">
        <v>74</v>
      </c>
      <c r="D845" s="1" t="s">
        <v>74</v>
      </c>
      <c r="E845" s="1" t="s">
        <v>74</v>
      </c>
      <c r="F845" s="1" t="s">
        <v>8395</v>
      </c>
      <c r="G845" s="1" t="s">
        <v>74</v>
      </c>
      <c r="H845" s="1" t="s">
        <v>74</v>
      </c>
      <c r="I845" s="1" t="s">
        <v>8396</v>
      </c>
      <c r="J845" s="1" t="s">
        <v>8397</v>
      </c>
      <c r="K845" s="1" t="s">
        <v>74</v>
      </c>
      <c r="L845" s="1" t="s">
        <v>74</v>
      </c>
      <c r="M845" s="1" t="s">
        <v>74</v>
      </c>
      <c r="N845" s="1" t="s">
        <v>74</v>
      </c>
      <c r="O845" s="1" t="s">
        <v>74</v>
      </c>
      <c r="P845" s="1" t="s">
        <v>74</v>
      </c>
      <c r="Q845" s="1" t="s">
        <v>74</v>
      </c>
      <c r="R845" s="1" t="s">
        <v>74</v>
      </c>
      <c r="S845" s="1" t="s">
        <v>74</v>
      </c>
      <c r="T845" s="1" t="s">
        <v>74</v>
      </c>
      <c r="U845" s="1" t="s">
        <v>74</v>
      </c>
      <c r="V845" s="1" t="s">
        <v>74</v>
      </c>
      <c r="W845" s="1" t="s">
        <v>74</v>
      </c>
      <c r="X845" s="1" t="s">
        <v>74</v>
      </c>
      <c r="Y845" s="1" t="s">
        <v>74</v>
      </c>
      <c r="Z845" s="1" t="s">
        <v>74</v>
      </c>
      <c r="AA845" s="1" t="s">
        <v>8398</v>
      </c>
      <c r="AB845" s="1" t="s">
        <v>7825</v>
      </c>
      <c r="AC845" s="1" t="s">
        <v>74</v>
      </c>
      <c r="AD845" s="1" t="s">
        <v>74</v>
      </c>
      <c r="AE845" s="1" t="s">
        <v>74</v>
      </c>
      <c r="AF845" s="1" t="s">
        <v>74</v>
      </c>
      <c r="AG845" s="1" t="s">
        <v>74</v>
      </c>
      <c r="AH845" s="1" t="s">
        <v>74</v>
      </c>
      <c r="AI845" s="1" t="s">
        <v>74</v>
      </c>
      <c r="AJ845" s="1" t="s">
        <v>74</v>
      </c>
      <c r="AK845" s="1" t="s">
        <v>74</v>
      </c>
      <c r="AL845" s="1" t="s">
        <v>74</v>
      </c>
      <c r="AM845" s="1" t="s">
        <v>74</v>
      </c>
      <c r="AN845" s="1" t="s">
        <v>74</v>
      </c>
      <c r="AO845" s="1" t="s">
        <v>8399</v>
      </c>
      <c r="AP845" s="1" t="s">
        <v>8400</v>
      </c>
      <c r="AQ845" s="1" t="s">
        <v>74</v>
      </c>
      <c r="AR845" s="1" t="s">
        <v>74</v>
      </c>
      <c r="AS845" s="1" t="s">
        <v>74</v>
      </c>
      <c r="AT845" s="1" t="s">
        <v>719</v>
      </c>
      <c r="AU845" s="1">
        <v>2021.0</v>
      </c>
      <c r="AV845" s="1">
        <v>162.0</v>
      </c>
      <c r="AW845" s="1">
        <v>3.0</v>
      </c>
      <c r="AX845" s="1" t="s">
        <v>74</v>
      </c>
      <c r="AY845" s="1" t="s">
        <v>74</v>
      </c>
      <c r="AZ845" s="1" t="s">
        <v>74</v>
      </c>
      <c r="BA845" s="1" t="s">
        <v>74</v>
      </c>
      <c r="BB845" s="1">
        <v>687.0</v>
      </c>
      <c r="BC845" s="1">
        <v>687.0</v>
      </c>
      <c r="BD845" s="1" t="s">
        <v>74</v>
      </c>
      <c r="BE845" s="1" t="s">
        <v>8401</v>
      </c>
      <c r="BF845" s="2" t="str">
        <f>HYPERLINK("http://dx.doi.org/10.1007/s10336-021-01888-8","http://dx.doi.org/10.1007/s10336-021-01888-8")</f>
        <v>http://dx.doi.org/10.1007/s10336-021-01888-8</v>
      </c>
      <c r="BG845" s="1" t="s">
        <v>74</v>
      </c>
      <c r="BH845" s="1" t="s">
        <v>427</v>
      </c>
      <c r="BI845" s="1" t="s">
        <v>74</v>
      </c>
      <c r="BJ845" s="1" t="s">
        <v>74</v>
      </c>
      <c r="BK845" s="1" t="s">
        <v>74</v>
      </c>
      <c r="BL845" s="1" t="s">
        <v>74</v>
      </c>
      <c r="BM845" s="1" t="s">
        <v>74</v>
      </c>
      <c r="BN845" s="1" t="s">
        <v>74</v>
      </c>
      <c r="BO845" s="1" t="s">
        <v>74</v>
      </c>
      <c r="BP845" s="1" t="s">
        <v>74</v>
      </c>
      <c r="BQ845" s="1" t="s">
        <v>74</v>
      </c>
      <c r="BR845" s="1" t="s">
        <v>74</v>
      </c>
      <c r="BS845" s="1" t="s">
        <v>8402</v>
      </c>
      <c r="BT845" s="1" t="str">
        <f>HYPERLINK("https%3A%2F%2Fwww.webofscience.com%2Fwos%2Fwoscc%2Ffull-record%2FWOS:000640838300002","View Full Record in Web of Science")</f>
        <v>View Full Record in Web of Science</v>
      </c>
    </row>
    <row r="846" ht="12.75" customHeight="1">
      <c r="A846" s="1" t="s">
        <v>72</v>
      </c>
      <c r="B846" s="1" t="s">
        <v>8403</v>
      </c>
      <c r="C846" s="1" t="s">
        <v>74</v>
      </c>
      <c r="D846" s="1" t="s">
        <v>74</v>
      </c>
      <c r="E846" s="1" t="s">
        <v>74</v>
      </c>
      <c r="F846" s="1" t="s">
        <v>8404</v>
      </c>
      <c r="G846" s="1" t="s">
        <v>74</v>
      </c>
      <c r="H846" s="1" t="s">
        <v>74</v>
      </c>
      <c r="I846" s="1" t="s">
        <v>8405</v>
      </c>
      <c r="J846" s="1" t="s">
        <v>1734</v>
      </c>
      <c r="K846" s="1" t="s">
        <v>74</v>
      </c>
      <c r="L846" s="1" t="s">
        <v>74</v>
      </c>
      <c r="M846" s="1" t="s">
        <v>74</v>
      </c>
      <c r="N846" s="1" t="s">
        <v>74</v>
      </c>
      <c r="O846" s="1" t="s">
        <v>74</v>
      </c>
      <c r="P846" s="1" t="s">
        <v>74</v>
      </c>
      <c r="Q846" s="1" t="s">
        <v>74</v>
      </c>
      <c r="R846" s="1" t="s">
        <v>74</v>
      </c>
      <c r="S846" s="1" t="s">
        <v>74</v>
      </c>
      <c r="T846" s="1" t="s">
        <v>74</v>
      </c>
      <c r="U846" s="1" t="s">
        <v>74</v>
      </c>
      <c r="V846" s="1" t="s">
        <v>8406</v>
      </c>
      <c r="W846" s="1" t="s">
        <v>74</v>
      </c>
      <c r="X846" s="1" t="s">
        <v>74</v>
      </c>
      <c r="Y846" s="1" t="s">
        <v>74</v>
      </c>
      <c r="Z846" s="1" t="s">
        <v>74</v>
      </c>
      <c r="AA846" s="1" t="s">
        <v>74</v>
      </c>
      <c r="AB846" s="1" t="s">
        <v>8407</v>
      </c>
      <c r="AC846" s="1" t="s">
        <v>74</v>
      </c>
      <c r="AD846" s="1" t="s">
        <v>74</v>
      </c>
      <c r="AE846" s="1" t="s">
        <v>74</v>
      </c>
      <c r="AF846" s="1" t="s">
        <v>74</v>
      </c>
      <c r="AG846" s="1" t="s">
        <v>74</v>
      </c>
      <c r="AH846" s="1" t="s">
        <v>74</v>
      </c>
      <c r="AI846" s="1" t="s">
        <v>74</v>
      </c>
      <c r="AJ846" s="1" t="s">
        <v>74</v>
      </c>
      <c r="AK846" s="1" t="s">
        <v>74</v>
      </c>
      <c r="AL846" s="1" t="s">
        <v>74</v>
      </c>
      <c r="AM846" s="1" t="s">
        <v>74</v>
      </c>
      <c r="AN846" s="1" t="s">
        <v>74</v>
      </c>
      <c r="AO846" s="1" t="s">
        <v>1737</v>
      </c>
      <c r="AP846" s="1" t="s">
        <v>1738</v>
      </c>
      <c r="AQ846" s="1" t="s">
        <v>74</v>
      </c>
      <c r="AR846" s="1" t="s">
        <v>74</v>
      </c>
      <c r="AS846" s="1" t="s">
        <v>74</v>
      </c>
      <c r="AT846" s="1" t="s">
        <v>155</v>
      </c>
      <c r="AU846" s="1">
        <v>2020.0</v>
      </c>
      <c r="AV846" s="1">
        <v>148.0</v>
      </c>
      <c r="AW846" s="1">
        <v>6.0</v>
      </c>
      <c r="AX846" s="1" t="s">
        <v>74</v>
      </c>
      <c r="AY846" s="1" t="s">
        <v>74</v>
      </c>
      <c r="AZ846" s="1" t="s">
        <v>74</v>
      </c>
      <c r="BA846" s="1" t="s">
        <v>74</v>
      </c>
      <c r="BB846" s="1">
        <v>858.0</v>
      </c>
      <c r="BC846" s="1">
        <v>867.0</v>
      </c>
      <c r="BD846" s="1" t="s">
        <v>74</v>
      </c>
      <c r="BE846" s="1" t="s">
        <v>74</v>
      </c>
      <c r="BF846" s="1" t="s">
        <v>74</v>
      </c>
      <c r="BG846" s="1" t="s">
        <v>74</v>
      </c>
      <c r="BH846" s="1" t="s">
        <v>74</v>
      </c>
      <c r="BI846" s="1" t="s">
        <v>74</v>
      </c>
      <c r="BJ846" s="1" t="s">
        <v>74</v>
      </c>
      <c r="BK846" s="1" t="s">
        <v>74</v>
      </c>
      <c r="BL846" s="1" t="s">
        <v>74</v>
      </c>
      <c r="BM846" s="1" t="s">
        <v>74</v>
      </c>
      <c r="BN846" s="1">
        <v>3.3480387E7</v>
      </c>
      <c r="BO846" s="1" t="s">
        <v>74</v>
      </c>
      <c r="BP846" s="1" t="s">
        <v>74</v>
      </c>
      <c r="BQ846" s="1" t="s">
        <v>74</v>
      </c>
      <c r="BR846" s="1" t="s">
        <v>74</v>
      </c>
      <c r="BS846" s="1" t="s">
        <v>8408</v>
      </c>
      <c r="BT846" s="1" t="str">
        <f>HYPERLINK("https%3A%2F%2Fwww.webofscience.com%2Fwos%2Fwoscc%2Ffull-record%2FWOS:000576482400021","View Full Record in Web of Science")</f>
        <v>View Full Record in Web of Science</v>
      </c>
    </row>
    <row r="847" ht="12.75" customHeight="1">
      <c r="A847" s="1" t="s">
        <v>72</v>
      </c>
      <c r="B847" s="1" t="s">
        <v>8409</v>
      </c>
      <c r="C847" s="1" t="s">
        <v>74</v>
      </c>
      <c r="D847" s="1" t="s">
        <v>74</v>
      </c>
      <c r="E847" s="1" t="s">
        <v>74</v>
      </c>
      <c r="F847" s="1" t="s">
        <v>8410</v>
      </c>
      <c r="G847" s="1" t="s">
        <v>74</v>
      </c>
      <c r="H847" s="1" t="s">
        <v>74</v>
      </c>
      <c r="I847" s="1" t="s">
        <v>8411</v>
      </c>
      <c r="J847" s="1" t="s">
        <v>8412</v>
      </c>
      <c r="K847" s="1" t="s">
        <v>74</v>
      </c>
      <c r="L847" s="1" t="s">
        <v>74</v>
      </c>
      <c r="M847" s="1" t="s">
        <v>74</v>
      </c>
      <c r="N847" s="1" t="s">
        <v>74</v>
      </c>
      <c r="O847" s="1" t="s">
        <v>74</v>
      </c>
      <c r="P847" s="1" t="s">
        <v>74</v>
      </c>
      <c r="Q847" s="1" t="s">
        <v>74</v>
      </c>
      <c r="R847" s="1" t="s">
        <v>74</v>
      </c>
      <c r="S847" s="1" t="s">
        <v>74</v>
      </c>
      <c r="T847" s="1" t="s">
        <v>74</v>
      </c>
      <c r="U847" s="1" t="s">
        <v>74</v>
      </c>
      <c r="V847" s="1" t="s">
        <v>8413</v>
      </c>
      <c r="W847" s="1" t="s">
        <v>74</v>
      </c>
      <c r="X847" s="1" t="s">
        <v>74</v>
      </c>
      <c r="Y847" s="1" t="s">
        <v>74</v>
      </c>
      <c r="Z847" s="1" t="s">
        <v>74</v>
      </c>
      <c r="AA847" s="1" t="s">
        <v>8414</v>
      </c>
      <c r="AB847" s="1" t="s">
        <v>8415</v>
      </c>
      <c r="AC847" s="1" t="s">
        <v>74</v>
      </c>
      <c r="AD847" s="1" t="s">
        <v>74</v>
      </c>
      <c r="AE847" s="1" t="s">
        <v>74</v>
      </c>
      <c r="AF847" s="1" t="s">
        <v>74</v>
      </c>
      <c r="AG847" s="1" t="s">
        <v>74</v>
      </c>
      <c r="AH847" s="1" t="s">
        <v>74</v>
      </c>
      <c r="AI847" s="1" t="s">
        <v>74</v>
      </c>
      <c r="AJ847" s="1" t="s">
        <v>74</v>
      </c>
      <c r="AK847" s="1" t="s">
        <v>74</v>
      </c>
      <c r="AL847" s="1" t="s">
        <v>74</v>
      </c>
      <c r="AM847" s="1" t="s">
        <v>74</v>
      </c>
      <c r="AN847" s="1" t="s">
        <v>74</v>
      </c>
      <c r="AO847" s="1" t="s">
        <v>8416</v>
      </c>
      <c r="AP847" s="1" t="s">
        <v>8417</v>
      </c>
      <c r="AQ847" s="1" t="s">
        <v>74</v>
      </c>
      <c r="AR847" s="1" t="s">
        <v>74</v>
      </c>
      <c r="AS847" s="1" t="s">
        <v>74</v>
      </c>
      <c r="AT847" s="1" t="s">
        <v>438</v>
      </c>
      <c r="AU847" s="1">
        <v>2020.0</v>
      </c>
      <c r="AV847" s="1">
        <v>73.0</v>
      </c>
      <c r="AW847" s="1">
        <v>4.0</v>
      </c>
      <c r="AX847" s="1" t="s">
        <v>74</v>
      </c>
      <c r="AY847" s="1" t="s">
        <v>74</v>
      </c>
      <c r="AZ847" s="1" t="s">
        <v>74</v>
      </c>
      <c r="BA847" s="1" t="s">
        <v>74</v>
      </c>
      <c r="BB847" s="1">
        <v>495.0</v>
      </c>
      <c r="BC847" s="1">
        <v>503.0</v>
      </c>
      <c r="BD847" s="1" t="s">
        <v>74</v>
      </c>
      <c r="BE847" s="1" t="s">
        <v>8418</v>
      </c>
      <c r="BF847" s="2" t="str">
        <f>HYPERLINK("http://dx.doi.org/10.1177/1747021819899808","http://dx.doi.org/10.1177/1747021819899808")</f>
        <v>http://dx.doi.org/10.1177/1747021819899808</v>
      </c>
      <c r="BG847" s="1" t="s">
        <v>74</v>
      </c>
      <c r="BH847" s="1" t="s">
        <v>74</v>
      </c>
      <c r="BI847" s="1" t="s">
        <v>74</v>
      </c>
      <c r="BJ847" s="1" t="s">
        <v>74</v>
      </c>
      <c r="BK847" s="1" t="s">
        <v>74</v>
      </c>
      <c r="BL847" s="1" t="s">
        <v>74</v>
      </c>
      <c r="BM847" s="1" t="s">
        <v>74</v>
      </c>
      <c r="BN847" s="1">
        <v>3.1931662E7</v>
      </c>
      <c r="BO847" s="1" t="s">
        <v>74</v>
      </c>
      <c r="BP847" s="1" t="s">
        <v>74</v>
      </c>
      <c r="BQ847" s="1" t="s">
        <v>74</v>
      </c>
      <c r="BR847" s="1" t="s">
        <v>74</v>
      </c>
      <c r="BS847" s="1" t="s">
        <v>8419</v>
      </c>
      <c r="BT847" s="1" t="str">
        <f>HYPERLINK("https%3A%2F%2Fwww.webofscience.com%2Fwos%2Fwoscc%2Ffull-record%2FWOS:000524508100002","View Full Record in Web of Science")</f>
        <v>View Full Record in Web of Science</v>
      </c>
    </row>
    <row r="848" ht="12.75" customHeight="1">
      <c r="A848" s="1" t="s">
        <v>647</v>
      </c>
      <c r="B848" s="1" t="s">
        <v>8420</v>
      </c>
      <c r="C848" s="1" t="s">
        <v>74</v>
      </c>
      <c r="D848" s="1" t="s">
        <v>74</v>
      </c>
      <c r="E848" s="1" t="s">
        <v>649</v>
      </c>
      <c r="F848" s="1" t="s">
        <v>8421</v>
      </c>
      <c r="G848" s="1" t="s">
        <v>74</v>
      </c>
      <c r="H848" s="1" t="s">
        <v>74</v>
      </c>
      <c r="I848" s="1" t="s">
        <v>8422</v>
      </c>
      <c r="J848" s="1" t="s">
        <v>8423</v>
      </c>
      <c r="K848" s="1" t="s">
        <v>8424</v>
      </c>
      <c r="L848" s="1" t="s">
        <v>74</v>
      </c>
      <c r="M848" s="1" t="s">
        <v>74</v>
      </c>
      <c r="N848" s="1" t="s">
        <v>74</v>
      </c>
      <c r="O848" s="1" t="s">
        <v>8425</v>
      </c>
      <c r="P848" s="1" t="s">
        <v>8426</v>
      </c>
      <c r="Q848" s="1" t="s">
        <v>8427</v>
      </c>
      <c r="R848" s="1" t="s">
        <v>74</v>
      </c>
      <c r="S848" s="1" t="s">
        <v>74</v>
      </c>
      <c r="T848" s="1" t="s">
        <v>74</v>
      </c>
      <c r="U848" s="1" t="s">
        <v>74</v>
      </c>
      <c r="V848" s="1" t="s">
        <v>8428</v>
      </c>
      <c r="W848" s="1" t="s">
        <v>74</v>
      </c>
      <c r="X848" s="1" t="s">
        <v>74</v>
      </c>
      <c r="Y848" s="1" t="s">
        <v>74</v>
      </c>
      <c r="Z848" s="1" t="s">
        <v>74</v>
      </c>
      <c r="AA848" s="1" t="s">
        <v>8429</v>
      </c>
      <c r="AB848" s="1" t="s">
        <v>74</v>
      </c>
      <c r="AC848" s="1" t="s">
        <v>74</v>
      </c>
      <c r="AD848" s="1" t="s">
        <v>74</v>
      </c>
      <c r="AE848" s="1" t="s">
        <v>74</v>
      </c>
      <c r="AF848" s="1" t="s">
        <v>74</v>
      </c>
      <c r="AG848" s="1" t="s">
        <v>74</v>
      </c>
      <c r="AH848" s="1" t="s">
        <v>74</v>
      </c>
      <c r="AI848" s="1" t="s">
        <v>74</v>
      </c>
      <c r="AJ848" s="1" t="s">
        <v>74</v>
      </c>
      <c r="AK848" s="1" t="s">
        <v>74</v>
      </c>
      <c r="AL848" s="1" t="s">
        <v>74</v>
      </c>
      <c r="AM848" s="1" t="s">
        <v>74</v>
      </c>
      <c r="AN848" s="1" t="s">
        <v>74</v>
      </c>
      <c r="AO848" s="1" t="s">
        <v>8430</v>
      </c>
      <c r="AP848" s="1" t="s">
        <v>74</v>
      </c>
      <c r="AQ848" s="1" t="s">
        <v>8431</v>
      </c>
      <c r="AR848" s="1" t="s">
        <v>74</v>
      </c>
      <c r="AS848" s="1" t="s">
        <v>74</v>
      </c>
      <c r="AT848" s="1" t="s">
        <v>74</v>
      </c>
      <c r="AU848" s="1">
        <v>2020.0</v>
      </c>
      <c r="AV848" s="1" t="s">
        <v>74</v>
      </c>
      <c r="AW848" s="1" t="s">
        <v>74</v>
      </c>
      <c r="AX848" s="1" t="s">
        <v>74</v>
      </c>
      <c r="AY848" s="1" t="s">
        <v>74</v>
      </c>
      <c r="AZ848" s="1" t="s">
        <v>74</v>
      </c>
      <c r="BA848" s="1" t="s">
        <v>74</v>
      </c>
      <c r="BB848" s="1" t="s">
        <v>74</v>
      </c>
      <c r="BC848" s="1" t="s">
        <v>74</v>
      </c>
      <c r="BD848" s="1" t="s">
        <v>74</v>
      </c>
      <c r="BE848" s="1" t="s">
        <v>8432</v>
      </c>
      <c r="BF848" s="2" t="str">
        <f>HYPERLINK("http://dx.doi.org/10.1109/pedstc49159.2020.9088499","http://dx.doi.org/10.1109/pedstc49159.2020.9088499")</f>
        <v>http://dx.doi.org/10.1109/pedstc49159.2020.9088499</v>
      </c>
      <c r="BG848" s="1" t="s">
        <v>74</v>
      </c>
      <c r="BH848" s="1" t="s">
        <v>74</v>
      </c>
      <c r="BI848" s="1" t="s">
        <v>74</v>
      </c>
      <c r="BJ848" s="1" t="s">
        <v>74</v>
      </c>
      <c r="BK848" s="1" t="s">
        <v>74</v>
      </c>
      <c r="BL848" s="1" t="s">
        <v>74</v>
      </c>
      <c r="BM848" s="1" t="s">
        <v>74</v>
      </c>
      <c r="BN848" s="1" t="s">
        <v>74</v>
      </c>
      <c r="BO848" s="1" t="s">
        <v>74</v>
      </c>
      <c r="BP848" s="1" t="s">
        <v>74</v>
      </c>
      <c r="BQ848" s="1" t="s">
        <v>74</v>
      </c>
      <c r="BR848" s="1" t="s">
        <v>74</v>
      </c>
      <c r="BS848" s="1" t="s">
        <v>8433</v>
      </c>
      <c r="BT848" s="1" t="str">
        <f>HYPERLINK("https%3A%2F%2Fwww.webofscience.com%2Fwos%2Fwoscc%2Ffull-record%2FWOS:000578044000151","View Full Record in Web of Science")</f>
        <v>View Full Record in Web of Science</v>
      </c>
    </row>
    <row r="849" ht="12.75" customHeight="1">
      <c r="A849" s="1" t="s">
        <v>72</v>
      </c>
      <c r="B849" s="1" t="s">
        <v>8434</v>
      </c>
      <c r="C849" s="1" t="s">
        <v>74</v>
      </c>
      <c r="D849" s="1" t="s">
        <v>74</v>
      </c>
      <c r="E849" s="1" t="s">
        <v>74</v>
      </c>
      <c r="F849" s="1" t="s">
        <v>8435</v>
      </c>
      <c r="G849" s="1" t="s">
        <v>74</v>
      </c>
      <c r="H849" s="1" t="s">
        <v>74</v>
      </c>
      <c r="I849" s="1" t="s">
        <v>8436</v>
      </c>
      <c r="J849" s="1" t="s">
        <v>8084</v>
      </c>
      <c r="K849" s="1" t="s">
        <v>74</v>
      </c>
      <c r="L849" s="1" t="s">
        <v>74</v>
      </c>
      <c r="M849" s="1" t="s">
        <v>74</v>
      </c>
      <c r="N849" s="1" t="s">
        <v>74</v>
      </c>
      <c r="O849" s="1" t="s">
        <v>74</v>
      </c>
      <c r="P849" s="1" t="s">
        <v>74</v>
      </c>
      <c r="Q849" s="1" t="s">
        <v>74</v>
      </c>
      <c r="R849" s="1" t="s">
        <v>74</v>
      </c>
      <c r="S849" s="1" t="s">
        <v>74</v>
      </c>
      <c r="T849" s="1" t="s">
        <v>74</v>
      </c>
      <c r="U849" s="1" t="s">
        <v>74</v>
      </c>
      <c r="V849" s="1" t="s">
        <v>8437</v>
      </c>
      <c r="W849" s="1" t="s">
        <v>74</v>
      </c>
      <c r="X849" s="1" t="s">
        <v>74</v>
      </c>
      <c r="Y849" s="1" t="s">
        <v>74</v>
      </c>
      <c r="Z849" s="1" t="s">
        <v>74</v>
      </c>
      <c r="AA849" s="1" t="s">
        <v>8438</v>
      </c>
      <c r="AB849" s="1" t="s">
        <v>8439</v>
      </c>
      <c r="AC849" s="1" t="s">
        <v>74</v>
      </c>
      <c r="AD849" s="1" t="s">
        <v>74</v>
      </c>
      <c r="AE849" s="1" t="s">
        <v>74</v>
      </c>
      <c r="AF849" s="1" t="s">
        <v>74</v>
      </c>
      <c r="AG849" s="1" t="s">
        <v>74</v>
      </c>
      <c r="AH849" s="1" t="s">
        <v>74</v>
      </c>
      <c r="AI849" s="1" t="s">
        <v>74</v>
      </c>
      <c r="AJ849" s="1" t="s">
        <v>74</v>
      </c>
      <c r="AK849" s="1" t="s">
        <v>74</v>
      </c>
      <c r="AL849" s="1" t="s">
        <v>74</v>
      </c>
      <c r="AM849" s="1" t="s">
        <v>74</v>
      </c>
      <c r="AN849" s="1" t="s">
        <v>74</v>
      </c>
      <c r="AO849" s="1" t="s">
        <v>8088</v>
      </c>
      <c r="AP849" s="1" t="s">
        <v>8089</v>
      </c>
      <c r="AQ849" s="1" t="s">
        <v>74</v>
      </c>
      <c r="AR849" s="1" t="s">
        <v>74</v>
      </c>
      <c r="AS849" s="1" t="s">
        <v>74</v>
      </c>
      <c r="AT849" s="1" t="s">
        <v>250</v>
      </c>
      <c r="AU849" s="1">
        <v>2018.0</v>
      </c>
      <c r="AV849" s="1">
        <v>18.0</v>
      </c>
      <c r="AW849" s="1">
        <v>9.0</v>
      </c>
      <c r="AX849" s="1" t="s">
        <v>74</v>
      </c>
      <c r="AY849" s="1" t="s">
        <v>74</v>
      </c>
      <c r="AZ849" s="1" t="s">
        <v>74</v>
      </c>
      <c r="BA849" s="1" t="s">
        <v>74</v>
      </c>
      <c r="BB849" s="1">
        <v>5155.0</v>
      </c>
      <c r="BC849" s="1">
        <v>5165.0</v>
      </c>
      <c r="BD849" s="1" t="s">
        <v>74</v>
      </c>
      <c r="BE849" s="1" t="s">
        <v>8440</v>
      </c>
      <c r="BF849" s="2" t="str">
        <f>HYPERLINK("http://dx.doi.org/10.1021/acs.cgd.8b00590","http://dx.doi.org/10.1021/acs.cgd.8b00590")</f>
        <v>http://dx.doi.org/10.1021/acs.cgd.8b00590</v>
      </c>
      <c r="BG849" s="1" t="s">
        <v>74</v>
      </c>
      <c r="BH849" s="1" t="s">
        <v>74</v>
      </c>
      <c r="BI849" s="1" t="s">
        <v>74</v>
      </c>
      <c r="BJ849" s="1" t="s">
        <v>74</v>
      </c>
      <c r="BK849" s="1" t="s">
        <v>74</v>
      </c>
      <c r="BL849" s="1" t="s">
        <v>74</v>
      </c>
      <c r="BM849" s="1" t="s">
        <v>74</v>
      </c>
      <c r="BN849" s="1" t="s">
        <v>74</v>
      </c>
      <c r="BO849" s="1" t="s">
        <v>74</v>
      </c>
      <c r="BP849" s="1" t="s">
        <v>74</v>
      </c>
      <c r="BQ849" s="1" t="s">
        <v>74</v>
      </c>
      <c r="BR849" s="1" t="s">
        <v>74</v>
      </c>
      <c r="BS849" s="1" t="s">
        <v>8441</v>
      </c>
      <c r="BT849" s="1" t="str">
        <f>HYPERLINK("https%3A%2F%2Fwww.webofscience.com%2Fwos%2Fwoscc%2Ffull-record%2FWOS:000444218400045","View Full Record in Web of Science")</f>
        <v>View Full Record in Web of Science</v>
      </c>
    </row>
    <row r="850" ht="12.75" customHeight="1">
      <c r="A850" s="1" t="s">
        <v>647</v>
      </c>
      <c r="B850" s="1" t="s">
        <v>8442</v>
      </c>
      <c r="C850" s="1" t="s">
        <v>74</v>
      </c>
      <c r="D850" s="1" t="s">
        <v>8443</v>
      </c>
      <c r="E850" s="1" t="s">
        <v>74</v>
      </c>
      <c r="F850" s="1" t="s">
        <v>8444</v>
      </c>
      <c r="G850" s="1" t="s">
        <v>74</v>
      </c>
      <c r="H850" s="1" t="s">
        <v>74</v>
      </c>
      <c r="I850" s="1" t="s">
        <v>8445</v>
      </c>
      <c r="J850" s="1" t="s">
        <v>8446</v>
      </c>
      <c r="K850" s="1" t="s">
        <v>8447</v>
      </c>
      <c r="L850" s="1" t="s">
        <v>74</v>
      </c>
      <c r="M850" s="1" t="s">
        <v>74</v>
      </c>
      <c r="N850" s="1" t="s">
        <v>74</v>
      </c>
      <c r="O850" s="1" t="s">
        <v>8448</v>
      </c>
      <c r="P850" s="1" t="s">
        <v>8449</v>
      </c>
      <c r="Q850" s="1" t="s">
        <v>4894</v>
      </c>
      <c r="R850" s="1" t="s">
        <v>74</v>
      </c>
      <c r="S850" s="1" t="s">
        <v>74</v>
      </c>
      <c r="T850" s="1" t="s">
        <v>74</v>
      </c>
      <c r="U850" s="1" t="s">
        <v>74</v>
      </c>
      <c r="V850" s="1" t="s">
        <v>8450</v>
      </c>
      <c r="W850" s="1" t="s">
        <v>74</v>
      </c>
      <c r="X850" s="1" t="s">
        <v>74</v>
      </c>
      <c r="Y850" s="1" t="s">
        <v>74</v>
      </c>
      <c r="Z850" s="1" t="s">
        <v>74</v>
      </c>
      <c r="AA850" s="1" t="s">
        <v>8451</v>
      </c>
      <c r="AB850" s="1" t="s">
        <v>8452</v>
      </c>
      <c r="AC850" s="1" t="s">
        <v>74</v>
      </c>
      <c r="AD850" s="1" t="s">
        <v>74</v>
      </c>
      <c r="AE850" s="1" t="s">
        <v>74</v>
      </c>
      <c r="AF850" s="1" t="s">
        <v>74</v>
      </c>
      <c r="AG850" s="1" t="s">
        <v>74</v>
      </c>
      <c r="AH850" s="1" t="s">
        <v>74</v>
      </c>
      <c r="AI850" s="1" t="s">
        <v>74</v>
      </c>
      <c r="AJ850" s="1" t="s">
        <v>74</v>
      </c>
      <c r="AK850" s="1" t="s">
        <v>74</v>
      </c>
      <c r="AL850" s="1" t="s">
        <v>74</v>
      </c>
      <c r="AM850" s="1" t="s">
        <v>74</v>
      </c>
      <c r="AN850" s="1" t="s">
        <v>74</v>
      </c>
      <c r="AO850" s="1" t="s">
        <v>8453</v>
      </c>
      <c r="AP850" s="1" t="s">
        <v>74</v>
      </c>
      <c r="AQ850" s="1" t="s">
        <v>74</v>
      </c>
      <c r="AR850" s="1" t="s">
        <v>74</v>
      </c>
      <c r="AS850" s="1" t="s">
        <v>74</v>
      </c>
      <c r="AT850" s="1" t="s">
        <v>74</v>
      </c>
      <c r="AU850" s="1">
        <v>2018.0</v>
      </c>
      <c r="AV850" s="1">
        <v>31.0</v>
      </c>
      <c r="AW850" s="1" t="s">
        <v>74</v>
      </c>
      <c r="AX850" s="1" t="s">
        <v>74</v>
      </c>
      <c r="AY850" s="1" t="s">
        <v>74</v>
      </c>
      <c r="AZ850" s="1" t="s">
        <v>74</v>
      </c>
      <c r="BA850" s="1" t="s">
        <v>74</v>
      </c>
      <c r="BB850" s="1" t="s">
        <v>74</v>
      </c>
      <c r="BC850" s="1" t="s">
        <v>74</v>
      </c>
      <c r="BD850" s="1" t="s">
        <v>74</v>
      </c>
      <c r="BE850" s="1" t="s">
        <v>74</v>
      </c>
      <c r="BF850" s="1" t="s">
        <v>74</v>
      </c>
      <c r="BG850" s="1" t="s">
        <v>74</v>
      </c>
      <c r="BH850" s="1" t="s">
        <v>74</v>
      </c>
      <c r="BI850" s="1" t="s">
        <v>74</v>
      </c>
      <c r="BJ850" s="1" t="s">
        <v>74</v>
      </c>
      <c r="BK850" s="1" t="s">
        <v>74</v>
      </c>
      <c r="BL850" s="1" t="s">
        <v>74</v>
      </c>
      <c r="BM850" s="1" t="s">
        <v>74</v>
      </c>
      <c r="BN850" s="1" t="s">
        <v>74</v>
      </c>
      <c r="BO850" s="1" t="s">
        <v>74</v>
      </c>
      <c r="BP850" s="1" t="s">
        <v>74</v>
      </c>
      <c r="BQ850" s="1" t="s">
        <v>74</v>
      </c>
      <c r="BR850" s="1" t="s">
        <v>74</v>
      </c>
      <c r="BS850" s="1" t="s">
        <v>8454</v>
      </c>
      <c r="BT850" s="1" t="str">
        <f>HYPERLINK("https%3A%2F%2Fwww.webofscience.com%2Fwos%2Fwoscc%2Ffull-record%2FWOS:000461852000019","View Full Record in Web of Science")</f>
        <v>View Full Record in Web of Science</v>
      </c>
    </row>
    <row r="851" ht="12.75" customHeight="1">
      <c r="A851" s="1" t="s">
        <v>72</v>
      </c>
      <c r="B851" s="1" t="s">
        <v>8455</v>
      </c>
      <c r="C851" s="1" t="s">
        <v>74</v>
      </c>
      <c r="D851" s="1" t="s">
        <v>74</v>
      </c>
      <c r="E851" s="1" t="s">
        <v>74</v>
      </c>
      <c r="F851" s="1" t="s">
        <v>8456</v>
      </c>
      <c r="G851" s="1" t="s">
        <v>74</v>
      </c>
      <c r="H851" s="1" t="s">
        <v>74</v>
      </c>
      <c r="I851" s="1" t="s">
        <v>8457</v>
      </c>
      <c r="J851" s="1" t="s">
        <v>8458</v>
      </c>
      <c r="K851" s="1" t="s">
        <v>74</v>
      </c>
      <c r="L851" s="1" t="s">
        <v>74</v>
      </c>
      <c r="M851" s="1" t="s">
        <v>74</v>
      </c>
      <c r="N851" s="1" t="s">
        <v>74</v>
      </c>
      <c r="O851" s="1" t="s">
        <v>74</v>
      </c>
      <c r="P851" s="1" t="s">
        <v>74</v>
      </c>
      <c r="Q851" s="1" t="s">
        <v>74</v>
      </c>
      <c r="R851" s="1" t="s">
        <v>74</v>
      </c>
      <c r="S851" s="1" t="s">
        <v>74</v>
      </c>
      <c r="T851" s="1" t="s">
        <v>74</v>
      </c>
      <c r="U851" s="1" t="s">
        <v>74</v>
      </c>
      <c r="V851" s="1" t="s">
        <v>8459</v>
      </c>
      <c r="W851" s="1" t="s">
        <v>74</v>
      </c>
      <c r="X851" s="1" t="s">
        <v>74</v>
      </c>
      <c r="Y851" s="1" t="s">
        <v>74</v>
      </c>
      <c r="Z851" s="1" t="s">
        <v>74</v>
      </c>
      <c r="AA851" s="1" t="s">
        <v>8460</v>
      </c>
      <c r="AB851" s="1" t="s">
        <v>8461</v>
      </c>
      <c r="AC851" s="1" t="s">
        <v>74</v>
      </c>
      <c r="AD851" s="1" t="s">
        <v>74</v>
      </c>
      <c r="AE851" s="1" t="s">
        <v>74</v>
      </c>
      <c r="AF851" s="1" t="s">
        <v>74</v>
      </c>
      <c r="AG851" s="1" t="s">
        <v>74</v>
      </c>
      <c r="AH851" s="1" t="s">
        <v>74</v>
      </c>
      <c r="AI851" s="1" t="s">
        <v>74</v>
      </c>
      <c r="AJ851" s="1" t="s">
        <v>74</v>
      </c>
      <c r="AK851" s="1" t="s">
        <v>74</v>
      </c>
      <c r="AL851" s="1" t="s">
        <v>74</v>
      </c>
      <c r="AM851" s="1" t="s">
        <v>74</v>
      </c>
      <c r="AN851" s="1" t="s">
        <v>74</v>
      </c>
      <c r="AO851" s="1" t="s">
        <v>8462</v>
      </c>
      <c r="AP851" s="1" t="s">
        <v>74</v>
      </c>
      <c r="AQ851" s="1" t="s">
        <v>74</v>
      </c>
      <c r="AR851" s="1" t="s">
        <v>74</v>
      </c>
      <c r="AS851" s="1" t="s">
        <v>74</v>
      </c>
      <c r="AT851" s="1" t="s">
        <v>74</v>
      </c>
      <c r="AU851" s="1">
        <v>2015.0</v>
      </c>
      <c r="AV851" s="1">
        <v>13.0</v>
      </c>
      <c r="AW851" s="1">
        <v>3.0</v>
      </c>
      <c r="AX851" s="1" t="s">
        <v>74</v>
      </c>
      <c r="AY851" s="1" t="s">
        <v>74</v>
      </c>
      <c r="AZ851" s="1" t="s">
        <v>74</v>
      </c>
      <c r="BA851" s="1" t="s">
        <v>74</v>
      </c>
      <c r="BB851" s="1" t="s">
        <v>8463</v>
      </c>
      <c r="BC851" s="1" t="s">
        <v>8464</v>
      </c>
      <c r="BD851" s="1" t="s">
        <v>74</v>
      </c>
      <c r="BE851" s="1" t="s">
        <v>8465</v>
      </c>
      <c r="BF851" s="2" t="str">
        <f>HYPERLINK("http://dx.doi.org/10.5301/jabfm.5000221","http://dx.doi.org/10.5301/jabfm.5000221")</f>
        <v>http://dx.doi.org/10.5301/jabfm.5000221</v>
      </c>
      <c r="BG851" s="1" t="s">
        <v>74</v>
      </c>
      <c r="BH851" s="1" t="s">
        <v>74</v>
      </c>
      <c r="BI851" s="1" t="s">
        <v>74</v>
      </c>
      <c r="BJ851" s="1" t="s">
        <v>74</v>
      </c>
      <c r="BK851" s="1" t="s">
        <v>74</v>
      </c>
      <c r="BL851" s="1" t="s">
        <v>74</v>
      </c>
      <c r="BM851" s="1" t="s">
        <v>74</v>
      </c>
      <c r="BN851" s="1">
        <v>2.6045223E7</v>
      </c>
      <c r="BO851" s="1" t="s">
        <v>74</v>
      </c>
      <c r="BP851" s="1" t="s">
        <v>74</v>
      </c>
      <c r="BQ851" s="1" t="s">
        <v>74</v>
      </c>
      <c r="BR851" s="1" t="s">
        <v>74</v>
      </c>
      <c r="BS851" s="1" t="s">
        <v>8466</v>
      </c>
      <c r="BT851" s="1" t="str">
        <f>HYPERLINK("https%3A%2F%2Fwww.webofscience.com%2Fwos%2Fwoscc%2Ffull-record%2FWOS:000367158000008","View Full Record in Web of Science")</f>
        <v>View Full Record in Web of Science</v>
      </c>
    </row>
    <row r="852" ht="12.75" customHeight="1">
      <c r="A852" s="1" t="s">
        <v>647</v>
      </c>
      <c r="B852" s="1" t="s">
        <v>8467</v>
      </c>
      <c r="C852" s="1" t="s">
        <v>74</v>
      </c>
      <c r="D852" s="1" t="s">
        <v>8468</v>
      </c>
      <c r="E852" s="1" t="s">
        <v>74</v>
      </c>
      <c r="F852" s="1" t="s">
        <v>8469</v>
      </c>
      <c r="G852" s="1" t="s">
        <v>74</v>
      </c>
      <c r="H852" s="1" t="s">
        <v>74</v>
      </c>
      <c r="I852" s="1" t="s">
        <v>8470</v>
      </c>
      <c r="J852" s="1" t="s">
        <v>8471</v>
      </c>
      <c r="K852" s="1" t="s">
        <v>8472</v>
      </c>
      <c r="L852" s="1" t="s">
        <v>74</v>
      </c>
      <c r="M852" s="1" t="s">
        <v>74</v>
      </c>
      <c r="N852" s="1" t="s">
        <v>74</v>
      </c>
      <c r="O852" s="1" t="s">
        <v>8473</v>
      </c>
      <c r="P852" s="1" t="s">
        <v>8474</v>
      </c>
      <c r="Q852" s="1" t="s">
        <v>8475</v>
      </c>
      <c r="R852" s="1" t="s">
        <v>74</v>
      </c>
      <c r="S852" s="1" t="s">
        <v>74</v>
      </c>
      <c r="T852" s="1" t="s">
        <v>74</v>
      </c>
      <c r="U852" s="1" t="s">
        <v>74</v>
      </c>
      <c r="V852" s="1" t="s">
        <v>8476</v>
      </c>
      <c r="W852" s="1" t="s">
        <v>74</v>
      </c>
      <c r="X852" s="1" t="s">
        <v>74</v>
      </c>
      <c r="Y852" s="1" t="s">
        <v>74</v>
      </c>
      <c r="Z852" s="1" t="s">
        <v>74</v>
      </c>
      <c r="AA852" s="1" t="s">
        <v>8477</v>
      </c>
      <c r="AB852" s="1" t="s">
        <v>8478</v>
      </c>
      <c r="AC852" s="1" t="s">
        <v>74</v>
      </c>
      <c r="AD852" s="1" t="s">
        <v>74</v>
      </c>
      <c r="AE852" s="1" t="s">
        <v>74</v>
      </c>
      <c r="AF852" s="1" t="s">
        <v>74</v>
      </c>
      <c r="AG852" s="1" t="s">
        <v>74</v>
      </c>
      <c r="AH852" s="1" t="s">
        <v>74</v>
      </c>
      <c r="AI852" s="1" t="s">
        <v>74</v>
      </c>
      <c r="AJ852" s="1" t="s">
        <v>74</v>
      </c>
      <c r="AK852" s="1" t="s">
        <v>74</v>
      </c>
      <c r="AL852" s="1" t="s">
        <v>74</v>
      </c>
      <c r="AM852" s="1" t="s">
        <v>74</v>
      </c>
      <c r="AN852" s="1" t="s">
        <v>74</v>
      </c>
      <c r="AO852" s="1" t="s">
        <v>8479</v>
      </c>
      <c r="AP852" s="1" t="s">
        <v>74</v>
      </c>
      <c r="AQ852" s="1" t="s">
        <v>8480</v>
      </c>
      <c r="AR852" s="1" t="s">
        <v>74</v>
      </c>
      <c r="AS852" s="1" t="s">
        <v>74</v>
      </c>
      <c r="AT852" s="1" t="s">
        <v>74</v>
      </c>
      <c r="AU852" s="1">
        <v>2014.0</v>
      </c>
      <c r="AV852" s="1" t="s">
        <v>74</v>
      </c>
      <c r="AW852" s="1" t="s">
        <v>74</v>
      </c>
      <c r="AX852" s="1" t="s">
        <v>74</v>
      </c>
      <c r="AY852" s="1" t="s">
        <v>74</v>
      </c>
      <c r="AZ852" s="1" t="s">
        <v>74</v>
      </c>
      <c r="BA852" s="1" t="s">
        <v>74</v>
      </c>
      <c r="BB852" s="1">
        <v>3060.0</v>
      </c>
      <c r="BC852" s="1">
        <v>3071.0</v>
      </c>
      <c r="BD852" s="1" t="s">
        <v>74</v>
      </c>
      <c r="BE852" s="1" t="s">
        <v>74</v>
      </c>
      <c r="BF852" s="1" t="s">
        <v>74</v>
      </c>
      <c r="BG852" s="1" t="s">
        <v>74</v>
      </c>
      <c r="BH852" s="1" t="s">
        <v>74</v>
      </c>
      <c r="BI852" s="1" t="s">
        <v>74</v>
      </c>
      <c r="BJ852" s="1" t="s">
        <v>74</v>
      </c>
      <c r="BK852" s="1" t="s">
        <v>74</v>
      </c>
      <c r="BL852" s="1" t="s">
        <v>74</v>
      </c>
      <c r="BM852" s="1" t="s">
        <v>74</v>
      </c>
      <c r="BN852" s="1" t="s">
        <v>74</v>
      </c>
      <c r="BO852" s="1" t="s">
        <v>74</v>
      </c>
      <c r="BP852" s="1" t="s">
        <v>74</v>
      </c>
      <c r="BQ852" s="1" t="s">
        <v>74</v>
      </c>
      <c r="BR852" s="1" t="s">
        <v>74</v>
      </c>
      <c r="BS852" s="1" t="s">
        <v>8481</v>
      </c>
      <c r="BT852" s="1" t="str">
        <f>HYPERLINK("https%3A%2F%2Fwww.webofscience.com%2Fwos%2Fwoscc%2Ffull-record%2FWOS:000389248203070","View Full Record in Web of Science")</f>
        <v>View Full Record in Web of Science</v>
      </c>
    </row>
    <row r="853" ht="12.75" customHeight="1">
      <c r="A853" s="1" t="s">
        <v>72</v>
      </c>
      <c r="B853" s="1" t="s">
        <v>8482</v>
      </c>
      <c r="C853" s="1" t="s">
        <v>74</v>
      </c>
      <c r="D853" s="1" t="s">
        <v>74</v>
      </c>
      <c r="E853" s="1" t="s">
        <v>74</v>
      </c>
      <c r="F853" s="1" t="s">
        <v>8483</v>
      </c>
      <c r="G853" s="1" t="s">
        <v>74</v>
      </c>
      <c r="H853" s="1" t="s">
        <v>74</v>
      </c>
      <c r="I853" s="1" t="s">
        <v>8484</v>
      </c>
      <c r="J853" s="1" t="s">
        <v>8485</v>
      </c>
      <c r="K853" s="1" t="s">
        <v>74</v>
      </c>
      <c r="L853" s="1" t="s">
        <v>74</v>
      </c>
      <c r="M853" s="1" t="s">
        <v>74</v>
      </c>
      <c r="N853" s="1" t="s">
        <v>74</v>
      </c>
      <c r="O853" s="1" t="s">
        <v>74</v>
      </c>
      <c r="P853" s="1" t="s">
        <v>74</v>
      </c>
      <c r="Q853" s="1" t="s">
        <v>74</v>
      </c>
      <c r="R853" s="1" t="s">
        <v>74</v>
      </c>
      <c r="S853" s="1" t="s">
        <v>74</v>
      </c>
      <c r="T853" s="1" t="s">
        <v>74</v>
      </c>
      <c r="U853" s="1" t="s">
        <v>74</v>
      </c>
      <c r="V853" s="1" t="s">
        <v>8486</v>
      </c>
      <c r="W853" s="1" t="s">
        <v>74</v>
      </c>
      <c r="X853" s="1" t="s">
        <v>74</v>
      </c>
      <c r="Y853" s="1" t="s">
        <v>74</v>
      </c>
      <c r="Z853" s="1" t="s">
        <v>74</v>
      </c>
      <c r="AA853" s="1" t="s">
        <v>8487</v>
      </c>
      <c r="AB853" s="1" t="s">
        <v>8488</v>
      </c>
      <c r="AC853" s="1" t="s">
        <v>74</v>
      </c>
      <c r="AD853" s="1" t="s">
        <v>74</v>
      </c>
      <c r="AE853" s="1" t="s">
        <v>74</v>
      </c>
      <c r="AF853" s="1" t="s">
        <v>74</v>
      </c>
      <c r="AG853" s="1" t="s">
        <v>74</v>
      </c>
      <c r="AH853" s="1" t="s">
        <v>74</v>
      </c>
      <c r="AI853" s="1" t="s">
        <v>74</v>
      </c>
      <c r="AJ853" s="1" t="s">
        <v>74</v>
      </c>
      <c r="AK853" s="1" t="s">
        <v>74</v>
      </c>
      <c r="AL853" s="1" t="s">
        <v>74</v>
      </c>
      <c r="AM853" s="1" t="s">
        <v>74</v>
      </c>
      <c r="AN853" s="1" t="s">
        <v>74</v>
      </c>
      <c r="AO853" s="1" t="s">
        <v>8489</v>
      </c>
      <c r="AP853" s="1" t="s">
        <v>8490</v>
      </c>
      <c r="AQ853" s="1" t="s">
        <v>74</v>
      </c>
      <c r="AR853" s="1" t="s">
        <v>74</v>
      </c>
      <c r="AS853" s="1" t="s">
        <v>74</v>
      </c>
      <c r="AT853" s="1" t="s">
        <v>259</v>
      </c>
      <c r="AU853" s="1">
        <v>2012.0</v>
      </c>
      <c r="AV853" s="1">
        <v>303.0</v>
      </c>
      <c r="AW853" s="1">
        <v>3.0</v>
      </c>
      <c r="AX853" s="1" t="s">
        <v>74</v>
      </c>
      <c r="AY853" s="1" t="s">
        <v>74</v>
      </c>
      <c r="AZ853" s="1" t="s">
        <v>74</v>
      </c>
      <c r="BA853" s="1" t="s">
        <v>74</v>
      </c>
      <c r="BB853" s="1" t="s">
        <v>8491</v>
      </c>
      <c r="BC853" s="1" t="s">
        <v>8492</v>
      </c>
      <c r="BD853" s="1" t="s">
        <v>74</v>
      </c>
      <c r="BE853" s="1" t="s">
        <v>8493</v>
      </c>
      <c r="BF853" s="2" t="str">
        <f>HYPERLINK("http://dx.doi.org/10.1152/ajprenal.00116.2012","http://dx.doi.org/10.1152/ajprenal.00116.2012")</f>
        <v>http://dx.doi.org/10.1152/ajprenal.00116.2012</v>
      </c>
      <c r="BG853" s="1" t="s">
        <v>74</v>
      </c>
      <c r="BH853" s="1" t="s">
        <v>74</v>
      </c>
      <c r="BI853" s="1" t="s">
        <v>74</v>
      </c>
      <c r="BJ853" s="1" t="s">
        <v>74</v>
      </c>
      <c r="BK853" s="1" t="s">
        <v>74</v>
      </c>
      <c r="BL853" s="1" t="s">
        <v>74</v>
      </c>
      <c r="BM853" s="1" t="s">
        <v>74</v>
      </c>
      <c r="BN853" s="1">
        <v>2.2573384E7</v>
      </c>
      <c r="BO853" s="1" t="s">
        <v>74</v>
      </c>
      <c r="BP853" s="1" t="s">
        <v>74</v>
      </c>
      <c r="BQ853" s="1" t="s">
        <v>74</v>
      </c>
      <c r="BR853" s="1" t="s">
        <v>74</v>
      </c>
      <c r="BS853" s="1" t="s">
        <v>8494</v>
      </c>
      <c r="BT853" s="1" t="str">
        <f>HYPERLINK("https%3A%2F%2Fwww.webofscience.com%2Fwos%2Fwoscc%2Ffull-record%2FWOS:000307231300002","View Full Record in Web of Science")</f>
        <v>View Full Record in Web of Science</v>
      </c>
    </row>
    <row r="854" ht="12.75" customHeight="1">
      <c r="A854" s="1" t="s">
        <v>72</v>
      </c>
      <c r="B854" s="1" t="s">
        <v>8495</v>
      </c>
      <c r="C854" s="1" t="s">
        <v>74</v>
      </c>
      <c r="D854" s="1" t="s">
        <v>74</v>
      </c>
      <c r="E854" s="1" t="s">
        <v>74</v>
      </c>
      <c r="F854" s="1" t="s">
        <v>8496</v>
      </c>
      <c r="G854" s="1" t="s">
        <v>74</v>
      </c>
      <c r="H854" s="1" t="s">
        <v>74</v>
      </c>
      <c r="I854" s="1" t="s">
        <v>8497</v>
      </c>
      <c r="J854" s="1" t="s">
        <v>8498</v>
      </c>
      <c r="K854" s="1" t="s">
        <v>74</v>
      </c>
      <c r="L854" s="1" t="s">
        <v>74</v>
      </c>
      <c r="M854" s="1" t="s">
        <v>74</v>
      </c>
      <c r="N854" s="1" t="s">
        <v>74</v>
      </c>
      <c r="O854" s="1" t="s">
        <v>74</v>
      </c>
      <c r="P854" s="1" t="s">
        <v>74</v>
      </c>
      <c r="Q854" s="1" t="s">
        <v>74</v>
      </c>
      <c r="R854" s="1" t="s">
        <v>74</v>
      </c>
      <c r="S854" s="1" t="s">
        <v>74</v>
      </c>
      <c r="T854" s="1" t="s">
        <v>74</v>
      </c>
      <c r="U854" s="1" t="s">
        <v>74</v>
      </c>
      <c r="V854" s="1" t="s">
        <v>8499</v>
      </c>
      <c r="W854" s="1" t="s">
        <v>74</v>
      </c>
      <c r="X854" s="1" t="s">
        <v>74</v>
      </c>
      <c r="Y854" s="1" t="s">
        <v>74</v>
      </c>
      <c r="Z854" s="1" t="s">
        <v>74</v>
      </c>
      <c r="AA854" s="1" t="s">
        <v>8500</v>
      </c>
      <c r="AB854" s="1" t="s">
        <v>8501</v>
      </c>
      <c r="AC854" s="1" t="s">
        <v>74</v>
      </c>
      <c r="AD854" s="1" t="s">
        <v>74</v>
      </c>
      <c r="AE854" s="1" t="s">
        <v>74</v>
      </c>
      <c r="AF854" s="1" t="s">
        <v>74</v>
      </c>
      <c r="AG854" s="1" t="s">
        <v>74</v>
      </c>
      <c r="AH854" s="1" t="s">
        <v>74</v>
      </c>
      <c r="AI854" s="1" t="s">
        <v>74</v>
      </c>
      <c r="AJ854" s="1" t="s">
        <v>74</v>
      </c>
      <c r="AK854" s="1" t="s">
        <v>74</v>
      </c>
      <c r="AL854" s="1" t="s">
        <v>74</v>
      </c>
      <c r="AM854" s="1" t="s">
        <v>74</v>
      </c>
      <c r="AN854" s="1" t="s">
        <v>74</v>
      </c>
      <c r="AO854" s="1" t="s">
        <v>8502</v>
      </c>
      <c r="AP854" s="1" t="s">
        <v>74</v>
      </c>
      <c r="AQ854" s="1" t="s">
        <v>74</v>
      </c>
      <c r="AR854" s="1" t="s">
        <v>74</v>
      </c>
      <c r="AS854" s="1" t="s">
        <v>74</v>
      </c>
      <c r="AT854" s="1" t="s">
        <v>8503</v>
      </c>
      <c r="AU854" s="1">
        <v>2011.0</v>
      </c>
      <c r="AV854" s="1">
        <v>206.0</v>
      </c>
      <c r="AW854" s="1">
        <v>7.0</v>
      </c>
      <c r="AX854" s="1" t="s">
        <v>74</v>
      </c>
      <c r="AY854" s="1" t="s">
        <v>74</v>
      </c>
      <c r="AZ854" s="1" t="s">
        <v>74</v>
      </c>
      <c r="BA854" s="1" t="s">
        <v>74</v>
      </c>
      <c r="BB854" s="1">
        <v>1932.0</v>
      </c>
      <c r="BC854" s="1">
        <v>1935.0</v>
      </c>
      <c r="BD854" s="1" t="s">
        <v>74</v>
      </c>
      <c r="BE854" s="1" t="s">
        <v>8504</v>
      </c>
      <c r="BF854" s="2" t="str">
        <f>HYPERLINK("http://dx.doi.org/10.1016/j.surfcoat.2011.08.014","http://dx.doi.org/10.1016/j.surfcoat.2011.08.014")</f>
        <v>http://dx.doi.org/10.1016/j.surfcoat.2011.08.014</v>
      </c>
      <c r="BG854" s="1" t="s">
        <v>74</v>
      </c>
      <c r="BH854" s="1" t="s">
        <v>74</v>
      </c>
      <c r="BI854" s="1" t="s">
        <v>74</v>
      </c>
      <c r="BJ854" s="1" t="s">
        <v>74</v>
      </c>
      <c r="BK854" s="1" t="s">
        <v>74</v>
      </c>
      <c r="BL854" s="1" t="s">
        <v>74</v>
      </c>
      <c r="BM854" s="1" t="s">
        <v>74</v>
      </c>
      <c r="BN854" s="1" t="s">
        <v>74</v>
      </c>
      <c r="BO854" s="1" t="s">
        <v>74</v>
      </c>
      <c r="BP854" s="1" t="s">
        <v>74</v>
      </c>
      <c r="BQ854" s="1" t="s">
        <v>74</v>
      </c>
      <c r="BR854" s="1" t="s">
        <v>74</v>
      </c>
      <c r="BS854" s="1" t="s">
        <v>8505</v>
      </c>
      <c r="BT854" s="1" t="str">
        <f>HYPERLINK("https%3A%2F%2Fwww.webofscience.com%2Fwos%2Fwoscc%2Ffull-record%2FWOS:000298711500063","View Full Record in Web of Science")</f>
        <v>View Full Record in Web of Science</v>
      </c>
    </row>
    <row r="855" ht="12.75" customHeight="1">
      <c r="A855" s="1" t="s">
        <v>647</v>
      </c>
      <c r="B855" s="1" t="s">
        <v>8506</v>
      </c>
      <c r="C855" s="1" t="s">
        <v>74</v>
      </c>
      <c r="D855" s="1" t="s">
        <v>74</v>
      </c>
      <c r="E855" s="1" t="s">
        <v>649</v>
      </c>
      <c r="F855" s="1" t="s">
        <v>8507</v>
      </c>
      <c r="G855" s="1" t="s">
        <v>74</v>
      </c>
      <c r="H855" s="1" t="s">
        <v>74</v>
      </c>
      <c r="I855" s="1" t="s">
        <v>8508</v>
      </c>
      <c r="J855" s="1" t="s">
        <v>8509</v>
      </c>
      <c r="K855" s="1" t="s">
        <v>8510</v>
      </c>
      <c r="L855" s="1" t="s">
        <v>74</v>
      </c>
      <c r="M855" s="1" t="s">
        <v>74</v>
      </c>
      <c r="N855" s="1" t="s">
        <v>74</v>
      </c>
      <c r="O855" s="1" t="s">
        <v>8511</v>
      </c>
      <c r="P855" s="1" t="s">
        <v>8512</v>
      </c>
      <c r="Q855" s="1" t="s">
        <v>6262</v>
      </c>
      <c r="R855" s="1" t="s">
        <v>649</v>
      </c>
      <c r="S855" s="1" t="s">
        <v>74</v>
      </c>
      <c r="T855" s="1" t="s">
        <v>74</v>
      </c>
      <c r="U855" s="1" t="s">
        <v>74</v>
      </c>
      <c r="V855" s="1" t="s">
        <v>8513</v>
      </c>
      <c r="W855" s="1" t="s">
        <v>74</v>
      </c>
      <c r="X855" s="1" t="s">
        <v>74</v>
      </c>
      <c r="Y855" s="1" t="s">
        <v>74</v>
      </c>
      <c r="Z855" s="1" t="s">
        <v>74</v>
      </c>
      <c r="AA855" s="1" t="s">
        <v>74</v>
      </c>
      <c r="AB855" s="1" t="s">
        <v>74</v>
      </c>
      <c r="AC855" s="1" t="s">
        <v>74</v>
      </c>
      <c r="AD855" s="1" t="s">
        <v>74</v>
      </c>
      <c r="AE855" s="1" t="s">
        <v>74</v>
      </c>
      <c r="AF855" s="1" t="s">
        <v>74</v>
      </c>
      <c r="AG855" s="1" t="s">
        <v>74</v>
      </c>
      <c r="AH855" s="1" t="s">
        <v>74</v>
      </c>
      <c r="AI855" s="1" t="s">
        <v>74</v>
      </c>
      <c r="AJ855" s="1" t="s">
        <v>74</v>
      </c>
      <c r="AK855" s="1" t="s">
        <v>74</v>
      </c>
      <c r="AL855" s="1" t="s">
        <v>74</v>
      </c>
      <c r="AM855" s="1" t="s">
        <v>74</v>
      </c>
      <c r="AN855" s="1" t="s">
        <v>74</v>
      </c>
      <c r="AO855" s="1" t="s">
        <v>8514</v>
      </c>
      <c r="AP855" s="1" t="s">
        <v>74</v>
      </c>
      <c r="AQ855" s="1" t="s">
        <v>8515</v>
      </c>
      <c r="AR855" s="1" t="s">
        <v>74</v>
      </c>
      <c r="AS855" s="1" t="s">
        <v>74</v>
      </c>
      <c r="AT855" s="1" t="s">
        <v>74</v>
      </c>
      <c r="AU855" s="1">
        <v>2009.0</v>
      </c>
      <c r="AV855" s="1" t="s">
        <v>74</v>
      </c>
      <c r="AW855" s="1" t="s">
        <v>74</v>
      </c>
      <c r="AX855" s="1" t="s">
        <v>74</v>
      </c>
      <c r="AY855" s="1" t="s">
        <v>74</v>
      </c>
      <c r="AZ855" s="1" t="s">
        <v>74</v>
      </c>
      <c r="BA855" s="1" t="s">
        <v>74</v>
      </c>
      <c r="BB855" s="1">
        <v>1251.0</v>
      </c>
      <c r="BC855" s="1" t="s">
        <v>661</v>
      </c>
      <c r="BD855" s="1" t="s">
        <v>74</v>
      </c>
      <c r="BE855" s="1" t="s">
        <v>8516</v>
      </c>
      <c r="BF855" s="2" t="str">
        <f>HYPERLINK("http://dx.doi.org/10.1109/ISBI.2009.5193289","http://dx.doi.org/10.1109/ISBI.2009.5193289")</f>
        <v>http://dx.doi.org/10.1109/ISBI.2009.5193289</v>
      </c>
      <c r="BG855" s="1" t="s">
        <v>74</v>
      </c>
      <c r="BH855" s="1" t="s">
        <v>74</v>
      </c>
      <c r="BI855" s="1" t="s">
        <v>74</v>
      </c>
      <c r="BJ855" s="1" t="s">
        <v>74</v>
      </c>
      <c r="BK855" s="1" t="s">
        <v>74</v>
      </c>
      <c r="BL855" s="1" t="s">
        <v>74</v>
      </c>
      <c r="BM855" s="1" t="s">
        <v>74</v>
      </c>
      <c r="BN855" s="1" t="s">
        <v>74</v>
      </c>
      <c r="BO855" s="1" t="s">
        <v>74</v>
      </c>
      <c r="BP855" s="1" t="s">
        <v>74</v>
      </c>
      <c r="BQ855" s="1" t="s">
        <v>74</v>
      </c>
      <c r="BR855" s="1" t="s">
        <v>74</v>
      </c>
      <c r="BS855" s="1" t="s">
        <v>8517</v>
      </c>
      <c r="BT855" s="1" t="str">
        <f>HYPERLINK("https%3A%2F%2Fwww.webofscience.com%2Fwos%2Fwoscc%2Ffull-record%2FWOS:000270678400320","View Full Record in Web of Science")</f>
        <v>View Full Record in Web of Science</v>
      </c>
    </row>
    <row r="856" ht="12.75" customHeight="1">
      <c r="A856" s="1" t="s">
        <v>72</v>
      </c>
      <c r="B856" s="1" t="s">
        <v>8518</v>
      </c>
      <c r="C856" s="1" t="s">
        <v>74</v>
      </c>
      <c r="D856" s="1" t="s">
        <v>74</v>
      </c>
      <c r="E856" s="1" t="s">
        <v>74</v>
      </c>
      <c r="F856" s="1" t="s">
        <v>8518</v>
      </c>
      <c r="G856" s="1" t="s">
        <v>74</v>
      </c>
      <c r="H856" s="1" t="s">
        <v>74</v>
      </c>
      <c r="I856" s="1" t="s">
        <v>8519</v>
      </c>
      <c r="J856" s="1" t="s">
        <v>8520</v>
      </c>
      <c r="K856" s="1" t="s">
        <v>74</v>
      </c>
      <c r="L856" s="1" t="s">
        <v>74</v>
      </c>
      <c r="M856" s="1" t="s">
        <v>74</v>
      </c>
      <c r="N856" s="1" t="s">
        <v>74</v>
      </c>
      <c r="O856" s="1" t="s">
        <v>74</v>
      </c>
      <c r="P856" s="1" t="s">
        <v>74</v>
      </c>
      <c r="Q856" s="1" t="s">
        <v>74</v>
      </c>
      <c r="R856" s="1" t="s">
        <v>74</v>
      </c>
      <c r="S856" s="1" t="s">
        <v>74</v>
      </c>
      <c r="T856" s="1" t="s">
        <v>74</v>
      </c>
      <c r="U856" s="1" t="s">
        <v>74</v>
      </c>
      <c r="V856" s="1" t="s">
        <v>8521</v>
      </c>
      <c r="W856" s="1" t="s">
        <v>74</v>
      </c>
      <c r="X856" s="1" t="s">
        <v>74</v>
      </c>
      <c r="Y856" s="1" t="s">
        <v>74</v>
      </c>
      <c r="Z856" s="1" t="s">
        <v>74</v>
      </c>
      <c r="AA856" s="1" t="s">
        <v>8522</v>
      </c>
      <c r="AB856" s="1" t="s">
        <v>8523</v>
      </c>
      <c r="AC856" s="1" t="s">
        <v>74</v>
      </c>
      <c r="AD856" s="1" t="s">
        <v>74</v>
      </c>
      <c r="AE856" s="1" t="s">
        <v>74</v>
      </c>
      <c r="AF856" s="1" t="s">
        <v>74</v>
      </c>
      <c r="AG856" s="1" t="s">
        <v>74</v>
      </c>
      <c r="AH856" s="1" t="s">
        <v>74</v>
      </c>
      <c r="AI856" s="1" t="s">
        <v>74</v>
      </c>
      <c r="AJ856" s="1" t="s">
        <v>74</v>
      </c>
      <c r="AK856" s="1" t="s">
        <v>74</v>
      </c>
      <c r="AL856" s="1" t="s">
        <v>74</v>
      </c>
      <c r="AM856" s="1" t="s">
        <v>74</v>
      </c>
      <c r="AN856" s="1" t="s">
        <v>74</v>
      </c>
      <c r="AO856" s="1" t="s">
        <v>8524</v>
      </c>
      <c r="AP856" s="1" t="s">
        <v>8525</v>
      </c>
      <c r="AQ856" s="1" t="s">
        <v>74</v>
      </c>
      <c r="AR856" s="1" t="s">
        <v>74</v>
      </c>
      <c r="AS856" s="1" t="s">
        <v>74</v>
      </c>
      <c r="AT856" s="1" t="s">
        <v>398</v>
      </c>
      <c r="AU856" s="1">
        <v>1995.0</v>
      </c>
      <c r="AV856" s="1">
        <v>67.0</v>
      </c>
      <c r="AW856" s="1">
        <v>2.0</v>
      </c>
      <c r="AX856" s="1" t="s">
        <v>74</v>
      </c>
      <c r="AY856" s="1" t="s">
        <v>74</v>
      </c>
      <c r="AZ856" s="1" t="s">
        <v>74</v>
      </c>
      <c r="BA856" s="1" t="s">
        <v>74</v>
      </c>
      <c r="BB856" s="1">
        <v>169.0</v>
      </c>
      <c r="BC856" s="1">
        <v>172.0</v>
      </c>
      <c r="BD856" s="1" t="s">
        <v>74</v>
      </c>
      <c r="BE856" s="1" t="s">
        <v>8526</v>
      </c>
      <c r="BF856" s="2" t="str">
        <f>HYPERLINK("http://dx.doi.org/10.1002/jsfa.2740670205","http://dx.doi.org/10.1002/jsfa.2740670205")</f>
        <v>http://dx.doi.org/10.1002/jsfa.2740670205</v>
      </c>
      <c r="BG856" s="1" t="s">
        <v>74</v>
      </c>
      <c r="BH856" s="1" t="s">
        <v>74</v>
      </c>
      <c r="BI856" s="1" t="s">
        <v>74</v>
      </c>
      <c r="BJ856" s="1" t="s">
        <v>74</v>
      </c>
      <c r="BK856" s="1" t="s">
        <v>74</v>
      </c>
      <c r="BL856" s="1" t="s">
        <v>74</v>
      </c>
      <c r="BM856" s="1" t="s">
        <v>74</v>
      </c>
      <c r="BN856" s="1" t="s">
        <v>74</v>
      </c>
      <c r="BO856" s="1" t="s">
        <v>74</v>
      </c>
      <c r="BP856" s="1" t="s">
        <v>74</v>
      </c>
      <c r="BQ856" s="1" t="s">
        <v>74</v>
      </c>
      <c r="BR856" s="1" t="s">
        <v>74</v>
      </c>
      <c r="BS856" s="1" t="s">
        <v>8527</v>
      </c>
      <c r="BT856" s="1" t="str">
        <f>HYPERLINK("https%3A%2F%2Fwww.webofscience.com%2Fwos%2Fwoscc%2Ffull-record%2FWOS:A1995QF62600004","View Full Record in Web of Science")</f>
        <v>View Full Record in Web of Science</v>
      </c>
    </row>
    <row r="857" ht="12.75" customHeight="1">
      <c r="A857" s="1" t="s">
        <v>72</v>
      </c>
      <c r="B857" s="1" t="s">
        <v>8528</v>
      </c>
      <c r="C857" s="1" t="s">
        <v>74</v>
      </c>
      <c r="D857" s="1" t="s">
        <v>74</v>
      </c>
      <c r="E857" s="1" t="s">
        <v>74</v>
      </c>
      <c r="F857" s="1" t="s">
        <v>8529</v>
      </c>
      <c r="G857" s="1" t="s">
        <v>74</v>
      </c>
      <c r="H857" s="1" t="s">
        <v>74</v>
      </c>
      <c r="I857" s="1" t="s">
        <v>8530</v>
      </c>
      <c r="J857" s="1" t="s">
        <v>186</v>
      </c>
      <c r="K857" s="1" t="s">
        <v>74</v>
      </c>
      <c r="L857" s="1" t="s">
        <v>74</v>
      </c>
      <c r="M857" s="1" t="s">
        <v>74</v>
      </c>
      <c r="N857" s="1" t="s">
        <v>74</v>
      </c>
      <c r="O857" s="1" t="s">
        <v>74</v>
      </c>
      <c r="P857" s="1" t="s">
        <v>74</v>
      </c>
      <c r="Q857" s="1" t="s">
        <v>74</v>
      </c>
      <c r="R857" s="1" t="s">
        <v>74</v>
      </c>
      <c r="S857" s="1" t="s">
        <v>74</v>
      </c>
      <c r="T857" s="1" t="s">
        <v>74</v>
      </c>
      <c r="U857" s="1" t="s">
        <v>74</v>
      </c>
      <c r="V857" s="1" t="s">
        <v>8531</v>
      </c>
      <c r="W857" s="1" t="s">
        <v>74</v>
      </c>
      <c r="X857" s="1" t="s">
        <v>74</v>
      </c>
      <c r="Y857" s="1" t="s">
        <v>74</v>
      </c>
      <c r="Z857" s="1" t="s">
        <v>74</v>
      </c>
      <c r="AA857" s="1" t="s">
        <v>8532</v>
      </c>
      <c r="AB857" s="1" t="s">
        <v>8533</v>
      </c>
      <c r="AC857" s="1" t="s">
        <v>74</v>
      </c>
      <c r="AD857" s="1" t="s">
        <v>74</v>
      </c>
      <c r="AE857" s="1" t="s">
        <v>74</v>
      </c>
      <c r="AF857" s="1" t="s">
        <v>74</v>
      </c>
      <c r="AG857" s="1" t="s">
        <v>74</v>
      </c>
      <c r="AH857" s="1" t="s">
        <v>74</v>
      </c>
      <c r="AI857" s="1" t="s">
        <v>74</v>
      </c>
      <c r="AJ857" s="1" t="s">
        <v>74</v>
      </c>
      <c r="AK857" s="1" t="s">
        <v>74</v>
      </c>
      <c r="AL857" s="1" t="s">
        <v>74</v>
      </c>
      <c r="AM857" s="1" t="s">
        <v>74</v>
      </c>
      <c r="AN857" s="1" t="s">
        <v>74</v>
      </c>
      <c r="AO857" s="1" t="s">
        <v>190</v>
      </c>
      <c r="AP857" s="1" t="s">
        <v>74</v>
      </c>
      <c r="AQ857" s="1" t="s">
        <v>74</v>
      </c>
      <c r="AR857" s="1" t="s">
        <v>74</v>
      </c>
      <c r="AS857" s="1" t="s">
        <v>74</v>
      </c>
      <c r="AT857" s="1" t="s">
        <v>1720</v>
      </c>
      <c r="AU857" s="1">
        <v>2025.0</v>
      </c>
      <c r="AV857" s="1">
        <v>10.0</v>
      </c>
      <c r="AW857" s="1">
        <v>1.0</v>
      </c>
      <c r="AX857" s="1" t="s">
        <v>74</v>
      </c>
      <c r="AY857" s="1" t="s">
        <v>74</v>
      </c>
      <c r="AZ857" s="1" t="s">
        <v>74</v>
      </c>
      <c r="BA857" s="1" t="s">
        <v>74</v>
      </c>
      <c r="BB857" s="1" t="s">
        <v>74</v>
      </c>
      <c r="BC857" s="1" t="s">
        <v>74</v>
      </c>
      <c r="BD857" s="1">
        <v>15006.0</v>
      </c>
      <c r="BE857" s="1" t="s">
        <v>8534</v>
      </c>
      <c r="BF857" s="2" t="str">
        <f>HYPERLINK("http://dx.doi.org/10.1088/2058-9565/ad7880","http://dx.doi.org/10.1088/2058-9565/ad7880")</f>
        <v>http://dx.doi.org/10.1088/2058-9565/ad7880</v>
      </c>
      <c r="BG857" s="1" t="s">
        <v>74</v>
      </c>
      <c r="BH857" s="1" t="s">
        <v>74</v>
      </c>
      <c r="BI857" s="1" t="s">
        <v>74</v>
      </c>
      <c r="BJ857" s="1" t="s">
        <v>74</v>
      </c>
      <c r="BK857" s="1" t="s">
        <v>74</v>
      </c>
      <c r="BL857" s="1" t="s">
        <v>74</v>
      </c>
      <c r="BM857" s="1" t="s">
        <v>74</v>
      </c>
      <c r="BN857" s="1" t="s">
        <v>74</v>
      </c>
      <c r="BO857" s="1" t="s">
        <v>74</v>
      </c>
      <c r="BP857" s="1" t="s">
        <v>74</v>
      </c>
      <c r="BQ857" s="1" t="s">
        <v>74</v>
      </c>
      <c r="BR857" s="1" t="s">
        <v>74</v>
      </c>
      <c r="BS857" s="1" t="s">
        <v>8535</v>
      </c>
      <c r="BT857" s="1" t="str">
        <f>HYPERLINK("https%3A%2F%2Fwww.webofscience.com%2Fwos%2Fwoscc%2Ffull-record%2FWOS:001337249600001","View Full Record in Web of Science")</f>
        <v>View Full Record in Web of Science</v>
      </c>
    </row>
    <row r="858" ht="12.75" customHeight="1">
      <c r="A858" s="1" t="s">
        <v>72</v>
      </c>
      <c r="B858" s="1" t="s">
        <v>8536</v>
      </c>
      <c r="C858" s="1" t="s">
        <v>74</v>
      </c>
      <c r="D858" s="1" t="s">
        <v>74</v>
      </c>
      <c r="E858" s="1" t="s">
        <v>74</v>
      </c>
      <c r="F858" s="1" t="s">
        <v>8537</v>
      </c>
      <c r="G858" s="1" t="s">
        <v>74</v>
      </c>
      <c r="H858" s="1" t="s">
        <v>74</v>
      </c>
      <c r="I858" s="1" t="s">
        <v>8538</v>
      </c>
      <c r="J858" s="1" t="s">
        <v>8539</v>
      </c>
      <c r="K858" s="1" t="s">
        <v>74</v>
      </c>
      <c r="L858" s="1" t="s">
        <v>74</v>
      </c>
      <c r="M858" s="1" t="s">
        <v>74</v>
      </c>
      <c r="N858" s="1" t="s">
        <v>74</v>
      </c>
      <c r="O858" s="1" t="s">
        <v>74</v>
      </c>
      <c r="P858" s="1" t="s">
        <v>74</v>
      </c>
      <c r="Q858" s="1" t="s">
        <v>74</v>
      </c>
      <c r="R858" s="1" t="s">
        <v>74</v>
      </c>
      <c r="S858" s="1" t="s">
        <v>74</v>
      </c>
      <c r="T858" s="1" t="s">
        <v>74</v>
      </c>
      <c r="U858" s="1" t="s">
        <v>74</v>
      </c>
      <c r="V858" s="1" t="s">
        <v>8540</v>
      </c>
      <c r="W858" s="1" t="s">
        <v>74</v>
      </c>
      <c r="X858" s="1" t="s">
        <v>74</v>
      </c>
      <c r="Y858" s="1" t="s">
        <v>74</v>
      </c>
      <c r="Z858" s="1" t="s">
        <v>74</v>
      </c>
      <c r="AA858" s="1" t="s">
        <v>8541</v>
      </c>
      <c r="AB858" s="1" t="s">
        <v>8542</v>
      </c>
      <c r="AC858" s="1" t="s">
        <v>74</v>
      </c>
      <c r="AD858" s="1" t="s">
        <v>74</v>
      </c>
      <c r="AE858" s="1" t="s">
        <v>74</v>
      </c>
      <c r="AF858" s="1" t="s">
        <v>74</v>
      </c>
      <c r="AG858" s="1" t="s">
        <v>74</v>
      </c>
      <c r="AH858" s="1" t="s">
        <v>74</v>
      </c>
      <c r="AI858" s="1" t="s">
        <v>74</v>
      </c>
      <c r="AJ858" s="1" t="s">
        <v>74</v>
      </c>
      <c r="AK858" s="1" t="s">
        <v>74</v>
      </c>
      <c r="AL858" s="1" t="s">
        <v>74</v>
      </c>
      <c r="AM858" s="1" t="s">
        <v>74</v>
      </c>
      <c r="AN858" s="1" t="s">
        <v>74</v>
      </c>
      <c r="AO858" s="1" t="s">
        <v>8543</v>
      </c>
      <c r="AP858" s="1" t="s">
        <v>8544</v>
      </c>
      <c r="AQ858" s="1" t="s">
        <v>74</v>
      </c>
      <c r="AR858" s="1" t="s">
        <v>74</v>
      </c>
      <c r="AS858" s="1" t="s">
        <v>74</v>
      </c>
      <c r="AT858" s="1" t="s">
        <v>316</v>
      </c>
      <c r="AU858" s="1">
        <v>2023.0</v>
      </c>
      <c r="AV858" s="1">
        <v>203.0</v>
      </c>
      <c r="AW858" s="1" t="s">
        <v>238</v>
      </c>
      <c r="AX858" s="1" t="s">
        <v>74</v>
      </c>
      <c r="AY858" s="1" t="s">
        <v>74</v>
      </c>
      <c r="AZ858" s="1" t="s">
        <v>74</v>
      </c>
      <c r="BA858" s="1" t="s">
        <v>74</v>
      </c>
      <c r="BB858" s="1">
        <v>79.0</v>
      </c>
      <c r="BC858" s="1">
        <v>93.0</v>
      </c>
      <c r="BD858" s="1" t="s">
        <v>74</v>
      </c>
      <c r="BE858" s="1" t="s">
        <v>8545</v>
      </c>
      <c r="BF858" s="2" t="str">
        <f>HYPERLINK("http://dx.doi.org/10.1007/s00442-023-05452-4","http://dx.doi.org/10.1007/s00442-023-05452-4")</f>
        <v>http://dx.doi.org/10.1007/s00442-023-05452-4</v>
      </c>
      <c r="BG858" s="1" t="s">
        <v>74</v>
      </c>
      <c r="BH858" s="1" t="s">
        <v>414</v>
      </c>
      <c r="BI858" s="1" t="s">
        <v>74</v>
      </c>
      <c r="BJ858" s="1" t="s">
        <v>74</v>
      </c>
      <c r="BK858" s="1" t="s">
        <v>74</v>
      </c>
      <c r="BL858" s="1" t="s">
        <v>74</v>
      </c>
      <c r="BM858" s="1" t="s">
        <v>74</v>
      </c>
      <c r="BN858" s="1">
        <v>3.7798536E7</v>
      </c>
      <c r="BO858" s="1" t="s">
        <v>74</v>
      </c>
      <c r="BP858" s="1" t="s">
        <v>74</v>
      </c>
      <c r="BQ858" s="1" t="s">
        <v>74</v>
      </c>
      <c r="BR858" s="1" t="s">
        <v>74</v>
      </c>
      <c r="BS858" s="1" t="s">
        <v>8546</v>
      </c>
      <c r="BT858" s="1" t="str">
        <f>HYPERLINK("https%3A%2F%2Fwww.webofscience.com%2Fwos%2Fwoscc%2Ffull-record%2FWOS:001078756000001","View Full Record in Web of Science")</f>
        <v>View Full Record in Web of Science</v>
      </c>
    </row>
    <row r="859" ht="12.75" customHeight="1">
      <c r="A859" s="1" t="s">
        <v>72</v>
      </c>
      <c r="B859" s="1" t="s">
        <v>8547</v>
      </c>
      <c r="C859" s="1" t="s">
        <v>74</v>
      </c>
      <c r="D859" s="1" t="s">
        <v>74</v>
      </c>
      <c r="E859" s="1" t="s">
        <v>74</v>
      </c>
      <c r="F859" s="1" t="s">
        <v>8548</v>
      </c>
      <c r="G859" s="1" t="s">
        <v>74</v>
      </c>
      <c r="H859" s="1" t="s">
        <v>74</v>
      </c>
      <c r="I859" s="1" t="s">
        <v>8549</v>
      </c>
      <c r="J859" s="1" t="s">
        <v>3984</v>
      </c>
      <c r="K859" s="1" t="s">
        <v>74</v>
      </c>
      <c r="L859" s="1" t="s">
        <v>74</v>
      </c>
      <c r="M859" s="1" t="s">
        <v>74</v>
      </c>
      <c r="N859" s="1" t="s">
        <v>74</v>
      </c>
      <c r="O859" s="1" t="s">
        <v>74</v>
      </c>
      <c r="P859" s="1" t="s">
        <v>74</v>
      </c>
      <c r="Q859" s="1" t="s">
        <v>74</v>
      </c>
      <c r="R859" s="1" t="s">
        <v>74</v>
      </c>
      <c r="S859" s="1" t="s">
        <v>74</v>
      </c>
      <c r="T859" s="1" t="s">
        <v>74</v>
      </c>
      <c r="U859" s="1" t="s">
        <v>74</v>
      </c>
      <c r="V859" s="1" t="s">
        <v>8550</v>
      </c>
      <c r="W859" s="1" t="s">
        <v>74</v>
      </c>
      <c r="X859" s="1" t="s">
        <v>74</v>
      </c>
      <c r="Y859" s="1" t="s">
        <v>74</v>
      </c>
      <c r="Z859" s="1" t="s">
        <v>74</v>
      </c>
      <c r="AA859" s="1" t="s">
        <v>2004</v>
      </c>
      <c r="AB859" s="1" t="s">
        <v>8551</v>
      </c>
      <c r="AC859" s="1" t="s">
        <v>74</v>
      </c>
      <c r="AD859" s="1" t="s">
        <v>74</v>
      </c>
      <c r="AE859" s="1" t="s">
        <v>74</v>
      </c>
      <c r="AF859" s="1" t="s">
        <v>74</v>
      </c>
      <c r="AG859" s="1" t="s">
        <v>74</v>
      </c>
      <c r="AH859" s="1" t="s">
        <v>74</v>
      </c>
      <c r="AI859" s="1" t="s">
        <v>74</v>
      </c>
      <c r="AJ859" s="1" t="s">
        <v>74</v>
      </c>
      <c r="AK859" s="1" t="s">
        <v>74</v>
      </c>
      <c r="AL859" s="1" t="s">
        <v>74</v>
      </c>
      <c r="AM859" s="1" t="s">
        <v>74</v>
      </c>
      <c r="AN859" s="1" t="s">
        <v>74</v>
      </c>
      <c r="AO859" s="1" t="s">
        <v>3987</v>
      </c>
      <c r="AP859" s="1" t="s">
        <v>3988</v>
      </c>
      <c r="AQ859" s="1" t="s">
        <v>74</v>
      </c>
      <c r="AR859" s="1" t="s">
        <v>74</v>
      </c>
      <c r="AS859" s="1" t="s">
        <v>74</v>
      </c>
      <c r="AT859" s="1" t="s">
        <v>8552</v>
      </c>
      <c r="AU859" s="1">
        <v>2021.0</v>
      </c>
      <c r="AV859" s="1">
        <v>827.0</v>
      </c>
      <c r="AW859" s="1" t="s">
        <v>74</v>
      </c>
      <c r="AX859" s="1" t="s">
        <v>74</v>
      </c>
      <c r="AY859" s="1" t="s">
        <v>74</v>
      </c>
      <c r="AZ859" s="1" t="s">
        <v>74</v>
      </c>
      <c r="BA859" s="1" t="s">
        <v>74</v>
      </c>
      <c r="BB859" s="1" t="s">
        <v>74</v>
      </c>
      <c r="BC859" s="1" t="s">
        <v>74</v>
      </c>
      <c r="BD859" s="1">
        <v>142045.0</v>
      </c>
      <c r="BE859" s="1" t="s">
        <v>8553</v>
      </c>
      <c r="BF859" s="2" t="str">
        <f>HYPERLINK("http://dx.doi.org/10.1016/j.msea.2021.142045","http://dx.doi.org/10.1016/j.msea.2021.142045")</f>
        <v>http://dx.doi.org/10.1016/j.msea.2021.142045</v>
      </c>
      <c r="BG859" s="1" t="s">
        <v>74</v>
      </c>
      <c r="BH859" s="1" t="s">
        <v>2424</v>
      </c>
      <c r="BI859" s="1" t="s">
        <v>74</v>
      </c>
      <c r="BJ859" s="1" t="s">
        <v>74</v>
      </c>
      <c r="BK859" s="1" t="s">
        <v>74</v>
      </c>
      <c r="BL859" s="1" t="s">
        <v>74</v>
      </c>
      <c r="BM859" s="1" t="s">
        <v>74</v>
      </c>
      <c r="BN859" s="1" t="s">
        <v>74</v>
      </c>
      <c r="BO859" s="1" t="s">
        <v>74</v>
      </c>
      <c r="BP859" s="1" t="s">
        <v>74</v>
      </c>
      <c r="BQ859" s="1" t="s">
        <v>74</v>
      </c>
      <c r="BR859" s="1" t="s">
        <v>74</v>
      </c>
      <c r="BS859" s="1" t="s">
        <v>8554</v>
      </c>
      <c r="BT859" s="1" t="str">
        <f>HYPERLINK("https%3A%2F%2Fwww.webofscience.com%2Fwos%2Fwoscc%2Ffull-record%2FWOS:000713680600001","View Full Record in Web of Science")</f>
        <v>View Full Record in Web of Science</v>
      </c>
    </row>
    <row r="860" ht="12.75" customHeight="1">
      <c r="A860" s="1" t="s">
        <v>72</v>
      </c>
      <c r="B860" s="1" t="s">
        <v>8555</v>
      </c>
      <c r="C860" s="1" t="s">
        <v>74</v>
      </c>
      <c r="D860" s="1" t="s">
        <v>74</v>
      </c>
      <c r="E860" s="1" t="s">
        <v>74</v>
      </c>
      <c r="F860" s="1" t="s">
        <v>8556</v>
      </c>
      <c r="G860" s="1" t="s">
        <v>74</v>
      </c>
      <c r="H860" s="1" t="s">
        <v>74</v>
      </c>
      <c r="I860" s="1" t="s">
        <v>8557</v>
      </c>
      <c r="J860" s="1" t="s">
        <v>1285</v>
      </c>
      <c r="K860" s="1" t="s">
        <v>74</v>
      </c>
      <c r="L860" s="1" t="s">
        <v>74</v>
      </c>
      <c r="M860" s="1" t="s">
        <v>74</v>
      </c>
      <c r="N860" s="1" t="s">
        <v>74</v>
      </c>
      <c r="O860" s="1" t="s">
        <v>74</v>
      </c>
      <c r="P860" s="1" t="s">
        <v>74</v>
      </c>
      <c r="Q860" s="1" t="s">
        <v>74</v>
      </c>
      <c r="R860" s="1" t="s">
        <v>74</v>
      </c>
      <c r="S860" s="1" t="s">
        <v>74</v>
      </c>
      <c r="T860" s="1" t="s">
        <v>74</v>
      </c>
      <c r="U860" s="1" t="s">
        <v>74</v>
      </c>
      <c r="V860" s="1" t="s">
        <v>74</v>
      </c>
      <c r="W860" s="1" t="s">
        <v>74</v>
      </c>
      <c r="X860" s="1" t="s">
        <v>74</v>
      </c>
      <c r="Y860" s="1" t="s">
        <v>74</v>
      </c>
      <c r="Z860" s="1" t="s">
        <v>74</v>
      </c>
      <c r="AA860" s="1" t="s">
        <v>8558</v>
      </c>
      <c r="AB860" s="1" t="s">
        <v>8559</v>
      </c>
      <c r="AC860" s="1" t="s">
        <v>74</v>
      </c>
      <c r="AD860" s="1" t="s">
        <v>74</v>
      </c>
      <c r="AE860" s="1" t="s">
        <v>74</v>
      </c>
      <c r="AF860" s="1" t="s">
        <v>74</v>
      </c>
      <c r="AG860" s="1" t="s">
        <v>74</v>
      </c>
      <c r="AH860" s="1" t="s">
        <v>74</v>
      </c>
      <c r="AI860" s="1" t="s">
        <v>74</v>
      </c>
      <c r="AJ860" s="1" t="s">
        <v>74</v>
      </c>
      <c r="AK860" s="1" t="s">
        <v>74</v>
      </c>
      <c r="AL860" s="1" t="s">
        <v>74</v>
      </c>
      <c r="AM860" s="1" t="s">
        <v>74</v>
      </c>
      <c r="AN860" s="1" t="s">
        <v>74</v>
      </c>
      <c r="AO860" s="1" t="s">
        <v>1292</v>
      </c>
      <c r="AP860" s="1" t="s">
        <v>1293</v>
      </c>
      <c r="AQ860" s="1" t="s">
        <v>74</v>
      </c>
      <c r="AR860" s="1" t="s">
        <v>74</v>
      </c>
      <c r="AS860" s="1" t="s">
        <v>74</v>
      </c>
      <c r="AT860" s="1" t="s">
        <v>259</v>
      </c>
      <c r="AU860" s="1">
        <v>2021.0</v>
      </c>
      <c r="AV860" s="1">
        <v>53.0</v>
      </c>
      <c r="AW860" s="1">
        <v>8.0</v>
      </c>
      <c r="AX860" s="1" t="s">
        <v>74</v>
      </c>
      <c r="AY860" s="1" t="s">
        <v>260</v>
      </c>
      <c r="AZ860" s="1" t="s">
        <v>74</v>
      </c>
      <c r="BA860" s="1">
        <v>576.0</v>
      </c>
      <c r="BB860" s="1">
        <v>192.0</v>
      </c>
      <c r="BC860" s="1">
        <v>193.0</v>
      </c>
      <c r="BD860" s="1" t="s">
        <v>74</v>
      </c>
      <c r="BE860" s="1" t="s">
        <v>74</v>
      </c>
      <c r="BF860" s="1" t="s">
        <v>74</v>
      </c>
      <c r="BG860" s="1" t="s">
        <v>74</v>
      </c>
      <c r="BH860" s="1" t="s">
        <v>74</v>
      </c>
      <c r="BI860" s="1" t="s">
        <v>74</v>
      </c>
      <c r="BJ860" s="1" t="s">
        <v>74</v>
      </c>
      <c r="BK860" s="1" t="s">
        <v>74</v>
      </c>
      <c r="BL860" s="1" t="s">
        <v>74</v>
      </c>
      <c r="BM860" s="1" t="s">
        <v>74</v>
      </c>
      <c r="BN860" s="1" t="s">
        <v>74</v>
      </c>
      <c r="BO860" s="1" t="s">
        <v>74</v>
      </c>
      <c r="BP860" s="1" t="s">
        <v>74</v>
      </c>
      <c r="BQ860" s="1" t="s">
        <v>74</v>
      </c>
      <c r="BR860" s="1" t="s">
        <v>74</v>
      </c>
      <c r="BS860" s="1" t="s">
        <v>8560</v>
      </c>
      <c r="BT860" s="1" t="str">
        <f>HYPERLINK("https%3A%2F%2Fwww.webofscience.com%2Fwos%2Fwoscc%2Ffull-record%2FWOS:000693128400574","View Full Record in Web of Science")</f>
        <v>View Full Record in Web of Science</v>
      </c>
    </row>
    <row r="861" ht="12.75" customHeight="1">
      <c r="A861" s="1" t="s">
        <v>72</v>
      </c>
      <c r="B861" s="1" t="s">
        <v>8561</v>
      </c>
      <c r="C861" s="1" t="s">
        <v>74</v>
      </c>
      <c r="D861" s="1" t="s">
        <v>74</v>
      </c>
      <c r="E861" s="1" t="s">
        <v>74</v>
      </c>
      <c r="F861" s="1" t="s">
        <v>8562</v>
      </c>
      <c r="G861" s="1" t="s">
        <v>74</v>
      </c>
      <c r="H861" s="1" t="s">
        <v>74</v>
      </c>
      <c r="I861" s="1" t="s">
        <v>8563</v>
      </c>
      <c r="J861" s="1" t="s">
        <v>8564</v>
      </c>
      <c r="K861" s="1" t="s">
        <v>74</v>
      </c>
      <c r="L861" s="1" t="s">
        <v>74</v>
      </c>
      <c r="M861" s="1" t="s">
        <v>74</v>
      </c>
      <c r="N861" s="1" t="s">
        <v>74</v>
      </c>
      <c r="O861" s="1" t="s">
        <v>8565</v>
      </c>
      <c r="P861" s="1" t="s">
        <v>8566</v>
      </c>
      <c r="Q861" s="1" t="s">
        <v>1491</v>
      </c>
      <c r="R861" s="1" t="s">
        <v>8567</v>
      </c>
      <c r="S861" s="1" t="s">
        <v>74</v>
      </c>
      <c r="T861" s="1" t="s">
        <v>74</v>
      </c>
      <c r="U861" s="1" t="s">
        <v>74</v>
      </c>
      <c r="V861" s="1" t="s">
        <v>74</v>
      </c>
      <c r="W861" s="1" t="s">
        <v>74</v>
      </c>
      <c r="X861" s="1" t="s">
        <v>74</v>
      </c>
      <c r="Y861" s="1" t="s">
        <v>74</v>
      </c>
      <c r="Z861" s="1" t="s">
        <v>74</v>
      </c>
      <c r="AA861" s="1" t="s">
        <v>8568</v>
      </c>
      <c r="AB861" s="1" t="s">
        <v>8569</v>
      </c>
      <c r="AC861" s="1" t="s">
        <v>74</v>
      </c>
      <c r="AD861" s="1" t="s">
        <v>74</v>
      </c>
      <c r="AE861" s="1" t="s">
        <v>74</v>
      </c>
      <c r="AF861" s="1" t="s">
        <v>74</v>
      </c>
      <c r="AG861" s="1" t="s">
        <v>74</v>
      </c>
      <c r="AH861" s="1" t="s">
        <v>74</v>
      </c>
      <c r="AI861" s="1" t="s">
        <v>74</v>
      </c>
      <c r="AJ861" s="1" t="s">
        <v>74</v>
      </c>
      <c r="AK861" s="1" t="s">
        <v>74</v>
      </c>
      <c r="AL861" s="1" t="s">
        <v>74</v>
      </c>
      <c r="AM861" s="1" t="s">
        <v>74</v>
      </c>
      <c r="AN861" s="1" t="s">
        <v>74</v>
      </c>
      <c r="AO861" s="1" t="s">
        <v>8570</v>
      </c>
      <c r="AP861" s="1" t="s">
        <v>8571</v>
      </c>
      <c r="AQ861" s="1" t="s">
        <v>74</v>
      </c>
      <c r="AR861" s="1" t="s">
        <v>74</v>
      </c>
      <c r="AS861" s="1" t="s">
        <v>74</v>
      </c>
      <c r="AT861" s="1" t="s">
        <v>695</v>
      </c>
      <c r="AU861" s="1">
        <v>2021.0</v>
      </c>
      <c r="AV861" s="1">
        <v>39.0</v>
      </c>
      <c r="AW861" s="1">
        <v>15.0</v>
      </c>
      <c r="AX861" s="1" t="s">
        <v>74</v>
      </c>
      <c r="AY861" s="1" t="s">
        <v>260</v>
      </c>
      <c r="AZ861" s="1" t="s">
        <v>74</v>
      </c>
      <c r="BA861" s="1" t="s">
        <v>8572</v>
      </c>
      <c r="BB861" s="1" t="s">
        <v>74</v>
      </c>
      <c r="BC861" s="1" t="s">
        <v>74</v>
      </c>
      <c r="BD861" s="1" t="s">
        <v>74</v>
      </c>
      <c r="BE861" s="1" t="s">
        <v>8573</v>
      </c>
      <c r="BF861" s="2" t="str">
        <f>HYPERLINK("http://dx.doi.org/10.1200/JCO.2021.39.15_suppl.e18785","http://dx.doi.org/10.1200/JCO.2021.39.15_suppl.e18785")</f>
        <v>http://dx.doi.org/10.1200/JCO.2021.39.15_suppl.e18785</v>
      </c>
      <c r="BG861" s="1" t="s">
        <v>74</v>
      </c>
      <c r="BH861" s="1" t="s">
        <v>74</v>
      </c>
      <c r="BI861" s="1" t="s">
        <v>74</v>
      </c>
      <c r="BJ861" s="1" t="s">
        <v>74</v>
      </c>
      <c r="BK861" s="1" t="s">
        <v>74</v>
      </c>
      <c r="BL861" s="1" t="s">
        <v>74</v>
      </c>
      <c r="BM861" s="1" t="s">
        <v>74</v>
      </c>
      <c r="BN861" s="1" t="s">
        <v>74</v>
      </c>
      <c r="BO861" s="1" t="s">
        <v>74</v>
      </c>
      <c r="BP861" s="1" t="s">
        <v>74</v>
      </c>
      <c r="BQ861" s="1" t="s">
        <v>74</v>
      </c>
      <c r="BR861" s="1" t="s">
        <v>74</v>
      </c>
      <c r="BS861" s="1" t="s">
        <v>8574</v>
      </c>
      <c r="BT861" s="1" t="str">
        <f>HYPERLINK("https%3A%2F%2Fwww.webofscience.com%2Fwos%2Fwoscc%2Ffull-record%2FWOS:000708120304022","View Full Record in Web of Science")</f>
        <v>View Full Record in Web of Science</v>
      </c>
    </row>
    <row r="862" ht="12.75" customHeight="1">
      <c r="A862" s="1" t="s">
        <v>72</v>
      </c>
      <c r="B862" s="1" t="s">
        <v>8575</v>
      </c>
      <c r="C862" s="1" t="s">
        <v>74</v>
      </c>
      <c r="D862" s="1" t="s">
        <v>74</v>
      </c>
      <c r="E862" s="1" t="s">
        <v>74</v>
      </c>
      <c r="F862" s="1" t="s">
        <v>8576</v>
      </c>
      <c r="G862" s="1" t="s">
        <v>74</v>
      </c>
      <c r="H862" s="1" t="s">
        <v>74</v>
      </c>
      <c r="I862" s="1" t="s">
        <v>8577</v>
      </c>
      <c r="J862" s="1" t="s">
        <v>8578</v>
      </c>
      <c r="K862" s="1" t="s">
        <v>74</v>
      </c>
      <c r="L862" s="1" t="s">
        <v>74</v>
      </c>
      <c r="M862" s="1" t="s">
        <v>74</v>
      </c>
      <c r="N862" s="1" t="s">
        <v>74</v>
      </c>
      <c r="O862" s="1" t="s">
        <v>74</v>
      </c>
      <c r="P862" s="1" t="s">
        <v>74</v>
      </c>
      <c r="Q862" s="1" t="s">
        <v>74</v>
      </c>
      <c r="R862" s="1" t="s">
        <v>74</v>
      </c>
      <c r="S862" s="1" t="s">
        <v>74</v>
      </c>
      <c r="T862" s="1" t="s">
        <v>74</v>
      </c>
      <c r="U862" s="1" t="s">
        <v>74</v>
      </c>
      <c r="V862" s="1" t="s">
        <v>8579</v>
      </c>
      <c r="W862" s="1" t="s">
        <v>74</v>
      </c>
      <c r="X862" s="1" t="s">
        <v>74</v>
      </c>
      <c r="Y862" s="1" t="s">
        <v>74</v>
      </c>
      <c r="Z862" s="1" t="s">
        <v>74</v>
      </c>
      <c r="AA862" s="1" t="s">
        <v>8580</v>
      </c>
      <c r="AB862" s="1" t="s">
        <v>8581</v>
      </c>
      <c r="AC862" s="1" t="s">
        <v>74</v>
      </c>
      <c r="AD862" s="1" t="s">
        <v>74</v>
      </c>
      <c r="AE862" s="1" t="s">
        <v>74</v>
      </c>
      <c r="AF862" s="1" t="s">
        <v>74</v>
      </c>
      <c r="AG862" s="1" t="s">
        <v>74</v>
      </c>
      <c r="AH862" s="1" t="s">
        <v>74</v>
      </c>
      <c r="AI862" s="1" t="s">
        <v>74</v>
      </c>
      <c r="AJ862" s="1" t="s">
        <v>74</v>
      </c>
      <c r="AK862" s="1" t="s">
        <v>74</v>
      </c>
      <c r="AL862" s="1" t="s">
        <v>74</v>
      </c>
      <c r="AM862" s="1" t="s">
        <v>74</v>
      </c>
      <c r="AN862" s="1" t="s">
        <v>74</v>
      </c>
      <c r="AO862" s="1" t="s">
        <v>8582</v>
      </c>
      <c r="AP862" s="1" t="s">
        <v>74</v>
      </c>
      <c r="AQ862" s="1" t="s">
        <v>74</v>
      </c>
      <c r="AR862" s="1" t="s">
        <v>74</v>
      </c>
      <c r="AS862" s="1" t="s">
        <v>74</v>
      </c>
      <c r="AT862" s="1" t="s">
        <v>96</v>
      </c>
      <c r="AU862" s="1">
        <v>2021.0</v>
      </c>
      <c r="AV862" s="1">
        <v>4.0</v>
      </c>
      <c r="AW862" s="1">
        <v>3.0</v>
      </c>
      <c r="AX862" s="1" t="s">
        <v>74</v>
      </c>
      <c r="AY862" s="1" t="s">
        <v>74</v>
      </c>
      <c r="AZ862" s="1" t="s">
        <v>74</v>
      </c>
      <c r="BA862" s="1" t="s">
        <v>74</v>
      </c>
      <c r="BB862" s="1">
        <v>270.0</v>
      </c>
      <c r="BC862" s="1">
        <v>276.0</v>
      </c>
      <c r="BD862" s="1" t="s">
        <v>74</v>
      </c>
      <c r="BE862" s="1" t="s">
        <v>8583</v>
      </c>
      <c r="BF862" s="2" t="str">
        <f>HYPERLINK("http://dx.doi.org/10.1038/s41893-020-00643-w","http://dx.doi.org/10.1038/s41893-020-00643-w")</f>
        <v>http://dx.doi.org/10.1038/s41893-020-00643-w</v>
      </c>
      <c r="BG862" s="1" t="s">
        <v>74</v>
      </c>
      <c r="BH862" s="1" t="s">
        <v>8584</v>
      </c>
      <c r="BI862" s="1" t="s">
        <v>74</v>
      </c>
      <c r="BJ862" s="1" t="s">
        <v>74</v>
      </c>
      <c r="BK862" s="1" t="s">
        <v>74</v>
      </c>
      <c r="BL862" s="1" t="s">
        <v>74</v>
      </c>
      <c r="BM862" s="1" t="s">
        <v>74</v>
      </c>
      <c r="BN862" s="1" t="s">
        <v>74</v>
      </c>
      <c r="BO862" s="1" t="s">
        <v>74</v>
      </c>
      <c r="BP862" s="1" t="s">
        <v>74</v>
      </c>
      <c r="BQ862" s="1" t="s">
        <v>74</v>
      </c>
      <c r="BR862" s="1" t="s">
        <v>74</v>
      </c>
      <c r="BS862" s="1" t="s">
        <v>8585</v>
      </c>
      <c r="BT862" s="1" t="str">
        <f>HYPERLINK("https%3A%2F%2Fwww.webofscience.com%2Fwos%2Fwoscc%2Ffull-record%2FWOS:000590316900002","View Full Record in Web of Science")</f>
        <v>View Full Record in Web of Science</v>
      </c>
    </row>
    <row r="863" ht="12.75" customHeight="1">
      <c r="A863" s="1" t="s">
        <v>72</v>
      </c>
      <c r="B863" s="1" t="s">
        <v>8586</v>
      </c>
      <c r="C863" s="1" t="s">
        <v>74</v>
      </c>
      <c r="D863" s="1" t="s">
        <v>74</v>
      </c>
      <c r="E863" s="1" t="s">
        <v>74</v>
      </c>
      <c r="F863" s="1" t="s">
        <v>8587</v>
      </c>
      <c r="G863" s="1" t="s">
        <v>74</v>
      </c>
      <c r="H863" s="1" t="s">
        <v>74</v>
      </c>
      <c r="I863" s="1" t="s">
        <v>8588</v>
      </c>
      <c r="J863" s="1" t="s">
        <v>8589</v>
      </c>
      <c r="K863" s="1" t="s">
        <v>74</v>
      </c>
      <c r="L863" s="1" t="s">
        <v>74</v>
      </c>
      <c r="M863" s="1" t="s">
        <v>74</v>
      </c>
      <c r="N863" s="1" t="s">
        <v>74</v>
      </c>
      <c r="O863" s="1" t="s">
        <v>74</v>
      </c>
      <c r="P863" s="1" t="s">
        <v>74</v>
      </c>
      <c r="Q863" s="1" t="s">
        <v>74</v>
      </c>
      <c r="R863" s="1" t="s">
        <v>74</v>
      </c>
      <c r="S863" s="1" t="s">
        <v>74</v>
      </c>
      <c r="T863" s="1" t="s">
        <v>74</v>
      </c>
      <c r="U863" s="1" t="s">
        <v>74</v>
      </c>
      <c r="V863" s="1" t="s">
        <v>8590</v>
      </c>
      <c r="W863" s="1" t="s">
        <v>74</v>
      </c>
      <c r="X863" s="1" t="s">
        <v>74</v>
      </c>
      <c r="Y863" s="1" t="s">
        <v>74</v>
      </c>
      <c r="Z863" s="1" t="s">
        <v>74</v>
      </c>
      <c r="AA863" s="1" t="s">
        <v>8591</v>
      </c>
      <c r="AB863" s="1" t="s">
        <v>8592</v>
      </c>
      <c r="AC863" s="1" t="s">
        <v>74</v>
      </c>
      <c r="AD863" s="1" t="s">
        <v>74</v>
      </c>
      <c r="AE863" s="1" t="s">
        <v>74</v>
      </c>
      <c r="AF863" s="1" t="s">
        <v>74</v>
      </c>
      <c r="AG863" s="1" t="s">
        <v>74</v>
      </c>
      <c r="AH863" s="1" t="s">
        <v>74</v>
      </c>
      <c r="AI863" s="1" t="s">
        <v>74</v>
      </c>
      <c r="AJ863" s="1" t="s">
        <v>74</v>
      </c>
      <c r="AK863" s="1" t="s">
        <v>74</v>
      </c>
      <c r="AL863" s="1" t="s">
        <v>74</v>
      </c>
      <c r="AM863" s="1" t="s">
        <v>74</v>
      </c>
      <c r="AN863" s="1" t="s">
        <v>74</v>
      </c>
      <c r="AO863" s="1" t="s">
        <v>8593</v>
      </c>
      <c r="AP863" s="1" t="s">
        <v>8594</v>
      </c>
      <c r="AQ863" s="1" t="s">
        <v>74</v>
      </c>
      <c r="AR863" s="1" t="s">
        <v>74</v>
      </c>
      <c r="AS863" s="1" t="s">
        <v>74</v>
      </c>
      <c r="AT863" s="1" t="s">
        <v>7512</v>
      </c>
      <c r="AU863" s="1">
        <v>2020.0</v>
      </c>
      <c r="AV863" s="1">
        <v>52.0</v>
      </c>
      <c r="AW863" s="1">
        <v>8.0</v>
      </c>
      <c r="AX863" s="1" t="s">
        <v>74</v>
      </c>
      <c r="AY863" s="1" t="s">
        <v>74</v>
      </c>
      <c r="AZ863" s="1" t="s">
        <v>74</v>
      </c>
      <c r="BA863" s="1" t="s">
        <v>74</v>
      </c>
      <c r="BB863" s="1" t="s">
        <v>74</v>
      </c>
      <c r="BC863" s="1" t="s">
        <v>74</v>
      </c>
      <c r="BD863" s="1">
        <v>80.0</v>
      </c>
      <c r="BE863" s="1" t="s">
        <v>8595</v>
      </c>
      <c r="BF863" s="2" t="str">
        <f>HYPERLINK("http://dx.doi.org/10.1007/s10714-020-02732-9","http://dx.doi.org/10.1007/s10714-020-02732-9")</f>
        <v>http://dx.doi.org/10.1007/s10714-020-02732-9</v>
      </c>
      <c r="BG863" s="1" t="s">
        <v>74</v>
      </c>
      <c r="BH863" s="1" t="s">
        <v>74</v>
      </c>
      <c r="BI863" s="1" t="s">
        <v>74</v>
      </c>
      <c r="BJ863" s="1" t="s">
        <v>74</v>
      </c>
      <c r="BK863" s="1" t="s">
        <v>74</v>
      </c>
      <c r="BL863" s="1" t="s">
        <v>74</v>
      </c>
      <c r="BM863" s="1" t="s">
        <v>74</v>
      </c>
      <c r="BN863" s="1" t="s">
        <v>74</v>
      </c>
      <c r="BO863" s="1" t="s">
        <v>74</v>
      </c>
      <c r="BP863" s="1" t="s">
        <v>74</v>
      </c>
      <c r="BQ863" s="1" t="s">
        <v>74</v>
      </c>
      <c r="BR863" s="1" t="s">
        <v>74</v>
      </c>
      <c r="BS863" s="1" t="s">
        <v>8596</v>
      </c>
      <c r="BT863" s="1" t="str">
        <f>HYPERLINK("https%3A%2F%2Fwww.webofscience.com%2Fwos%2Fwoscc%2Ffull-record%2FWOS:000563751400001","View Full Record in Web of Science")</f>
        <v>View Full Record in Web of Science</v>
      </c>
    </row>
    <row r="864" ht="12.75" customHeight="1">
      <c r="A864" s="1" t="s">
        <v>72</v>
      </c>
      <c r="B864" s="1" t="s">
        <v>8597</v>
      </c>
      <c r="C864" s="1" t="s">
        <v>74</v>
      </c>
      <c r="D864" s="1" t="s">
        <v>74</v>
      </c>
      <c r="E864" s="1" t="s">
        <v>74</v>
      </c>
      <c r="F864" s="1" t="s">
        <v>8598</v>
      </c>
      <c r="G864" s="1" t="s">
        <v>74</v>
      </c>
      <c r="H864" s="1" t="s">
        <v>8599</v>
      </c>
      <c r="I864" s="1" t="s">
        <v>8600</v>
      </c>
      <c r="J864" s="1" t="s">
        <v>1163</v>
      </c>
      <c r="K864" s="1" t="s">
        <v>74</v>
      </c>
      <c r="L864" s="1" t="s">
        <v>74</v>
      </c>
      <c r="M864" s="1" t="s">
        <v>74</v>
      </c>
      <c r="N864" s="1" t="s">
        <v>74</v>
      </c>
      <c r="O864" s="1" t="s">
        <v>74</v>
      </c>
      <c r="P864" s="1" t="s">
        <v>74</v>
      </c>
      <c r="Q864" s="1" t="s">
        <v>74</v>
      </c>
      <c r="R864" s="1" t="s">
        <v>74</v>
      </c>
      <c r="S864" s="1" t="s">
        <v>74</v>
      </c>
      <c r="T864" s="1" t="s">
        <v>74</v>
      </c>
      <c r="U864" s="1" t="s">
        <v>74</v>
      </c>
      <c r="V864" s="1" t="s">
        <v>8601</v>
      </c>
      <c r="W864" s="1" t="s">
        <v>74</v>
      </c>
      <c r="X864" s="1" t="s">
        <v>74</v>
      </c>
      <c r="Y864" s="1" t="s">
        <v>74</v>
      </c>
      <c r="Z864" s="1" t="s">
        <v>74</v>
      </c>
      <c r="AA864" s="1" t="s">
        <v>8602</v>
      </c>
      <c r="AB864" s="1" t="s">
        <v>8603</v>
      </c>
      <c r="AC864" s="1" t="s">
        <v>74</v>
      </c>
      <c r="AD864" s="1" t="s">
        <v>74</v>
      </c>
      <c r="AE864" s="1" t="s">
        <v>74</v>
      </c>
      <c r="AF864" s="1" t="s">
        <v>74</v>
      </c>
      <c r="AG864" s="1" t="s">
        <v>74</v>
      </c>
      <c r="AH864" s="1" t="s">
        <v>74</v>
      </c>
      <c r="AI864" s="1" t="s">
        <v>74</v>
      </c>
      <c r="AJ864" s="1" t="s">
        <v>74</v>
      </c>
      <c r="AK864" s="1" t="s">
        <v>74</v>
      </c>
      <c r="AL864" s="1" t="s">
        <v>74</v>
      </c>
      <c r="AM864" s="1" t="s">
        <v>74</v>
      </c>
      <c r="AN864" s="1" t="s">
        <v>74</v>
      </c>
      <c r="AO864" s="1" t="s">
        <v>74</v>
      </c>
      <c r="AP864" s="1" t="s">
        <v>1167</v>
      </c>
      <c r="AQ864" s="1" t="s">
        <v>74</v>
      </c>
      <c r="AR864" s="1" t="s">
        <v>74</v>
      </c>
      <c r="AS864" s="1" t="s">
        <v>74</v>
      </c>
      <c r="AT864" s="1" t="s">
        <v>259</v>
      </c>
      <c r="AU864" s="1">
        <v>2020.0</v>
      </c>
      <c r="AV864" s="1">
        <v>12.0</v>
      </c>
      <c r="AW864" s="1">
        <v>8.0</v>
      </c>
      <c r="AX864" s="1" t="s">
        <v>74</v>
      </c>
      <c r="AY864" s="1" t="s">
        <v>74</v>
      </c>
      <c r="AZ864" s="1" t="s">
        <v>74</v>
      </c>
      <c r="BA864" s="1" t="s">
        <v>74</v>
      </c>
      <c r="BB864" s="1" t="s">
        <v>74</v>
      </c>
      <c r="BC864" s="1" t="s">
        <v>74</v>
      </c>
      <c r="BD864" s="1">
        <v>2397.0</v>
      </c>
      <c r="BE864" s="1" t="s">
        <v>8604</v>
      </c>
      <c r="BF864" s="2" t="str">
        <f>HYPERLINK("http://dx.doi.org/10.3390/nu12082397","http://dx.doi.org/10.3390/nu12082397")</f>
        <v>http://dx.doi.org/10.3390/nu12082397</v>
      </c>
      <c r="BG864" s="1" t="s">
        <v>74</v>
      </c>
      <c r="BH864" s="1" t="s">
        <v>74</v>
      </c>
      <c r="BI864" s="1" t="s">
        <v>74</v>
      </c>
      <c r="BJ864" s="1" t="s">
        <v>74</v>
      </c>
      <c r="BK864" s="1" t="s">
        <v>74</v>
      </c>
      <c r="BL864" s="1" t="s">
        <v>74</v>
      </c>
      <c r="BM864" s="1" t="s">
        <v>74</v>
      </c>
      <c r="BN864" s="1">
        <v>3.2785188E7</v>
      </c>
      <c r="BO864" s="1" t="s">
        <v>74</v>
      </c>
      <c r="BP864" s="1" t="s">
        <v>74</v>
      </c>
      <c r="BQ864" s="1" t="s">
        <v>74</v>
      </c>
      <c r="BR864" s="1" t="s">
        <v>74</v>
      </c>
      <c r="BS864" s="1" t="s">
        <v>8605</v>
      </c>
      <c r="BT864" s="1" t="str">
        <f>HYPERLINK("https%3A%2F%2Fwww.webofscience.com%2Fwos%2Fwoscc%2Ffull-record%2FWOS:000577911600001","View Full Record in Web of Science")</f>
        <v>View Full Record in Web of Science</v>
      </c>
    </row>
    <row r="865" ht="12.75" customHeight="1">
      <c r="A865" s="1" t="s">
        <v>72</v>
      </c>
      <c r="B865" s="1" t="s">
        <v>8606</v>
      </c>
      <c r="C865" s="1" t="s">
        <v>74</v>
      </c>
      <c r="D865" s="1" t="s">
        <v>74</v>
      </c>
      <c r="E865" s="1" t="s">
        <v>74</v>
      </c>
      <c r="F865" s="1" t="s">
        <v>8607</v>
      </c>
      <c r="G865" s="1" t="s">
        <v>74</v>
      </c>
      <c r="H865" s="1" t="s">
        <v>74</v>
      </c>
      <c r="I865" s="1" t="s">
        <v>8608</v>
      </c>
      <c r="J865" s="1" t="s">
        <v>5846</v>
      </c>
      <c r="K865" s="1" t="s">
        <v>74</v>
      </c>
      <c r="L865" s="1" t="s">
        <v>74</v>
      </c>
      <c r="M865" s="1" t="s">
        <v>74</v>
      </c>
      <c r="N865" s="1" t="s">
        <v>74</v>
      </c>
      <c r="O865" s="1" t="s">
        <v>74</v>
      </c>
      <c r="P865" s="1" t="s">
        <v>74</v>
      </c>
      <c r="Q865" s="1" t="s">
        <v>74</v>
      </c>
      <c r="R865" s="1" t="s">
        <v>74</v>
      </c>
      <c r="S865" s="1" t="s">
        <v>74</v>
      </c>
      <c r="T865" s="1" t="s">
        <v>74</v>
      </c>
      <c r="U865" s="1" t="s">
        <v>74</v>
      </c>
      <c r="V865" s="1" t="s">
        <v>8609</v>
      </c>
      <c r="W865" s="1" t="s">
        <v>74</v>
      </c>
      <c r="X865" s="1" t="s">
        <v>74</v>
      </c>
      <c r="Y865" s="1" t="s">
        <v>74</v>
      </c>
      <c r="Z865" s="1" t="s">
        <v>74</v>
      </c>
      <c r="AA865" s="1" t="s">
        <v>8610</v>
      </c>
      <c r="AB865" s="1" t="s">
        <v>8611</v>
      </c>
      <c r="AC865" s="1" t="s">
        <v>74</v>
      </c>
      <c r="AD865" s="1" t="s">
        <v>74</v>
      </c>
      <c r="AE865" s="1" t="s">
        <v>74</v>
      </c>
      <c r="AF865" s="1" t="s">
        <v>74</v>
      </c>
      <c r="AG865" s="1" t="s">
        <v>74</v>
      </c>
      <c r="AH865" s="1" t="s">
        <v>74</v>
      </c>
      <c r="AI865" s="1" t="s">
        <v>74</v>
      </c>
      <c r="AJ865" s="1" t="s">
        <v>74</v>
      </c>
      <c r="AK865" s="1" t="s">
        <v>74</v>
      </c>
      <c r="AL865" s="1" t="s">
        <v>74</v>
      </c>
      <c r="AM865" s="1" t="s">
        <v>74</v>
      </c>
      <c r="AN865" s="1" t="s">
        <v>74</v>
      </c>
      <c r="AO865" s="1" t="s">
        <v>5850</v>
      </c>
      <c r="AP865" s="1" t="s">
        <v>6043</v>
      </c>
      <c r="AQ865" s="1" t="s">
        <v>74</v>
      </c>
      <c r="AR865" s="1" t="s">
        <v>74</v>
      </c>
      <c r="AS865" s="1" t="s">
        <v>74</v>
      </c>
      <c r="AT865" s="1" t="s">
        <v>8612</v>
      </c>
      <c r="AU865" s="1">
        <v>2020.0</v>
      </c>
      <c r="AV865" s="1">
        <v>124.0</v>
      </c>
      <c r="AW865" s="1">
        <v>17.0</v>
      </c>
      <c r="AX865" s="1" t="s">
        <v>74</v>
      </c>
      <c r="AY865" s="1" t="s">
        <v>74</v>
      </c>
      <c r="AZ865" s="1" t="s">
        <v>74</v>
      </c>
      <c r="BA865" s="1" t="s">
        <v>74</v>
      </c>
      <c r="BB865" s="1" t="s">
        <v>74</v>
      </c>
      <c r="BC865" s="1" t="s">
        <v>74</v>
      </c>
      <c r="BD865" s="1">
        <v>174101.0</v>
      </c>
      <c r="BE865" s="1" t="s">
        <v>8613</v>
      </c>
      <c r="BF865" s="2" t="str">
        <f>HYPERLINK("http://dx.doi.org/10.1103/PhysRevLett.124.174101","http://dx.doi.org/10.1103/PhysRevLett.124.174101")</f>
        <v>http://dx.doi.org/10.1103/PhysRevLett.124.174101</v>
      </c>
      <c r="BG865" s="1" t="s">
        <v>74</v>
      </c>
      <c r="BH865" s="1" t="s">
        <v>74</v>
      </c>
      <c r="BI865" s="1" t="s">
        <v>74</v>
      </c>
      <c r="BJ865" s="1" t="s">
        <v>74</v>
      </c>
      <c r="BK865" s="1" t="s">
        <v>74</v>
      </c>
      <c r="BL865" s="1" t="s">
        <v>74</v>
      </c>
      <c r="BM865" s="1" t="s">
        <v>74</v>
      </c>
      <c r="BN865" s="1">
        <v>3.2412285E7</v>
      </c>
      <c r="BO865" s="1" t="s">
        <v>74</v>
      </c>
      <c r="BP865" s="1" t="s">
        <v>74</v>
      </c>
      <c r="BQ865" s="1" t="s">
        <v>74</v>
      </c>
      <c r="BR865" s="1" t="s">
        <v>74</v>
      </c>
      <c r="BS865" s="1" t="s">
        <v>8614</v>
      </c>
      <c r="BT865" s="1" t="str">
        <f>HYPERLINK("https%3A%2F%2Fwww.webofscience.com%2Fwos%2Fwoscc%2Ffull-record%2FWOS:000529312400012","View Full Record in Web of Science")</f>
        <v>View Full Record in Web of Science</v>
      </c>
    </row>
    <row r="866" ht="12.75" customHeight="1">
      <c r="A866" s="1" t="s">
        <v>72</v>
      </c>
      <c r="B866" s="1" t="s">
        <v>8615</v>
      </c>
      <c r="C866" s="1" t="s">
        <v>74</v>
      </c>
      <c r="D866" s="1" t="s">
        <v>74</v>
      </c>
      <c r="E866" s="1" t="s">
        <v>74</v>
      </c>
      <c r="F866" s="1" t="s">
        <v>8616</v>
      </c>
      <c r="G866" s="1" t="s">
        <v>74</v>
      </c>
      <c r="H866" s="1" t="s">
        <v>74</v>
      </c>
      <c r="I866" s="1" t="s">
        <v>8617</v>
      </c>
      <c r="J866" s="1" t="s">
        <v>1734</v>
      </c>
      <c r="K866" s="1" t="s">
        <v>74</v>
      </c>
      <c r="L866" s="1" t="s">
        <v>74</v>
      </c>
      <c r="M866" s="1" t="s">
        <v>74</v>
      </c>
      <c r="N866" s="1" t="s">
        <v>74</v>
      </c>
      <c r="O866" s="1" t="s">
        <v>74</v>
      </c>
      <c r="P866" s="1" t="s">
        <v>74</v>
      </c>
      <c r="Q866" s="1" t="s">
        <v>74</v>
      </c>
      <c r="R866" s="1" t="s">
        <v>74</v>
      </c>
      <c r="S866" s="1" t="s">
        <v>74</v>
      </c>
      <c r="T866" s="1" t="s">
        <v>74</v>
      </c>
      <c r="U866" s="1" t="s">
        <v>74</v>
      </c>
      <c r="V866" s="1" t="s">
        <v>8618</v>
      </c>
      <c r="W866" s="1" t="s">
        <v>74</v>
      </c>
      <c r="X866" s="1" t="s">
        <v>74</v>
      </c>
      <c r="Y866" s="1" t="s">
        <v>74</v>
      </c>
      <c r="Z866" s="1" t="s">
        <v>74</v>
      </c>
      <c r="AA866" s="1" t="s">
        <v>8619</v>
      </c>
      <c r="AB866" s="1" t="s">
        <v>8620</v>
      </c>
      <c r="AC866" s="1" t="s">
        <v>74</v>
      </c>
      <c r="AD866" s="1" t="s">
        <v>74</v>
      </c>
      <c r="AE866" s="1" t="s">
        <v>74</v>
      </c>
      <c r="AF866" s="1" t="s">
        <v>74</v>
      </c>
      <c r="AG866" s="1" t="s">
        <v>74</v>
      </c>
      <c r="AH866" s="1" t="s">
        <v>74</v>
      </c>
      <c r="AI866" s="1" t="s">
        <v>74</v>
      </c>
      <c r="AJ866" s="1" t="s">
        <v>74</v>
      </c>
      <c r="AK866" s="1" t="s">
        <v>74</v>
      </c>
      <c r="AL866" s="1" t="s">
        <v>74</v>
      </c>
      <c r="AM866" s="1" t="s">
        <v>74</v>
      </c>
      <c r="AN866" s="1" t="s">
        <v>74</v>
      </c>
      <c r="AO866" s="1" t="s">
        <v>1737</v>
      </c>
      <c r="AP866" s="1" t="s">
        <v>1738</v>
      </c>
      <c r="AQ866" s="1" t="s">
        <v>74</v>
      </c>
      <c r="AR866" s="1" t="s">
        <v>74</v>
      </c>
      <c r="AS866" s="1" t="s">
        <v>74</v>
      </c>
      <c r="AT866" s="1" t="s">
        <v>398</v>
      </c>
      <c r="AU866" s="1">
        <v>2019.0</v>
      </c>
      <c r="AV866" s="1">
        <v>147.0</v>
      </c>
      <c r="AW866" s="1">
        <v>2.0</v>
      </c>
      <c r="AX866" s="1" t="s">
        <v>74</v>
      </c>
      <c r="AY866" s="1" t="s">
        <v>74</v>
      </c>
      <c r="AZ866" s="1" t="s">
        <v>74</v>
      </c>
      <c r="BA866" s="1" t="s">
        <v>74</v>
      </c>
      <c r="BB866" s="1">
        <v>221.0</v>
      </c>
      <c r="BC866" s="1">
        <v>230.0</v>
      </c>
      <c r="BD866" s="1" t="s">
        <v>74</v>
      </c>
      <c r="BE866" s="1" t="s">
        <v>74</v>
      </c>
      <c r="BF866" s="1" t="s">
        <v>74</v>
      </c>
      <c r="BG866" s="1" t="s">
        <v>74</v>
      </c>
      <c r="BH866" s="1" t="s">
        <v>74</v>
      </c>
      <c r="BI866" s="1" t="s">
        <v>74</v>
      </c>
      <c r="BJ866" s="1" t="s">
        <v>74</v>
      </c>
      <c r="BK866" s="1" t="s">
        <v>74</v>
      </c>
      <c r="BL866" s="1" t="s">
        <v>74</v>
      </c>
      <c r="BM866" s="1" t="s">
        <v>74</v>
      </c>
      <c r="BN866" s="1">
        <v>3.1095171E7</v>
      </c>
      <c r="BO866" s="1" t="s">
        <v>74</v>
      </c>
      <c r="BP866" s="1" t="s">
        <v>74</v>
      </c>
      <c r="BQ866" s="1" t="s">
        <v>74</v>
      </c>
      <c r="BR866" s="1" t="s">
        <v>74</v>
      </c>
      <c r="BS866" s="1" t="s">
        <v>8621</v>
      </c>
      <c r="BT866" s="1" t="str">
        <f>HYPERLINK("https%3A%2F%2Fwww.webofscience.com%2Fwos%2Fwoscc%2Ffull-record%2FWOS:000466413600011","View Full Record in Web of Science")</f>
        <v>View Full Record in Web of Science</v>
      </c>
    </row>
    <row r="867" ht="12.75" customHeight="1">
      <c r="A867" s="1" t="s">
        <v>72</v>
      </c>
      <c r="B867" s="1" t="s">
        <v>8622</v>
      </c>
      <c r="C867" s="1" t="s">
        <v>74</v>
      </c>
      <c r="D867" s="1" t="s">
        <v>74</v>
      </c>
      <c r="E867" s="1" t="s">
        <v>74</v>
      </c>
      <c r="F867" s="1" t="s">
        <v>8623</v>
      </c>
      <c r="G867" s="1" t="s">
        <v>74</v>
      </c>
      <c r="H867" s="1" t="s">
        <v>74</v>
      </c>
      <c r="I867" s="1" t="s">
        <v>8624</v>
      </c>
      <c r="J867" s="1" t="s">
        <v>8625</v>
      </c>
      <c r="K867" s="1" t="s">
        <v>74</v>
      </c>
      <c r="L867" s="1" t="s">
        <v>74</v>
      </c>
      <c r="M867" s="1" t="s">
        <v>74</v>
      </c>
      <c r="N867" s="1" t="s">
        <v>74</v>
      </c>
      <c r="O867" s="1" t="s">
        <v>74</v>
      </c>
      <c r="P867" s="1" t="s">
        <v>74</v>
      </c>
      <c r="Q867" s="1" t="s">
        <v>74</v>
      </c>
      <c r="R867" s="1" t="s">
        <v>74</v>
      </c>
      <c r="S867" s="1" t="s">
        <v>74</v>
      </c>
      <c r="T867" s="1" t="s">
        <v>74</v>
      </c>
      <c r="U867" s="1" t="s">
        <v>74</v>
      </c>
      <c r="V867" s="1" t="s">
        <v>74</v>
      </c>
      <c r="W867" s="1" t="s">
        <v>74</v>
      </c>
      <c r="X867" s="1" t="s">
        <v>74</v>
      </c>
      <c r="Y867" s="1" t="s">
        <v>74</v>
      </c>
      <c r="Z867" s="1" t="s">
        <v>74</v>
      </c>
      <c r="AA867" s="1" t="s">
        <v>8626</v>
      </c>
      <c r="AB867" s="1" t="s">
        <v>8627</v>
      </c>
      <c r="AC867" s="1" t="s">
        <v>74</v>
      </c>
      <c r="AD867" s="1" t="s">
        <v>74</v>
      </c>
      <c r="AE867" s="1" t="s">
        <v>74</v>
      </c>
      <c r="AF867" s="1" t="s">
        <v>74</v>
      </c>
      <c r="AG867" s="1" t="s">
        <v>74</v>
      </c>
      <c r="AH867" s="1" t="s">
        <v>74</v>
      </c>
      <c r="AI867" s="1" t="s">
        <v>74</v>
      </c>
      <c r="AJ867" s="1" t="s">
        <v>74</v>
      </c>
      <c r="AK867" s="1" t="s">
        <v>74</v>
      </c>
      <c r="AL867" s="1" t="s">
        <v>74</v>
      </c>
      <c r="AM867" s="1" t="s">
        <v>74</v>
      </c>
      <c r="AN867" s="1" t="s">
        <v>74</v>
      </c>
      <c r="AO867" s="1" t="s">
        <v>8628</v>
      </c>
      <c r="AP867" s="1" t="s">
        <v>8629</v>
      </c>
      <c r="AQ867" s="1" t="s">
        <v>74</v>
      </c>
      <c r="AR867" s="1" t="s">
        <v>74</v>
      </c>
      <c r="AS867" s="1" t="s">
        <v>74</v>
      </c>
      <c r="AT867" s="1" t="s">
        <v>719</v>
      </c>
      <c r="AU867" s="1">
        <v>2016.0</v>
      </c>
      <c r="AV867" s="1">
        <v>51.0</v>
      </c>
      <c r="AW867" s="1" t="s">
        <v>74</v>
      </c>
      <c r="AX867" s="1" t="s">
        <v>74</v>
      </c>
      <c r="AY867" s="1">
        <v>1.0</v>
      </c>
      <c r="AZ867" s="1" t="s">
        <v>399</v>
      </c>
      <c r="BA867" s="1" t="s">
        <v>74</v>
      </c>
      <c r="BB867" s="1">
        <v>630.0</v>
      </c>
      <c r="BC867" s="1">
        <v>630.0</v>
      </c>
      <c r="BD867" s="1" t="s">
        <v>74</v>
      </c>
      <c r="BE867" s="1" t="s">
        <v>74</v>
      </c>
      <c r="BF867" s="1" t="s">
        <v>74</v>
      </c>
      <c r="BG867" s="1" t="s">
        <v>74</v>
      </c>
      <c r="BH867" s="1" t="s">
        <v>74</v>
      </c>
      <c r="BI867" s="1" t="s">
        <v>74</v>
      </c>
      <c r="BJ867" s="1" t="s">
        <v>74</v>
      </c>
      <c r="BK867" s="1" t="s">
        <v>74</v>
      </c>
      <c r="BL867" s="1" t="s">
        <v>74</v>
      </c>
      <c r="BM867" s="1" t="s">
        <v>74</v>
      </c>
      <c r="BN867" s="1" t="s">
        <v>74</v>
      </c>
      <c r="BO867" s="1" t="s">
        <v>74</v>
      </c>
      <c r="BP867" s="1" t="s">
        <v>74</v>
      </c>
      <c r="BQ867" s="1" t="s">
        <v>74</v>
      </c>
      <c r="BR867" s="1" t="s">
        <v>74</v>
      </c>
      <c r="BS867" s="1" t="s">
        <v>8630</v>
      </c>
      <c r="BT867" s="1" t="str">
        <f>HYPERLINK("https%3A%2F%2Fwww.webofscience.com%2Fwos%2Fwoscc%2Ffull-record%2FWOS:000413720404664","View Full Record in Web of Science")</f>
        <v>View Full Record in Web of Science</v>
      </c>
    </row>
    <row r="868" ht="12.75" customHeight="1">
      <c r="A868" s="1" t="s">
        <v>72</v>
      </c>
      <c r="B868" s="1" t="s">
        <v>8631</v>
      </c>
      <c r="C868" s="1" t="s">
        <v>74</v>
      </c>
      <c r="D868" s="1" t="s">
        <v>74</v>
      </c>
      <c r="E868" s="1" t="s">
        <v>74</v>
      </c>
      <c r="F868" s="1" t="s">
        <v>8632</v>
      </c>
      <c r="G868" s="1" t="s">
        <v>74</v>
      </c>
      <c r="H868" s="1" t="s">
        <v>74</v>
      </c>
      <c r="I868" s="1" t="s">
        <v>8633</v>
      </c>
      <c r="J868" s="1" t="s">
        <v>2754</v>
      </c>
      <c r="K868" s="1" t="s">
        <v>74</v>
      </c>
      <c r="L868" s="1" t="s">
        <v>74</v>
      </c>
      <c r="M868" s="1" t="s">
        <v>74</v>
      </c>
      <c r="N868" s="1" t="s">
        <v>74</v>
      </c>
      <c r="O868" s="1" t="s">
        <v>74</v>
      </c>
      <c r="P868" s="1" t="s">
        <v>74</v>
      </c>
      <c r="Q868" s="1" t="s">
        <v>74</v>
      </c>
      <c r="R868" s="1" t="s">
        <v>74</v>
      </c>
      <c r="S868" s="1" t="s">
        <v>74</v>
      </c>
      <c r="T868" s="1" t="s">
        <v>74</v>
      </c>
      <c r="U868" s="1" t="s">
        <v>74</v>
      </c>
      <c r="V868" s="1" t="s">
        <v>8634</v>
      </c>
      <c r="W868" s="1" t="s">
        <v>74</v>
      </c>
      <c r="X868" s="1" t="s">
        <v>74</v>
      </c>
      <c r="Y868" s="1" t="s">
        <v>74</v>
      </c>
      <c r="Z868" s="1" t="s">
        <v>74</v>
      </c>
      <c r="AA868" s="1" t="s">
        <v>8635</v>
      </c>
      <c r="AB868" s="1" t="s">
        <v>8636</v>
      </c>
      <c r="AC868" s="1" t="s">
        <v>74</v>
      </c>
      <c r="AD868" s="1" t="s">
        <v>74</v>
      </c>
      <c r="AE868" s="1" t="s">
        <v>74</v>
      </c>
      <c r="AF868" s="1" t="s">
        <v>74</v>
      </c>
      <c r="AG868" s="1" t="s">
        <v>74</v>
      </c>
      <c r="AH868" s="1" t="s">
        <v>74</v>
      </c>
      <c r="AI868" s="1" t="s">
        <v>74</v>
      </c>
      <c r="AJ868" s="1" t="s">
        <v>74</v>
      </c>
      <c r="AK868" s="1" t="s">
        <v>74</v>
      </c>
      <c r="AL868" s="1" t="s">
        <v>74</v>
      </c>
      <c r="AM868" s="1" t="s">
        <v>74</v>
      </c>
      <c r="AN868" s="1" t="s">
        <v>74</v>
      </c>
      <c r="AO868" s="1" t="s">
        <v>2758</v>
      </c>
      <c r="AP868" s="1" t="s">
        <v>2759</v>
      </c>
      <c r="AQ868" s="1" t="s">
        <v>74</v>
      </c>
      <c r="AR868" s="1" t="s">
        <v>74</v>
      </c>
      <c r="AS868" s="1" t="s">
        <v>74</v>
      </c>
      <c r="AT868" s="1" t="s">
        <v>191</v>
      </c>
      <c r="AU868" s="1">
        <v>2009.0</v>
      </c>
      <c r="AV868" s="1">
        <v>105.0</v>
      </c>
      <c r="AW868" s="1">
        <v>11.0</v>
      </c>
      <c r="AX868" s="1" t="s">
        <v>74</v>
      </c>
      <c r="AY868" s="1" t="s">
        <v>74</v>
      </c>
      <c r="AZ868" s="1" t="s">
        <v>74</v>
      </c>
      <c r="BA868" s="1" t="s">
        <v>74</v>
      </c>
      <c r="BB868" s="1" t="s">
        <v>74</v>
      </c>
      <c r="BC868" s="1" t="s">
        <v>74</v>
      </c>
      <c r="BD868" s="1">
        <v>114306.0</v>
      </c>
      <c r="BE868" s="1" t="s">
        <v>8637</v>
      </c>
      <c r="BF868" s="2" t="str">
        <f>HYPERLINK("http://dx.doi.org/10.1063/1.3126485","http://dx.doi.org/10.1063/1.3126485")</f>
        <v>http://dx.doi.org/10.1063/1.3126485</v>
      </c>
      <c r="BG868" s="1" t="s">
        <v>74</v>
      </c>
      <c r="BH868" s="1" t="s">
        <v>74</v>
      </c>
      <c r="BI868" s="1" t="s">
        <v>74</v>
      </c>
      <c r="BJ868" s="1" t="s">
        <v>74</v>
      </c>
      <c r="BK868" s="1" t="s">
        <v>74</v>
      </c>
      <c r="BL868" s="1" t="s">
        <v>74</v>
      </c>
      <c r="BM868" s="1" t="s">
        <v>74</v>
      </c>
      <c r="BN868" s="1" t="s">
        <v>74</v>
      </c>
      <c r="BO868" s="1" t="s">
        <v>74</v>
      </c>
      <c r="BP868" s="1" t="s">
        <v>74</v>
      </c>
      <c r="BQ868" s="1" t="s">
        <v>74</v>
      </c>
      <c r="BR868" s="1" t="s">
        <v>74</v>
      </c>
      <c r="BS868" s="1" t="s">
        <v>8638</v>
      </c>
      <c r="BT868" s="1" t="str">
        <f>HYPERLINK("https%3A%2F%2Fwww.webofscience.com%2Fwos%2Fwoscc%2Ffull-record%2FWOS:000267053200126","View Full Record in Web of Science")</f>
        <v>View Full Record in Web of Science</v>
      </c>
    </row>
    <row r="869" ht="12.75" customHeight="1">
      <c r="A869" s="1" t="s">
        <v>260</v>
      </c>
      <c r="B869" s="1" t="s">
        <v>8639</v>
      </c>
      <c r="C869" s="1" t="s">
        <v>74</v>
      </c>
      <c r="D869" s="1" t="s">
        <v>8640</v>
      </c>
      <c r="E869" s="1" t="s">
        <v>74</v>
      </c>
      <c r="F869" s="1" t="s">
        <v>8641</v>
      </c>
      <c r="G869" s="1" t="s">
        <v>74</v>
      </c>
      <c r="H869" s="1" t="s">
        <v>74</v>
      </c>
      <c r="I869" s="1" t="s">
        <v>8642</v>
      </c>
      <c r="J869" s="1" t="s">
        <v>8643</v>
      </c>
      <c r="K869" s="1" t="s">
        <v>8644</v>
      </c>
      <c r="L869" s="1" t="s">
        <v>74</v>
      </c>
      <c r="M869" s="1" t="s">
        <v>74</v>
      </c>
      <c r="N869" s="1" t="s">
        <v>74</v>
      </c>
      <c r="O869" s="1" t="s">
        <v>8645</v>
      </c>
      <c r="P869" s="1" t="s">
        <v>8646</v>
      </c>
      <c r="Q869" s="1" t="s">
        <v>8647</v>
      </c>
      <c r="R869" s="1" t="s">
        <v>8648</v>
      </c>
      <c r="S869" s="1" t="s">
        <v>74</v>
      </c>
      <c r="T869" s="1" t="s">
        <v>74</v>
      </c>
      <c r="U869" s="1" t="s">
        <v>74</v>
      </c>
      <c r="V869" s="1" t="s">
        <v>8649</v>
      </c>
      <c r="W869" s="1" t="s">
        <v>74</v>
      </c>
      <c r="X869" s="1" t="s">
        <v>74</v>
      </c>
      <c r="Y869" s="1" t="s">
        <v>74</v>
      </c>
      <c r="Z869" s="1" t="s">
        <v>74</v>
      </c>
      <c r="AA869" s="1" t="s">
        <v>8650</v>
      </c>
      <c r="AB869" s="1" t="s">
        <v>8651</v>
      </c>
      <c r="AC869" s="1" t="s">
        <v>74</v>
      </c>
      <c r="AD869" s="1" t="s">
        <v>74</v>
      </c>
      <c r="AE869" s="1" t="s">
        <v>74</v>
      </c>
      <c r="AF869" s="1" t="s">
        <v>74</v>
      </c>
      <c r="AG869" s="1" t="s">
        <v>74</v>
      </c>
      <c r="AH869" s="1" t="s">
        <v>74</v>
      </c>
      <c r="AI869" s="1" t="s">
        <v>74</v>
      </c>
      <c r="AJ869" s="1" t="s">
        <v>74</v>
      </c>
      <c r="AK869" s="1" t="s">
        <v>74</v>
      </c>
      <c r="AL869" s="1" t="s">
        <v>74</v>
      </c>
      <c r="AM869" s="1" t="s">
        <v>74</v>
      </c>
      <c r="AN869" s="1" t="s">
        <v>74</v>
      </c>
      <c r="AO869" s="1" t="s">
        <v>8652</v>
      </c>
      <c r="AP869" s="1" t="s">
        <v>8653</v>
      </c>
      <c r="AQ869" s="1" t="s">
        <v>8654</v>
      </c>
      <c r="AR869" s="1" t="s">
        <v>74</v>
      </c>
      <c r="AS869" s="1" t="s">
        <v>74</v>
      </c>
      <c r="AT869" s="1" t="s">
        <v>74</v>
      </c>
      <c r="AU869" s="1">
        <v>2009.0</v>
      </c>
      <c r="AV869" s="1">
        <v>648.0</v>
      </c>
      <c r="AW869" s="1" t="s">
        <v>74</v>
      </c>
      <c r="AX869" s="1" t="s">
        <v>74</v>
      </c>
      <c r="AY869" s="1" t="s">
        <v>74</v>
      </c>
      <c r="AZ869" s="1" t="s">
        <v>74</v>
      </c>
      <c r="BA869" s="1" t="s">
        <v>74</v>
      </c>
      <c r="BB869" s="1">
        <v>137.0</v>
      </c>
      <c r="BC869" s="1">
        <v>143.0</v>
      </c>
      <c r="BD869" s="1" t="s">
        <v>74</v>
      </c>
      <c r="BE869" s="1" t="s">
        <v>8655</v>
      </c>
      <c r="BF869" s="2" t="str">
        <f>HYPERLINK("http://dx.doi.org/10.1007/978-90-481-2259-2_16","http://dx.doi.org/10.1007/978-90-481-2259-2_16")</f>
        <v>http://dx.doi.org/10.1007/978-90-481-2259-2_16</v>
      </c>
      <c r="BG869" s="1" t="s">
        <v>74</v>
      </c>
      <c r="BH869" s="1" t="s">
        <v>74</v>
      </c>
      <c r="BI869" s="1" t="s">
        <v>74</v>
      </c>
      <c r="BJ869" s="1" t="s">
        <v>74</v>
      </c>
      <c r="BK869" s="1" t="s">
        <v>74</v>
      </c>
      <c r="BL869" s="1" t="s">
        <v>74</v>
      </c>
      <c r="BM869" s="1" t="s">
        <v>74</v>
      </c>
      <c r="BN869" s="1">
        <v>1.9536475E7</v>
      </c>
      <c r="BO869" s="1" t="s">
        <v>74</v>
      </c>
      <c r="BP869" s="1" t="s">
        <v>74</v>
      </c>
      <c r="BQ869" s="1" t="s">
        <v>74</v>
      </c>
      <c r="BR869" s="1" t="s">
        <v>74</v>
      </c>
      <c r="BS869" s="1" t="s">
        <v>8656</v>
      </c>
      <c r="BT869" s="1" t="str">
        <f>HYPERLINK("https%3A%2F%2Fwww.webofscience.com%2Fwos%2Fwoscc%2Ffull-record%2FWOS:000267288300016","View Full Record in Web of Science")</f>
        <v>View Full Record in Web of Science</v>
      </c>
    </row>
    <row r="870" ht="12.75" customHeight="1">
      <c r="A870" s="1" t="s">
        <v>72</v>
      </c>
      <c r="B870" s="1" t="s">
        <v>8657</v>
      </c>
      <c r="C870" s="1" t="s">
        <v>74</v>
      </c>
      <c r="D870" s="1" t="s">
        <v>74</v>
      </c>
      <c r="E870" s="1" t="s">
        <v>74</v>
      </c>
      <c r="F870" s="1" t="s">
        <v>8658</v>
      </c>
      <c r="G870" s="1" t="s">
        <v>74</v>
      </c>
      <c r="H870" s="1" t="s">
        <v>74</v>
      </c>
      <c r="I870" s="1" t="s">
        <v>8659</v>
      </c>
      <c r="J870" s="1" t="s">
        <v>8660</v>
      </c>
      <c r="K870" s="1" t="s">
        <v>74</v>
      </c>
      <c r="L870" s="1" t="s">
        <v>74</v>
      </c>
      <c r="M870" s="1" t="s">
        <v>74</v>
      </c>
      <c r="N870" s="1" t="s">
        <v>74</v>
      </c>
      <c r="O870" s="1" t="s">
        <v>74</v>
      </c>
      <c r="P870" s="1" t="s">
        <v>74</v>
      </c>
      <c r="Q870" s="1" t="s">
        <v>74</v>
      </c>
      <c r="R870" s="1" t="s">
        <v>74</v>
      </c>
      <c r="S870" s="1" t="s">
        <v>74</v>
      </c>
      <c r="T870" s="1" t="s">
        <v>74</v>
      </c>
      <c r="U870" s="1" t="s">
        <v>74</v>
      </c>
      <c r="V870" s="1" t="s">
        <v>8661</v>
      </c>
      <c r="W870" s="1" t="s">
        <v>74</v>
      </c>
      <c r="X870" s="1" t="s">
        <v>74</v>
      </c>
      <c r="Y870" s="1" t="s">
        <v>74</v>
      </c>
      <c r="Z870" s="1" t="s">
        <v>74</v>
      </c>
      <c r="AA870" s="1" t="s">
        <v>8662</v>
      </c>
      <c r="AB870" s="1" t="s">
        <v>8663</v>
      </c>
      <c r="AC870" s="1" t="s">
        <v>74</v>
      </c>
      <c r="AD870" s="1" t="s">
        <v>74</v>
      </c>
      <c r="AE870" s="1" t="s">
        <v>74</v>
      </c>
      <c r="AF870" s="1" t="s">
        <v>74</v>
      </c>
      <c r="AG870" s="1" t="s">
        <v>74</v>
      </c>
      <c r="AH870" s="1" t="s">
        <v>74</v>
      </c>
      <c r="AI870" s="1" t="s">
        <v>74</v>
      </c>
      <c r="AJ870" s="1" t="s">
        <v>74</v>
      </c>
      <c r="AK870" s="1" t="s">
        <v>74</v>
      </c>
      <c r="AL870" s="1" t="s">
        <v>74</v>
      </c>
      <c r="AM870" s="1" t="s">
        <v>74</v>
      </c>
      <c r="AN870" s="1" t="s">
        <v>74</v>
      </c>
      <c r="AO870" s="1" t="s">
        <v>8664</v>
      </c>
      <c r="AP870" s="1" t="s">
        <v>74</v>
      </c>
      <c r="AQ870" s="1" t="s">
        <v>74</v>
      </c>
      <c r="AR870" s="1" t="s">
        <v>74</v>
      </c>
      <c r="AS870" s="1" t="s">
        <v>74</v>
      </c>
      <c r="AT870" s="1" t="s">
        <v>179</v>
      </c>
      <c r="AU870" s="1">
        <v>2008.0</v>
      </c>
      <c r="AV870" s="1">
        <v>90.0</v>
      </c>
      <c r="AW870" s="1">
        <v>1.0</v>
      </c>
      <c r="AX870" s="1" t="s">
        <v>74</v>
      </c>
      <c r="AY870" s="1" t="s">
        <v>74</v>
      </c>
      <c r="AZ870" s="1" t="s">
        <v>74</v>
      </c>
      <c r="BA870" s="1" t="s">
        <v>74</v>
      </c>
      <c r="BB870" s="1">
        <v>41.0</v>
      </c>
      <c r="BC870" s="1">
        <v>46.0</v>
      </c>
      <c r="BD870" s="1" t="s">
        <v>74</v>
      </c>
      <c r="BE870" s="1" t="s">
        <v>8665</v>
      </c>
      <c r="BF870" s="2" t="str">
        <f>HYPERLINK("http://dx.doi.org/10.1016/j.jphotobiol.2007.10.004","http://dx.doi.org/10.1016/j.jphotobiol.2007.10.004")</f>
        <v>http://dx.doi.org/10.1016/j.jphotobiol.2007.10.004</v>
      </c>
      <c r="BG870" s="1" t="s">
        <v>74</v>
      </c>
      <c r="BH870" s="1" t="s">
        <v>74</v>
      </c>
      <c r="BI870" s="1" t="s">
        <v>74</v>
      </c>
      <c r="BJ870" s="1" t="s">
        <v>74</v>
      </c>
      <c r="BK870" s="1" t="s">
        <v>74</v>
      </c>
      <c r="BL870" s="1" t="s">
        <v>74</v>
      </c>
      <c r="BM870" s="1" t="s">
        <v>74</v>
      </c>
      <c r="BN870" s="1">
        <v>1.8063377E7</v>
      </c>
      <c r="BO870" s="1" t="s">
        <v>74</v>
      </c>
      <c r="BP870" s="1" t="s">
        <v>74</v>
      </c>
      <c r="BQ870" s="1" t="s">
        <v>74</v>
      </c>
      <c r="BR870" s="1" t="s">
        <v>74</v>
      </c>
      <c r="BS870" s="1" t="s">
        <v>8666</v>
      </c>
      <c r="BT870" s="1" t="str">
        <f>HYPERLINK("https%3A%2F%2Fwww.webofscience.com%2Fwos%2Fwoscc%2Ffull-record%2FWOS:000253220000006","View Full Record in Web of Science")</f>
        <v>View Full Record in Web of Science</v>
      </c>
    </row>
    <row r="871" ht="12.75" customHeight="1">
      <c r="A871" s="1" t="s">
        <v>72</v>
      </c>
      <c r="B871" s="1" t="s">
        <v>8667</v>
      </c>
      <c r="C871" s="1" t="s">
        <v>74</v>
      </c>
      <c r="D871" s="1" t="s">
        <v>74</v>
      </c>
      <c r="E871" s="1" t="s">
        <v>74</v>
      </c>
      <c r="F871" s="1" t="s">
        <v>8667</v>
      </c>
      <c r="G871" s="1" t="s">
        <v>74</v>
      </c>
      <c r="H871" s="1" t="s">
        <v>74</v>
      </c>
      <c r="I871" s="1" t="s">
        <v>8668</v>
      </c>
      <c r="J871" s="1" t="s">
        <v>8669</v>
      </c>
      <c r="K871" s="1" t="s">
        <v>74</v>
      </c>
      <c r="L871" s="1" t="s">
        <v>74</v>
      </c>
      <c r="M871" s="1" t="s">
        <v>74</v>
      </c>
      <c r="N871" s="1" t="s">
        <v>74</v>
      </c>
      <c r="O871" s="1" t="s">
        <v>74</v>
      </c>
      <c r="P871" s="1" t="s">
        <v>74</v>
      </c>
      <c r="Q871" s="1" t="s">
        <v>74</v>
      </c>
      <c r="R871" s="1" t="s">
        <v>74</v>
      </c>
      <c r="S871" s="1" t="s">
        <v>74</v>
      </c>
      <c r="T871" s="1" t="s">
        <v>74</v>
      </c>
      <c r="U871" s="1" t="s">
        <v>74</v>
      </c>
      <c r="V871" s="1" t="s">
        <v>8670</v>
      </c>
      <c r="W871" s="1" t="s">
        <v>74</v>
      </c>
      <c r="X871" s="1" t="s">
        <v>74</v>
      </c>
      <c r="Y871" s="1" t="s">
        <v>74</v>
      </c>
      <c r="Z871" s="1" t="s">
        <v>74</v>
      </c>
      <c r="AA871" s="1" t="s">
        <v>3902</v>
      </c>
      <c r="AB871" s="1" t="s">
        <v>3903</v>
      </c>
      <c r="AC871" s="1" t="s">
        <v>74</v>
      </c>
      <c r="AD871" s="1" t="s">
        <v>74</v>
      </c>
      <c r="AE871" s="1" t="s">
        <v>74</v>
      </c>
      <c r="AF871" s="1" t="s">
        <v>74</v>
      </c>
      <c r="AG871" s="1" t="s">
        <v>74</v>
      </c>
      <c r="AH871" s="1" t="s">
        <v>74</v>
      </c>
      <c r="AI871" s="1" t="s">
        <v>74</v>
      </c>
      <c r="AJ871" s="1" t="s">
        <v>74</v>
      </c>
      <c r="AK871" s="1" t="s">
        <v>74</v>
      </c>
      <c r="AL871" s="1" t="s">
        <v>74</v>
      </c>
      <c r="AM871" s="1" t="s">
        <v>74</v>
      </c>
      <c r="AN871" s="1" t="s">
        <v>74</v>
      </c>
      <c r="AO871" s="1" t="s">
        <v>8671</v>
      </c>
      <c r="AP871" s="1" t="s">
        <v>74</v>
      </c>
      <c r="AQ871" s="1" t="s">
        <v>74</v>
      </c>
      <c r="AR871" s="1" t="s">
        <v>74</v>
      </c>
      <c r="AS871" s="1" t="s">
        <v>74</v>
      </c>
      <c r="AT871" s="1" t="s">
        <v>438</v>
      </c>
      <c r="AU871" s="1">
        <v>2005.0</v>
      </c>
      <c r="AV871" s="1">
        <v>76.0</v>
      </c>
      <c r="AW871" s="1">
        <v>4.0</v>
      </c>
      <c r="AX871" s="1" t="s">
        <v>74</v>
      </c>
      <c r="AY871" s="1" t="s">
        <v>74</v>
      </c>
      <c r="AZ871" s="1" t="s">
        <v>74</v>
      </c>
      <c r="BA871" s="1" t="s">
        <v>74</v>
      </c>
      <c r="BB871" s="1" t="s">
        <v>74</v>
      </c>
      <c r="BC871" s="1" t="s">
        <v>74</v>
      </c>
      <c r="BD871" s="1">
        <v>44902.0</v>
      </c>
      <c r="BE871" s="1" t="s">
        <v>8672</v>
      </c>
      <c r="BF871" s="2" t="str">
        <f>HYPERLINK("http://dx.doi.org/10.1063/1.1877012","http://dx.doi.org/10.1063/1.1877012")</f>
        <v>http://dx.doi.org/10.1063/1.1877012</v>
      </c>
      <c r="BG871" s="1" t="s">
        <v>74</v>
      </c>
      <c r="BH871" s="1" t="s">
        <v>74</v>
      </c>
      <c r="BI871" s="1" t="s">
        <v>74</v>
      </c>
      <c r="BJ871" s="1" t="s">
        <v>74</v>
      </c>
      <c r="BK871" s="1" t="s">
        <v>74</v>
      </c>
      <c r="BL871" s="1" t="s">
        <v>74</v>
      </c>
      <c r="BM871" s="1" t="s">
        <v>74</v>
      </c>
      <c r="BN871" s="1" t="s">
        <v>74</v>
      </c>
      <c r="BO871" s="1" t="s">
        <v>74</v>
      </c>
      <c r="BP871" s="1" t="s">
        <v>74</v>
      </c>
      <c r="BQ871" s="1" t="s">
        <v>74</v>
      </c>
      <c r="BR871" s="1" t="s">
        <v>74</v>
      </c>
      <c r="BS871" s="1" t="s">
        <v>8673</v>
      </c>
      <c r="BT871" s="1" t="str">
        <f>HYPERLINK("https%3A%2F%2Fwww.webofscience.com%2Fwos%2Fwoscc%2Ffull-record%2FWOS:000228362200036","View Full Record in Web of Science")</f>
        <v>View Full Record in Web of Science</v>
      </c>
    </row>
    <row r="872" ht="12.75" customHeight="1">
      <c r="A872" s="1" t="s">
        <v>72</v>
      </c>
      <c r="B872" s="1" t="s">
        <v>8674</v>
      </c>
      <c r="C872" s="1" t="s">
        <v>74</v>
      </c>
      <c r="D872" s="1" t="s">
        <v>74</v>
      </c>
      <c r="E872" s="1" t="s">
        <v>74</v>
      </c>
      <c r="F872" s="1" t="s">
        <v>8675</v>
      </c>
      <c r="G872" s="1" t="s">
        <v>74</v>
      </c>
      <c r="H872" s="1" t="s">
        <v>74</v>
      </c>
      <c r="I872" s="1" t="s">
        <v>8676</v>
      </c>
      <c r="J872" s="1" t="s">
        <v>8677</v>
      </c>
      <c r="K872" s="1" t="s">
        <v>74</v>
      </c>
      <c r="L872" s="1" t="s">
        <v>74</v>
      </c>
      <c r="M872" s="1" t="s">
        <v>74</v>
      </c>
      <c r="N872" s="1" t="s">
        <v>74</v>
      </c>
      <c r="O872" s="1" t="s">
        <v>74</v>
      </c>
      <c r="P872" s="1" t="s">
        <v>74</v>
      </c>
      <c r="Q872" s="1" t="s">
        <v>74</v>
      </c>
      <c r="R872" s="1" t="s">
        <v>74</v>
      </c>
      <c r="S872" s="1" t="s">
        <v>74</v>
      </c>
      <c r="T872" s="1" t="s">
        <v>74</v>
      </c>
      <c r="U872" s="1" t="s">
        <v>74</v>
      </c>
      <c r="V872" s="1" t="s">
        <v>8678</v>
      </c>
      <c r="W872" s="1" t="s">
        <v>74</v>
      </c>
      <c r="X872" s="1" t="s">
        <v>74</v>
      </c>
      <c r="Y872" s="1" t="s">
        <v>74</v>
      </c>
      <c r="Z872" s="1" t="s">
        <v>74</v>
      </c>
      <c r="AA872" s="1" t="s">
        <v>8679</v>
      </c>
      <c r="AB872" s="1" t="s">
        <v>8680</v>
      </c>
      <c r="AC872" s="1" t="s">
        <v>74</v>
      </c>
      <c r="AD872" s="1" t="s">
        <v>74</v>
      </c>
      <c r="AE872" s="1" t="s">
        <v>74</v>
      </c>
      <c r="AF872" s="1" t="s">
        <v>74</v>
      </c>
      <c r="AG872" s="1" t="s">
        <v>74</v>
      </c>
      <c r="AH872" s="1" t="s">
        <v>74</v>
      </c>
      <c r="AI872" s="1" t="s">
        <v>74</v>
      </c>
      <c r="AJ872" s="1" t="s">
        <v>74</v>
      </c>
      <c r="AK872" s="1" t="s">
        <v>74</v>
      </c>
      <c r="AL872" s="1" t="s">
        <v>74</v>
      </c>
      <c r="AM872" s="1" t="s">
        <v>74</v>
      </c>
      <c r="AN872" s="1" t="s">
        <v>74</v>
      </c>
      <c r="AO872" s="1" t="s">
        <v>8681</v>
      </c>
      <c r="AP872" s="1" t="s">
        <v>8682</v>
      </c>
      <c r="AQ872" s="1" t="s">
        <v>74</v>
      </c>
      <c r="AR872" s="1" t="s">
        <v>74</v>
      </c>
      <c r="AS872" s="1" t="s">
        <v>74</v>
      </c>
      <c r="AT872" s="1" t="s">
        <v>155</v>
      </c>
      <c r="AU872" s="1">
        <v>2024.0</v>
      </c>
      <c r="AV872" s="1">
        <v>23.0</v>
      </c>
      <c r="AW872" s="1">
        <v>6.0</v>
      </c>
      <c r="AX872" s="1" t="s">
        <v>74</v>
      </c>
      <c r="AY872" s="1" t="s">
        <v>74</v>
      </c>
      <c r="AZ872" s="1" t="s">
        <v>74</v>
      </c>
      <c r="BA872" s="1" t="s">
        <v>74</v>
      </c>
      <c r="BB872" s="1">
        <v>6595.0</v>
      </c>
      <c r="BC872" s="1">
        <v>6608.0</v>
      </c>
      <c r="BD872" s="1" t="s">
        <v>74</v>
      </c>
      <c r="BE872" s="1" t="s">
        <v>8683</v>
      </c>
      <c r="BF872" s="2" t="str">
        <f>HYPERLINK("http://dx.doi.org/10.1109/TWC.2023.3334250","http://dx.doi.org/10.1109/TWC.2023.3334250")</f>
        <v>http://dx.doi.org/10.1109/TWC.2023.3334250</v>
      </c>
      <c r="BG872" s="1" t="s">
        <v>74</v>
      </c>
      <c r="BH872" s="1" t="s">
        <v>74</v>
      </c>
      <c r="BI872" s="1" t="s">
        <v>74</v>
      </c>
      <c r="BJ872" s="1" t="s">
        <v>74</v>
      </c>
      <c r="BK872" s="1" t="s">
        <v>74</v>
      </c>
      <c r="BL872" s="1" t="s">
        <v>74</v>
      </c>
      <c r="BM872" s="1" t="s">
        <v>74</v>
      </c>
      <c r="BN872" s="1" t="s">
        <v>74</v>
      </c>
      <c r="BO872" s="1" t="s">
        <v>74</v>
      </c>
      <c r="BP872" s="1" t="s">
        <v>74</v>
      </c>
      <c r="BQ872" s="1" t="s">
        <v>74</v>
      </c>
      <c r="BR872" s="1" t="s">
        <v>74</v>
      </c>
      <c r="BS872" s="1" t="s">
        <v>8684</v>
      </c>
      <c r="BT872" s="1" t="str">
        <f>HYPERLINK("https%3A%2F%2Fwww.webofscience.com%2Fwos%2Fwoscc%2Ffull-record%2FWOS:001247163400069","View Full Record in Web of Science")</f>
        <v>View Full Record in Web of Science</v>
      </c>
    </row>
    <row r="873" ht="12.75" customHeight="1">
      <c r="A873" s="1" t="s">
        <v>72</v>
      </c>
      <c r="B873" s="1" t="s">
        <v>8685</v>
      </c>
      <c r="C873" s="1" t="s">
        <v>74</v>
      </c>
      <c r="D873" s="1" t="s">
        <v>74</v>
      </c>
      <c r="E873" s="1" t="s">
        <v>74</v>
      </c>
      <c r="F873" s="1" t="s">
        <v>8686</v>
      </c>
      <c r="G873" s="1" t="s">
        <v>74</v>
      </c>
      <c r="H873" s="1" t="s">
        <v>74</v>
      </c>
      <c r="I873" s="1" t="s">
        <v>8687</v>
      </c>
      <c r="J873" s="1" t="s">
        <v>6072</v>
      </c>
      <c r="K873" s="1" t="s">
        <v>74</v>
      </c>
      <c r="L873" s="1" t="s">
        <v>74</v>
      </c>
      <c r="M873" s="1" t="s">
        <v>74</v>
      </c>
      <c r="N873" s="1" t="s">
        <v>74</v>
      </c>
      <c r="O873" s="1" t="s">
        <v>74</v>
      </c>
      <c r="P873" s="1" t="s">
        <v>74</v>
      </c>
      <c r="Q873" s="1" t="s">
        <v>74</v>
      </c>
      <c r="R873" s="1" t="s">
        <v>74</v>
      </c>
      <c r="S873" s="1" t="s">
        <v>74</v>
      </c>
      <c r="T873" s="1" t="s">
        <v>74</v>
      </c>
      <c r="U873" s="1" t="s">
        <v>74</v>
      </c>
      <c r="V873" s="1" t="s">
        <v>8688</v>
      </c>
      <c r="W873" s="1" t="s">
        <v>74</v>
      </c>
      <c r="X873" s="1" t="s">
        <v>74</v>
      </c>
      <c r="Y873" s="1" t="s">
        <v>74</v>
      </c>
      <c r="Z873" s="1" t="s">
        <v>74</v>
      </c>
      <c r="AA873" s="1" t="s">
        <v>8689</v>
      </c>
      <c r="AB873" s="1" t="s">
        <v>74</v>
      </c>
      <c r="AC873" s="1" t="s">
        <v>74</v>
      </c>
      <c r="AD873" s="1" t="s">
        <v>74</v>
      </c>
      <c r="AE873" s="1" t="s">
        <v>74</v>
      </c>
      <c r="AF873" s="1" t="s">
        <v>74</v>
      </c>
      <c r="AG873" s="1" t="s">
        <v>74</v>
      </c>
      <c r="AH873" s="1" t="s">
        <v>74</v>
      </c>
      <c r="AI873" s="1" t="s">
        <v>74</v>
      </c>
      <c r="AJ873" s="1" t="s">
        <v>74</v>
      </c>
      <c r="AK873" s="1" t="s">
        <v>74</v>
      </c>
      <c r="AL873" s="1" t="s">
        <v>74</v>
      </c>
      <c r="AM873" s="1" t="s">
        <v>74</v>
      </c>
      <c r="AN873" s="1" t="s">
        <v>74</v>
      </c>
      <c r="AO873" s="1" t="s">
        <v>6075</v>
      </c>
      <c r="AP873" s="1" t="s">
        <v>6076</v>
      </c>
      <c r="AQ873" s="1" t="s">
        <v>74</v>
      </c>
      <c r="AR873" s="1" t="s">
        <v>74</v>
      </c>
      <c r="AS873" s="1" t="s">
        <v>74</v>
      </c>
      <c r="AT873" s="1" t="s">
        <v>577</v>
      </c>
      <c r="AU873" s="1">
        <v>2024.0</v>
      </c>
      <c r="AV873" s="1">
        <v>568.0</v>
      </c>
      <c r="AW873" s="1" t="s">
        <v>74</v>
      </c>
      <c r="AX873" s="1" t="s">
        <v>74</v>
      </c>
      <c r="AY873" s="1" t="s">
        <v>74</v>
      </c>
      <c r="AZ873" s="1" t="s">
        <v>74</v>
      </c>
      <c r="BA873" s="1" t="s">
        <v>74</v>
      </c>
      <c r="BB873" s="1" t="s">
        <v>74</v>
      </c>
      <c r="BC873" s="1" t="s">
        <v>74</v>
      </c>
      <c r="BD873" s="1">
        <v>122064.0</v>
      </c>
      <c r="BE873" s="1" t="s">
        <v>8690</v>
      </c>
      <c r="BF873" s="2" t="str">
        <f>HYPERLINK("http://dx.doi.org/10.1016/j.ica.2024.122064","http://dx.doi.org/10.1016/j.ica.2024.122064")</f>
        <v>http://dx.doi.org/10.1016/j.ica.2024.122064</v>
      </c>
      <c r="BG873" s="1" t="s">
        <v>74</v>
      </c>
      <c r="BH873" s="1" t="s">
        <v>5394</v>
      </c>
      <c r="BI873" s="1" t="s">
        <v>74</v>
      </c>
      <c r="BJ873" s="1" t="s">
        <v>74</v>
      </c>
      <c r="BK873" s="1" t="s">
        <v>74</v>
      </c>
      <c r="BL873" s="1" t="s">
        <v>74</v>
      </c>
      <c r="BM873" s="1" t="s">
        <v>74</v>
      </c>
      <c r="BN873" s="1" t="s">
        <v>74</v>
      </c>
      <c r="BO873" s="1" t="s">
        <v>74</v>
      </c>
      <c r="BP873" s="1" t="s">
        <v>74</v>
      </c>
      <c r="BQ873" s="1" t="s">
        <v>74</v>
      </c>
      <c r="BR873" s="1" t="s">
        <v>74</v>
      </c>
      <c r="BS873" s="1" t="s">
        <v>8691</v>
      </c>
      <c r="BT873" s="1" t="str">
        <f>HYPERLINK("https%3A%2F%2Fwww.webofscience.com%2Fwos%2Fwoscc%2Ffull-record%2FWOS:001232681300001","View Full Record in Web of Science")</f>
        <v>View Full Record in Web of Science</v>
      </c>
    </row>
    <row r="874" ht="12.75" customHeight="1">
      <c r="A874" s="1" t="s">
        <v>72</v>
      </c>
      <c r="B874" s="1" t="s">
        <v>8692</v>
      </c>
      <c r="C874" s="1" t="s">
        <v>74</v>
      </c>
      <c r="D874" s="1" t="s">
        <v>74</v>
      </c>
      <c r="E874" s="1" t="s">
        <v>74</v>
      </c>
      <c r="F874" s="1" t="s">
        <v>8693</v>
      </c>
      <c r="G874" s="1" t="s">
        <v>74</v>
      </c>
      <c r="H874" s="1" t="s">
        <v>74</v>
      </c>
      <c r="I874" s="1" t="s">
        <v>8694</v>
      </c>
      <c r="J874" s="1" t="s">
        <v>1072</v>
      </c>
      <c r="K874" s="1" t="s">
        <v>74</v>
      </c>
      <c r="L874" s="1" t="s">
        <v>74</v>
      </c>
      <c r="M874" s="1" t="s">
        <v>74</v>
      </c>
      <c r="N874" s="1" t="s">
        <v>74</v>
      </c>
      <c r="O874" s="1" t="s">
        <v>74</v>
      </c>
      <c r="P874" s="1" t="s">
        <v>74</v>
      </c>
      <c r="Q874" s="1" t="s">
        <v>74</v>
      </c>
      <c r="R874" s="1" t="s">
        <v>74</v>
      </c>
      <c r="S874" s="1" t="s">
        <v>74</v>
      </c>
      <c r="T874" s="1" t="s">
        <v>74</v>
      </c>
      <c r="U874" s="1" t="s">
        <v>74</v>
      </c>
      <c r="V874" s="1" t="s">
        <v>8695</v>
      </c>
      <c r="W874" s="1" t="s">
        <v>74</v>
      </c>
      <c r="X874" s="1" t="s">
        <v>74</v>
      </c>
      <c r="Y874" s="1" t="s">
        <v>74</v>
      </c>
      <c r="Z874" s="1" t="s">
        <v>74</v>
      </c>
      <c r="AA874" s="1" t="s">
        <v>8696</v>
      </c>
      <c r="AB874" s="1" t="s">
        <v>74</v>
      </c>
      <c r="AC874" s="1" t="s">
        <v>74</v>
      </c>
      <c r="AD874" s="1" t="s">
        <v>74</v>
      </c>
      <c r="AE874" s="1" t="s">
        <v>74</v>
      </c>
      <c r="AF874" s="1" t="s">
        <v>74</v>
      </c>
      <c r="AG874" s="1" t="s">
        <v>74</v>
      </c>
      <c r="AH874" s="1" t="s">
        <v>74</v>
      </c>
      <c r="AI874" s="1" t="s">
        <v>74</v>
      </c>
      <c r="AJ874" s="1" t="s">
        <v>74</v>
      </c>
      <c r="AK874" s="1" t="s">
        <v>74</v>
      </c>
      <c r="AL874" s="1" t="s">
        <v>74</v>
      </c>
      <c r="AM874" s="1" t="s">
        <v>74</v>
      </c>
      <c r="AN874" s="1" t="s">
        <v>74</v>
      </c>
      <c r="AO874" s="1" t="s">
        <v>1075</v>
      </c>
      <c r="AP874" s="1" t="s">
        <v>1076</v>
      </c>
      <c r="AQ874" s="1" t="s">
        <v>74</v>
      </c>
      <c r="AR874" s="1" t="s">
        <v>74</v>
      </c>
      <c r="AS874" s="1" t="s">
        <v>74</v>
      </c>
      <c r="AT874" s="1" t="s">
        <v>74</v>
      </c>
      <c r="AU874" s="1">
        <v>2024.0</v>
      </c>
      <c r="AV874" s="1" t="s">
        <v>74</v>
      </c>
      <c r="AW874" s="1">
        <v>56.0</v>
      </c>
      <c r="AX874" s="1" t="s">
        <v>74</v>
      </c>
      <c r="AY874" s="1" t="s">
        <v>74</v>
      </c>
      <c r="AZ874" s="1" t="s">
        <v>74</v>
      </c>
      <c r="BA874" s="1" t="s">
        <v>74</v>
      </c>
      <c r="BB874" s="1">
        <v>597.0</v>
      </c>
      <c r="BC874" s="1">
        <v>606.0</v>
      </c>
      <c r="BD874" s="1" t="s">
        <v>74</v>
      </c>
      <c r="BE874" s="1" t="s">
        <v>74</v>
      </c>
      <c r="BF874" s="1" t="s">
        <v>74</v>
      </c>
      <c r="BG874" s="1" t="s">
        <v>74</v>
      </c>
      <c r="BH874" s="1" t="s">
        <v>74</v>
      </c>
      <c r="BI874" s="1" t="s">
        <v>74</v>
      </c>
      <c r="BJ874" s="1" t="s">
        <v>74</v>
      </c>
      <c r="BK874" s="1" t="s">
        <v>74</v>
      </c>
      <c r="BL874" s="1" t="s">
        <v>74</v>
      </c>
      <c r="BM874" s="1" t="s">
        <v>74</v>
      </c>
      <c r="BN874" s="1" t="s">
        <v>74</v>
      </c>
      <c r="BO874" s="1" t="s">
        <v>74</v>
      </c>
      <c r="BP874" s="1" t="s">
        <v>74</v>
      </c>
      <c r="BQ874" s="1" t="s">
        <v>74</v>
      </c>
      <c r="BR874" s="1" t="s">
        <v>74</v>
      </c>
      <c r="BS874" s="1" t="s">
        <v>8697</v>
      </c>
      <c r="BT874" s="1" t="str">
        <f>HYPERLINK("https%3A%2F%2Fwww.webofscience.com%2Fwos%2Fwoscc%2Ffull-record%2FWOS:001235939600001","View Full Record in Web of Science")</f>
        <v>View Full Record in Web of Science</v>
      </c>
    </row>
    <row r="875" ht="12.75" customHeight="1">
      <c r="A875" s="1" t="s">
        <v>72</v>
      </c>
      <c r="B875" s="1" t="s">
        <v>8698</v>
      </c>
      <c r="C875" s="1" t="s">
        <v>74</v>
      </c>
      <c r="D875" s="1" t="s">
        <v>74</v>
      </c>
      <c r="E875" s="1" t="s">
        <v>74</v>
      </c>
      <c r="F875" s="1" t="s">
        <v>8699</v>
      </c>
      <c r="G875" s="1" t="s">
        <v>74</v>
      </c>
      <c r="H875" s="1" t="s">
        <v>74</v>
      </c>
      <c r="I875" s="1" t="s">
        <v>8700</v>
      </c>
      <c r="J875" s="1" t="s">
        <v>1734</v>
      </c>
      <c r="K875" s="1" t="s">
        <v>74</v>
      </c>
      <c r="L875" s="1" t="s">
        <v>74</v>
      </c>
      <c r="M875" s="1" t="s">
        <v>74</v>
      </c>
      <c r="N875" s="1" t="s">
        <v>74</v>
      </c>
      <c r="O875" s="1" t="s">
        <v>74</v>
      </c>
      <c r="P875" s="1" t="s">
        <v>74</v>
      </c>
      <c r="Q875" s="1" t="s">
        <v>74</v>
      </c>
      <c r="R875" s="1" t="s">
        <v>74</v>
      </c>
      <c r="S875" s="1" t="s">
        <v>74</v>
      </c>
      <c r="T875" s="1" t="s">
        <v>74</v>
      </c>
      <c r="U875" s="1" t="s">
        <v>74</v>
      </c>
      <c r="V875" s="1" t="s">
        <v>8701</v>
      </c>
      <c r="W875" s="1" t="s">
        <v>74</v>
      </c>
      <c r="X875" s="1" t="s">
        <v>74</v>
      </c>
      <c r="Y875" s="1" t="s">
        <v>74</v>
      </c>
      <c r="Z875" s="1" t="s">
        <v>74</v>
      </c>
      <c r="AA875" s="1" t="s">
        <v>8702</v>
      </c>
      <c r="AB875" s="1" t="s">
        <v>74</v>
      </c>
      <c r="AC875" s="1" t="s">
        <v>74</v>
      </c>
      <c r="AD875" s="1" t="s">
        <v>74</v>
      </c>
      <c r="AE875" s="1" t="s">
        <v>74</v>
      </c>
      <c r="AF875" s="1" t="s">
        <v>74</v>
      </c>
      <c r="AG875" s="1" t="s">
        <v>74</v>
      </c>
      <c r="AH875" s="1" t="s">
        <v>74</v>
      </c>
      <c r="AI875" s="1" t="s">
        <v>74</v>
      </c>
      <c r="AJ875" s="1" t="s">
        <v>74</v>
      </c>
      <c r="AK875" s="1" t="s">
        <v>74</v>
      </c>
      <c r="AL875" s="1" t="s">
        <v>74</v>
      </c>
      <c r="AM875" s="1" t="s">
        <v>74</v>
      </c>
      <c r="AN875" s="1" t="s">
        <v>74</v>
      </c>
      <c r="AO875" s="1" t="s">
        <v>1737</v>
      </c>
      <c r="AP875" s="1" t="s">
        <v>1738</v>
      </c>
      <c r="AQ875" s="1" t="s">
        <v>74</v>
      </c>
      <c r="AR875" s="1" t="s">
        <v>74</v>
      </c>
      <c r="AS875" s="1" t="s">
        <v>74</v>
      </c>
      <c r="AT875" s="1" t="s">
        <v>411</v>
      </c>
      <c r="AU875" s="1">
        <v>2023.0</v>
      </c>
      <c r="AV875" s="1">
        <v>151.0</v>
      </c>
      <c r="AW875" s="1">
        <v>11.0</v>
      </c>
      <c r="AX875" s="1" t="s">
        <v>74</v>
      </c>
      <c r="AY875" s="1" t="s">
        <v>74</v>
      </c>
      <c r="AZ875" s="1" t="s">
        <v>74</v>
      </c>
      <c r="BA875" s="1" t="s">
        <v>74</v>
      </c>
      <c r="BB875" s="1">
        <v>1427.0</v>
      </c>
      <c r="BC875" s="1">
        <v>1436.0</v>
      </c>
      <c r="BD875" s="1" t="s">
        <v>74</v>
      </c>
      <c r="BE875" s="1" t="s">
        <v>74</v>
      </c>
      <c r="BF875" s="1" t="s">
        <v>74</v>
      </c>
      <c r="BG875" s="1" t="s">
        <v>74</v>
      </c>
      <c r="BH875" s="1" t="s">
        <v>74</v>
      </c>
      <c r="BI875" s="1" t="s">
        <v>74</v>
      </c>
      <c r="BJ875" s="1" t="s">
        <v>74</v>
      </c>
      <c r="BK875" s="1" t="s">
        <v>74</v>
      </c>
      <c r="BL875" s="1" t="s">
        <v>74</v>
      </c>
      <c r="BM875" s="1" t="s">
        <v>74</v>
      </c>
      <c r="BN875" s="1">
        <v>3.9270109E7</v>
      </c>
      <c r="BO875" s="1" t="s">
        <v>74</v>
      </c>
      <c r="BP875" s="1" t="s">
        <v>74</v>
      </c>
      <c r="BQ875" s="1" t="s">
        <v>74</v>
      </c>
      <c r="BR875" s="1" t="s">
        <v>74</v>
      </c>
      <c r="BS875" s="1" t="s">
        <v>8703</v>
      </c>
      <c r="BT875" s="1" t="str">
        <f>HYPERLINK("https%3A%2F%2Fwww.webofscience.com%2Fwos%2Fwoscc%2Ffull-record%2FWOS:001259479300001","View Full Record in Web of Science")</f>
        <v>View Full Record in Web of Science</v>
      </c>
    </row>
    <row r="876" ht="12.75" customHeight="1">
      <c r="A876" s="1" t="s">
        <v>72</v>
      </c>
      <c r="B876" s="1" t="s">
        <v>8704</v>
      </c>
      <c r="C876" s="1" t="s">
        <v>74</v>
      </c>
      <c r="D876" s="1" t="s">
        <v>74</v>
      </c>
      <c r="E876" s="1" t="s">
        <v>74</v>
      </c>
      <c r="F876" s="1" t="s">
        <v>8705</v>
      </c>
      <c r="G876" s="1" t="s">
        <v>74</v>
      </c>
      <c r="H876" s="1" t="s">
        <v>74</v>
      </c>
      <c r="I876" s="1" t="s">
        <v>8706</v>
      </c>
      <c r="J876" s="1" t="s">
        <v>3711</v>
      </c>
      <c r="K876" s="1" t="s">
        <v>74</v>
      </c>
      <c r="L876" s="1" t="s">
        <v>74</v>
      </c>
      <c r="M876" s="1" t="s">
        <v>74</v>
      </c>
      <c r="N876" s="1" t="s">
        <v>74</v>
      </c>
      <c r="O876" s="1" t="s">
        <v>74</v>
      </c>
      <c r="P876" s="1" t="s">
        <v>74</v>
      </c>
      <c r="Q876" s="1" t="s">
        <v>74</v>
      </c>
      <c r="R876" s="1" t="s">
        <v>74</v>
      </c>
      <c r="S876" s="1" t="s">
        <v>74</v>
      </c>
      <c r="T876" s="1" t="s">
        <v>74</v>
      </c>
      <c r="U876" s="1" t="s">
        <v>74</v>
      </c>
      <c r="V876" s="1" t="s">
        <v>8707</v>
      </c>
      <c r="W876" s="1" t="s">
        <v>74</v>
      </c>
      <c r="X876" s="1" t="s">
        <v>74</v>
      </c>
      <c r="Y876" s="1" t="s">
        <v>74</v>
      </c>
      <c r="Z876" s="1" t="s">
        <v>74</v>
      </c>
      <c r="AA876" s="1" t="s">
        <v>8708</v>
      </c>
      <c r="AB876" s="1" t="s">
        <v>8709</v>
      </c>
      <c r="AC876" s="1" t="s">
        <v>74</v>
      </c>
      <c r="AD876" s="1" t="s">
        <v>74</v>
      </c>
      <c r="AE876" s="1" t="s">
        <v>74</v>
      </c>
      <c r="AF876" s="1" t="s">
        <v>74</v>
      </c>
      <c r="AG876" s="1" t="s">
        <v>74</v>
      </c>
      <c r="AH876" s="1" t="s">
        <v>74</v>
      </c>
      <c r="AI876" s="1" t="s">
        <v>74</v>
      </c>
      <c r="AJ876" s="1" t="s">
        <v>74</v>
      </c>
      <c r="AK876" s="1" t="s">
        <v>74</v>
      </c>
      <c r="AL876" s="1" t="s">
        <v>74</v>
      </c>
      <c r="AM876" s="1" t="s">
        <v>74</v>
      </c>
      <c r="AN876" s="1" t="s">
        <v>74</v>
      </c>
      <c r="AO876" s="1" t="s">
        <v>3715</v>
      </c>
      <c r="AP876" s="1" t="s">
        <v>3932</v>
      </c>
      <c r="AQ876" s="1" t="s">
        <v>74</v>
      </c>
      <c r="AR876" s="1" t="s">
        <v>74</v>
      </c>
      <c r="AS876" s="1" t="s">
        <v>74</v>
      </c>
      <c r="AT876" s="1" t="s">
        <v>8710</v>
      </c>
      <c r="AU876" s="1">
        <v>2023.0</v>
      </c>
      <c r="AV876" s="1">
        <v>52.0</v>
      </c>
      <c r="AW876" s="1">
        <v>31.0</v>
      </c>
      <c r="AX876" s="1" t="s">
        <v>74</v>
      </c>
      <c r="AY876" s="1" t="s">
        <v>74</v>
      </c>
      <c r="AZ876" s="1" t="s">
        <v>74</v>
      </c>
      <c r="BA876" s="1" t="s">
        <v>74</v>
      </c>
      <c r="BB876" s="1">
        <v>10855.0</v>
      </c>
      <c r="BC876" s="1">
        <v>10868.0</v>
      </c>
      <c r="BD876" s="1" t="s">
        <v>74</v>
      </c>
      <c r="BE876" s="1" t="s">
        <v>8711</v>
      </c>
      <c r="BF876" s="2" t="str">
        <f>HYPERLINK("http://dx.doi.org/10.1039/d3dt00800b","http://dx.doi.org/10.1039/d3dt00800b")</f>
        <v>http://dx.doi.org/10.1039/d3dt00800b</v>
      </c>
      <c r="BG876" s="1" t="s">
        <v>74</v>
      </c>
      <c r="BH876" s="1" t="s">
        <v>1919</v>
      </c>
      <c r="BI876" s="1" t="s">
        <v>74</v>
      </c>
      <c r="BJ876" s="1" t="s">
        <v>74</v>
      </c>
      <c r="BK876" s="1" t="s">
        <v>74</v>
      </c>
      <c r="BL876" s="1" t="s">
        <v>74</v>
      </c>
      <c r="BM876" s="1" t="s">
        <v>74</v>
      </c>
      <c r="BN876" s="1">
        <v>3.7486008E7</v>
      </c>
      <c r="BO876" s="1" t="s">
        <v>74</v>
      </c>
      <c r="BP876" s="1" t="s">
        <v>74</v>
      </c>
      <c r="BQ876" s="1" t="s">
        <v>74</v>
      </c>
      <c r="BR876" s="1" t="s">
        <v>74</v>
      </c>
      <c r="BS876" s="1" t="s">
        <v>8712</v>
      </c>
      <c r="BT876" s="1" t="str">
        <f>HYPERLINK("https%3A%2F%2Fwww.webofscience.com%2Fwos%2Fwoscc%2Ffull-record%2FWOS:001035252900001","View Full Record in Web of Science")</f>
        <v>View Full Record in Web of Science</v>
      </c>
    </row>
    <row r="877" ht="12.75" customHeight="1">
      <c r="A877" s="1" t="s">
        <v>72</v>
      </c>
      <c r="B877" s="1" t="s">
        <v>8713</v>
      </c>
      <c r="C877" s="1" t="s">
        <v>74</v>
      </c>
      <c r="D877" s="1" t="s">
        <v>74</v>
      </c>
      <c r="E877" s="1" t="s">
        <v>74</v>
      </c>
      <c r="F877" s="1" t="s">
        <v>8714</v>
      </c>
      <c r="G877" s="1" t="s">
        <v>74</v>
      </c>
      <c r="H877" s="1" t="s">
        <v>74</v>
      </c>
      <c r="I877" s="1" t="s">
        <v>8715</v>
      </c>
      <c r="J877" s="1" t="s">
        <v>4324</v>
      </c>
      <c r="K877" s="1" t="s">
        <v>74</v>
      </c>
      <c r="L877" s="1" t="s">
        <v>74</v>
      </c>
      <c r="M877" s="1" t="s">
        <v>74</v>
      </c>
      <c r="N877" s="1" t="s">
        <v>74</v>
      </c>
      <c r="O877" s="1" t="s">
        <v>74</v>
      </c>
      <c r="P877" s="1" t="s">
        <v>74</v>
      </c>
      <c r="Q877" s="1" t="s">
        <v>74</v>
      </c>
      <c r="R877" s="1" t="s">
        <v>74</v>
      </c>
      <c r="S877" s="1" t="s">
        <v>74</v>
      </c>
      <c r="T877" s="1" t="s">
        <v>74</v>
      </c>
      <c r="U877" s="1" t="s">
        <v>74</v>
      </c>
      <c r="V877" s="1" t="s">
        <v>8716</v>
      </c>
      <c r="W877" s="1" t="s">
        <v>74</v>
      </c>
      <c r="X877" s="1" t="s">
        <v>74</v>
      </c>
      <c r="Y877" s="1" t="s">
        <v>74</v>
      </c>
      <c r="Z877" s="1" t="s">
        <v>74</v>
      </c>
      <c r="AA877" s="1" t="s">
        <v>8717</v>
      </c>
      <c r="AB877" s="1" t="s">
        <v>8718</v>
      </c>
      <c r="AC877" s="1" t="s">
        <v>74</v>
      </c>
      <c r="AD877" s="1" t="s">
        <v>74</v>
      </c>
      <c r="AE877" s="1" t="s">
        <v>74</v>
      </c>
      <c r="AF877" s="1" t="s">
        <v>74</v>
      </c>
      <c r="AG877" s="1" t="s">
        <v>74</v>
      </c>
      <c r="AH877" s="1" t="s">
        <v>74</v>
      </c>
      <c r="AI877" s="1" t="s">
        <v>74</v>
      </c>
      <c r="AJ877" s="1" t="s">
        <v>74</v>
      </c>
      <c r="AK877" s="1" t="s">
        <v>74</v>
      </c>
      <c r="AL877" s="1" t="s">
        <v>74</v>
      </c>
      <c r="AM877" s="1" t="s">
        <v>74</v>
      </c>
      <c r="AN877" s="1" t="s">
        <v>74</v>
      </c>
      <c r="AO877" s="1" t="s">
        <v>74</v>
      </c>
      <c r="AP877" s="1" t="s">
        <v>4328</v>
      </c>
      <c r="AQ877" s="1" t="s">
        <v>74</v>
      </c>
      <c r="AR877" s="1" t="s">
        <v>74</v>
      </c>
      <c r="AS877" s="1" t="s">
        <v>74</v>
      </c>
      <c r="AT877" s="1" t="s">
        <v>8719</v>
      </c>
      <c r="AU877" s="1">
        <v>2022.0</v>
      </c>
      <c r="AV877" s="1">
        <v>10.0</v>
      </c>
      <c r="AW877" s="1" t="s">
        <v>74</v>
      </c>
      <c r="AX877" s="1" t="s">
        <v>74</v>
      </c>
      <c r="AY877" s="1" t="s">
        <v>74</v>
      </c>
      <c r="AZ877" s="1" t="s">
        <v>74</v>
      </c>
      <c r="BA877" s="1" t="s">
        <v>74</v>
      </c>
      <c r="BB877" s="1" t="s">
        <v>74</v>
      </c>
      <c r="BC877" s="1" t="s">
        <v>74</v>
      </c>
      <c r="BD877" s="1">
        <v>797569.0</v>
      </c>
      <c r="BE877" s="1" t="s">
        <v>8720</v>
      </c>
      <c r="BF877" s="2" t="str">
        <f>HYPERLINK("http://dx.doi.org/10.3389/fpubh.2022.797569","http://dx.doi.org/10.3389/fpubh.2022.797569")</f>
        <v>http://dx.doi.org/10.3389/fpubh.2022.797569</v>
      </c>
      <c r="BG877" s="1" t="s">
        <v>74</v>
      </c>
      <c r="BH877" s="1" t="s">
        <v>74</v>
      </c>
      <c r="BI877" s="1" t="s">
        <v>74</v>
      </c>
      <c r="BJ877" s="1" t="s">
        <v>74</v>
      </c>
      <c r="BK877" s="1" t="s">
        <v>74</v>
      </c>
      <c r="BL877" s="1" t="s">
        <v>74</v>
      </c>
      <c r="BM877" s="1" t="s">
        <v>74</v>
      </c>
      <c r="BN877" s="1">
        <v>3.5387187E7</v>
      </c>
      <c r="BO877" s="1" t="s">
        <v>74</v>
      </c>
      <c r="BP877" s="1" t="s">
        <v>74</v>
      </c>
      <c r="BQ877" s="1" t="s">
        <v>74</v>
      </c>
      <c r="BR877" s="1" t="s">
        <v>74</v>
      </c>
      <c r="BS877" s="1" t="s">
        <v>8721</v>
      </c>
      <c r="BT877" s="1" t="str">
        <f>HYPERLINK("https%3A%2F%2Fwww.webofscience.com%2Fwos%2Fwoscc%2Ffull-record%2FWOS:000779123600001","View Full Record in Web of Science")</f>
        <v>View Full Record in Web of Science</v>
      </c>
    </row>
    <row r="878" ht="12.75" customHeight="1">
      <c r="A878" s="1" t="s">
        <v>72</v>
      </c>
      <c r="B878" s="1" t="s">
        <v>8722</v>
      </c>
      <c r="C878" s="1" t="s">
        <v>74</v>
      </c>
      <c r="D878" s="1" t="s">
        <v>74</v>
      </c>
      <c r="E878" s="1" t="s">
        <v>74</v>
      </c>
      <c r="F878" s="1" t="s">
        <v>8723</v>
      </c>
      <c r="G878" s="1" t="s">
        <v>74</v>
      </c>
      <c r="H878" s="1" t="s">
        <v>74</v>
      </c>
      <c r="I878" s="1" t="s">
        <v>8724</v>
      </c>
      <c r="J878" s="1" t="s">
        <v>5335</v>
      </c>
      <c r="K878" s="1" t="s">
        <v>74</v>
      </c>
      <c r="L878" s="1" t="s">
        <v>74</v>
      </c>
      <c r="M878" s="1" t="s">
        <v>74</v>
      </c>
      <c r="N878" s="1" t="s">
        <v>74</v>
      </c>
      <c r="O878" s="1" t="s">
        <v>74</v>
      </c>
      <c r="P878" s="1" t="s">
        <v>74</v>
      </c>
      <c r="Q878" s="1" t="s">
        <v>74</v>
      </c>
      <c r="R878" s="1" t="s">
        <v>74</v>
      </c>
      <c r="S878" s="1" t="s">
        <v>74</v>
      </c>
      <c r="T878" s="1" t="s">
        <v>74</v>
      </c>
      <c r="U878" s="1" t="s">
        <v>74</v>
      </c>
      <c r="V878" s="1" t="s">
        <v>8725</v>
      </c>
      <c r="W878" s="1" t="s">
        <v>74</v>
      </c>
      <c r="X878" s="1" t="s">
        <v>74</v>
      </c>
      <c r="Y878" s="1" t="s">
        <v>74</v>
      </c>
      <c r="Z878" s="1" t="s">
        <v>74</v>
      </c>
      <c r="AA878" s="1" t="s">
        <v>8726</v>
      </c>
      <c r="AB878" s="1" t="s">
        <v>8727</v>
      </c>
      <c r="AC878" s="1" t="s">
        <v>74</v>
      </c>
      <c r="AD878" s="1" t="s">
        <v>74</v>
      </c>
      <c r="AE878" s="1" t="s">
        <v>74</v>
      </c>
      <c r="AF878" s="1" t="s">
        <v>74</v>
      </c>
      <c r="AG878" s="1" t="s">
        <v>74</v>
      </c>
      <c r="AH878" s="1" t="s">
        <v>74</v>
      </c>
      <c r="AI878" s="1" t="s">
        <v>74</v>
      </c>
      <c r="AJ878" s="1" t="s">
        <v>74</v>
      </c>
      <c r="AK878" s="1" t="s">
        <v>74</v>
      </c>
      <c r="AL878" s="1" t="s">
        <v>74</v>
      </c>
      <c r="AM878" s="1" t="s">
        <v>74</v>
      </c>
      <c r="AN878" s="1" t="s">
        <v>74</v>
      </c>
      <c r="AO878" s="1" t="s">
        <v>5339</v>
      </c>
      <c r="AP878" s="1" t="s">
        <v>5340</v>
      </c>
      <c r="AQ878" s="1" t="s">
        <v>74</v>
      </c>
      <c r="AR878" s="1" t="s">
        <v>74</v>
      </c>
      <c r="AS878" s="1" t="s">
        <v>74</v>
      </c>
      <c r="AT878" s="1" t="s">
        <v>3989</v>
      </c>
      <c r="AU878" s="1">
        <v>2021.0</v>
      </c>
      <c r="AV878" s="1">
        <v>2021.0</v>
      </c>
      <c r="AW878" s="1">
        <v>39.0</v>
      </c>
      <c r="AX878" s="1" t="s">
        <v>74</v>
      </c>
      <c r="AY878" s="1" t="s">
        <v>74</v>
      </c>
      <c r="AZ878" s="1" t="s">
        <v>74</v>
      </c>
      <c r="BA878" s="1" t="s">
        <v>74</v>
      </c>
      <c r="BB878" s="1">
        <v>4103.0</v>
      </c>
      <c r="BC878" s="1">
        <v>4112.0</v>
      </c>
      <c r="BD878" s="1" t="s">
        <v>74</v>
      </c>
      <c r="BE878" s="1" t="s">
        <v>8728</v>
      </c>
      <c r="BF878" s="2" t="str">
        <f>HYPERLINK("http://dx.doi.org/10.1002/ejic.202100673","http://dx.doi.org/10.1002/ejic.202100673")</f>
        <v>http://dx.doi.org/10.1002/ejic.202100673</v>
      </c>
      <c r="BG878" s="1" t="s">
        <v>74</v>
      </c>
      <c r="BH878" s="1" t="s">
        <v>2424</v>
      </c>
      <c r="BI878" s="1" t="s">
        <v>74</v>
      </c>
      <c r="BJ878" s="1" t="s">
        <v>74</v>
      </c>
      <c r="BK878" s="1" t="s">
        <v>74</v>
      </c>
      <c r="BL878" s="1" t="s">
        <v>74</v>
      </c>
      <c r="BM878" s="1" t="s">
        <v>74</v>
      </c>
      <c r="BN878" s="1" t="s">
        <v>74</v>
      </c>
      <c r="BO878" s="1" t="s">
        <v>74</v>
      </c>
      <c r="BP878" s="1" t="s">
        <v>74</v>
      </c>
      <c r="BQ878" s="1" t="s">
        <v>74</v>
      </c>
      <c r="BR878" s="1" t="s">
        <v>74</v>
      </c>
      <c r="BS878" s="1" t="s">
        <v>8729</v>
      </c>
      <c r="BT878" s="1" t="str">
        <f>HYPERLINK("https%3A%2F%2Fwww.webofscience.com%2Fwos%2Fwoscc%2Ffull-record%2FWOS:000701791400001","View Full Record in Web of Science")</f>
        <v>View Full Record in Web of Science</v>
      </c>
    </row>
    <row r="879" ht="12.75" customHeight="1">
      <c r="A879" s="1" t="s">
        <v>72</v>
      </c>
      <c r="B879" s="1" t="s">
        <v>8730</v>
      </c>
      <c r="C879" s="1" t="s">
        <v>74</v>
      </c>
      <c r="D879" s="1" t="s">
        <v>74</v>
      </c>
      <c r="E879" s="1" t="s">
        <v>74</v>
      </c>
      <c r="F879" s="1" t="s">
        <v>8731</v>
      </c>
      <c r="G879" s="1" t="s">
        <v>74</v>
      </c>
      <c r="H879" s="1" t="s">
        <v>74</v>
      </c>
      <c r="I879" s="1" t="s">
        <v>8732</v>
      </c>
      <c r="J879" s="1" t="s">
        <v>1163</v>
      </c>
      <c r="K879" s="1" t="s">
        <v>74</v>
      </c>
      <c r="L879" s="1" t="s">
        <v>74</v>
      </c>
      <c r="M879" s="1" t="s">
        <v>74</v>
      </c>
      <c r="N879" s="1" t="s">
        <v>74</v>
      </c>
      <c r="O879" s="1" t="s">
        <v>74</v>
      </c>
      <c r="P879" s="1" t="s">
        <v>74</v>
      </c>
      <c r="Q879" s="1" t="s">
        <v>74</v>
      </c>
      <c r="R879" s="1" t="s">
        <v>74</v>
      </c>
      <c r="S879" s="1" t="s">
        <v>74</v>
      </c>
      <c r="T879" s="1" t="s">
        <v>74</v>
      </c>
      <c r="U879" s="1" t="s">
        <v>74</v>
      </c>
      <c r="V879" s="1" t="s">
        <v>8733</v>
      </c>
      <c r="W879" s="1" t="s">
        <v>74</v>
      </c>
      <c r="X879" s="1" t="s">
        <v>74</v>
      </c>
      <c r="Y879" s="1" t="s">
        <v>74</v>
      </c>
      <c r="Z879" s="1" t="s">
        <v>74</v>
      </c>
      <c r="AA879" s="1" t="s">
        <v>8734</v>
      </c>
      <c r="AB879" s="1" t="s">
        <v>8735</v>
      </c>
      <c r="AC879" s="1" t="s">
        <v>74</v>
      </c>
      <c r="AD879" s="1" t="s">
        <v>74</v>
      </c>
      <c r="AE879" s="1" t="s">
        <v>74</v>
      </c>
      <c r="AF879" s="1" t="s">
        <v>74</v>
      </c>
      <c r="AG879" s="1" t="s">
        <v>74</v>
      </c>
      <c r="AH879" s="1" t="s">
        <v>74</v>
      </c>
      <c r="AI879" s="1" t="s">
        <v>74</v>
      </c>
      <c r="AJ879" s="1" t="s">
        <v>74</v>
      </c>
      <c r="AK879" s="1" t="s">
        <v>74</v>
      </c>
      <c r="AL879" s="1" t="s">
        <v>74</v>
      </c>
      <c r="AM879" s="1" t="s">
        <v>74</v>
      </c>
      <c r="AN879" s="1" t="s">
        <v>74</v>
      </c>
      <c r="AO879" s="1" t="s">
        <v>74</v>
      </c>
      <c r="AP879" s="1" t="s">
        <v>1167</v>
      </c>
      <c r="AQ879" s="1" t="s">
        <v>74</v>
      </c>
      <c r="AR879" s="1" t="s">
        <v>74</v>
      </c>
      <c r="AS879" s="1" t="s">
        <v>74</v>
      </c>
      <c r="AT879" s="1" t="s">
        <v>259</v>
      </c>
      <c r="AU879" s="1">
        <v>2018.0</v>
      </c>
      <c r="AV879" s="1">
        <v>10.0</v>
      </c>
      <c r="AW879" s="1">
        <v>8.0</v>
      </c>
      <c r="AX879" s="1" t="s">
        <v>74</v>
      </c>
      <c r="AY879" s="1" t="s">
        <v>74</v>
      </c>
      <c r="AZ879" s="1" t="s">
        <v>74</v>
      </c>
      <c r="BA879" s="1" t="s">
        <v>74</v>
      </c>
      <c r="BB879" s="1" t="s">
        <v>74</v>
      </c>
      <c r="BC879" s="1" t="s">
        <v>74</v>
      </c>
      <c r="BD879" s="1">
        <v>1027.0</v>
      </c>
      <c r="BE879" s="1" t="s">
        <v>8736</v>
      </c>
      <c r="BF879" s="2" t="str">
        <f>HYPERLINK("http://dx.doi.org/10.3390/nu10081027","http://dx.doi.org/10.3390/nu10081027")</f>
        <v>http://dx.doi.org/10.3390/nu10081027</v>
      </c>
      <c r="BG879" s="1" t="s">
        <v>74</v>
      </c>
      <c r="BH879" s="1" t="s">
        <v>74</v>
      </c>
      <c r="BI879" s="1" t="s">
        <v>74</v>
      </c>
      <c r="BJ879" s="1" t="s">
        <v>74</v>
      </c>
      <c r="BK879" s="1" t="s">
        <v>74</v>
      </c>
      <c r="BL879" s="1" t="s">
        <v>74</v>
      </c>
      <c r="BM879" s="1" t="s">
        <v>74</v>
      </c>
      <c r="BN879" s="1">
        <v>3.0087234E7</v>
      </c>
      <c r="BO879" s="1" t="s">
        <v>74</v>
      </c>
      <c r="BP879" s="1" t="s">
        <v>74</v>
      </c>
      <c r="BQ879" s="1" t="s">
        <v>74</v>
      </c>
      <c r="BR879" s="1" t="s">
        <v>74</v>
      </c>
      <c r="BS879" s="1" t="s">
        <v>8737</v>
      </c>
      <c r="BT879" s="1" t="str">
        <f>HYPERLINK("https%3A%2F%2Fwww.webofscience.com%2Fwos%2Fwoscc%2Ffull-record%2FWOS:000445680200075","View Full Record in Web of Science")</f>
        <v>View Full Record in Web of Science</v>
      </c>
    </row>
    <row r="880" ht="12.75" customHeight="1">
      <c r="A880" s="1" t="s">
        <v>72</v>
      </c>
      <c r="B880" s="1" t="s">
        <v>8738</v>
      </c>
      <c r="C880" s="1" t="s">
        <v>74</v>
      </c>
      <c r="D880" s="1" t="s">
        <v>74</v>
      </c>
      <c r="E880" s="1" t="s">
        <v>74</v>
      </c>
      <c r="F880" s="1" t="s">
        <v>8739</v>
      </c>
      <c r="G880" s="1" t="s">
        <v>74</v>
      </c>
      <c r="H880" s="1" t="s">
        <v>74</v>
      </c>
      <c r="I880" s="1" t="s">
        <v>8740</v>
      </c>
      <c r="J880" s="1" t="s">
        <v>8741</v>
      </c>
      <c r="K880" s="1" t="s">
        <v>74</v>
      </c>
      <c r="L880" s="1" t="s">
        <v>74</v>
      </c>
      <c r="M880" s="1" t="s">
        <v>74</v>
      </c>
      <c r="N880" s="1" t="s">
        <v>74</v>
      </c>
      <c r="O880" s="1" t="s">
        <v>74</v>
      </c>
      <c r="P880" s="1" t="s">
        <v>74</v>
      </c>
      <c r="Q880" s="1" t="s">
        <v>74</v>
      </c>
      <c r="R880" s="1" t="s">
        <v>74</v>
      </c>
      <c r="S880" s="1" t="s">
        <v>74</v>
      </c>
      <c r="T880" s="1" t="s">
        <v>74</v>
      </c>
      <c r="U880" s="1" t="s">
        <v>74</v>
      </c>
      <c r="V880" s="1" t="s">
        <v>8742</v>
      </c>
      <c r="W880" s="1" t="s">
        <v>74</v>
      </c>
      <c r="X880" s="1" t="s">
        <v>74</v>
      </c>
      <c r="Y880" s="1" t="s">
        <v>74</v>
      </c>
      <c r="Z880" s="1" t="s">
        <v>74</v>
      </c>
      <c r="AA880" s="1" t="s">
        <v>8743</v>
      </c>
      <c r="AB880" s="1" t="s">
        <v>8744</v>
      </c>
      <c r="AC880" s="1" t="s">
        <v>74</v>
      </c>
      <c r="AD880" s="1" t="s">
        <v>74</v>
      </c>
      <c r="AE880" s="1" t="s">
        <v>74</v>
      </c>
      <c r="AF880" s="1" t="s">
        <v>74</v>
      </c>
      <c r="AG880" s="1" t="s">
        <v>74</v>
      </c>
      <c r="AH880" s="1" t="s">
        <v>74</v>
      </c>
      <c r="AI880" s="1" t="s">
        <v>74</v>
      </c>
      <c r="AJ880" s="1" t="s">
        <v>74</v>
      </c>
      <c r="AK880" s="1" t="s">
        <v>74</v>
      </c>
      <c r="AL880" s="1" t="s">
        <v>74</v>
      </c>
      <c r="AM880" s="1" t="s">
        <v>74</v>
      </c>
      <c r="AN880" s="1" t="s">
        <v>74</v>
      </c>
      <c r="AO880" s="1" t="s">
        <v>8745</v>
      </c>
      <c r="AP880" s="1" t="s">
        <v>8746</v>
      </c>
      <c r="AQ880" s="1" t="s">
        <v>74</v>
      </c>
      <c r="AR880" s="1" t="s">
        <v>74</v>
      </c>
      <c r="AS880" s="1" t="s">
        <v>74</v>
      </c>
      <c r="AT880" s="1" t="s">
        <v>259</v>
      </c>
      <c r="AU880" s="1">
        <v>2018.0</v>
      </c>
      <c r="AV880" s="1">
        <v>21.0</v>
      </c>
      <c r="AW880" s="1">
        <v>4.0</v>
      </c>
      <c r="AX880" s="1" t="s">
        <v>74</v>
      </c>
      <c r="AY880" s="1" t="s">
        <v>74</v>
      </c>
      <c r="AZ880" s="1" t="s">
        <v>74</v>
      </c>
      <c r="BA880" s="1" t="s">
        <v>74</v>
      </c>
      <c r="BB880" s="1">
        <v>333.0</v>
      </c>
      <c r="BC880" s="1">
        <v>340.0</v>
      </c>
      <c r="BD880" s="1" t="s">
        <v>74</v>
      </c>
      <c r="BE880" s="1" t="s">
        <v>8747</v>
      </c>
      <c r="BF880" s="2" t="str">
        <f>HYPERLINK("http://dx.doi.org/10.1089/rej.2017.1984","http://dx.doi.org/10.1089/rej.2017.1984")</f>
        <v>http://dx.doi.org/10.1089/rej.2017.1984</v>
      </c>
      <c r="BG880" s="1" t="s">
        <v>74</v>
      </c>
      <c r="BH880" s="1" t="s">
        <v>8748</v>
      </c>
      <c r="BI880" s="1" t="s">
        <v>74</v>
      </c>
      <c r="BJ880" s="1" t="s">
        <v>74</v>
      </c>
      <c r="BK880" s="1" t="s">
        <v>74</v>
      </c>
      <c r="BL880" s="1" t="s">
        <v>74</v>
      </c>
      <c r="BM880" s="1" t="s">
        <v>74</v>
      </c>
      <c r="BN880" s="1">
        <v>2.8895468E7</v>
      </c>
      <c r="BO880" s="1" t="s">
        <v>74</v>
      </c>
      <c r="BP880" s="1" t="s">
        <v>74</v>
      </c>
      <c r="BQ880" s="1" t="s">
        <v>74</v>
      </c>
      <c r="BR880" s="1" t="s">
        <v>74</v>
      </c>
      <c r="BS880" s="1" t="s">
        <v>8749</v>
      </c>
      <c r="BT880" s="1" t="str">
        <f>HYPERLINK("https%3A%2F%2Fwww.webofscience.com%2Fwos%2Fwoscc%2Ffull-record%2FWOS:000414374900001","View Full Record in Web of Science")</f>
        <v>View Full Record in Web of Science</v>
      </c>
    </row>
    <row r="881" ht="12.75" customHeight="1">
      <c r="A881" s="1" t="s">
        <v>72</v>
      </c>
      <c r="B881" s="1" t="s">
        <v>8750</v>
      </c>
      <c r="C881" s="1" t="s">
        <v>74</v>
      </c>
      <c r="D881" s="1" t="s">
        <v>74</v>
      </c>
      <c r="E881" s="1" t="s">
        <v>74</v>
      </c>
      <c r="F881" s="1" t="s">
        <v>8751</v>
      </c>
      <c r="G881" s="1" t="s">
        <v>74</v>
      </c>
      <c r="H881" s="1" t="s">
        <v>74</v>
      </c>
      <c r="I881" s="1" t="s">
        <v>8752</v>
      </c>
      <c r="J881" s="1" t="s">
        <v>8753</v>
      </c>
      <c r="K881" s="1" t="s">
        <v>74</v>
      </c>
      <c r="L881" s="1" t="s">
        <v>74</v>
      </c>
      <c r="M881" s="1" t="s">
        <v>74</v>
      </c>
      <c r="N881" s="1" t="s">
        <v>74</v>
      </c>
      <c r="O881" s="1" t="s">
        <v>74</v>
      </c>
      <c r="P881" s="1" t="s">
        <v>74</v>
      </c>
      <c r="Q881" s="1" t="s">
        <v>74</v>
      </c>
      <c r="R881" s="1" t="s">
        <v>74</v>
      </c>
      <c r="S881" s="1" t="s">
        <v>74</v>
      </c>
      <c r="T881" s="1" t="s">
        <v>74</v>
      </c>
      <c r="U881" s="1" t="s">
        <v>74</v>
      </c>
      <c r="V881" s="1" t="s">
        <v>8754</v>
      </c>
      <c r="W881" s="1" t="s">
        <v>74</v>
      </c>
      <c r="X881" s="1" t="s">
        <v>74</v>
      </c>
      <c r="Y881" s="1" t="s">
        <v>74</v>
      </c>
      <c r="Z881" s="1" t="s">
        <v>74</v>
      </c>
      <c r="AA881" s="1" t="s">
        <v>8755</v>
      </c>
      <c r="AB881" s="1" t="s">
        <v>8756</v>
      </c>
      <c r="AC881" s="1" t="s">
        <v>74</v>
      </c>
      <c r="AD881" s="1" t="s">
        <v>74</v>
      </c>
      <c r="AE881" s="1" t="s">
        <v>74</v>
      </c>
      <c r="AF881" s="1" t="s">
        <v>74</v>
      </c>
      <c r="AG881" s="1" t="s">
        <v>74</v>
      </c>
      <c r="AH881" s="1" t="s">
        <v>74</v>
      </c>
      <c r="AI881" s="1" t="s">
        <v>74</v>
      </c>
      <c r="AJ881" s="1" t="s">
        <v>74</v>
      </c>
      <c r="AK881" s="1" t="s">
        <v>74</v>
      </c>
      <c r="AL881" s="1" t="s">
        <v>74</v>
      </c>
      <c r="AM881" s="1" t="s">
        <v>74</v>
      </c>
      <c r="AN881" s="1" t="s">
        <v>74</v>
      </c>
      <c r="AO881" s="1" t="s">
        <v>8757</v>
      </c>
      <c r="AP881" s="1" t="s">
        <v>8758</v>
      </c>
      <c r="AQ881" s="1" t="s">
        <v>74</v>
      </c>
      <c r="AR881" s="1" t="s">
        <v>74</v>
      </c>
      <c r="AS881" s="1" t="s">
        <v>74</v>
      </c>
      <c r="AT881" s="1" t="s">
        <v>155</v>
      </c>
      <c r="AU881" s="1">
        <v>2017.0</v>
      </c>
      <c r="AV881" s="1">
        <v>20.0</v>
      </c>
      <c r="AW881" s="1">
        <v>3.0</v>
      </c>
      <c r="AX881" s="1" t="s">
        <v>74</v>
      </c>
      <c r="AY881" s="1" t="s">
        <v>74</v>
      </c>
      <c r="AZ881" s="1" t="s">
        <v>74</v>
      </c>
      <c r="BA881" s="1" t="s">
        <v>74</v>
      </c>
      <c r="BB881" s="1">
        <v>239.0</v>
      </c>
      <c r="BC881" s="1">
        <v>254.0</v>
      </c>
      <c r="BD881" s="1" t="s">
        <v>74</v>
      </c>
      <c r="BE881" s="1" t="s">
        <v>8759</v>
      </c>
      <c r="BF881" s="2" t="str">
        <f>HYPERLINK("http://dx.doi.org/10.1007/s10951-015-0466-5","http://dx.doi.org/10.1007/s10951-015-0466-5")</f>
        <v>http://dx.doi.org/10.1007/s10951-015-0466-5</v>
      </c>
      <c r="BG881" s="1" t="s">
        <v>74</v>
      </c>
      <c r="BH881" s="1" t="s">
        <v>74</v>
      </c>
      <c r="BI881" s="1" t="s">
        <v>74</v>
      </c>
      <c r="BJ881" s="1" t="s">
        <v>74</v>
      </c>
      <c r="BK881" s="1" t="s">
        <v>74</v>
      </c>
      <c r="BL881" s="1" t="s">
        <v>74</v>
      </c>
      <c r="BM881" s="1" t="s">
        <v>74</v>
      </c>
      <c r="BN881" s="1" t="s">
        <v>74</v>
      </c>
      <c r="BO881" s="1" t="s">
        <v>74</v>
      </c>
      <c r="BP881" s="1" t="s">
        <v>74</v>
      </c>
      <c r="BQ881" s="1" t="s">
        <v>74</v>
      </c>
      <c r="BR881" s="1" t="s">
        <v>74</v>
      </c>
      <c r="BS881" s="1" t="s">
        <v>8760</v>
      </c>
      <c r="BT881" s="1" t="str">
        <f>HYPERLINK("https%3A%2F%2Fwww.webofscience.com%2Fwos%2Fwoscc%2Ffull-record%2FWOS:000400364500002","View Full Record in Web of Science")</f>
        <v>View Full Record in Web of Science</v>
      </c>
    </row>
    <row r="882" ht="12.75" customHeight="1">
      <c r="A882" s="1" t="s">
        <v>72</v>
      </c>
      <c r="B882" s="1" t="s">
        <v>8761</v>
      </c>
      <c r="C882" s="1" t="s">
        <v>74</v>
      </c>
      <c r="D882" s="1" t="s">
        <v>74</v>
      </c>
      <c r="E882" s="1" t="s">
        <v>74</v>
      </c>
      <c r="F882" s="1" t="s">
        <v>8762</v>
      </c>
      <c r="G882" s="1" t="s">
        <v>74</v>
      </c>
      <c r="H882" s="1" t="s">
        <v>74</v>
      </c>
      <c r="I882" s="1" t="s">
        <v>8763</v>
      </c>
      <c r="J882" s="1" t="s">
        <v>2754</v>
      </c>
      <c r="K882" s="1" t="s">
        <v>74</v>
      </c>
      <c r="L882" s="1" t="s">
        <v>74</v>
      </c>
      <c r="M882" s="1" t="s">
        <v>74</v>
      </c>
      <c r="N882" s="1" t="s">
        <v>74</v>
      </c>
      <c r="O882" s="1" t="s">
        <v>74</v>
      </c>
      <c r="P882" s="1" t="s">
        <v>74</v>
      </c>
      <c r="Q882" s="1" t="s">
        <v>74</v>
      </c>
      <c r="R882" s="1" t="s">
        <v>74</v>
      </c>
      <c r="S882" s="1" t="s">
        <v>74</v>
      </c>
      <c r="T882" s="1" t="s">
        <v>74</v>
      </c>
      <c r="U882" s="1" t="s">
        <v>74</v>
      </c>
      <c r="V882" s="1" t="s">
        <v>8764</v>
      </c>
      <c r="W882" s="1" t="s">
        <v>74</v>
      </c>
      <c r="X882" s="1" t="s">
        <v>74</v>
      </c>
      <c r="Y882" s="1" t="s">
        <v>74</v>
      </c>
      <c r="Z882" s="1" t="s">
        <v>74</v>
      </c>
      <c r="AA882" s="1" t="s">
        <v>8765</v>
      </c>
      <c r="AB882" s="1" t="s">
        <v>8766</v>
      </c>
      <c r="AC882" s="1" t="s">
        <v>74</v>
      </c>
      <c r="AD882" s="1" t="s">
        <v>74</v>
      </c>
      <c r="AE882" s="1" t="s">
        <v>74</v>
      </c>
      <c r="AF882" s="1" t="s">
        <v>74</v>
      </c>
      <c r="AG882" s="1" t="s">
        <v>74</v>
      </c>
      <c r="AH882" s="1" t="s">
        <v>74</v>
      </c>
      <c r="AI882" s="1" t="s">
        <v>74</v>
      </c>
      <c r="AJ882" s="1" t="s">
        <v>74</v>
      </c>
      <c r="AK882" s="1" t="s">
        <v>74</v>
      </c>
      <c r="AL882" s="1" t="s">
        <v>74</v>
      </c>
      <c r="AM882" s="1" t="s">
        <v>74</v>
      </c>
      <c r="AN882" s="1" t="s">
        <v>74</v>
      </c>
      <c r="AO882" s="1" t="s">
        <v>2758</v>
      </c>
      <c r="AP882" s="1" t="s">
        <v>2759</v>
      </c>
      <c r="AQ882" s="1" t="s">
        <v>74</v>
      </c>
      <c r="AR882" s="1" t="s">
        <v>74</v>
      </c>
      <c r="AS882" s="1" t="s">
        <v>74</v>
      </c>
      <c r="AT882" s="1" t="s">
        <v>4111</v>
      </c>
      <c r="AU882" s="1">
        <v>2016.0</v>
      </c>
      <c r="AV882" s="1">
        <v>120.0</v>
      </c>
      <c r="AW882" s="1">
        <v>3.0</v>
      </c>
      <c r="AX882" s="1" t="s">
        <v>74</v>
      </c>
      <c r="AY882" s="1" t="s">
        <v>74</v>
      </c>
      <c r="AZ882" s="1" t="s">
        <v>74</v>
      </c>
      <c r="BA882" s="1" t="s">
        <v>74</v>
      </c>
      <c r="BB882" s="1" t="s">
        <v>74</v>
      </c>
      <c r="BC882" s="1" t="s">
        <v>74</v>
      </c>
      <c r="BD882" s="1">
        <v>33901.0</v>
      </c>
      <c r="BE882" s="1" t="s">
        <v>8767</v>
      </c>
      <c r="BF882" s="2" t="str">
        <f>HYPERLINK("http://dx.doi.org/10.1063/1.4958740","http://dx.doi.org/10.1063/1.4958740")</f>
        <v>http://dx.doi.org/10.1063/1.4958740</v>
      </c>
      <c r="BG882" s="1" t="s">
        <v>74</v>
      </c>
      <c r="BH882" s="1" t="s">
        <v>74</v>
      </c>
      <c r="BI882" s="1" t="s">
        <v>74</v>
      </c>
      <c r="BJ882" s="1" t="s">
        <v>74</v>
      </c>
      <c r="BK882" s="1" t="s">
        <v>74</v>
      </c>
      <c r="BL882" s="1" t="s">
        <v>74</v>
      </c>
      <c r="BM882" s="1" t="s">
        <v>74</v>
      </c>
      <c r="BN882" s="1" t="s">
        <v>74</v>
      </c>
      <c r="BO882" s="1" t="s">
        <v>74</v>
      </c>
      <c r="BP882" s="1" t="s">
        <v>74</v>
      </c>
      <c r="BQ882" s="1" t="s">
        <v>74</v>
      </c>
      <c r="BR882" s="1" t="s">
        <v>74</v>
      </c>
      <c r="BS882" s="1" t="s">
        <v>8768</v>
      </c>
      <c r="BT882" s="1" t="str">
        <f>HYPERLINK("https%3A%2F%2Fwww.webofscience.com%2Fwos%2Fwoscc%2Ffull-record%2FWOS:000381382500006","View Full Record in Web of Science")</f>
        <v>View Full Record in Web of Science</v>
      </c>
    </row>
    <row r="883" ht="12.75" customHeight="1">
      <c r="A883" s="1" t="s">
        <v>72</v>
      </c>
      <c r="B883" s="1" t="s">
        <v>8769</v>
      </c>
      <c r="C883" s="1" t="s">
        <v>74</v>
      </c>
      <c r="D883" s="1" t="s">
        <v>74</v>
      </c>
      <c r="E883" s="1" t="s">
        <v>74</v>
      </c>
      <c r="F883" s="1" t="s">
        <v>8770</v>
      </c>
      <c r="G883" s="1" t="s">
        <v>74</v>
      </c>
      <c r="H883" s="1" t="s">
        <v>74</v>
      </c>
      <c r="I883" s="1" t="s">
        <v>8771</v>
      </c>
      <c r="J883" s="1" t="s">
        <v>6019</v>
      </c>
      <c r="K883" s="1" t="s">
        <v>74</v>
      </c>
      <c r="L883" s="1" t="s">
        <v>74</v>
      </c>
      <c r="M883" s="1" t="s">
        <v>74</v>
      </c>
      <c r="N883" s="1" t="s">
        <v>74</v>
      </c>
      <c r="O883" s="1" t="s">
        <v>74</v>
      </c>
      <c r="P883" s="1" t="s">
        <v>74</v>
      </c>
      <c r="Q883" s="1" t="s">
        <v>74</v>
      </c>
      <c r="R883" s="1" t="s">
        <v>74</v>
      </c>
      <c r="S883" s="1" t="s">
        <v>74</v>
      </c>
      <c r="T883" s="1" t="s">
        <v>74</v>
      </c>
      <c r="U883" s="1" t="s">
        <v>74</v>
      </c>
      <c r="V883" s="1" t="s">
        <v>8772</v>
      </c>
      <c r="W883" s="1" t="s">
        <v>74</v>
      </c>
      <c r="X883" s="1" t="s">
        <v>74</v>
      </c>
      <c r="Y883" s="1" t="s">
        <v>74</v>
      </c>
      <c r="Z883" s="1" t="s">
        <v>74</v>
      </c>
      <c r="AA883" s="1" t="s">
        <v>8773</v>
      </c>
      <c r="AB883" s="1" t="s">
        <v>8774</v>
      </c>
      <c r="AC883" s="1" t="s">
        <v>74</v>
      </c>
      <c r="AD883" s="1" t="s">
        <v>74</v>
      </c>
      <c r="AE883" s="1" t="s">
        <v>74</v>
      </c>
      <c r="AF883" s="1" t="s">
        <v>74</v>
      </c>
      <c r="AG883" s="1" t="s">
        <v>74</v>
      </c>
      <c r="AH883" s="1" t="s">
        <v>74</v>
      </c>
      <c r="AI883" s="1" t="s">
        <v>74</v>
      </c>
      <c r="AJ883" s="1" t="s">
        <v>74</v>
      </c>
      <c r="AK883" s="1" t="s">
        <v>74</v>
      </c>
      <c r="AL883" s="1" t="s">
        <v>74</v>
      </c>
      <c r="AM883" s="1" t="s">
        <v>74</v>
      </c>
      <c r="AN883" s="1" t="s">
        <v>74</v>
      </c>
      <c r="AO883" s="1" t="s">
        <v>6022</v>
      </c>
      <c r="AP883" s="1" t="s">
        <v>6023</v>
      </c>
      <c r="AQ883" s="1" t="s">
        <v>74</v>
      </c>
      <c r="AR883" s="1" t="s">
        <v>74</v>
      </c>
      <c r="AS883" s="1" t="s">
        <v>74</v>
      </c>
      <c r="AT883" s="1" t="s">
        <v>348</v>
      </c>
      <c r="AU883" s="1">
        <v>2013.0</v>
      </c>
      <c r="AV883" s="1">
        <v>140.0</v>
      </c>
      <c r="AW883" s="1">
        <v>1.0</v>
      </c>
      <c r="AX883" s="1" t="s">
        <v>74</v>
      </c>
      <c r="AY883" s="1" t="s">
        <v>74</v>
      </c>
      <c r="AZ883" s="1" t="s">
        <v>74</v>
      </c>
      <c r="BA883" s="1" t="s">
        <v>74</v>
      </c>
      <c r="BB883" s="1">
        <v>113.0</v>
      </c>
      <c r="BC883" s="1">
        <v>118.0</v>
      </c>
      <c r="BD883" s="1" t="s">
        <v>74</v>
      </c>
      <c r="BE883" s="1" t="s">
        <v>8775</v>
      </c>
      <c r="BF883" s="2" t="str">
        <f>HYPERLINK("http://dx.doi.org/10.1016/j.matchemphys.2013.03.008","http://dx.doi.org/10.1016/j.matchemphys.2013.03.008")</f>
        <v>http://dx.doi.org/10.1016/j.matchemphys.2013.03.008</v>
      </c>
      <c r="BG883" s="1" t="s">
        <v>74</v>
      </c>
      <c r="BH883" s="1" t="s">
        <v>74</v>
      </c>
      <c r="BI883" s="1" t="s">
        <v>74</v>
      </c>
      <c r="BJ883" s="1" t="s">
        <v>74</v>
      </c>
      <c r="BK883" s="1" t="s">
        <v>74</v>
      </c>
      <c r="BL883" s="1" t="s">
        <v>74</v>
      </c>
      <c r="BM883" s="1" t="s">
        <v>74</v>
      </c>
      <c r="BN883" s="1" t="s">
        <v>74</v>
      </c>
      <c r="BO883" s="1" t="s">
        <v>74</v>
      </c>
      <c r="BP883" s="1" t="s">
        <v>74</v>
      </c>
      <c r="BQ883" s="1" t="s">
        <v>74</v>
      </c>
      <c r="BR883" s="1" t="s">
        <v>74</v>
      </c>
      <c r="BS883" s="1" t="s">
        <v>8776</v>
      </c>
      <c r="BT883" s="1" t="str">
        <f>HYPERLINK("https%3A%2F%2Fwww.webofscience.com%2Fwos%2Fwoscc%2Ffull-record%2FWOS:000319789500018","View Full Record in Web of Science")</f>
        <v>View Full Record in Web of Science</v>
      </c>
    </row>
    <row r="884" ht="12.75" customHeight="1">
      <c r="A884" s="1" t="s">
        <v>72</v>
      </c>
      <c r="B884" s="1" t="s">
        <v>8777</v>
      </c>
      <c r="C884" s="1" t="s">
        <v>74</v>
      </c>
      <c r="D884" s="1" t="s">
        <v>74</v>
      </c>
      <c r="E884" s="1" t="s">
        <v>74</v>
      </c>
      <c r="F884" s="1" t="s">
        <v>8778</v>
      </c>
      <c r="G884" s="1" t="s">
        <v>74</v>
      </c>
      <c r="H884" s="1" t="s">
        <v>74</v>
      </c>
      <c r="I884" s="1" t="s">
        <v>8779</v>
      </c>
      <c r="J884" s="1" t="s">
        <v>8780</v>
      </c>
      <c r="K884" s="1" t="s">
        <v>74</v>
      </c>
      <c r="L884" s="1" t="s">
        <v>74</v>
      </c>
      <c r="M884" s="1" t="s">
        <v>74</v>
      </c>
      <c r="N884" s="1" t="s">
        <v>74</v>
      </c>
      <c r="O884" s="1" t="s">
        <v>74</v>
      </c>
      <c r="P884" s="1" t="s">
        <v>74</v>
      </c>
      <c r="Q884" s="1" t="s">
        <v>74</v>
      </c>
      <c r="R884" s="1" t="s">
        <v>74</v>
      </c>
      <c r="S884" s="1" t="s">
        <v>74</v>
      </c>
      <c r="T884" s="1" t="s">
        <v>74</v>
      </c>
      <c r="U884" s="1" t="s">
        <v>74</v>
      </c>
      <c r="V884" s="1" t="s">
        <v>8781</v>
      </c>
      <c r="W884" s="1" t="s">
        <v>74</v>
      </c>
      <c r="X884" s="1" t="s">
        <v>74</v>
      </c>
      <c r="Y884" s="1" t="s">
        <v>74</v>
      </c>
      <c r="Z884" s="1" t="s">
        <v>74</v>
      </c>
      <c r="AA884" s="1" t="s">
        <v>8782</v>
      </c>
      <c r="AB884" s="1" t="s">
        <v>8783</v>
      </c>
      <c r="AC884" s="1" t="s">
        <v>74</v>
      </c>
      <c r="AD884" s="1" t="s">
        <v>74</v>
      </c>
      <c r="AE884" s="1" t="s">
        <v>74</v>
      </c>
      <c r="AF884" s="1" t="s">
        <v>74</v>
      </c>
      <c r="AG884" s="1" t="s">
        <v>74</v>
      </c>
      <c r="AH884" s="1" t="s">
        <v>74</v>
      </c>
      <c r="AI884" s="1" t="s">
        <v>74</v>
      </c>
      <c r="AJ884" s="1" t="s">
        <v>74</v>
      </c>
      <c r="AK884" s="1" t="s">
        <v>74</v>
      </c>
      <c r="AL884" s="1" t="s">
        <v>74</v>
      </c>
      <c r="AM884" s="1" t="s">
        <v>74</v>
      </c>
      <c r="AN884" s="1" t="s">
        <v>74</v>
      </c>
      <c r="AO884" s="1" t="s">
        <v>8784</v>
      </c>
      <c r="AP884" s="1" t="s">
        <v>8785</v>
      </c>
      <c r="AQ884" s="1" t="s">
        <v>74</v>
      </c>
      <c r="AR884" s="1" t="s">
        <v>74</v>
      </c>
      <c r="AS884" s="1" t="s">
        <v>74</v>
      </c>
      <c r="AT884" s="1" t="s">
        <v>719</v>
      </c>
      <c r="AU884" s="1">
        <v>2012.0</v>
      </c>
      <c r="AV884" s="1">
        <v>5.0</v>
      </c>
      <c r="AW884" s="1">
        <v>5.0</v>
      </c>
      <c r="AX884" s="1" t="s">
        <v>74</v>
      </c>
      <c r="AY884" s="1" t="s">
        <v>74</v>
      </c>
      <c r="AZ884" s="1" t="s">
        <v>74</v>
      </c>
      <c r="BA884" s="1" t="s">
        <v>74</v>
      </c>
      <c r="BB884" s="1">
        <v>1511.0</v>
      </c>
      <c r="BC884" s="1">
        <v>1520.0</v>
      </c>
      <c r="BD884" s="1" t="s">
        <v>74</v>
      </c>
      <c r="BE884" s="1" t="s">
        <v>8786</v>
      </c>
      <c r="BF884" s="2" t="str">
        <f>HYPERLINK("http://dx.doi.org/10.1007/s11947-010-0453-y","http://dx.doi.org/10.1007/s11947-010-0453-y")</f>
        <v>http://dx.doi.org/10.1007/s11947-010-0453-y</v>
      </c>
      <c r="BG884" s="1" t="s">
        <v>74</v>
      </c>
      <c r="BH884" s="1" t="s">
        <v>74</v>
      </c>
      <c r="BI884" s="1" t="s">
        <v>74</v>
      </c>
      <c r="BJ884" s="1" t="s">
        <v>74</v>
      </c>
      <c r="BK884" s="1" t="s">
        <v>74</v>
      </c>
      <c r="BL884" s="1" t="s">
        <v>74</v>
      </c>
      <c r="BM884" s="1" t="s">
        <v>74</v>
      </c>
      <c r="BN884" s="1" t="s">
        <v>74</v>
      </c>
      <c r="BO884" s="1" t="s">
        <v>74</v>
      </c>
      <c r="BP884" s="1" t="s">
        <v>74</v>
      </c>
      <c r="BQ884" s="1" t="s">
        <v>74</v>
      </c>
      <c r="BR884" s="1" t="s">
        <v>74</v>
      </c>
      <c r="BS884" s="1" t="s">
        <v>8787</v>
      </c>
      <c r="BT884" s="1" t="str">
        <f>HYPERLINK("https%3A%2F%2Fwww.webofscience.com%2Fwos%2Fwoscc%2Ffull-record%2FWOS:000305213500006","View Full Record in Web of Science")</f>
        <v>View Full Record in Web of Science</v>
      </c>
    </row>
    <row r="885" ht="12.75" customHeight="1">
      <c r="A885" s="1" t="s">
        <v>72</v>
      </c>
      <c r="B885" s="1" t="s">
        <v>8788</v>
      </c>
      <c r="C885" s="1" t="s">
        <v>74</v>
      </c>
      <c r="D885" s="1" t="s">
        <v>74</v>
      </c>
      <c r="E885" s="1" t="s">
        <v>74</v>
      </c>
      <c r="F885" s="1" t="s">
        <v>8789</v>
      </c>
      <c r="G885" s="1" t="s">
        <v>74</v>
      </c>
      <c r="H885" s="1" t="s">
        <v>74</v>
      </c>
      <c r="I885" s="1" t="s">
        <v>8790</v>
      </c>
      <c r="J885" s="1" t="s">
        <v>8791</v>
      </c>
      <c r="K885" s="1" t="s">
        <v>74</v>
      </c>
      <c r="L885" s="1" t="s">
        <v>74</v>
      </c>
      <c r="M885" s="1" t="s">
        <v>74</v>
      </c>
      <c r="N885" s="1" t="s">
        <v>74</v>
      </c>
      <c r="O885" s="1" t="s">
        <v>74</v>
      </c>
      <c r="P885" s="1" t="s">
        <v>74</v>
      </c>
      <c r="Q885" s="1" t="s">
        <v>74</v>
      </c>
      <c r="R885" s="1" t="s">
        <v>74</v>
      </c>
      <c r="S885" s="1" t="s">
        <v>74</v>
      </c>
      <c r="T885" s="1" t="s">
        <v>74</v>
      </c>
      <c r="U885" s="1" t="s">
        <v>74</v>
      </c>
      <c r="V885" s="1" t="s">
        <v>8792</v>
      </c>
      <c r="W885" s="1" t="s">
        <v>74</v>
      </c>
      <c r="X885" s="1" t="s">
        <v>74</v>
      </c>
      <c r="Y885" s="1" t="s">
        <v>74</v>
      </c>
      <c r="Z885" s="1" t="s">
        <v>74</v>
      </c>
      <c r="AA885" s="1" t="s">
        <v>8793</v>
      </c>
      <c r="AB885" s="1" t="s">
        <v>8794</v>
      </c>
      <c r="AC885" s="1" t="s">
        <v>74</v>
      </c>
      <c r="AD885" s="1" t="s">
        <v>74</v>
      </c>
      <c r="AE885" s="1" t="s">
        <v>74</v>
      </c>
      <c r="AF885" s="1" t="s">
        <v>74</v>
      </c>
      <c r="AG885" s="1" t="s">
        <v>74</v>
      </c>
      <c r="AH885" s="1" t="s">
        <v>74</v>
      </c>
      <c r="AI885" s="1" t="s">
        <v>74</v>
      </c>
      <c r="AJ885" s="1" t="s">
        <v>74</v>
      </c>
      <c r="AK885" s="1" t="s">
        <v>74</v>
      </c>
      <c r="AL885" s="1" t="s">
        <v>74</v>
      </c>
      <c r="AM885" s="1" t="s">
        <v>74</v>
      </c>
      <c r="AN885" s="1" t="s">
        <v>74</v>
      </c>
      <c r="AO885" s="1" t="s">
        <v>8795</v>
      </c>
      <c r="AP885" s="1" t="s">
        <v>74</v>
      </c>
      <c r="AQ885" s="1" t="s">
        <v>74</v>
      </c>
      <c r="AR885" s="1" t="s">
        <v>74</v>
      </c>
      <c r="AS885" s="1" t="s">
        <v>74</v>
      </c>
      <c r="AT885" s="1" t="s">
        <v>155</v>
      </c>
      <c r="AU885" s="1">
        <v>2011.0</v>
      </c>
      <c r="AV885" s="1">
        <v>64.0</v>
      </c>
      <c r="AW885" s="1">
        <v>6.0</v>
      </c>
      <c r="AX885" s="1" t="s">
        <v>74</v>
      </c>
      <c r="AY885" s="1" t="s">
        <v>74</v>
      </c>
      <c r="AZ885" s="1" t="s">
        <v>74</v>
      </c>
      <c r="BA885" s="1" t="s">
        <v>74</v>
      </c>
      <c r="BB885" s="1">
        <v>447.0</v>
      </c>
      <c r="BC885" s="1">
        <v>451.0</v>
      </c>
      <c r="BD885" s="1" t="s">
        <v>74</v>
      </c>
      <c r="BE885" s="1" t="s">
        <v>8796</v>
      </c>
      <c r="BF885" s="2" t="str">
        <f>HYPERLINK("http://dx.doi.org/10.1038/ja.2011.30","http://dx.doi.org/10.1038/ja.2011.30")</f>
        <v>http://dx.doi.org/10.1038/ja.2011.30</v>
      </c>
      <c r="BG885" s="1" t="s">
        <v>74</v>
      </c>
      <c r="BH885" s="1" t="s">
        <v>74</v>
      </c>
      <c r="BI885" s="1" t="s">
        <v>74</v>
      </c>
      <c r="BJ885" s="1" t="s">
        <v>74</v>
      </c>
      <c r="BK885" s="1" t="s">
        <v>74</v>
      </c>
      <c r="BL885" s="1" t="s">
        <v>74</v>
      </c>
      <c r="BM885" s="1" t="s">
        <v>74</v>
      </c>
      <c r="BN885" s="1">
        <v>2.1522156E7</v>
      </c>
      <c r="BO885" s="1" t="s">
        <v>74</v>
      </c>
      <c r="BP885" s="1" t="s">
        <v>74</v>
      </c>
      <c r="BQ885" s="1" t="s">
        <v>74</v>
      </c>
      <c r="BR885" s="1" t="s">
        <v>74</v>
      </c>
      <c r="BS885" s="1" t="s">
        <v>8797</v>
      </c>
      <c r="BT885" s="1" t="str">
        <f>HYPERLINK("https%3A%2F%2Fwww.webofscience.com%2Fwos%2Fwoscc%2Ffull-record%2FWOS:000292090800006","View Full Record in Web of Science")</f>
        <v>View Full Record in Web of Science</v>
      </c>
    </row>
    <row r="886" ht="12.75" customHeight="1">
      <c r="A886" s="1" t="s">
        <v>72</v>
      </c>
      <c r="B886" s="1" t="s">
        <v>8798</v>
      </c>
      <c r="C886" s="1" t="s">
        <v>74</v>
      </c>
      <c r="D886" s="1" t="s">
        <v>74</v>
      </c>
      <c r="E886" s="1" t="s">
        <v>74</v>
      </c>
      <c r="F886" s="1" t="s">
        <v>8799</v>
      </c>
      <c r="G886" s="1" t="s">
        <v>74</v>
      </c>
      <c r="H886" s="1" t="s">
        <v>74</v>
      </c>
      <c r="I886" s="1" t="s">
        <v>8800</v>
      </c>
      <c r="J886" s="1" t="s">
        <v>776</v>
      </c>
      <c r="K886" s="1" t="s">
        <v>74</v>
      </c>
      <c r="L886" s="1" t="s">
        <v>74</v>
      </c>
      <c r="M886" s="1" t="s">
        <v>74</v>
      </c>
      <c r="N886" s="1" t="s">
        <v>74</v>
      </c>
      <c r="O886" s="1" t="s">
        <v>74</v>
      </c>
      <c r="P886" s="1" t="s">
        <v>74</v>
      </c>
      <c r="Q886" s="1" t="s">
        <v>74</v>
      </c>
      <c r="R886" s="1" t="s">
        <v>74</v>
      </c>
      <c r="S886" s="1" t="s">
        <v>74</v>
      </c>
      <c r="T886" s="1" t="s">
        <v>74</v>
      </c>
      <c r="U886" s="1" t="s">
        <v>74</v>
      </c>
      <c r="V886" s="1" t="s">
        <v>8801</v>
      </c>
      <c r="W886" s="1" t="s">
        <v>74</v>
      </c>
      <c r="X886" s="1" t="s">
        <v>74</v>
      </c>
      <c r="Y886" s="1" t="s">
        <v>74</v>
      </c>
      <c r="Z886" s="1" t="s">
        <v>74</v>
      </c>
      <c r="AA886" s="1" t="s">
        <v>8802</v>
      </c>
      <c r="AB886" s="1" t="s">
        <v>8803</v>
      </c>
      <c r="AC886" s="1" t="s">
        <v>74</v>
      </c>
      <c r="AD886" s="1" t="s">
        <v>74</v>
      </c>
      <c r="AE886" s="1" t="s">
        <v>74</v>
      </c>
      <c r="AF886" s="1" t="s">
        <v>74</v>
      </c>
      <c r="AG886" s="1" t="s">
        <v>74</v>
      </c>
      <c r="AH886" s="1" t="s">
        <v>74</v>
      </c>
      <c r="AI886" s="1" t="s">
        <v>74</v>
      </c>
      <c r="AJ886" s="1" t="s">
        <v>74</v>
      </c>
      <c r="AK886" s="1" t="s">
        <v>74</v>
      </c>
      <c r="AL886" s="1" t="s">
        <v>74</v>
      </c>
      <c r="AM886" s="1" t="s">
        <v>74</v>
      </c>
      <c r="AN886" s="1" t="s">
        <v>74</v>
      </c>
      <c r="AO886" s="1" t="s">
        <v>780</v>
      </c>
      <c r="AP886" s="1" t="s">
        <v>74</v>
      </c>
      <c r="AQ886" s="1" t="s">
        <v>74</v>
      </c>
      <c r="AR886" s="1" t="s">
        <v>74</v>
      </c>
      <c r="AS886" s="1" t="s">
        <v>74</v>
      </c>
      <c r="AT886" s="1" t="s">
        <v>464</v>
      </c>
      <c r="AU886" s="1">
        <v>2007.0</v>
      </c>
      <c r="AV886" s="1">
        <v>49.0</v>
      </c>
      <c r="AW886" s="1">
        <v>1.0</v>
      </c>
      <c r="AX886" s="1" t="s">
        <v>74</v>
      </c>
      <c r="AY886" s="1" t="s">
        <v>74</v>
      </c>
      <c r="AZ886" s="1" t="s">
        <v>74</v>
      </c>
      <c r="BA886" s="1" t="s">
        <v>74</v>
      </c>
      <c r="BB886" s="1">
        <v>68.0</v>
      </c>
      <c r="BC886" s="1">
        <v>81.0</v>
      </c>
      <c r="BD886" s="1" t="s">
        <v>74</v>
      </c>
      <c r="BE886" s="1" t="s">
        <v>8804</v>
      </c>
      <c r="BF886" s="2" t="str">
        <f>HYPERLINK("http://dx.doi.org/10.1016/j.toxicon.2006.09.019","http://dx.doi.org/10.1016/j.toxicon.2006.09.019")</f>
        <v>http://dx.doi.org/10.1016/j.toxicon.2006.09.019</v>
      </c>
      <c r="BG886" s="1" t="s">
        <v>74</v>
      </c>
      <c r="BH886" s="1" t="s">
        <v>74</v>
      </c>
      <c r="BI886" s="1" t="s">
        <v>74</v>
      </c>
      <c r="BJ886" s="1" t="s">
        <v>74</v>
      </c>
      <c r="BK886" s="1" t="s">
        <v>74</v>
      </c>
      <c r="BL886" s="1" t="s">
        <v>74</v>
      </c>
      <c r="BM886" s="1" t="s">
        <v>74</v>
      </c>
      <c r="BN886" s="1">
        <v>1.7113118E7</v>
      </c>
      <c r="BO886" s="1" t="s">
        <v>74</v>
      </c>
      <c r="BP886" s="1" t="s">
        <v>74</v>
      </c>
      <c r="BQ886" s="1" t="s">
        <v>74</v>
      </c>
      <c r="BR886" s="1" t="s">
        <v>74</v>
      </c>
      <c r="BS886" s="1" t="s">
        <v>8805</v>
      </c>
      <c r="BT886" s="1" t="str">
        <f>HYPERLINK("https%3A%2F%2Fwww.webofscience.com%2Fwos%2Fwoscc%2Ffull-record%2FWOS:000243656400008","View Full Record in Web of Science")</f>
        <v>View Full Record in Web of Science</v>
      </c>
    </row>
    <row r="887" ht="12.75" customHeight="1">
      <c r="A887" s="1" t="s">
        <v>72</v>
      </c>
      <c r="B887" s="1" t="s">
        <v>8806</v>
      </c>
      <c r="C887" s="1" t="s">
        <v>74</v>
      </c>
      <c r="D887" s="1" t="s">
        <v>74</v>
      </c>
      <c r="E887" s="1" t="s">
        <v>74</v>
      </c>
      <c r="F887" s="1" t="s">
        <v>8806</v>
      </c>
      <c r="G887" s="1" t="s">
        <v>74</v>
      </c>
      <c r="H887" s="1" t="s">
        <v>74</v>
      </c>
      <c r="I887" s="1" t="s">
        <v>8807</v>
      </c>
      <c r="J887" s="1" t="s">
        <v>4105</v>
      </c>
      <c r="K887" s="1" t="s">
        <v>74</v>
      </c>
      <c r="L887" s="1" t="s">
        <v>74</v>
      </c>
      <c r="M887" s="1" t="s">
        <v>74</v>
      </c>
      <c r="N887" s="1" t="s">
        <v>74</v>
      </c>
      <c r="O887" s="1" t="s">
        <v>74</v>
      </c>
      <c r="P887" s="1" t="s">
        <v>74</v>
      </c>
      <c r="Q887" s="1" t="s">
        <v>74</v>
      </c>
      <c r="R887" s="1" t="s">
        <v>74</v>
      </c>
      <c r="S887" s="1" t="s">
        <v>74</v>
      </c>
      <c r="T887" s="1" t="s">
        <v>74</v>
      </c>
      <c r="U887" s="1" t="s">
        <v>74</v>
      </c>
      <c r="V887" s="1" t="s">
        <v>8808</v>
      </c>
      <c r="W887" s="1" t="s">
        <v>74</v>
      </c>
      <c r="X887" s="1" t="s">
        <v>74</v>
      </c>
      <c r="Y887" s="1" t="s">
        <v>74</v>
      </c>
      <c r="Z887" s="1" t="s">
        <v>74</v>
      </c>
      <c r="AA887" s="1" t="s">
        <v>3127</v>
      </c>
      <c r="AB887" s="1" t="s">
        <v>8809</v>
      </c>
      <c r="AC887" s="1" t="s">
        <v>74</v>
      </c>
      <c r="AD887" s="1" t="s">
        <v>74</v>
      </c>
      <c r="AE887" s="1" t="s">
        <v>74</v>
      </c>
      <c r="AF887" s="1" t="s">
        <v>74</v>
      </c>
      <c r="AG887" s="1" t="s">
        <v>74</v>
      </c>
      <c r="AH887" s="1" t="s">
        <v>74</v>
      </c>
      <c r="AI887" s="1" t="s">
        <v>74</v>
      </c>
      <c r="AJ887" s="1" t="s">
        <v>74</v>
      </c>
      <c r="AK887" s="1" t="s">
        <v>74</v>
      </c>
      <c r="AL887" s="1" t="s">
        <v>74</v>
      </c>
      <c r="AM887" s="1" t="s">
        <v>74</v>
      </c>
      <c r="AN887" s="1" t="s">
        <v>74</v>
      </c>
      <c r="AO887" s="1" t="s">
        <v>4109</v>
      </c>
      <c r="AP887" s="1" t="s">
        <v>4110</v>
      </c>
      <c r="AQ887" s="1" t="s">
        <v>74</v>
      </c>
      <c r="AR887" s="1" t="s">
        <v>74</v>
      </c>
      <c r="AS887" s="1" t="s">
        <v>74</v>
      </c>
      <c r="AT887" s="1" t="s">
        <v>3371</v>
      </c>
      <c r="AU887" s="1">
        <v>2006.0</v>
      </c>
      <c r="AV887" s="1">
        <v>632.0</v>
      </c>
      <c r="AW887" s="1" t="s">
        <v>8810</v>
      </c>
      <c r="AX887" s="1" t="s">
        <v>74</v>
      </c>
      <c r="AY887" s="1" t="s">
        <v>74</v>
      </c>
      <c r="AZ887" s="1" t="s">
        <v>74</v>
      </c>
      <c r="BA887" s="1" t="s">
        <v>74</v>
      </c>
      <c r="BB887" s="1">
        <v>740.0</v>
      </c>
      <c r="BC887" s="1">
        <v>744.0</v>
      </c>
      <c r="BD887" s="1" t="s">
        <v>74</v>
      </c>
      <c r="BE887" s="1" t="s">
        <v>8811</v>
      </c>
      <c r="BF887" s="2" t="str">
        <f>HYPERLINK("http://dx.doi.org/10.1016/j.physletb.2005.11.034","http://dx.doi.org/10.1016/j.physletb.2005.11.034")</f>
        <v>http://dx.doi.org/10.1016/j.physletb.2005.11.034</v>
      </c>
      <c r="BG887" s="1" t="s">
        <v>74</v>
      </c>
      <c r="BH887" s="1" t="s">
        <v>74</v>
      </c>
      <c r="BI887" s="1" t="s">
        <v>74</v>
      </c>
      <c r="BJ887" s="1" t="s">
        <v>74</v>
      </c>
      <c r="BK887" s="1" t="s">
        <v>74</v>
      </c>
      <c r="BL887" s="1" t="s">
        <v>74</v>
      </c>
      <c r="BM887" s="1" t="s">
        <v>74</v>
      </c>
      <c r="BN887" s="1" t="s">
        <v>74</v>
      </c>
      <c r="BO887" s="1" t="s">
        <v>74</v>
      </c>
      <c r="BP887" s="1" t="s">
        <v>74</v>
      </c>
      <c r="BQ887" s="1" t="s">
        <v>74</v>
      </c>
      <c r="BR887" s="1" t="s">
        <v>74</v>
      </c>
      <c r="BS887" s="1" t="s">
        <v>8812</v>
      </c>
      <c r="BT887" s="1" t="str">
        <f>HYPERLINK("https%3A%2F%2Fwww.webofscience.com%2Fwos%2Fwoscc%2Ffull-record%2FWOS:000234786400024","View Full Record in Web of Science")</f>
        <v>View Full Record in Web of Science</v>
      </c>
    </row>
    <row r="888" ht="12.75" customHeight="1">
      <c r="A888" s="1" t="s">
        <v>72</v>
      </c>
      <c r="B888" s="1" t="s">
        <v>8813</v>
      </c>
      <c r="C888" s="1" t="s">
        <v>74</v>
      </c>
      <c r="D888" s="1" t="s">
        <v>74</v>
      </c>
      <c r="E888" s="1" t="s">
        <v>74</v>
      </c>
      <c r="F888" s="1" t="s">
        <v>8813</v>
      </c>
      <c r="G888" s="1" t="s">
        <v>74</v>
      </c>
      <c r="H888" s="1" t="s">
        <v>74</v>
      </c>
      <c r="I888" s="1" t="s">
        <v>8814</v>
      </c>
      <c r="J888" s="1" t="s">
        <v>776</v>
      </c>
      <c r="K888" s="1" t="s">
        <v>74</v>
      </c>
      <c r="L888" s="1" t="s">
        <v>74</v>
      </c>
      <c r="M888" s="1" t="s">
        <v>74</v>
      </c>
      <c r="N888" s="1" t="s">
        <v>74</v>
      </c>
      <c r="O888" s="1" t="s">
        <v>74</v>
      </c>
      <c r="P888" s="1" t="s">
        <v>74</v>
      </c>
      <c r="Q888" s="1" t="s">
        <v>74</v>
      </c>
      <c r="R888" s="1" t="s">
        <v>74</v>
      </c>
      <c r="S888" s="1" t="s">
        <v>74</v>
      </c>
      <c r="T888" s="1" t="s">
        <v>74</v>
      </c>
      <c r="U888" s="1" t="s">
        <v>74</v>
      </c>
      <c r="V888" s="1" t="s">
        <v>8815</v>
      </c>
      <c r="W888" s="1" t="s">
        <v>74</v>
      </c>
      <c r="X888" s="1" t="s">
        <v>74</v>
      </c>
      <c r="Y888" s="1" t="s">
        <v>74</v>
      </c>
      <c r="Z888" s="1" t="s">
        <v>74</v>
      </c>
      <c r="AA888" s="1" t="s">
        <v>8816</v>
      </c>
      <c r="AB888" s="1" t="s">
        <v>74</v>
      </c>
      <c r="AC888" s="1" t="s">
        <v>74</v>
      </c>
      <c r="AD888" s="1" t="s">
        <v>74</v>
      </c>
      <c r="AE888" s="1" t="s">
        <v>74</v>
      </c>
      <c r="AF888" s="1" t="s">
        <v>74</v>
      </c>
      <c r="AG888" s="1" t="s">
        <v>74</v>
      </c>
      <c r="AH888" s="1" t="s">
        <v>74</v>
      </c>
      <c r="AI888" s="1" t="s">
        <v>74</v>
      </c>
      <c r="AJ888" s="1" t="s">
        <v>74</v>
      </c>
      <c r="AK888" s="1" t="s">
        <v>74</v>
      </c>
      <c r="AL888" s="1" t="s">
        <v>74</v>
      </c>
      <c r="AM888" s="1" t="s">
        <v>74</v>
      </c>
      <c r="AN888" s="1" t="s">
        <v>74</v>
      </c>
      <c r="AO888" s="1" t="s">
        <v>780</v>
      </c>
      <c r="AP888" s="1" t="s">
        <v>74</v>
      </c>
      <c r="AQ888" s="1" t="s">
        <v>74</v>
      </c>
      <c r="AR888" s="1" t="s">
        <v>74</v>
      </c>
      <c r="AS888" s="1" t="s">
        <v>74</v>
      </c>
      <c r="AT888" s="1" t="s">
        <v>1304</v>
      </c>
      <c r="AU888" s="1">
        <v>2005.0</v>
      </c>
      <c r="AV888" s="1">
        <v>46.0</v>
      </c>
      <c r="AW888" s="1">
        <v>3.0</v>
      </c>
      <c r="AX888" s="1" t="s">
        <v>74</v>
      </c>
      <c r="AY888" s="1" t="s">
        <v>74</v>
      </c>
      <c r="AZ888" s="1" t="s">
        <v>74</v>
      </c>
      <c r="BA888" s="1" t="s">
        <v>74</v>
      </c>
      <c r="BB888" s="1">
        <v>297.0</v>
      </c>
      <c r="BC888" s="1">
        <v>307.0</v>
      </c>
      <c r="BD888" s="1" t="s">
        <v>74</v>
      </c>
      <c r="BE888" s="1" t="s">
        <v>8817</v>
      </c>
      <c r="BF888" s="2" t="str">
        <f>HYPERLINK("http://dx.doi.org/10.1016/j.toxicon.2005.04.017","http://dx.doi.org/10.1016/j.toxicon.2005.04.017")</f>
        <v>http://dx.doi.org/10.1016/j.toxicon.2005.04.017</v>
      </c>
      <c r="BG888" s="1" t="s">
        <v>74</v>
      </c>
      <c r="BH888" s="1" t="s">
        <v>74</v>
      </c>
      <c r="BI888" s="1" t="s">
        <v>74</v>
      </c>
      <c r="BJ888" s="1" t="s">
        <v>74</v>
      </c>
      <c r="BK888" s="1" t="s">
        <v>74</v>
      </c>
      <c r="BL888" s="1" t="s">
        <v>74</v>
      </c>
      <c r="BM888" s="1" t="s">
        <v>74</v>
      </c>
      <c r="BN888" s="1">
        <v>1.5990142E7</v>
      </c>
      <c r="BO888" s="1" t="s">
        <v>74</v>
      </c>
      <c r="BP888" s="1" t="s">
        <v>74</v>
      </c>
      <c r="BQ888" s="1" t="s">
        <v>74</v>
      </c>
      <c r="BR888" s="1" t="s">
        <v>74</v>
      </c>
      <c r="BS888" s="1" t="s">
        <v>8818</v>
      </c>
      <c r="BT888" s="1" t="str">
        <f>HYPERLINK("https%3A%2F%2Fwww.webofscience.com%2Fwos%2Fwoscc%2Ffull-record%2FWOS:000231405900008","View Full Record in Web of Science")</f>
        <v>View Full Record in Web of Science</v>
      </c>
    </row>
    <row r="889" ht="12.75" customHeight="1">
      <c r="A889" s="1" t="s">
        <v>72</v>
      </c>
      <c r="B889" s="1" t="s">
        <v>8819</v>
      </c>
      <c r="C889" s="1" t="s">
        <v>74</v>
      </c>
      <c r="D889" s="1" t="s">
        <v>74</v>
      </c>
      <c r="E889" s="1" t="s">
        <v>74</v>
      </c>
      <c r="F889" s="1" t="s">
        <v>8819</v>
      </c>
      <c r="G889" s="1" t="s">
        <v>74</v>
      </c>
      <c r="H889" s="1" t="s">
        <v>74</v>
      </c>
      <c r="I889" s="1" t="s">
        <v>8820</v>
      </c>
      <c r="J889" s="1" t="s">
        <v>5134</v>
      </c>
      <c r="K889" s="1" t="s">
        <v>74</v>
      </c>
      <c r="L889" s="1" t="s">
        <v>74</v>
      </c>
      <c r="M889" s="1" t="s">
        <v>74</v>
      </c>
      <c r="N889" s="1" t="s">
        <v>74</v>
      </c>
      <c r="O889" s="1" t="s">
        <v>74</v>
      </c>
      <c r="P889" s="1" t="s">
        <v>74</v>
      </c>
      <c r="Q889" s="1" t="s">
        <v>74</v>
      </c>
      <c r="R889" s="1" t="s">
        <v>74</v>
      </c>
      <c r="S889" s="1" t="s">
        <v>74</v>
      </c>
      <c r="T889" s="1" t="s">
        <v>74</v>
      </c>
      <c r="U889" s="1" t="s">
        <v>74</v>
      </c>
      <c r="V889" s="1" t="s">
        <v>8821</v>
      </c>
      <c r="W889" s="1" t="s">
        <v>74</v>
      </c>
      <c r="X889" s="1" t="s">
        <v>74</v>
      </c>
      <c r="Y889" s="1" t="s">
        <v>74</v>
      </c>
      <c r="Z889" s="1" t="s">
        <v>74</v>
      </c>
      <c r="AA889" s="1" t="s">
        <v>8822</v>
      </c>
      <c r="AB889" s="1" t="s">
        <v>8823</v>
      </c>
      <c r="AC889" s="1" t="s">
        <v>74</v>
      </c>
      <c r="AD889" s="1" t="s">
        <v>74</v>
      </c>
      <c r="AE889" s="1" t="s">
        <v>74</v>
      </c>
      <c r="AF889" s="1" t="s">
        <v>74</v>
      </c>
      <c r="AG889" s="1" t="s">
        <v>74</v>
      </c>
      <c r="AH889" s="1" t="s">
        <v>74</v>
      </c>
      <c r="AI889" s="1" t="s">
        <v>74</v>
      </c>
      <c r="AJ889" s="1" t="s">
        <v>74</v>
      </c>
      <c r="AK889" s="1" t="s">
        <v>74</v>
      </c>
      <c r="AL889" s="1" t="s">
        <v>74</v>
      </c>
      <c r="AM889" s="1" t="s">
        <v>74</v>
      </c>
      <c r="AN889" s="1" t="s">
        <v>74</v>
      </c>
      <c r="AO889" s="1" t="s">
        <v>5138</v>
      </c>
      <c r="AP889" s="1" t="s">
        <v>5139</v>
      </c>
      <c r="AQ889" s="1" t="s">
        <v>74</v>
      </c>
      <c r="AR889" s="1" t="s">
        <v>74</v>
      </c>
      <c r="AS889" s="1" t="s">
        <v>74</v>
      </c>
      <c r="AT889" s="1" t="s">
        <v>464</v>
      </c>
      <c r="AU889" s="1">
        <v>2001.0</v>
      </c>
      <c r="AV889" s="1">
        <v>64.0</v>
      </c>
      <c r="AW889" s="1">
        <v>1.0</v>
      </c>
      <c r="AX889" s="1" t="s">
        <v>74</v>
      </c>
      <c r="AY889" s="1" t="s">
        <v>74</v>
      </c>
      <c r="AZ889" s="1" t="s">
        <v>74</v>
      </c>
      <c r="BA889" s="1" t="s">
        <v>74</v>
      </c>
      <c r="BB889" s="1">
        <v>6.0</v>
      </c>
      <c r="BC889" s="1">
        <v>11.0</v>
      </c>
      <c r="BD889" s="1" t="s">
        <v>74</v>
      </c>
      <c r="BE889" s="1" t="s">
        <v>8824</v>
      </c>
      <c r="BF889" s="2" t="str">
        <f>HYPERLINK("http://dx.doi.org/10.1021/np000114o","http://dx.doi.org/10.1021/np000114o")</f>
        <v>http://dx.doi.org/10.1021/np000114o</v>
      </c>
      <c r="BG889" s="1" t="s">
        <v>74</v>
      </c>
      <c r="BH889" s="1" t="s">
        <v>74</v>
      </c>
      <c r="BI889" s="1" t="s">
        <v>74</v>
      </c>
      <c r="BJ889" s="1" t="s">
        <v>74</v>
      </c>
      <c r="BK889" s="1" t="s">
        <v>74</v>
      </c>
      <c r="BL889" s="1" t="s">
        <v>74</v>
      </c>
      <c r="BM889" s="1" t="s">
        <v>74</v>
      </c>
      <c r="BN889" s="1">
        <v>1.1170657E7</v>
      </c>
      <c r="BO889" s="1" t="s">
        <v>74</v>
      </c>
      <c r="BP889" s="1" t="s">
        <v>74</v>
      </c>
      <c r="BQ889" s="1" t="s">
        <v>74</v>
      </c>
      <c r="BR889" s="1" t="s">
        <v>74</v>
      </c>
      <c r="BS889" s="1" t="s">
        <v>8825</v>
      </c>
      <c r="BT889" s="1" t="str">
        <f>HYPERLINK("https%3A%2F%2Fwww.webofscience.com%2Fwos%2Fwoscc%2Ffull-record%2FWOS:000166696400003","View Full Record in Web of Science")</f>
        <v>View Full Record in Web of Science</v>
      </c>
    </row>
    <row r="890" ht="12.75" customHeight="1">
      <c r="A890" s="1" t="s">
        <v>72</v>
      </c>
      <c r="B890" s="1" t="s">
        <v>8826</v>
      </c>
      <c r="C890" s="1" t="s">
        <v>74</v>
      </c>
      <c r="D890" s="1" t="s">
        <v>74</v>
      </c>
      <c r="E890" s="1" t="s">
        <v>74</v>
      </c>
      <c r="F890" s="1" t="s">
        <v>8827</v>
      </c>
      <c r="G890" s="1" t="s">
        <v>74</v>
      </c>
      <c r="H890" s="1" t="s">
        <v>74</v>
      </c>
      <c r="I890" s="1" t="s">
        <v>8828</v>
      </c>
      <c r="J890" s="1" t="s">
        <v>1726</v>
      </c>
      <c r="K890" s="1" t="s">
        <v>74</v>
      </c>
      <c r="L890" s="1" t="s">
        <v>74</v>
      </c>
      <c r="M890" s="1" t="s">
        <v>74</v>
      </c>
      <c r="N890" s="1" t="s">
        <v>74</v>
      </c>
      <c r="O890" s="1" t="s">
        <v>74</v>
      </c>
      <c r="P890" s="1" t="s">
        <v>74</v>
      </c>
      <c r="Q890" s="1" t="s">
        <v>74</v>
      </c>
      <c r="R890" s="1" t="s">
        <v>74</v>
      </c>
      <c r="S890" s="1" t="s">
        <v>74</v>
      </c>
      <c r="T890" s="1" t="s">
        <v>74</v>
      </c>
      <c r="U890" s="1" t="s">
        <v>74</v>
      </c>
      <c r="V890" s="1" t="s">
        <v>8829</v>
      </c>
      <c r="W890" s="1" t="s">
        <v>74</v>
      </c>
      <c r="X890" s="1" t="s">
        <v>74</v>
      </c>
      <c r="Y890" s="1" t="s">
        <v>74</v>
      </c>
      <c r="Z890" s="1" t="s">
        <v>74</v>
      </c>
      <c r="AA890" s="1" t="s">
        <v>74</v>
      </c>
      <c r="AB890" s="1" t="s">
        <v>74</v>
      </c>
      <c r="AC890" s="1" t="s">
        <v>74</v>
      </c>
      <c r="AD890" s="1" t="s">
        <v>74</v>
      </c>
      <c r="AE890" s="1" t="s">
        <v>74</v>
      </c>
      <c r="AF890" s="1" t="s">
        <v>74</v>
      </c>
      <c r="AG890" s="1" t="s">
        <v>74</v>
      </c>
      <c r="AH890" s="1" t="s">
        <v>74</v>
      </c>
      <c r="AI890" s="1" t="s">
        <v>74</v>
      </c>
      <c r="AJ890" s="1" t="s">
        <v>74</v>
      </c>
      <c r="AK890" s="1" t="s">
        <v>74</v>
      </c>
      <c r="AL890" s="1" t="s">
        <v>74</v>
      </c>
      <c r="AM890" s="1" t="s">
        <v>74</v>
      </c>
      <c r="AN890" s="1" t="s">
        <v>74</v>
      </c>
      <c r="AO890" s="1" t="s">
        <v>1729</v>
      </c>
      <c r="AP890" s="1" t="s">
        <v>74</v>
      </c>
      <c r="AQ890" s="1" t="s">
        <v>74</v>
      </c>
      <c r="AR890" s="1" t="s">
        <v>74</v>
      </c>
      <c r="AS890" s="1" t="s">
        <v>74</v>
      </c>
      <c r="AT890" s="1" t="s">
        <v>74</v>
      </c>
      <c r="AU890" s="1">
        <v>2024.0</v>
      </c>
      <c r="AV890" s="1">
        <v>13.0</v>
      </c>
      <c r="AW890" s="1" t="s">
        <v>74</v>
      </c>
      <c r="AX890" s="1" t="s">
        <v>74</v>
      </c>
      <c r="AY890" s="1">
        <v>3.0</v>
      </c>
      <c r="AZ890" s="1" t="s">
        <v>74</v>
      </c>
      <c r="BA890" s="1" t="s">
        <v>74</v>
      </c>
      <c r="BB890" s="1" t="s">
        <v>74</v>
      </c>
      <c r="BC890" s="1" t="s">
        <v>74</v>
      </c>
      <c r="BD890" s="1">
        <v>3.0</v>
      </c>
      <c r="BE890" s="1" t="s">
        <v>74</v>
      </c>
      <c r="BF890" s="1" t="s">
        <v>74</v>
      </c>
      <c r="BG890" s="1" t="s">
        <v>74</v>
      </c>
      <c r="BH890" s="1" t="s">
        <v>74</v>
      </c>
      <c r="BI890" s="1" t="s">
        <v>74</v>
      </c>
      <c r="BJ890" s="1" t="s">
        <v>74</v>
      </c>
      <c r="BK890" s="1" t="s">
        <v>74</v>
      </c>
      <c r="BL890" s="1" t="s">
        <v>74</v>
      </c>
      <c r="BM890" s="1" t="s">
        <v>74</v>
      </c>
      <c r="BN890" s="1" t="s">
        <v>74</v>
      </c>
      <c r="BO890" s="1" t="s">
        <v>74</v>
      </c>
      <c r="BP890" s="1" t="s">
        <v>74</v>
      </c>
      <c r="BQ890" s="1" t="s">
        <v>74</v>
      </c>
      <c r="BR890" s="1" t="s">
        <v>74</v>
      </c>
      <c r="BS890" s="1" t="s">
        <v>8830</v>
      </c>
      <c r="BT890" s="1" t="str">
        <f>HYPERLINK("https%3A%2F%2Fwww.webofscience.com%2Fwos%2Fwoscc%2Ffull-record%2FWOS:001360797000010","View Full Record in Web of Science")</f>
        <v>View Full Record in Web of Science</v>
      </c>
    </row>
    <row r="891" ht="12.75" customHeight="1">
      <c r="A891" s="1" t="s">
        <v>72</v>
      </c>
      <c r="B891" s="1" t="s">
        <v>8831</v>
      </c>
      <c r="C891" s="1" t="s">
        <v>74</v>
      </c>
      <c r="D891" s="1" t="s">
        <v>74</v>
      </c>
      <c r="E891" s="1" t="s">
        <v>74</v>
      </c>
      <c r="F891" s="1" t="s">
        <v>8832</v>
      </c>
      <c r="G891" s="1" t="s">
        <v>74</v>
      </c>
      <c r="H891" s="1" t="s">
        <v>74</v>
      </c>
      <c r="I891" s="1" t="s">
        <v>8833</v>
      </c>
      <c r="J891" s="1" t="s">
        <v>8834</v>
      </c>
      <c r="K891" s="1" t="s">
        <v>74</v>
      </c>
      <c r="L891" s="1" t="s">
        <v>74</v>
      </c>
      <c r="M891" s="1" t="s">
        <v>74</v>
      </c>
      <c r="N891" s="1" t="s">
        <v>74</v>
      </c>
      <c r="O891" s="1" t="s">
        <v>74</v>
      </c>
      <c r="P891" s="1" t="s">
        <v>74</v>
      </c>
      <c r="Q891" s="1" t="s">
        <v>74</v>
      </c>
      <c r="R891" s="1" t="s">
        <v>74</v>
      </c>
      <c r="S891" s="1" t="s">
        <v>74</v>
      </c>
      <c r="T891" s="1" t="s">
        <v>74</v>
      </c>
      <c r="U891" s="1" t="s">
        <v>74</v>
      </c>
      <c r="V891" s="1" t="s">
        <v>8835</v>
      </c>
      <c r="W891" s="1" t="s">
        <v>74</v>
      </c>
      <c r="X891" s="1" t="s">
        <v>74</v>
      </c>
      <c r="Y891" s="1" t="s">
        <v>74</v>
      </c>
      <c r="Z891" s="1" t="s">
        <v>74</v>
      </c>
      <c r="AA891" s="1" t="s">
        <v>8836</v>
      </c>
      <c r="AB891" s="1" t="s">
        <v>74</v>
      </c>
      <c r="AC891" s="1" t="s">
        <v>74</v>
      </c>
      <c r="AD891" s="1" t="s">
        <v>74</v>
      </c>
      <c r="AE891" s="1" t="s">
        <v>74</v>
      </c>
      <c r="AF891" s="1" t="s">
        <v>74</v>
      </c>
      <c r="AG891" s="1" t="s">
        <v>74</v>
      </c>
      <c r="AH891" s="1" t="s">
        <v>74</v>
      </c>
      <c r="AI891" s="1" t="s">
        <v>74</v>
      </c>
      <c r="AJ891" s="1" t="s">
        <v>74</v>
      </c>
      <c r="AK891" s="1" t="s">
        <v>74</v>
      </c>
      <c r="AL891" s="1" t="s">
        <v>74</v>
      </c>
      <c r="AM891" s="1" t="s">
        <v>74</v>
      </c>
      <c r="AN891" s="1" t="s">
        <v>74</v>
      </c>
      <c r="AO891" s="1" t="s">
        <v>8837</v>
      </c>
      <c r="AP891" s="1" t="s">
        <v>8838</v>
      </c>
      <c r="AQ891" s="1" t="s">
        <v>74</v>
      </c>
      <c r="AR891" s="1" t="s">
        <v>74</v>
      </c>
      <c r="AS891" s="1" t="s">
        <v>74</v>
      </c>
      <c r="AT891" s="1" t="s">
        <v>559</v>
      </c>
      <c r="AU891" s="1">
        <v>2021.0</v>
      </c>
      <c r="AV891" s="1">
        <v>11.0</v>
      </c>
      <c r="AW891" s="1">
        <v>6.0</v>
      </c>
      <c r="AX891" s="1" t="s">
        <v>74</v>
      </c>
      <c r="AY891" s="1" t="s">
        <v>74</v>
      </c>
      <c r="AZ891" s="1" t="s">
        <v>74</v>
      </c>
      <c r="BA891" s="1" t="s">
        <v>74</v>
      </c>
      <c r="BB891" s="1" t="s">
        <v>8839</v>
      </c>
      <c r="BC891" s="1" t="s">
        <v>8840</v>
      </c>
      <c r="BD891" s="1" t="s">
        <v>74</v>
      </c>
      <c r="BE891" s="1" t="s">
        <v>8841</v>
      </c>
      <c r="BF891" s="2" t="str">
        <f>HYPERLINK("http://dx.doi.org/10.1212/CPJ.0000000000001125","http://dx.doi.org/10.1212/CPJ.0000000000001125")</f>
        <v>http://dx.doi.org/10.1212/CPJ.0000000000001125</v>
      </c>
      <c r="BG891" s="1" t="s">
        <v>74</v>
      </c>
      <c r="BH891" s="1" t="s">
        <v>74</v>
      </c>
      <c r="BI891" s="1" t="s">
        <v>74</v>
      </c>
      <c r="BJ891" s="1" t="s">
        <v>74</v>
      </c>
      <c r="BK891" s="1" t="s">
        <v>74</v>
      </c>
      <c r="BL891" s="1" t="s">
        <v>74</v>
      </c>
      <c r="BM891" s="1" t="s">
        <v>74</v>
      </c>
      <c r="BN891" s="1">
        <v>3.4992971E7</v>
      </c>
      <c r="BO891" s="1" t="s">
        <v>74</v>
      </c>
      <c r="BP891" s="1" t="s">
        <v>74</v>
      </c>
      <c r="BQ891" s="1" t="s">
        <v>74</v>
      </c>
      <c r="BR891" s="1" t="s">
        <v>74</v>
      </c>
      <c r="BS891" s="1" t="s">
        <v>8842</v>
      </c>
      <c r="BT891" s="1" t="str">
        <f>HYPERLINK("https%3A%2F%2Fwww.webofscience.com%2Fwos%2Fwoscc%2Ffull-record%2FWOS:000756835200010","View Full Record in Web of Science")</f>
        <v>View Full Record in Web of Science</v>
      </c>
    </row>
    <row r="892" ht="12.75" customHeight="1">
      <c r="A892" s="1" t="s">
        <v>72</v>
      </c>
      <c r="B892" s="1" t="s">
        <v>8843</v>
      </c>
      <c r="C892" s="1" t="s">
        <v>74</v>
      </c>
      <c r="D892" s="1" t="s">
        <v>74</v>
      </c>
      <c r="E892" s="1" t="s">
        <v>74</v>
      </c>
      <c r="F892" s="1" t="s">
        <v>8844</v>
      </c>
      <c r="G892" s="1" t="s">
        <v>74</v>
      </c>
      <c r="H892" s="1" t="s">
        <v>74</v>
      </c>
      <c r="I892" s="1" t="s">
        <v>8845</v>
      </c>
      <c r="J892" s="1" t="s">
        <v>8846</v>
      </c>
      <c r="K892" s="1" t="s">
        <v>74</v>
      </c>
      <c r="L892" s="1" t="s">
        <v>74</v>
      </c>
      <c r="M892" s="1" t="s">
        <v>74</v>
      </c>
      <c r="N892" s="1" t="s">
        <v>74</v>
      </c>
      <c r="O892" s="1" t="s">
        <v>74</v>
      </c>
      <c r="P892" s="1" t="s">
        <v>74</v>
      </c>
      <c r="Q892" s="1" t="s">
        <v>74</v>
      </c>
      <c r="R892" s="1" t="s">
        <v>74</v>
      </c>
      <c r="S892" s="1" t="s">
        <v>74</v>
      </c>
      <c r="T892" s="1" t="s">
        <v>74</v>
      </c>
      <c r="U892" s="1" t="s">
        <v>74</v>
      </c>
      <c r="V892" s="1" t="s">
        <v>8847</v>
      </c>
      <c r="W892" s="1" t="s">
        <v>74</v>
      </c>
      <c r="X892" s="1" t="s">
        <v>74</v>
      </c>
      <c r="Y892" s="1" t="s">
        <v>74</v>
      </c>
      <c r="Z892" s="1" t="s">
        <v>74</v>
      </c>
      <c r="AA892" s="1" t="s">
        <v>8848</v>
      </c>
      <c r="AB892" s="1" t="s">
        <v>8849</v>
      </c>
      <c r="AC892" s="1" t="s">
        <v>74</v>
      </c>
      <c r="AD892" s="1" t="s">
        <v>74</v>
      </c>
      <c r="AE892" s="1" t="s">
        <v>74</v>
      </c>
      <c r="AF892" s="1" t="s">
        <v>74</v>
      </c>
      <c r="AG892" s="1" t="s">
        <v>74</v>
      </c>
      <c r="AH892" s="1" t="s">
        <v>74</v>
      </c>
      <c r="AI892" s="1" t="s">
        <v>74</v>
      </c>
      <c r="AJ892" s="1" t="s">
        <v>74</v>
      </c>
      <c r="AK892" s="1" t="s">
        <v>74</v>
      </c>
      <c r="AL892" s="1" t="s">
        <v>74</v>
      </c>
      <c r="AM892" s="1" t="s">
        <v>74</v>
      </c>
      <c r="AN892" s="1" t="s">
        <v>74</v>
      </c>
      <c r="AO892" s="1" t="s">
        <v>8850</v>
      </c>
      <c r="AP892" s="1" t="s">
        <v>8851</v>
      </c>
      <c r="AQ892" s="1" t="s">
        <v>74</v>
      </c>
      <c r="AR892" s="1" t="s">
        <v>74</v>
      </c>
      <c r="AS892" s="1" t="s">
        <v>74</v>
      </c>
      <c r="AT892" s="1" t="s">
        <v>259</v>
      </c>
      <c r="AU892" s="1">
        <v>2021.0</v>
      </c>
      <c r="AV892" s="1">
        <v>26.0</v>
      </c>
      <c r="AW892" s="1" t="s">
        <v>74</v>
      </c>
      <c r="AX892" s="1" t="s">
        <v>74</v>
      </c>
      <c r="AY892" s="1">
        <v>2.0</v>
      </c>
      <c r="AZ892" s="1" t="s">
        <v>74</v>
      </c>
      <c r="BA892" s="1" t="s">
        <v>74</v>
      </c>
      <c r="BB892" s="1">
        <v>3907.0</v>
      </c>
      <c r="BC892" s="1">
        <v>3916.0</v>
      </c>
      <c r="BD892" s="1" t="s">
        <v>74</v>
      </c>
      <c r="BE892" s="1" t="s">
        <v>8852</v>
      </c>
      <c r="BF892" s="2" t="str">
        <f>HYPERLINK("http://dx.doi.org/10.1590/1413-81232021269.2.30712019","http://dx.doi.org/10.1590/1413-81232021269.2.30712019")</f>
        <v>http://dx.doi.org/10.1590/1413-81232021269.2.30712019</v>
      </c>
      <c r="BG892" s="1" t="s">
        <v>74</v>
      </c>
      <c r="BH892" s="1" t="s">
        <v>74</v>
      </c>
      <c r="BI892" s="1" t="s">
        <v>74</v>
      </c>
      <c r="BJ892" s="1" t="s">
        <v>74</v>
      </c>
      <c r="BK892" s="1" t="s">
        <v>74</v>
      </c>
      <c r="BL892" s="1" t="s">
        <v>74</v>
      </c>
      <c r="BM892" s="1" t="s">
        <v>74</v>
      </c>
      <c r="BN892" s="1">
        <v>3.4468683E7</v>
      </c>
      <c r="BO892" s="1" t="s">
        <v>74</v>
      </c>
      <c r="BP892" s="1" t="s">
        <v>74</v>
      </c>
      <c r="BQ892" s="1" t="s">
        <v>74</v>
      </c>
      <c r="BR892" s="1" t="s">
        <v>74</v>
      </c>
      <c r="BS892" s="1" t="s">
        <v>8853</v>
      </c>
      <c r="BT892" s="1" t="str">
        <f>HYPERLINK("https%3A%2F%2Fwww.webofscience.com%2Fwos%2Fwoscc%2Ffull-record%2FWOS:000691884100048","View Full Record in Web of Science")</f>
        <v>View Full Record in Web of Science</v>
      </c>
    </row>
    <row r="893" ht="12.75" customHeight="1">
      <c r="A893" s="1" t="s">
        <v>72</v>
      </c>
      <c r="B893" s="1" t="s">
        <v>8854</v>
      </c>
      <c r="C893" s="1" t="s">
        <v>74</v>
      </c>
      <c r="D893" s="1" t="s">
        <v>74</v>
      </c>
      <c r="E893" s="1" t="s">
        <v>74</v>
      </c>
      <c r="F893" s="1" t="s">
        <v>8855</v>
      </c>
      <c r="G893" s="1" t="s">
        <v>74</v>
      </c>
      <c r="H893" s="1" t="s">
        <v>74</v>
      </c>
      <c r="I893" s="1" t="s">
        <v>8856</v>
      </c>
      <c r="J893" s="1" t="s">
        <v>2064</v>
      </c>
      <c r="K893" s="1" t="s">
        <v>74</v>
      </c>
      <c r="L893" s="1" t="s">
        <v>74</v>
      </c>
      <c r="M893" s="1" t="s">
        <v>74</v>
      </c>
      <c r="N893" s="1" t="s">
        <v>74</v>
      </c>
      <c r="O893" s="1" t="s">
        <v>74</v>
      </c>
      <c r="P893" s="1" t="s">
        <v>74</v>
      </c>
      <c r="Q893" s="1" t="s">
        <v>74</v>
      </c>
      <c r="R893" s="1" t="s">
        <v>74</v>
      </c>
      <c r="S893" s="1" t="s">
        <v>74</v>
      </c>
      <c r="T893" s="1" t="s">
        <v>74</v>
      </c>
      <c r="U893" s="1" t="s">
        <v>74</v>
      </c>
      <c r="V893" s="1" t="s">
        <v>8857</v>
      </c>
      <c r="W893" s="1" t="s">
        <v>74</v>
      </c>
      <c r="X893" s="1" t="s">
        <v>74</v>
      </c>
      <c r="Y893" s="1" t="s">
        <v>74</v>
      </c>
      <c r="Z893" s="1" t="s">
        <v>74</v>
      </c>
      <c r="AA893" s="1" t="s">
        <v>8858</v>
      </c>
      <c r="AB893" s="1" t="s">
        <v>8859</v>
      </c>
      <c r="AC893" s="1" t="s">
        <v>74</v>
      </c>
      <c r="AD893" s="1" t="s">
        <v>74</v>
      </c>
      <c r="AE893" s="1" t="s">
        <v>74</v>
      </c>
      <c r="AF893" s="1" t="s">
        <v>74</v>
      </c>
      <c r="AG893" s="1" t="s">
        <v>74</v>
      </c>
      <c r="AH893" s="1" t="s">
        <v>74</v>
      </c>
      <c r="AI893" s="1" t="s">
        <v>74</v>
      </c>
      <c r="AJ893" s="1" t="s">
        <v>74</v>
      </c>
      <c r="AK893" s="1" t="s">
        <v>74</v>
      </c>
      <c r="AL893" s="1" t="s">
        <v>74</v>
      </c>
      <c r="AM893" s="1" t="s">
        <v>74</v>
      </c>
      <c r="AN893" s="1" t="s">
        <v>74</v>
      </c>
      <c r="AO893" s="1" t="s">
        <v>2068</v>
      </c>
      <c r="AP893" s="1" t="s">
        <v>74</v>
      </c>
      <c r="AQ893" s="1" t="s">
        <v>74</v>
      </c>
      <c r="AR893" s="1" t="s">
        <v>74</v>
      </c>
      <c r="AS893" s="1" t="s">
        <v>74</v>
      </c>
      <c r="AT893" s="1" t="s">
        <v>8860</v>
      </c>
      <c r="AU893" s="1">
        <v>2020.0</v>
      </c>
      <c r="AV893" s="1">
        <v>11.0</v>
      </c>
      <c r="AW893" s="1" t="s">
        <v>74</v>
      </c>
      <c r="AX893" s="1" t="s">
        <v>74</v>
      </c>
      <c r="AY893" s="1" t="s">
        <v>74</v>
      </c>
      <c r="AZ893" s="1" t="s">
        <v>74</v>
      </c>
      <c r="BA893" s="1" t="s">
        <v>74</v>
      </c>
      <c r="BB893" s="1" t="s">
        <v>74</v>
      </c>
      <c r="BC893" s="1" t="s">
        <v>74</v>
      </c>
      <c r="BD893" s="1">
        <v>544718.0</v>
      </c>
      <c r="BE893" s="1" t="s">
        <v>8861</v>
      </c>
      <c r="BF893" s="2" t="str">
        <f>HYPERLINK("http://dx.doi.org/10.3389/fimmu.2020.544718","http://dx.doi.org/10.3389/fimmu.2020.544718")</f>
        <v>http://dx.doi.org/10.3389/fimmu.2020.544718</v>
      </c>
      <c r="BG893" s="1" t="s">
        <v>74</v>
      </c>
      <c r="BH893" s="1" t="s">
        <v>74</v>
      </c>
      <c r="BI893" s="1" t="s">
        <v>74</v>
      </c>
      <c r="BJ893" s="1" t="s">
        <v>74</v>
      </c>
      <c r="BK893" s="1" t="s">
        <v>74</v>
      </c>
      <c r="BL893" s="1" t="s">
        <v>74</v>
      </c>
      <c r="BM893" s="1" t="s">
        <v>74</v>
      </c>
      <c r="BN893" s="1">
        <v>3.328181E7</v>
      </c>
      <c r="BO893" s="1" t="s">
        <v>74</v>
      </c>
      <c r="BP893" s="1" t="s">
        <v>74</v>
      </c>
      <c r="BQ893" s="1" t="s">
        <v>74</v>
      </c>
      <c r="BR893" s="1" t="s">
        <v>74</v>
      </c>
      <c r="BS893" s="1" t="s">
        <v>8862</v>
      </c>
      <c r="BT893" s="1" t="str">
        <f>HYPERLINK("https%3A%2F%2Fwww.webofscience.com%2Fwos%2Fwoscc%2Ffull-record%2FWOS:000592347800001","View Full Record in Web of Science")</f>
        <v>View Full Record in Web of Science</v>
      </c>
    </row>
    <row r="894" ht="12.75" customHeight="1">
      <c r="A894" s="1" t="s">
        <v>72</v>
      </c>
      <c r="B894" s="1" t="s">
        <v>8863</v>
      </c>
      <c r="C894" s="1" t="s">
        <v>74</v>
      </c>
      <c r="D894" s="1" t="s">
        <v>74</v>
      </c>
      <c r="E894" s="1" t="s">
        <v>74</v>
      </c>
      <c r="F894" s="1" t="s">
        <v>8864</v>
      </c>
      <c r="G894" s="1" t="s">
        <v>74</v>
      </c>
      <c r="H894" s="1" t="s">
        <v>74</v>
      </c>
      <c r="I894" s="1" t="s">
        <v>8865</v>
      </c>
      <c r="J894" s="1" t="s">
        <v>8866</v>
      </c>
      <c r="K894" s="1" t="s">
        <v>74</v>
      </c>
      <c r="L894" s="1" t="s">
        <v>74</v>
      </c>
      <c r="M894" s="1" t="s">
        <v>74</v>
      </c>
      <c r="N894" s="1" t="s">
        <v>74</v>
      </c>
      <c r="O894" s="1" t="s">
        <v>74</v>
      </c>
      <c r="P894" s="1" t="s">
        <v>74</v>
      </c>
      <c r="Q894" s="1" t="s">
        <v>74</v>
      </c>
      <c r="R894" s="1" t="s">
        <v>74</v>
      </c>
      <c r="S894" s="1" t="s">
        <v>74</v>
      </c>
      <c r="T894" s="1" t="s">
        <v>74</v>
      </c>
      <c r="U894" s="1" t="s">
        <v>74</v>
      </c>
      <c r="V894" s="1" t="s">
        <v>8867</v>
      </c>
      <c r="W894" s="1" t="s">
        <v>74</v>
      </c>
      <c r="X894" s="1" t="s">
        <v>74</v>
      </c>
      <c r="Y894" s="1" t="s">
        <v>74</v>
      </c>
      <c r="Z894" s="1" t="s">
        <v>74</v>
      </c>
      <c r="AA894" s="1" t="s">
        <v>8868</v>
      </c>
      <c r="AB894" s="1" t="s">
        <v>8869</v>
      </c>
      <c r="AC894" s="1" t="s">
        <v>74</v>
      </c>
      <c r="AD894" s="1" t="s">
        <v>74</v>
      </c>
      <c r="AE894" s="1" t="s">
        <v>74</v>
      </c>
      <c r="AF894" s="1" t="s">
        <v>74</v>
      </c>
      <c r="AG894" s="1" t="s">
        <v>74</v>
      </c>
      <c r="AH894" s="1" t="s">
        <v>74</v>
      </c>
      <c r="AI894" s="1" t="s">
        <v>74</v>
      </c>
      <c r="AJ894" s="1" t="s">
        <v>74</v>
      </c>
      <c r="AK894" s="1" t="s">
        <v>74</v>
      </c>
      <c r="AL894" s="1" t="s">
        <v>74</v>
      </c>
      <c r="AM894" s="1" t="s">
        <v>74</v>
      </c>
      <c r="AN894" s="1" t="s">
        <v>74</v>
      </c>
      <c r="AO894" s="1" t="s">
        <v>8870</v>
      </c>
      <c r="AP894" s="1" t="s">
        <v>8871</v>
      </c>
      <c r="AQ894" s="1" t="s">
        <v>74</v>
      </c>
      <c r="AR894" s="1" t="s">
        <v>74</v>
      </c>
      <c r="AS894" s="1" t="s">
        <v>74</v>
      </c>
      <c r="AT894" s="1" t="s">
        <v>8872</v>
      </c>
      <c r="AU894" s="1">
        <v>2020.0</v>
      </c>
      <c r="AV894" s="1">
        <v>396.0</v>
      </c>
      <c r="AW894" s="1" t="s">
        <v>74</v>
      </c>
      <c r="AX894" s="1" t="s">
        <v>74</v>
      </c>
      <c r="AY894" s="1" t="s">
        <v>74</v>
      </c>
      <c r="AZ894" s="1" t="s">
        <v>74</v>
      </c>
      <c r="BA894" s="1" t="s">
        <v>74</v>
      </c>
      <c r="BB894" s="1" t="s">
        <v>74</v>
      </c>
      <c r="BC894" s="1" t="s">
        <v>74</v>
      </c>
      <c r="BD894" s="1">
        <v>125243.0</v>
      </c>
      <c r="BE894" s="1" t="s">
        <v>8873</v>
      </c>
      <c r="BF894" s="2" t="str">
        <f>HYPERLINK("http://dx.doi.org/10.1016/j.cej.2020.125243","http://dx.doi.org/10.1016/j.cej.2020.125243")</f>
        <v>http://dx.doi.org/10.1016/j.cej.2020.125243</v>
      </c>
      <c r="BG894" s="1" t="s">
        <v>74</v>
      </c>
      <c r="BH894" s="1" t="s">
        <v>74</v>
      </c>
      <c r="BI894" s="1" t="s">
        <v>74</v>
      </c>
      <c r="BJ894" s="1" t="s">
        <v>74</v>
      </c>
      <c r="BK894" s="1" t="s">
        <v>74</v>
      </c>
      <c r="BL894" s="1" t="s">
        <v>74</v>
      </c>
      <c r="BM894" s="1" t="s">
        <v>74</v>
      </c>
      <c r="BN894" s="1" t="s">
        <v>74</v>
      </c>
      <c r="BO894" s="1" t="s">
        <v>74</v>
      </c>
      <c r="BP894" s="1" t="s">
        <v>74</v>
      </c>
      <c r="BQ894" s="1" t="s">
        <v>74</v>
      </c>
      <c r="BR894" s="1" t="s">
        <v>74</v>
      </c>
      <c r="BS894" s="1" t="s">
        <v>8874</v>
      </c>
      <c r="BT894" s="1" t="str">
        <f>HYPERLINK("https%3A%2F%2Fwww.webofscience.com%2Fwos%2Fwoscc%2Ffull-record%2FWOS:000551969200071","View Full Record in Web of Science")</f>
        <v>View Full Record in Web of Science</v>
      </c>
    </row>
    <row r="895" ht="12.75" customHeight="1">
      <c r="A895" s="1" t="s">
        <v>72</v>
      </c>
      <c r="B895" s="1" t="s">
        <v>8875</v>
      </c>
      <c r="C895" s="1" t="s">
        <v>74</v>
      </c>
      <c r="D895" s="1" t="s">
        <v>74</v>
      </c>
      <c r="E895" s="1" t="s">
        <v>74</v>
      </c>
      <c r="F895" s="1" t="s">
        <v>8876</v>
      </c>
      <c r="G895" s="1" t="s">
        <v>74</v>
      </c>
      <c r="H895" s="1" t="s">
        <v>74</v>
      </c>
      <c r="I895" s="1" t="s">
        <v>8877</v>
      </c>
      <c r="J895" s="1" t="s">
        <v>8878</v>
      </c>
      <c r="K895" s="1" t="s">
        <v>74</v>
      </c>
      <c r="L895" s="1" t="s">
        <v>74</v>
      </c>
      <c r="M895" s="1" t="s">
        <v>74</v>
      </c>
      <c r="N895" s="1" t="s">
        <v>74</v>
      </c>
      <c r="O895" s="1" t="s">
        <v>74</v>
      </c>
      <c r="P895" s="1" t="s">
        <v>74</v>
      </c>
      <c r="Q895" s="1" t="s">
        <v>74</v>
      </c>
      <c r="R895" s="1" t="s">
        <v>74</v>
      </c>
      <c r="S895" s="1" t="s">
        <v>74</v>
      </c>
      <c r="T895" s="1" t="s">
        <v>74</v>
      </c>
      <c r="U895" s="1" t="s">
        <v>74</v>
      </c>
      <c r="V895" s="1" t="s">
        <v>8879</v>
      </c>
      <c r="W895" s="1" t="s">
        <v>74</v>
      </c>
      <c r="X895" s="1" t="s">
        <v>74</v>
      </c>
      <c r="Y895" s="1" t="s">
        <v>74</v>
      </c>
      <c r="Z895" s="1" t="s">
        <v>74</v>
      </c>
      <c r="AA895" s="1" t="s">
        <v>8880</v>
      </c>
      <c r="AB895" s="1" t="s">
        <v>8881</v>
      </c>
      <c r="AC895" s="1" t="s">
        <v>74</v>
      </c>
      <c r="AD895" s="1" t="s">
        <v>74</v>
      </c>
      <c r="AE895" s="1" t="s">
        <v>74</v>
      </c>
      <c r="AF895" s="1" t="s">
        <v>74</v>
      </c>
      <c r="AG895" s="1" t="s">
        <v>74</v>
      </c>
      <c r="AH895" s="1" t="s">
        <v>74</v>
      </c>
      <c r="AI895" s="1" t="s">
        <v>74</v>
      </c>
      <c r="AJ895" s="1" t="s">
        <v>74</v>
      </c>
      <c r="AK895" s="1" t="s">
        <v>74</v>
      </c>
      <c r="AL895" s="1" t="s">
        <v>74</v>
      </c>
      <c r="AM895" s="1" t="s">
        <v>74</v>
      </c>
      <c r="AN895" s="1" t="s">
        <v>74</v>
      </c>
      <c r="AO895" s="1" t="s">
        <v>74</v>
      </c>
      <c r="AP895" s="1" t="s">
        <v>8882</v>
      </c>
      <c r="AQ895" s="1" t="s">
        <v>74</v>
      </c>
      <c r="AR895" s="1" t="s">
        <v>74</v>
      </c>
      <c r="AS895" s="1" t="s">
        <v>74</v>
      </c>
      <c r="AT895" s="1" t="s">
        <v>8883</v>
      </c>
      <c r="AU895" s="1">
        <v>2020.0</v>
      </c>
      <c r="AV895" s="1">
        <v>10.0</v>
      </c>
      <c r="AW895" s="1" t="s">
        <v>74</v>
      </c>
      <c r="AX895" s="1" t="s">
        <v>74</v>
      </c>
      <c r="AY895" s="1" t="s">
        <v>74</v>
      </c>
      <c r="AZ895" s="1" t="s">
        <v>74</v>
      </c>
      <c r="BA895" s="1" t="s">
        <v>74</v>
      </c>
      <c r="BB895" s="1" t="s">
        <v>74</v>
      </c>
      <c r="BC895" s="1" t="s">
        <v>74</v>
      </c>
      <c r="BD895" s="1">
        <v>1406.0</v>
      </c>
      <c r="BE895" s="1" t="s">
        <v>8884</v>
      </c>
      <c r="BF895" s="2" t="str">
        <f>HYPERLINK("http://dx.doi.org/10.3389/fgene.2019.01406","http://dx.doi.org/10.3389/fgene.2019.01406")</f>
        <v>http://dx.doi.org/10.3389/fgene.2019.01406</v>
      </c>
      <c r="BG895" s="1" t="s">
        <v>74</v>
      </c>
      <c r="BH895" s="1" t="s">
        <v>74</v>
      </c>
      <c r="BI895" s="1" t="s">
        <v>74</v>
      </c>
      <c r="BJ895" s="1" t="s">
        <v>74</v>
      </c>
      <c r="BK895" s="1" t="s">
        <v>74</v>
      </c>
      <c r="BL895" s="1" t="s">
        <v>74</v>
      </c>
      <c r="BM895" s="1" t="s">
        <v>74</v>
      </c>
      <c r="BN895" s="1">
        <v>3.2174954E7</v>
      </c>
      <c r="BO895" s="1" t="s">
        <v>74</v>
      </c>
      <c r="BP895" s="1" t="s">
        <v>74</v>
      </c>
      <c r="BQ895" s="1" t="s">
        <v>74</v>
      </c>
      <c r="BR895" s="1" t="s">
        <v>74</v>
      </c>
      <c r="BS895" s="1" t="s">
        <v>8885</v>
      </c>
      <c r="BT895" s="1" t="str">
        <f>HYPERLINK("https%3A%2F%2Fwww.webofscience.com%2Fwos%2Fwoscc%2Ffull-record%2FWOS:000525201700001","View Full Record in Web of Science")</f>
        <v>View Full Record in Web of Science</v>
      </c>
    </row>
    <row r="896" ht="12.75" customHeight="1">
      <c r="A896" s="1" t="s">
        <v>647</v>
      </c>
      <c r="B896" s="1" t="s">
        <v>8886</v>
      </c>
      <c r="C896" s="1" t="s">
        <v>74</v>
      </c>
      <c r="D896" s="1" t="s">
        <v>74</v>
      </c>
      <c r="E896" s="1" t="s">
        <v>8887</v>
      </c>
      <c r="F896" s="1" t="s">
        <v>8888</v>
      </c>
      <c r="G896" s="1" t="s">
        <v>74</v>
      </c>
      <c r="H896" s="1" t="s">
        <v>74</v>
      </c>
      <c r="I896" s="1" t="s">
        <v>8889</v>
      </c>
      <c r="J896" s="1" t="s">
        <v>8890</v>
      </c>
      <c r="K896" s="1" t="s">
        <v>74</v>
      </c>
      <c r="L896" s="1" t="s">
        <v>74</v>
      </c>
      <c r="M896" s="1" t="s">
        <v>74</v>
      </c>
      <c r="N896" s="1" t="s">
        <v>74</v>
      </c>
      <c r="O896" s="1" t="s">
        <v>8891</v>
      </c>
      <c r="P896" s="1" t="s">
        <v>8892</v>
      </c>
      <c r="Q896" s="1" t="s">
        <v>1491</v>
      </c>
      <c r="R896" s="1" t="s">
        <v>8893</v>
      </c>
      <c r="S896" s="1" t="s">
        <v>74</v>
      </c>
      <c r="T896" s="1" t="s">
        <v>74</v>
      </c>
      <c r="U896" s="1" t="s">
        <v>74</v>
      </c>
      <c r="V896" s="1" t="s">
        <v>8894</v>
      </c>
      <c r="W896" s="1" t="s">
        <v>74</v>
      </c>
      <c r="X896" s="1" t="s">
        <v>74</v>
      </c>
      <c r="Y896" s="1" t="s">
        <v>74</v>
      </c>
      <c r="Z896" s="1" t="s">
        <v>74</v>
      </c>
      <c r="AA896" s="1" t="s">
        <v>74</v>
      </c>
      <c r="AB896" s="1" t="s">
        <v>74</v>
      </c>
      <c r="AC896" s="1" t="s">
        <v>74</v>
      </c>
      <c r="AD896" s="1" t="s">
        <v>74</v>
      </c>
      <c r="AE896" s="1" t="s">
        <v>74</v>
      </c>
      <c r="AF896" s="1" t="s">
        <v>74</v>
      </c>
      <c r="AG896" s="1" t="s">
        <v>74</v>
      </c>
      <c r="AH896" s="1" t="s">
        <v>74</v>
      </c>
      <c r="AI896" s="1" t="s">
        <v>74</v>
      </c>
      <c r="AJ896" s="1" t="s">
        <v>74</v>
      </c>
      <c r="AK896" s="1" t="s">
        <v>74</v>
      </c>
      <c r="AL896" s="1" t="s">
        <v>74</v>
      </c>
      <c r="AM896" s="1" t="s">
        <v>74</v>
      </c>
      <c r="AN896" s="1" t="s">
        <v>74</v>
      </c>
      <c r="AO896" s="1" t="s">
        <v>74</v>
      </c>
      <c r="AP896" s="1" t="s">
        <v>74</v>
      </c>
      <c r="AQ896" s="1" t="s">
        <v>8895</v>
      </c>
      <c r="AR896" s="1" t="s">
        <v>74</v>
      </c>
      <c r="AS896" s="1" t="s">
        <v>74</v>
      </c>
      <c r="AT896" s="1" t="s">
        <v>74</v>
      </c>
      <c r="AU896" s="1">
        <v>2020.0</v>
      </c>
      <c r="AV896" s="1" t="s">
        <v>74</v>
      </c>
      <c r="AW896" s="1" t="s">
        <v>74</v>
      </c>
      <c r="AX896" s="1" t="s">
        <v>74</v>
      </c>
      <c r="AY896" s="1" t="s">
        <v>74</v>
      </c>
      <c r="AZ896" s="1" t="s">
        <v>74</v>
      </c>
      <c r="BA896" s="1" t="s">
        <v>74</v>
      </c>
      <c r="BB896" s="1" t="s">
        <v>74</v>
      </c>
      <c r="BC896" s="1" t="s">
        <v>74</v>
      </c>
      <c r="BD896" s="1" t="s">
        <v>8896</v>
      </c>
      <c r="BE896" s="1" t="s">
        <v>74</v>
      </c>
      <c r="BF896" s="1" t="s">
        <v>74</v>
      </c>
      <c r="BG896" s="1" t="s">
        <v>74</v>
      </c>
      <c r="BH896" s="1" t="s">
        <v>74</v>
      </c>
      <c r="BI896" s="1" t="s">
        <v>74</v>
      </c>
      <c r="BJ896" s="1" t="s">
        <v>74</v>
      </c>
      <c r="BK896" s="1" t="s">
        <v>74</v>
      </c>
      <c r="BL896" s="1" t="s">
        <v>74</v>
      </c>
      <c r="BM896" s="1" t="s">
        <v>74</v>
      </c>
      <c r="BN896" s="1" t="s">
        <v>74</v>
      </c>
      <c r="BO896" s="1" t="s">
        <v>74</v>
      </c>
      <c r="BP896" s="1" t="s">
        <v>74</v>
      </c>
      <c r="BQ896" s="1" t="s">
        <v>74</v>
      </c>
      <c r="BR896" s="1" t="s">
        <v>74</v>
      </c>
      <c r="BS896" s="1" t="s">
        <v>8897</v>
      </c>
      <c r="BT896" s="1" t="str">
        <f>HYPERLINK("https%3A%2F%2Fwww.webofscience.com%2Fwos%2Fwoscc%2Ffull-record%2FWOS:001233269200020","View Full Record in Web of Science")</f>
        <v>View Full Record in Web of Science</v>
      </c>
    </row>
    <row r="897" ht="12.75" customHeight="1">
      <c r="A897" s="1" t="s">
        <v>72</v>
      </c>
      <c r="B897" s="1" t="s">
        <v>8898</v>
      </c>
      <c r="C897" s="1" t="s">
        <v>74</v>
      </c>
      <c r="D897" s="1" t="s">
        <v>74</v>
      </c>
      <c r="E897" s="1" t="s">
        <v>74</v>
      </c>
      <c r="F897" s="1" t="s">
        <v>8899</v>
      </c>
      <c r="G897" s="1" t="s">
        <v>74</v>
      </c>
      <c r="H897" s="1" t="s">
        <v>74</v>
      </c>
      <c r="I897" s="1" t="s">
        <v>8900</v>
      </c>
      <c r="J897" s="1" t="s">
        <v>2207</v>
      </c>
      <c r="K897" s="1" t="s">
        <v>74</v>
      </c>
      <c r="L897" s="1" t="s">
        <v>74</v>
      </c>
      <c r="M897" s="1" t="s">
        <v>74</v>
      </c>
      <c r="N897" s="1" t="s">
        <v>74</v>
      </c>
      <c r="O897" s="1" t="s">
        <v>74</v>
      </c>
      <c r="P897" s="1" t="s">
        <v>74</v>
      </c>
      <c r="Q897" s="1" t="s">
        <v>74</v>
      </c>
      <c r="R897" s="1" t="s">
        <v>74</v>
      </c>
      <c r="S897" s="1" t="s">
        <v>74</v>
      </c>
      <c r="T897" s="1" t="s">
        <v>74</v>
      </c>
      <c r="U897" s="1" t="s">
        <v>74</v>
      </c>
      <c r="V897" s="1" t="s">
        <v>8901</v>
      </c>
      <c r="W897" s="1" t="s">
        <v>74</v>
      </c>
      <c r="X897" s="1" t="s">
        <v>74</v>
      </c>
      <c r="Y897" s="1" t="s">
        <v>74</v>
      </c>
      <c r="Z897" s="1" t="s">
        <v>74</v>
      </c>
      <c r="AA897" s="1" t="s">
        <v>8902</v>
      </c>
      <c r="AB897" s="1" t="s">
        <v>8903</v>
      </c>
      <c r="AC897" s="1" t="s">
        <v>74</v>
      </c>
      <c r="AD897" s="1" t="s">
        <v>74</v>
      </c>
      <c r="AE897" s="1" t="s">
        <v>74</v>
      </c>
      <c r="AF897" s="1" t="s">
        <v>74</v>
      </c>
      <c r="AG897" s="1" t="s">
        <v>74</v>
      </c>
      <c r="AH897" s="1" t="s">
        <v>74</v>
      </c>
      <c r="AI897" s="1" t="s">
        <v>74</v>
      </c>
      <c r="AJ897" s="1" t="s">
        <v>74</v>
      </c>
      <c r="AK897" s="1" t="s">
        <v>74</v>
      </c>
      <c r="AL897" s="1" t="s">
        <v>74</v>
      </c>
      <c r="AM897" s="1" t="s">
        <v>74</v>
      </c>
      <c r="AN897" s="1" t="s">
        <v>74</v>
      </c>
      <c r="AO897" s="1" t="s">
        <v>2211</v>
      </c>
      <c r="AP897" s="1" t="s">
        <v>2212</v>
      </c>
      <c r="AQ897" s="1" t="s">
        <v>74</v>
      </c>
      <c r="AR897" s="1" t="s">
        <v>74</v>
      </c>
      <c r="AS897" s="1" t="s">
        <v>74</v>
      </c>
      <c r="AT897" s="1" t="s">
        <v>3560</v>
      </c>
      <c r="AU897" s="1">
        <v>2018.0</v>
      </c>
      <c r="AV897" s="1">
        <v>465.0</v>
      </c>
      <c r="AW897" s="1" t="s">
        <v>74</v>
      </c>
      <c r="AX897" s="1" t="s">
        <v>74</v>
      </c>
      <c r="AY897" s="1" t="s">
        <v>74</v>
      </c>
      <c r="AZ897" s="1" t="s">
        <v>74</v>
      </c>
      <c r="BA897" s="1" t="s">
        <v>74</v>
      </c>
      <c r="BB897" s="1">
        <v>634.0</v>
      </c>
      <c r="BC897" s="1">
        <v>639.0</v>
      </c>
      <c r="BD897" s="1" t="s">
        <v>74</v>
      </c>
      <c r="BE897" s="1" t="s">
        <v>8904</v>
      </c>
      <c r="BF897" s="2" t="str">
        <f>HYPERLINK("http://dx.doi.org/10.1016/j.jmmm.2018.06.059","http://dx.doi.org/10.1016/j.jmmm.2018.06.059")</f>
        <v>http://dx.doi.org/10.1016/j.jmmm.2018.06.059</v>
      </c>
      <c r="BG897" s="1" t="s">
        <v>74</v>
      </c>
      <c r="BH897" s="1" t="s">
        <v>74</v>
      </c>
      <c r="BI897" s="1" t="s">
        <v>74</v>
      </c>
      <c r="BJ897" s="1" t="s">
        <v>74</v>
      </c>
      <c r="BK897" s="1" t="s">
        <v>74</v>
      </c>
      <c r="BL897" s="1" t="s">
        <v>74</v>
      </c>
      <c r="BM897" s="1" t="s">
        <v>74</v>
      </c>
      <c r="BN897" s="1" t="s">
        <v>74</v>
      </c>
      <c r="BO897" s="1" t="s">
        <v>74</v>
      </c>
      <c r="BP897" s="1" t="s">
        <v>74</v>
      </c>
      <c r="BQ897" s="1" t="s">
        <v>74</v>
      </c>
      <c r="BR897" s="1" t="s">
        <v>74</v>
      </c>
      <c r="BS897" s="1" t="s">
        <v>8905</v>
      </c>
      <c r="BT897" s="1" t="str">
        <f>HYPERLINK("https%3A%2F%2Fwww.webofscience.com%2Fwos%2Fwoscc%2Ffull-record%2FWOS:000446439300090","View Full Record in Web of Science")</f>
        <v>View Full Record in Web of Science</v>
      </c>
    </row>
    <row r="898" ht="12.75" customHeight="1">
      <c r="A898" s="1" t="s">
        <v>72</v>
      </c>
      <c r="B898" s="1" t="s">
        <v>8906</v>
      </c>
      <c r="C898" s="1" t="s">
        <v>74</v>
      </c>
      <c r="D898" s="1" t="s">
        <v>74</v>
      </c>
      <c r="E898" s="1" t="s">
        <v>74</v>
      </c>
      <c r="F898" s="1" t="s">
        <v>8907</v>
      </c>
      <c r="G898" s="1" t="s">
        <v>74</v>
      </c>
      <c r="H898" s="1" t="s">
        <v>74</v>
      </c>
      <c r="I898" s="1" t="s">
        <v>8908</v>
      </c>
      <c r="J898" s="1" t="s">
        <v>8909</v>
      </c>
      <c r="K898" s="1" t="s">
        <v>74</v>
      </c>
      <c r="L898" s="1" t="s">
        <v>74</v>
      </c>
      <c r="M898" s="1" t="s">
        <v>74</v>
      </c>
      <c r="N898" s="1" t="s">
        <v>74</v>
      </c>
      <c r="O898" s="1" t="s">
        <v>74</v>
      </c>
      <c r="P898" s="1" t="s">
        <v>74</v>
      </c>
      <c r="Q898" s="1" t="s">
        <v>74</v>
      </c>
      <c r="R898" s="1" t="s">
        <v>74</v>
      </c>
      <c r="S898" s="1" t="s">
        <v>74</v>
      </c>
      <c r="T898" s="1" t="s">
        <v>74</v>
      </c>
      <c r="U898" s="1" t="s">
        <v>74</v>
      </c>
      <c r="V898" s="1" t="s">
        <v>8910</v>
      </c>
      <c r="W898" s="1" t="s">
        <v>74</v>
      </c>
      <c r="X898" s="1" t="s">
        <v>74</v>
      </c>
      <c r="Y898" s="1" t="s">
        <v>74</v>
      </c>
      <c r="Z898" s="1" t="s">
        <v>74</v>
      </c>
      <c r="AA898" s="1" t="s">
        <v>8911</v>
      </c>
      <c r="AB898" s="1" t="s">
        <v>8912</v>
      </c>
      <c r="AC898" s="1" t="s">
        <v>74</v>
      </c>
      <c r="AD898" s="1" t="s">
        <v>74</v>
      </c>
      <c r="AE898" s="1" t="s">
        <v>74</v>
      </c>
      <c r="AF898" s="1" t="s">
        <v>74</v>
      </c>
      <c r="AG898" s="1" t="s">
        <v>74</v>
      </c>
      <c r="AH898" s="1" t="s">
        <v>74</v>
      </c>
      <c r="AI898" s="1" t="s">
        <v>74</v>
      </c>
      <c r="AJ898" s="1" t="s">
        <v>74</v>
      </c>
      <c r="AK898" s="1" t="s">
        <v>74</v>
      </c>
      <c r="AL898" s="1" t="s">
        <v>74</v>
      </c>
      <c r="AM898" s="1" t="s">
        <v>74</v>
      </c>
      <c r="AN898" s="1" t="s">
        <v>74</v>
      </c>
      <c r="AO898" s="1" t="s">
        <v>8913</v>
      </c>
      <c r="AP898" s="1" t="s">
        <v>8914</v>
      </c>
      <c r="AQ898" s="1" t="s">
        <v>74</v>
      </c>
      <c r="AR898" s="1" t="s">
        <v>74</v>
      </c>
      <c r="AS898" s="1" t="s">
        <v>74</v>
      </c>
      <c r="AT898" s="1" t="s">
        <v>316</v>
      </c>
      <c r="AU898" s="1">
        <v>2016.0</v>
      </c>
      <c r="AV898" s="1">
        <v>22.0</v>
      </c>
      <c r="AW898" s="1">
        <v>41.0</v>
      </c>
      <c r="AX898" s="1" t="s">
        <v>74</v>
      </c>
      <c r="AY898" s="1" t="s">
        <v>74</v>
      </c>
      <c r="AZ898" s="1" t="s">
        <v>74</v>
      </c>
      <c r="BA898" s="1" t="s">
        <v>74</v>
      </c>
      <c r="BB898" s="1">
        <v>14548.0</v>
      </c>
      <c r="BC898" s="1">
        <v>14559.0</v>
      </c>
      <c r="BD898" s="1" t="s">
        <v>74</v>
      </c>
      <c r="BE898" s="1" t="s">
        <v>8915</v>
      </c>
      <c r="BF898" s="2" t="str">
        <f>HYPERLINK("http://dx.doi.org/10.1002/chem.201601457","http://dx.doi.org/10.1002/chem.201601457")</f>
        <v>http://dx.doi.org/10.1002/chem.201601457</v>
      </c>
      <c r="BG898" s="1" t="s">
        <v>74</v>
      </c>
      <c r="BH898" s="1" t="s">
        <v>74</v>
      </c>
      <c r="BI898" s="1" t="s">
        <v>74</v>
      </c>
      <c r="BJ898" s="1" t="s">
        <v>74</v>
      </c>
      <c r="BK898" s="1" t="s">
        <v>74</v>
      </c>
      <c r="BL898" s="1" t="s">
        <v>74</v>
      </c>
      <c r="BM898" s="1" t="s">
        <v>74</v>
      </c>
      <c r="BN898" s="1">
        <v>2.7443697E7</v>
      </c>
      <c r="BO898" s="1" t="s">
        <v>74</v>
      </c>
      <c r="BP898" s="1" t="s">
        <v>74</v>
      </c>
      <c r="BQ898" s="1" t="s">
        <v>74</v>
      </c>
      <c r="BR898" s="1" t="s">
        <v>74</v>
      </c>
      <c r="BS898" s="1" t="s">
        <v>8916</v>
      </c>
      <c r="BT898" s="1" t="str">
        <f>HYPERLINK("https%3A%2F%2Fwww.webofscience.com%2Fwos%2Fwoscc%2Ffull-record%2FWOS:000384698500022","View Full Record in Web of Science")</f>
        <v>View Full Record in Web of Science</v>
      </c>
    </row>
    <row r="899" ht="12.75" customHeight="1">
      <c r="A899" s="1" t="s">
        <v>72</v>
      </c>
      <c r="B899" s="1" t="s">
        <v>8917</v>
      </c>
      <c r="C899" s="1" t="s">
        <v>74</v>
      </c>
      <c r="D899" s="1" t="s">
        <v>74</v>
      </c>
      <c r="E899" s="1" t="s">
        <v>74</v>
      </c>
      <c r="F899" s="1" t="s">
        <v>8918</v>
      </c>
      <c r="G899" s="1" t="s">
        <v>74</v>
      </c>
      <c r="H899" s="1" t="s">
        <v>74</v>
      </c>
      <c r="I899" s="1" t="s">
        <v>8919</v>
      </c>
      <c r="J899" s="1" t="s">
        <v>8920</v>
      </c>
      <c r="K899" s="1" t="s">
        <v>74</v>
      </c>
      <c r="L899" s="1" t="s">
        <v>74</v>
      </c>
      <c r="M899" s="1" t="s">
        <v>74</v>
      </c>
      <c r="N899" s="1" t="s">
        <v>74</v>
      </c>
      <c r="O899" s="1" t="s">
        <v>74</v>
      </c>
      <c r="P899" s="1" t="s">
        <v>74</v>
      </c>
      <c r="Q899" s="1" t="s">
        <v>74</v>
      </c>
      <c r="R899" s="1" t="s">
        <v>74</v>
      </c>
      <c r="S899" s="1" t="s">
        <v>74</v>
      </c>
      <c r="T899" s="1" t="s">
        <v>74</v>
      </c>
      <c r="U899" s="1" t="s">
        <v>74</v>
      </c>
      <c r="V899" s="1" t="s">
        <v>8921</v>
      </c>
      <c r="W899" s="1" t="s">
        <v>74</v>
      </c>
      <c r="X899" s="1" t="s">
        <v>74</v>
      </c>
      <c r="Y899" s="1" t="s">
        <v>74</v>
      </c>
      <c r="Z899" s="1" t="s">
        <v>74</v>
      </c>
      <c r="AA899" s="1" t="s">
        <v>8922</v>
      </c>
      <c r="AB899" s="1" t="s">
        <v>8923</v>
      </c>
      <c r="AC899" s="1" t="s">
        <v>74</v>
      </c>
      <c r="AD899" s="1" t="s">
        <v>74</v>
      </c>
      <c r="AE899" s="1" t="s">
        <v>74</v>
      </c>
      <c r="AF899" s="1" t="s">
        <v>74</v>
      </c>
      <c r="AG899" s="1" t="s">
        <v>74</v>
      </c>
      <c r="AH899" s="1" t="s">
        <v>74</v>
      </c>
      <c r="AI899" s="1" t="s">
        <v>74</v>
      </c>
      <c r="AJ899" s="1" t="s">
        <v>74</v>
      </c>
      <c r="AK899" s="1" t="s">
        <v>74</v>
      </c>
      <c r="AL899" s="1" t="s">
        <v>74</v>
      </c>
      <c r="AM899" s="1" t="s">
        <v>74</v>
      </c>
      <c r="AN899" s="1" t="s">
        <v>74</v>
      </c>
      <c r="AO899" s="1" t="s">
        <v>8924</v>
      </c>
      <c r="AP899" s="1" t="s">
        <v>8925</v>
      </c>
      <c r="AQ899" s="1" t="s">
        <v>74</v>
      </c>
      <c r="AR899" s="1" t="s">
        <v>74</v>
      </c>
      <c r="AS899" s="1" t="s">
        <v>74</v>
      </c>
      <c r="AT899" s="1" t="s">
        <v>438</v>
      </c>
      <c r="AU899" s="1">
        <v>2015.0</v>
      </c>
      <c r="AV899" s="1">
        <v>199.0</v>
      </c>
      <c r="AW899" s="1" t="s">
        <v>74</v>
      </c>
      <c r="AX899" s="1" t="s">
        <v>74</v>
      </c>
      <c r="AY899" s="1" t="s">
        <v>74</v>
      </c>
      <c r="AZ899" s="1" t="s">
        <v>74</v>
      </c>
      <c r="BA899" s="1" t="s">
        <v>74</v>
      </c>
      <c r="BB899" s="1">
        <v>130.0</v>
      </c>
      <c r="BC899" s="1">
        <v>138.0</v>
      </c>
      <c r="BD899" s="1" t="s">
        <v>74</v>
      </c>
      <c r="BE899" s="1" t="s">
        <v>8926</v>
      </c>
      <c r="BF899" s="2" t="str">
        <f>HYPERLINK("http://dx.doi.org/10.1016/j.envpol.2015.01.026","http://dx.doi.org/10.1016/j.envpol.2015.01.026")</f>
        <v>http://dx.doi.org/10.1016/j.envpol.2015.01.026</v>
      </c>
      <c r="BG899" s="1" t="s">
        <v>74</v>
      </c>
      <c r="BH899" s="1" t="s">
        <v>74</v>
      </c>
      <c r="BI899" s="1" t="s">
        <v>74</v>
      </c>
      <c r="BJ899" s="1" t="s">
        <v>74</v>
      </c>
      <c r="BK899" s="1" t="s">
        <v>74</v>
      </c>
      <c r="BL899" s="1" t="s">
        <v>74</v>
      </c>
      <c r="BM899" s="1" t="s">
        <v>74</v>
      </c>
      <c r="BN899" s="1">
        <v>2.5645062E7</v>
      </c>
      <c r="BO899" s="1" t="s">
        <v>74</v>
      </c>
      <c r="BP899" s="1" t="s">
        <v>74</v>
      </c>
      <c r="BQ899" s="1" t="s">
        <v>74</v>
      </c>
      <c r="BR899" s="1" t="s">
        <v>74</v>
      </c>
      <c r="BS899" s="1" t="s">
        <v>8927</v>
      </c>
      <c r="BT899" s="1" t="str">
        <f>HYPERLINK("https%3A%2F%2Fwww.webofscience.com%2Fwos%2Fwoscc%2Ffull-record%2FWOS:000351972900017","View Full Record in Web of Science")</f>
        <v>View Full Record in Web of Science</v>
      </c>
    </row>
    <row r="900" ht="12.75" customHeight="1">
      <c r="A900" s="1" t="s">
        <v>72</v>
      </c>
      <c r="B900" s="1" t="s">
        <v>8928</v>
      </c>
      <c r="C900" s="1" t="s">
        <v>74</v>
      </c>
      <c r="D900" s="1" t="s">
        <v>74</v>
      </c>
      <c r="E900" s="1" t="s">
        <v>74</v>
      </c>
      <c r="F900" s="1" t="s">
        <v>8929</v>
      </c>
      <c r="G900" s="1" t="s">
        <v>74</v>
      </c>
      <c r="H900" s="1" t="s">
        <v>74</v>
      </c>
      <c r="I900" s="1" t="s">
        <v>8930</v>
      </c>
      <c r="J900" s="1" t="s">
        <v>2493</v>
      </c>
      <c r="K900" s="1" t="s">
        <v>74</v>
      </c>
      <c r="L900" s="1" t="s">
        <v>74</v>
      </c>
      <c r="M900" s="1" t="s">
        <v>74</v>
      </c>
      <c r="N900" s="1" t="s">
        <v>74</v>
      </c>
      <c r="O900" s="1" t="s">
        <v>74</v>
      </c>
      <c r="P900" s="1" t="s">
        <v>74</v>
      </c>
      <c r="Q900" s="1" t="s">
        <v>74</v>
      </c>
      <c r="R900" s="1" t="s">
        <v>74</v>
      </c>
      <c r="S900" s="1" t="s">
        <v>74</v>
      </c>
      <c r="T900" s="1" t="s">
        <v>74</v>
      </c>
      <c r="U900" s="1" t="s">
        <v>74</v>
      </c>
      <c r="V900" s="1" t="s">
        <v>8931</v>
      </c>
      <c r="W900" s="1" t="s">
        <v>74</v>
      </c>
      <c r="X900" s="1" t="s">
        <v>74</v>
      </c>
      <c r="Y900" s="1" t="s">
        <v>74</v>
      </c>
      <c r="Z900" s="1" t="s">
        <v>74</v>
      </c>
      <c r="AA900" s="1" t="s">
        <v>8932</v>
      </c>
      <c r="AB900" s="1" t="s">
        <v>8933</v>
      </c>
      <c r="AC900" s="1" t="s">
        <v>74</v>
      </c>
      <c r="AD900" s="1" t="s">
        <v>74</v>
      </c>
      <c r="AE900" s="1" t="s">
        <v>74</v>
      </c>
      <c r="AF900" s="1" t="s">
        <v>74</v>
      </c>
      <c r="AG900" s="1" t="s">
        <v>74</v>
      </c>
      <c r="AH900" s="1" t="s">
        <v>74</v>
      </c>
      <c r="AI900" s="1" t="s">
        <v>74</v>
      </c>
      <c r="AJ900" s="1" t="s">
        <v>74</v>
      </c>
      <c r="AK900" s="1" t="s">
        <v>74</v>
      </c>
      <c r="AL900" s="1" t="s">
        <v>74</v>
      </c>
      <c r="AM900" s="1" t="s">
        <v>74</v>
      </c>
      <c r="AN900" s="1" t="s">
        <v>74</v>
      </c>
      <c r="AO900" s="1" t="s">
        <v>2497</v>
      </c>
      <c r="AP900" s="1" t="s">
        <v>2498</v>
      </c>
      <c r="AQ900" s="1" t="s">
        <v>74</v>
      </c>
      <c r="AR900" s="1" t="s">
        <v>74</v>
      </c>
      <c r="AS900" s="1" t="s">
        <v>74</v>
      </c>
      <c r="AT900" s="1" t="s">
        <v>74</v>
      </c>
      <c r="AU900" s="1">
        <v>2015.0</v>
      </c>
      <c r="AV900" s="1">
        <v>51.0</v>
      </c>
      <c r="AW900" s="1">
        <v>62.0</v>
      </c>
      <c r="AX900" s="1" t="s">
        <v>74</v>
      </c>
      <c r="AY900" s="1" t="s">
        <v>74</v>
      </c>
      <c r="AZ900" s="1" t="s">
        <v>74</v>
      </c>
      <c r="BA900" s="1" t="s">
        <v>74</v>
      </c>
      <c r="BB900" s="1">
        <v>12353.0</v>
      </c>
      <c r="BC900" s="1">
        <v>12356.0</v>
      </c>
      <c r="BD900" s="1" t="s">
        <v>74</v>
      </c>
      <c r="BE900" s="1" t="s">
        <v>8934</v>
      </c>
      <c r="BF900" s="2" t="str">
        <f>HYPERLINK("http://dx.doi.org/10.1039/c5cc04495b","http://dx.doi.org/10.1039/c5cc04495b")</f>
        <v>http://dx.doi.org/10.1039/c5cc04495b</v>
      </c>
      <c r="BG900" s="1" t="s">
        <v>74</v>
      </c>
      <c r="BH900" s="1" t="s">
        <v>74</v>
      </c>
      <c r="BI900" s="1" t="s">
        <v>74</v>
      </c>
      <c r="BJ900" s="1" t="s">
        <v>74</v>
      </c>
      <c r="BK900" s="1" t="s">
        <v>74</v>
      </c>
      <c r="BL900" s="1" t="s">
        <v>74</v>
      </c>
      <c r="BM900" s="1" t="s">
        <v>74</v>
      </c>
      <c r="BN900" s="1">
        <v>2.6121011E7</v>
      </c>
      <c r="BO900" s="1" t="s">
        <v>74</v>
      </c>
      <c r="BP900" s="1" t="s">
        <v>74</v>
      </c>
      <c r="BQ900" s="1" t="s">
        <v>74</v>
      </c>
      <c r="BR900" s="1" t="s">
        <v>74</v>
      </c>
      <c r="BS900" s="1" t="s">
        <v>8935</v>
      </c>
      <c r="BT900" s="1" t="str">
        <f>HYPERLINK("https%3A%2F%2Fwww.webofscience.com%2Fwos%2Fwoscc%2Ffull-record%2FWOS:000358346600002","View Full Record in Web of Science")</f>
        <v>View Full Record in Web of Science</v>
      </c>
    </row>
    <row r="901" ht="12.75" customHeight="1">
      <c r="A901" s="1" t="s">
        <v>72</v>
      </c>
      <c r="B901" s="1" t="s">
        <v>8936</v>
      </c>
      <c r="C901" s="1" t="s">
        <v>74</v>
      </c>
      <c r="D901" s="1" t="s">
        <v>74</v>
      </c>
      <c r="E901" s="1" t="s">
        <v>74</v>
      </c>
      <c r="F901" s="1" t="s">
        <v>8937</v>
      </c>
      <c r="G901" s="1" t="s">
        <v>74</v>
      </c>
      <c r="H901" s="1" t="s">
        <v>74</v>
      </c>
      <c r="I901" s="1" t="s">
        <v>8938</v>
      </c>
      <c r="J901" s="1" t="s">
        <v>5846</v>
      </c>
      <c r="K901" s="1" t="s">
        <v>74</v>
      </c>
      <c r="L901" s="1" t="s">
        <v>74</v>
      </c>
      <c r="M901" s="1" t="s">
        <v>74</v>
      </c>
      <c r="N901" s="1" t="s">
        <v>74</v>
      </c>
      <c r="O901" s="1" t="s">
        <v>74</v>
      </c>
      <c r="P901" s="1" t="s">
        <v>74</v>
      </c>
      <c r="Q901" s="1" t="s">
        <v>74</v>
      </c>
      <c r="R901" s="1" t="s">
        <v>74</v>
      </c>
      <c r="S901" s="1" t="s">
        <v>74</v>
      </c>
      <c r="T901" s="1" t="s">
        <v>74</v>
      </c>
      <c r="U901" s="1" t="s">
        <v>74</v>
      </c>
      <c r="V901" s="1" t="s">
        <v>8939</v>
      </c>
      <c r="W901" s="1" t="s">
        <v>74</v>
      </c>
      <c r="X901" s="1" t="s">
        <v>74</v>
      </c>
      <c r="Y901" s="1" t="s">
        <v>74</v>
      </c>
      <c r="Z901" s="1" t="s">
        <v>74</v>
      </c>
      <c r="AA901" s="1" t="s">
        <v>8940</v>
      </c>
      <c r="AB901" s="1" t="s">
        <v>8941</v>
      </c>
      <c r="AC901" s="1" t="s">
        <v>74</v>
      </c>
      <c r="AD901" s="1" t="s">
        <v>74</v>
      </c>
      <c r="AE901" s="1" t="s">
        <v>74</v>
      </c>
      <c r="AF901" s="1" t="s">
        <v>74</v>
      </c>
      <c r="AG901" s="1" t="s">
        <v>74</v>
      </c>
      <c r="AH901" s="1" t="s">
        <v>74</v>
      </c>
      <c r="AI901" s="1" t="s">
        <v>74</v>
      </c>
      <c r="AJ901" s="1" t="s">
        <v>74</v>
      </c>
      <c r="AK901" s="1" t="s">
        <v>74</v>
      </c>
      <c r="AL901" s="1" t="s">
        <v>74</v>
      </c>
      <c r="AM901" s="1" t="s">
        <v>74</v>
      </c>
      <c r="AN901" s="1" t="s">
        <v>74</v>
      </c>
      <c r="AO901" s="1" t="s">
        <v>5850</v>
      </c>
      <c r="AP901" s="1" t="s">
        <v>6043</v>
      </c>
      <c r="AQ901" s="1" t="s">
        <v>74</v>
      </c>
      <c r="AR901" s="1" t="s">
        <v>74</v>
      </c>
      <c r="AS901" s="1" t="s">
        <v>74</v>
      </c>
      <c r="AT901" s="1" t="s">
        <v>8942</v>
      </c>
      <c r="AU901" s="1">
        <v>2014.0</v>
      </c>
      <c r="AV901" s="1">
        <v>113.0</v>
      </c>
      <c r="AW901" s="1">
        <v>8.0</v>
      </c>
      <c r="AX901" s="1" t="s">
        <v>74</v>
      </c>
      <c r="AY901" s="1" t="s">
        <v>74</v>
      </c>
      <c r="AZ901" s="1" t="s">
        <v>74</v>
      </c>
      <c r="BA901" s="1" t="s">
        <v>74</v>
      </c>
      <c r="BB901" s="1" t="s">
        <v>74</v>
      </c>
      <c r="BC901" s="1" t="s">
        <v>74</v>
      </c>
      <c r="BD901" s="1">
        <v>85502.0</v>
      </c>
      <c r="BE901" s="1" t="s">
        <v>8943</v>
      </c>
      <c r="BF901" s="2" t="str">
        <f>HYPERLINK("http://dx.doi.org/10.1103/PhysRevLett.113.085502","http://dx.doi.org/10.1103/PhysRevLett.113.085502")</f>
        <v>http://dx.doi.org/10.1103/PhysRevLett.113.085502</v>
      </c>
      <c r="BG901" s="1" t="s">
        <v>74</v>
      </c>
      <c r="BH901" s="1" t="s">
        <v>74</v>
      </c>
      <c r="BI901" s="1" t="s">
        <v>74</v>
      </c>
      <c r="BJ901" s="1" t="s">
        <v>74</v>
      </c>
      <c r="BK901" s="1" t="s">
        <v>74</v>
      </c>
      <c r="BL901" s="1" t="s">
        <v>74</v>
      </c>
      <c r="BM901" s="1" t="s">
        <v>74</v>
      </c>
      <c r="BN901" s="1">
        <v>2.5192105E7</v>
      </c>
      <c r="BO901" s="1" t="s">
        <v>74</v>
      </c>
      <c r="BP901" s="1" t="s">
        <v>74</v>
      </c>
      <c r="BQ901" s="1" t="s">
        <v>74</v>
      </c>
      <c r="BR901" s="1" t="s">
        <v>74</v>
      </c>
      <c r="BS901" s="1" t="s">
        <v>8944</v>
      </c>
      <c r="BT901" s="1" t="str">
        <f>HYPERLINK("https%3A%2F%2Fwww.webofscience.com%2Fwos%2Fwoscc%2Ffull-record%2FWOS:000346504200008","View Full Record in Web of Science")</f>
        <v>View Full Record in Web of Science</v>
      </c>
    </row>
    <row r="902" ht="12.75" customHeight="1">
      <c r="A902" s="1" t="s">
        <v>72</v>
      </c>
      <c r="B902" s="1" t="s">
        <v>8945</v>
      </c>
      <c r="C902" s="1" t="s">
        <v>74</v>
      </c>
      <c r="D902" s="1" t="s">
        <v>74</v>
      </c>
      <c r="E902" s="1" t="s">
        <v>74</v>
      </c>
      <c r="F902" s="1" t="s">
        <v>8946</v>
      </c>
      <c r="G902" s="1" t="s">
        <v>74</v>
      </c>
      <c r="H902" s="1" t="s">
        <v>74</v>
      </c>
      <c r="I902" s="1" t="s">
        <v>8947</v>
      </c>
      <c r="J902" s="1" t="s">
        <v>2754</v>
      </c>
      <c r="K902" s="1" t="s">
        <v>74</v>
      </c>
      <c r="L902" s="1" t="s">
        <v>74</v>
      </c>
      <c r="M902" s="1" t="s">
        <v>74</v>
      </c>
      <c r="N902" s="1" t="s">
        <v>74</v>
      </c>
      <c r="O902" s="1" t="s">
        <v>8948</v>
      </c>
      <c r="P902" s="1" t="s">
        <v>8949</v>
      </c>
      <c r="Q902" s="1" t="s">
        <v>1288</v>
      </c>
      <c r="R902" s="1" t="s">
        <v>74</v>
      </c>
      <c r="S902" s="1" t="s">
        <v>74</v>
      </c>
      <c r="T902" s="1" t="s">
        <v>74</v>
      </c>
      <c r="U902" s="1" t="s">
        <v>74</v>
      </c>
      <c r="V902" s="1" t="s">
        <v>8950</v>
      </c>
      <c r="W902" s="1" t="s">
        <v>74</v>
      </c>
      <c r="X902" s="1" t="s">
        <v>74</v>
      </c>
      <c r="Y902" s="1" t="s">
        <v>74</v>
      </c>
      <c r="Z902" s="1" t="s">
        <v>74</v>
      </c>
      <c r="AA902" s="1" t="s">
        <v>8951</v>
      </c>
      <c r="AB902" s="1" t="s">
        <v>8952</v>
      </c>
      <c r="AC902" s="1" t="s">
        <v>74</v>
      </c>
      <c r="AD902" s="1" t="s">
        <v>74</v>
      </c>
      <c r="AE902" s="1" t="s">
        <v>74</v>
      </c>
      <c r="AF902" s="1" t="s">
        <v>74</v>
      </c>
      <c r="AG902" s="1" t="s">
        <v>74</v>
      </c>
      <c r="AH902" s="1" t="s">
        <v>74</v>
      </c>
      <c r="AI902" s="1" t="s">
        <v>74</v>
      </c>
      <c r="AJ902" s="1" t="s">
        <v>74</v>
      </c>
      <c r="AK902" s="1" t="s">
        <v>74</v>
      </c>
      <c r="AL902" s="1" t="s">
        <v>74</v>
      </c>
      <c r="AM902" s="1" t="s">
        <v>74</v>
      </c>
      <c r="AN902" s="1" t="s">
        <v>74</v>
      </c>
      <c r="AO902" s="1" t="s">
        <v>2758</v>
      </c>
      <c r="AP902" s="1" t="s">
        <v>2759</v>
      </c>
      <c r="AQ902" s="1" t="s">
        <v>74</v>
      </c>
      <c r="AR902" s="1" t="s">
        <v>74</v>
      </c>
      <c r="AS902" s="1" t="s">
        <v>74</v>
      </c>
      <c r="AT902" s="1" t="s">
        <v>8161</v>
      </c>
      <c r="AU902" s="1">
        <v>2014.0</v>
      </c>
      <c r="AV902" s="1">
        <v>115.0</v>
      </c>
      <c r="AW902" s="1">
        <v>17.0</v>
      </c>
      <c r="AX902" s="1" t="s">
        <v>74</v>
      </c>
      <c r="AY902" s="1" t="s">
        <v>74</v>
      </c>
      <c r="AZ902" s="1" t="s">
        <v>74</v>
      </c>
      <c r="BA902" s="1" t="s">
        <v>74</v>
      </c>
      <c r="BB902" s="1" t="s">
        <v>74</v>
      </c>
      <c r="BC902" s="1" t="s">
        <v>74</v>
      </c>
      <c r="BD902" s="1" t="s">
        <v>8953</v>
      </c>
      <c r="BE902" s="1" t="s">
        <v>8954</v>
      </c>
      <c r="BF902" s="2" t="str">
        <f>HYPERLINK("http://dx.doi.org/10.1063/1.4867345","http://dx.doi.org/10.1063/1.4867345")</f>
        <v>http://dx.doi.org/10.1063/1.4867345</v>
      </c>
      <c r="BG902" s="1" t="s">
        <v>74</v>
      </c>
      <c r="BH902" s="1" t="s">
        <v>74</v>
      </c>
      <c r="BI902" s="1" t="s">
        <v>74</v>
      </c>
      <c r="BJ902" s="1" t="s">
        <v>74</v>
      </c>
      <c r="BK902" s="1" t="s">
        <v>74</v>
      </c>
      <c r="BL902" s="1" t="s">
        <v>74</v>
      </c>
      <c r="BM902" s="1" t="s">
        <v>74</v>
      </c>
      <c r="BN902" s="1" t="s">
        <v>74</v>
      </c>
      <c r="BO902" s="1" t="s">
        <v>74</v>
      </c>
      <c r="BP902" s="1" t="s">
        <v>74</v>
      </c>
      <c r="BQ902" s="1" t="s">
        <v>74</v>
      </c>
      <c r="BR902" s="1" t="s">
        <v>74</v>
      </c>
      <c r="BS902" s="1" t="s">
        <v>8955</v>
      </c>
      <c r="BT902" s="1" t="str">
        <f>HYPERLINK("https%3A%2F%2Fwww.webofscience.com%2Fwos%2Fwoscc%2Ffull-record%2FWOS:000335643700213","View Full Record in Web of Science")</f>
        <v>View Full Record in Web of Science</v>
      </c>
    </row>
    <row r="903" ht="12.75" customHeight="1">
      <c r="A903" s="1" t="s">
        <v>72</v>
      </c>
      <c r="B903" s="1" t="s">
        <v>8956</v>
      </c>
      <c r="C903" s="1" t="s">
        <v>74</v>
      </c>
      <c r="D903" s="1" t="s">
        <v>74</v>
      </c>
      <c r="E903" s="1" t="s">
        <v>74</v>
      </c>
      <c r="F903" s="1" t="s">
        <v>8957</v>
      </c>
      <c r="G903" s="1" t="s">
        <v>74</v>
      </c>
      <c r="H903" s="1" t="s">
        <v>74</v>
      </c>
      <c r="I903" s="1" t="s">
        <v>8958</v>
      </c>
      <c r="J903" s="1" t="s">
        <v>8959</v>
      </c>
      <c r="K903" s="1" t="s">
        <v>74</v>
      </c>
      <c r="L903" s="1" t="s">
        <v>74</v>
      </c>
      <c r="M903" s="1" t="s">
        <v>74</v>
      </c>
      <c r="N903" s="1" t="s">
        <v>74</v>
      </c>
      <c r="O903" s="1" t="s">
        <v>74</v>
      </c>
      <c r="P903" s="1" t="s">
        <v>74</v>
      </c>
      <c r="Q903" s="1" t="s">
        <v>74</v>
      </c>
      <c r="R903" s="1" t="s">
        <v>74</v>
      </c>
      <c r="S903" s="1" t="s">
        <v>74</v>
      </c>
      <c r="T903" s="1" t="s">
        <v>74</v>
      </c>
      <c r="U903" s="1" t="s">
        <v>74</v>
      </c>
      <c r="V903" s="1" t="s">
        <v>8960</v>
      </c>
      <c r="W903" s="1" t="s">
        <v>74</v>
      </c>
      <c r="X903" s="1" t="s">
        <v>74</v>
      </c>
      <c r="Y903" s="1" t="s">
        <v>74</v>
      </c>
      <c r="Z903" s="1" t="s">
        <v>74</v>
      </c>
      <c r="AA903" s="1" t="s">
        <v>8961</v>
      </c>
      <c r="AB903" s="1" t="s">
        <v>8962</v>
      </c>
      <c r="AC903" s="1" t="s">
        <v>74</v>
      </c>
      <c r="AD903" s="1" t="s">
        <v>74</v>
      </c>
      <c r="AE903" s="1" t="s">
        <v>74</v>
      </c>
      <c r="AF903" s="1" t="s">
        <v>74</v>
      </c>
      <c r="AG903" s="1" t="s">
        <v>74</v>
      </c>
      <c r="AH903" s="1" t="s">
        <v>74</v>
      </c>
      <c r="AI903" s="1" t="s">
        <v>74</v>
      </c>
      <c r="AJ903" s="1" t="s">
        <v>74</v>
      </c>
      <c r="AK903" s="1" t="s">
        <v>74</v>
      </c>
      <c r="AL903" s="1" t="s">
        <v>74</v>
      </c>
      <c r="AM903" s="1" t="s">
        <v>74</v>
      </c>
      <c r="AN903" s="1" t="s">
        <v>74</v>
      </c>
      <c r="AO903" s="1" t="s">
        <v>8963</v>
      </c>
      <c r="AP903" s="1" t="s">
        <v>8964</v>
      </c>
      <c r="AQ903" s="1" t="s">
        <v>74</v>
      </c>
      <c r="AR903" s="1" t="s">
        <v>74</v>
      </c>
      <c r="AS903" s="1" t="s">
        <v>74</v>
      </c>
      <c r="AT903" s="1" t="s">
        <v>559</v>
      </c>
      <c r="AU903" s="1">
        <v>2013.0</v>
      </c>
      <c r="AV903" s="1">
        <v>21.0</v>
      </c>
      <c r="AW903" s="1">
        <v>6.0</v>
      </c>
      <c r="AX903" s="1" t="s">
        <v>74</v>
      </c>
      <c r="AY903" s="1" t="s">
        <v>74</v>
      </c>
      <c r="AZ903" s="1" t="s">
        <v>74</v>
      </c>
      <c r="BA903" s="1" t="s">
        <v>74</v>
      </c>
      <c r="BB903" s="1">
        <v>755.0</v>
      </c>
      <c r="BC903" s="1">
        <v>779.0</v>
      </c>
      <c r="BD903" s="1" t="s">
        <v>74</v>
      </c>
      <c r="BE903" s="1" t="s">
        <v>8965</v>
      </c>
      <c r="BF903" s="2" t="str">
        <f>HYPERLINK("http://dx.doi.org/10.1515/jip-2011-0001","http://dx.doi.org/10.1515/jip-2011-0001")</f>
        <v>http://dx.doi.org/10.1515/jip-2011-0001</v>
      </c>
      <c r="BG903" s="1" t="s">
        <v>74</v>
      </c>
      <c r="BH903" s="1" t="s">
        <v>74</v>
      </c>
      <c r="BI903" s="1" t="s">
        <v>74</v>
      </c>
      <c r="BJ903" s="1" t="s">
        <v>74</v>
      </c>
      <c r="BK903" s="1" t="s">
        <v>74</v>
      </c>
      <c r="BL903" s="1" t="s">
        <v>74</v>
      </c>
      <c r="BM903" s="1" t="s">
        <v>74</v>
      </c>
      <c r="BN903" s="1" t="s">
        <v>74</v>
      </c>
      <c r="BO903" s="1" t="s">
        <v>74</v>
      </c>
      <c r="BP903" s="1" t="s">
        <v>74</v>
      </c>
      <c r="BQ903" s="1" t="s">
        <v>74</v>
      </c>
      <c r="BR903" s="1" t="s">
        <v>74</v>
      </c>
      <c r="BS903" s="1" t="s">
        <v>8966</v>
      </c>
      <c r="BT903" s="1" t="str">
        <f>HYPERLINK("https%3A%2F%2Fwww.webofscience.com%2Fwos%2Fwoscc%2Ffull-record%2FWOS:000327873700003","View Full Record in Web of Science")</f>
        <v>View Full Record in Web of Science</v>
      </c>
    </row>
    <row r="904" ht="12.75" customHeight="1">
      <c r="A904" s="1" t="s">
        <v>72</v>
      </c>
      <c r="B904" s="1" t="s">
        <v>8967</v>
      </c>
      <c r="C904" s="1" t="s">
        <v>74</v>
      </c>
      <c r="D904" s="1" t="s">
        <v>74</v>
      </c>
      <c r="E904" s="1" t="s">
        <v>74</v>
      </c>
      <c r="F904" s="1" t="s">
        <v>8968</v>
      </c>
      <c r="G904" s="1" t="s">
        <v>74</v>
      </c>
      <c r="H904" s="1" t="s">
        <v>74</v>
      </c>
      <c r="I904" s="1" t="s">
        <v>8969</v>
      </c>
      <c r="J904" s="1" t="s">
        <v>6210</v>
      </c>
      <c r="K904" s="1" t="s">
        <v>74</v>
      </c>
      <c r="L904" s="1" t="s">
        <v>74</v>
      </c>
      <c r="M904" s="1" t="s">
        <v>74</v>
      </c>
      <c r="N904" s="1" t="s">
        <v>74</v>
      </c>
      <c r="O904" s="1" t="s">
        <v>74</v>
      </c>
      <c r="P904" s="1" t="s">
        <v>74</v>
      </c>
      <c r="Q904" s="1" t="s">
        <v>74</v>
      </c>
      <c r="R904" s="1" t="s">
        <v>74</v>
      </c>
      <c r="S904" s="1" t="s">
        <v>74</v>
      </c>
      <c r="T904" s="1" t="s">
        <v>74</v>
      </c>
      <c r="U904" s="1" t="s">
        <v>74</v>
      </c>
      <c r="V904" s="1" t="s">
        <v>8970</v>
      </c>
      <c r="W904" s="1" t="s">
        <v>74</v>
      </c>
      <c r="X904" s="1" t="s">
        <v>74</v>
      </c>
      <c r="Y904" s="1" t="s">
        <v>74</v>
      </c>
      <c r="Z904" s="1" t="s">
        <v>74</v>
      </c>
      <c r="AA904" s="1" t="s">
        <v>8971</v>
      </c>
      <c r="AB904" s="1" t="s">
        <v>8972</v>
      </c>
      <c r="AC904" s="1" t="s">
        <v>74</v>
      </c>
      <c r="AD904" s="1" t="s">
        <v>74</v>
      </c>
      <c r="AE904" s="1" t="s">
        <v>74</v>
      </c>
      <c r="AF904" s="1" t="s">
        <v>74</v>
      </c>
      <c r="AG904" s="1" t="s">
        <v>74</v>
      </c>
      <c r="AH904" s="1" t="s">
        <v>74</v>
      </c>
      <c r="AI904" s="1" t="s">
        <v>74</v>
      </c>
      <c r="AJ904" s="1" t="s">
        <v>74</v>
      </c>
      <c r="AK904" s="1" t="s">
        <v>74</v>
      </c>
      <c r="AL904" s="1" t="s">
        <v>74</v>
      </c>
      <c r="AM904" s="1" t="s">
        <v>74</v>
      </c>
      <c r="AN904" s="1" t="s">
        <v>74</v>
      </c>
      <c r="AO904" s="1" t="s">
        <v>6214</v>
      </c>
      <c r="AP904" s="1" t="s">
        <v>74</v>
      </c>
      <c r="AQ904" s="1" t="s">
        <v>74</v>
      </c>
      <c r="AR904" s="1" t="s">
        <v>74</v>
      </c>
      <c r="AS904" s="1" t="s">
        <v>74</v>
      </c>
      <c r="AT904" s="1" t="s">
        <v>5949</v>
      </c>
      <c r="AU904" s="1">
        <v>2013.0</v>
      </c>
      <c r="AV904" s="1">
        <v>117.0</v>
      </c>
      <c r="AW904" s="1">
        <v>17.0</v>
      </c>
      <c r="AX904" s="1" t="s">
        <v>74</v>
      </c>
      <c r="AY904" s="1" t="s">
        <v>74</v>
      </c>
      <c r="AZ904" s="1" t="s">
        <v>74</v>
      </c>
      <c r="BA904" s="1" t="s">
        <v>74</v>
      </c>
      <c r="BB904" s="1">
        <v>4870.0</v>
      </c>
      <c r="BC904" s="1">
        <v>4879.0</v>
      </c>
      <c r="BD904" s="1" t="s">
        <v>74</v>
      </c>
      <c r="BE904" s="1" t="s">
        <v>8973</v>
      </c>
      <c r="BF904" s="2" t="str">
        <f>HYPERLINK("http://dx.doi.org/10.1021/jp400423w","http://dx.doi.org/10.1021/jp400423w")</f>
        <v>http://dx.doi.org/10.1021/jp400423w</v>
      </c>
      <c r="BG904" s="1" t="s">
        <v>74</v>
      </c>
      <c r="BH904" s="1" t="s">
        <v>74</v>
      </c>
      <c r="BI904" s="1" t="s">
        <v>74</v>
      </c>
      <c r="BJ904" s="1" t="s">
        <v>74</v>
      </c>
      <c r="BK904" s="1" t="s">
        <v>74</v>
      </c>
      <c r="BL904" s="1" t="s">
        <v>74</v>
      </c>
      <c r="BM904" s="1" t="s">
        <v>74</v>
      </c>
      <c r="BN904" s="1">
        <v>2.3528077E7</v>
      </c>
      <c r="BO904" s="1" t="s">
        <v>74</v>
      </c>
      <c r="BP904" s="1" t="s">
        <v>74</v>
      </c>
      <c r="BQ904" s="1" t="s">
        <v>74</v>
      </c>
      <c r="BR904" s="1" t="s">
        <v>74</v>
      </c>
      <c r="BS904" s="1" t="s">
        <v>8974</v>
      </c>
      <c r="BT904" s="1" t="str">
        <f>HYPERLINK("https%3A%2F%2Fwww.webofscience.com%2Fwos%2Fwoscc%2Ffull-record%2FWOS:000318536700016","View Full Record in Web of Science")</f>
        <v>View Full Record in Web of Science</v>
      </c>
    </row>
    <row r="905" ht="12.75" customHeight="1">
      <c r="A905" s="1" t="s">
        <v>72</v>
      </c>
      <c r="B905" s="1" t="s">
        <v>8975</v>
      </c>
      <c r="C905" s="1" t="s">
        <v>74</v>
      </c>
      <c r="D905" s="1" t="s">
        <v>74</v>
      </c>
      <c r="E905" s="1" t="s">
        <v>74</v>
      </c>
      <c r="F905" s="1" t="s">
        <v>8976</v>
      </c>
      <c r="G905" s="1" t="s">
        <v>74</v>
      </c>
      <c r="H905" s="1" t="s">
        <v>74</v>
      </c>
      <c r="I905" s="1" t="s">
        <v>8977</v>
      </c>
      <c r="J905" s="1" t="s">
        <v>8978</v>
      </c>
      <c r="K905" s="1" t="s">
        <v>74</v>
      </c>
      <c r="L905" s="1" t="s">
        <v>74</v>
      </c>
      <c r="M905" s="1" t="s">
        <v>74</v>
      </c>
      <c r="N905" s="1" t="s">
        <v>74</v>
      </c>
      <c r="O905" s="1" t="s">
        <v>74</v>
      </c>
      <c r="P905" s="1" t="s">
        <v>74</v>
      </c>
      <c r="Q905" s="1" t="s">
        <v>74</v>
      </c>
      <c r="R905" s="1" t="s">
        <v>74</v>
      </c>
      <c r="S905" s="1" t="s">
        <v>74</v>
      </c>
      <c r="T905" s="1" t="s">
        <v>74</v>
      </c>
      <c r="U905" s="1" t="s">
        <v>74</v>
      </c>
      <c r="V905" s="1" t="s">
        <v>8979</v>
      </c>
      <c r="W905" s="1" t="s">
        <v>74</v>
      </c>
      <c r="X905" s="1" t="s">
        <v>74</v>
      </c>
      <c r="Y905" s="1" t="s">
        <v>74</v>
      </c>
      <c r="Z905" s="1" t="s">
        <v>74</v>
      </c>
      <c r="AA905" s="1" t="s">
        <v>8980</v>
      </c>
      <c r="AB905" s="1" t="s">
        <v>5529</v>
      </c>
      <c r="AC905" s="1" t="s">
        <v>74</v>
      </c>
      <c r="AD905" s="1" t="s">
        <v>74</v>
      </c>
      <c r="AE905" s="1" t="s">
        <v>74</v>
      </c>
      <c r="AF905" s="1" t="s">
        <v>74</v>
      </c>
      <c r="AG905" s="1" t="s">
        <v>74</v>
      </c>
      <c r="AH905" s="1" t="s">
        <v>74</v>
      </c>
      <c r="AI905" s="1" t="s">
        <v>74</v>
      </c>
      <c r="AJ905" s="1" t="s">
        <v>74</v>
      </c>
      <c r="AK905" s="1" t="s">
        <v>74</v>
      </c>
      <c r="AL905" s="1" t="s">
        <v>74</v>
      </c>
      <c r="AM905" s="1" t="s">
        <v>74</v>
      </c>
      <c r="AN905" s="1" t="s">
        <v>74</v>
      </c>
      <c r="AO905" s="1" t="s">
        <v>8981</v>
      </c>
      <c r="AP905" s="1" t="s">
        <v>8982</v>
      </c>
      <c r="AQ905" s="1" t="s">
        <v>74</v>
      </c>
      <c r="AR905" s="1" t="s">
        <v>74</v>
      </c>
      <c r="AS905" s="1" t="s">
        <v>74</v>
      </c>
      <c r="AT905" s="1" t="s">
        <v>2283</v>
      </c>
      <c r="AU905" s="1">
        <v>2009.0</v>
      </c>
      <c r="AV905" s="1">
        <v>247.0</v>
      </c>
      <c r="AW905" s="1">
        <v>11.0</v>
      </c>
      <c r="AX905" s="1" t="s">
        <v>74</v>
      </c>
      <c r="AY905" s="1" t="s">
        <v>74</v>
      </c>
      <c r="AZ905" s="1" t="s">
        <v>74</v>
      </c>
      <c r="BA905" s="1" t="s">
        <v>74</v>
      </c>
      <c r="BB905" s="1">
        <v>3136.0</v>
      </c>
      <c r="BC905" s="1">
        <v>3162.0</v>
      </c>
      <c r="BD905" s="1" t="s">
        <v>74</v>
      </c>
      <c r="BE905" s="1" t="s">
        <v>8983</v>
      </c>
      <c r="BF905" s="2" t="str">
        <f>HYPERLINK("http://dx.doi.org/10.1016/j.jde.2009.07.023","http://dx.doi.org/10.1016/j.jde.2009.07.023")</f>
        <v>http://dx.doi.org/10.1016/j.jde.2009.07.023</v>
      </c>
      <c r="BG905" s="1" t="s">
        <v>74</v>
      </c>
      <c r="BH905" s="1" t="s">
        <v>74</v>
      </c>
      <c r="BI905" s="1" t="s">
        <v>74</v>
      </c>
      <c r="BJ905" s="1" t="s">
        <v>74</v>
      </c>
      <c r="BK905" s="1" t="s">
        <v>74</v>
      </c>
      <c r="BL905" s="1" t="s">
        <v>74</v>
      </c>
      <c r="BM905" s="1" t="s">
        <v>74</v>
      </c>
      <c r="BN905" s="1" t="s">
        <v>74</v>
      </c>
      <c r="BO905" s="1" t="s">
        <v>74</v>
      </c>
      <c r="BP905" s="1" t="s">
        <v>74</v>
      </c>
      <c r="BQ905" s="1" t="s">
        <v>74</v>
      </c>
      <c r="BR905" s="1" t="s">
        <v>74</v>
      </c>
      <c r="BS905" s="1" t="s">
        <v>8984</v>
      </c>
      <c r="BT905" s="1" t="str">
        <f>HYPERLINK("https%3A%2F%2Fwww.webofscience.com%2Fwos%2Fwoscc%2Ffull-record%2FWOS:000271209000011","View Full Record in Web of Science")</f>
        <v>View Full Record in Web of Science</v>
      </c>
    </row>
    <row r="906" ht="12.75" customHeight="1">
      <c r="A906" s="1" t="s">
        <v>72</v>
      </c>
      <c r="B906" s="1" t="s">
        <v>8985</v>
      </c>
      <c r="C906" s="1" t="s">
        <v>74</v>
      </c>
      <c r="D906" s="1" t="s">
        <v>74</v>
      </c>
      <c r="E906" s="1" t="s">
        <v>74</v>
      </c>
      <c r="F906" s="1" t="s">
        <v>8986</v>
      </c>
      <c r="G906" s="1" t="s">
        <v>74</v>
      </c>
      <c r="H906" s="1" t="s">
        <v>74</v>
      </c>
      <c r="I906" s="1" t="s">
        <v>8987</v>
      </c>
      <c r="J906" s="1" t="s">
        <v>8988</v>
      </c>
      <c r="K906" s="1" t="s">
        <v>74</v>
      </c>
      <c r="L906" s="1" t="s">
        <v>74</v>
      </c>
      <c r="M906" s="1" t="s">
        <v>74</v>
      </c>
      <c r="N906" s="1" t="s">
        <v>74</v>
      </c>
      <c r="O906" s="1" t="s">
        <v>74</v>
      </c>
      <c r="P906" s="1" t="s">
        <v>74</v>
      </c>
      <c r="Q906" s="1" t="s">
        <v>74</v>
      </c>
      <c r="R906" s="1" t="s">
        <v>74</v>
      </c>
      <c r="S906" s="1" t="s">
        <v>74</v>
      </c>
      <c r="T906" s="1" t="s">
        <v>74</v>
      </c>
      <c r="U906" s="1" t="s">
        <v>74</v>
      </c>
      <c r="V906" s="1" t="s">
        <v>8989</v>
      </c>
      <c r="W906" s="1" t="s">
        <v>74</v>
      </c>
      <c r="X906" s="1" t="s">
        <v>74</v>
      </c>
      <c r="Y906" s="1" t="s">
        <v>74</v>
      </c>
      <c r="Z906" s="1" t="s">
        <v>74</v>
      </c>
      <c r="AA906" s="1" t="s">
        <v>4715</v>
      </c>
      <c r="AB906" s="1" t="s">
        <v>8990</v>
      </c>
      <c r="AC906" s="1" t="s">
        <v>74</v>
      </c>
      <c r="AD906" s="1" t="s">
        <v>74</v>
      </c>
      <c r="AE906" s="1" t="s">
        <v>74</v>
      </c>
      <c r="AF906" s="1" t="s">
        <v>74</v>
      </c>
      <c r="AG906" s="1" t="s">
        <v>74</v>
      </c>
      <c r="AH906" s="1" t="s">
        <v>74</v>
      </c>
      <c r="AI906" s="1" t="s">
        <v>74</v>
      </c>
      <c r="AJ906" s="1" t="s">
        <v>74</v>
      </c>
      <c r="AK906" s="1" t="s">
        <v>74</v>
      </c>
      <c r="AL906" s="1" t="s">
        <v>74</v>
      </c>
      <c r="AM906" s="1" t="s">
        <v>74</v>
      </c>
      <c r="AN906" s="1" t="s">
        <v>74</v>
      </c>
      <c r="AO906" s="1" t="s">
        <v>74</v>
      </c>
      <c r="AP906" s="1" t="s">
        <v>8991</v>
      </c>
      <c r="AQ906" s="1" t="s">
        <v>74</v>
      </c>
      <c r="AR906" s="1" t="s">
        <v>74</v>
      </c>
      <c r="AS906" s="1" t="s">
        <v>74</v>
      </c>
      <c r="AT906" s="1" t="s">
        <v>559</v>
      </c>
      <c r="AU906" s="1">
        <v>2006.0</v>
      </c>
      <c r="AV906" s="1">
        <v>12.0</v>
      </c>
      <c r="AW906" s="1">
        <v>12.0</v>
      </c>
      <c r="AX906" s="1" t="s">
        <v>74</v>
      </c>
      <c r="AY906" s="1" t="s">
        <v>74</v>
      </c>
      <c r="AZ906" s="1" t="s">
        <v>74</v>
      </c>
      <c r="BA906" s="1" t="s">
        <v>74</v>
      </c>
      <c r="BB906" s="1">
        <v>749.0</v>
      </c>
      <c r="BC906" s="1">
        <v>754.0</v>
      </c>
      <c r="BD906" s="1" t="s">
        <v>74</v>
      </c>
      <c r="BE906" s="1" t="s">
        <v>8992</v>
      </c>
      <c r="BF906" s="2" t="str">
        <f>HYPERLINK("http://dx.doi.org/10.1093/molehr/gal082","http://dx.doi.org/10.1093/molehr/gal082")</f>
        <v>http://dx.doi.org/10.1093/molehr/gal082</v>
      </c>
      <c r="BG906" s="1" t="s">
        <v>74</v>
      </c>
      <c r="BH906" s="1" t="s">
        <v>74</v>
      </c>
      <c r="BI906" s="1" t="s">
        <v>74</v>
      </c>
      <c r="BJ906" s="1" t="s">
        <v>74</v>
      </c>
      <c r="BK906" s="1" t="s">
        <v>74</v>
      </c>
      <c r="BL906" s="1" t="s">
        <v>74</v>
      </c>
      <c r="BM906" s="1" t="s">
        <v>74</v>
      </c>
      <c r="BN906" s="1">
        <v>1.7020906E7</v>
      </c>
      <c r="BO906" s="1" t="s">
        <v>74</v>
      </c>
      <c r="BP906" s="1" t="s">
        <v>74</v>
      </c>
      <c r="BQ906" s="1" t="s">
        <v>74</v>
      </c>
      <c r="BR906" s="1" t="s">
        <v>74</v>
      </c>
      <c r="BS906" s="1" t="s">
        <v>8993</v>
      </c>
      <c r="BT906" s="1" t="str">
        <f>HYPERLINK("https%3A%2F%2Fwww.webofscience.com%2Fwos%2Fwoscc%2Ffull-record%2FWOS:000242272100004","View Full Record in Web of Science")</f>
        <v>View Full Record in Web of Science</v>
      </c>
    </row>
    <row r="907" ht="12.75" customHeight="1">
      <c r="A907" s="1" t="s">
        <v>72</v>
      </c>
      <c r="B907" s="1" t="s">
        <v>8994</v>
      </c>
      <c r="C907" s="1" t="s">
        <v>74</v>
      </c>
      <c r="D907" s="1" t="s">
        <v>74</v>
      </c>
      <c r="E907" s="1" t="s">
        <v>74</v>
      </c>
      <c r="F907" s="1" t="s">
        <v>8994</v>
      </c>
      <c r="G907" s="1" t="s">
        <v>74</v>
      </c>
      <c r="H907" s="1" t="s">
        <v>74</v>
      </c>
      <c r="I907" s="1" t="s">
        <v>8995</v>
      </c>
      <c r="J907" s="1" t="s">
        <v>8036</v>
      </c>
      <c r="K907" s="1" t="s">
        <v>74</v>
      </c>
      <c r="L907" s="1" t="s">
        <v>74</v>
      </c>
      <c r="M907" s="1" t="s">
        <v>74</v>
      </c>
      <c r="N907" s="1" t="s">
        <v>74</v>
      </c>
      <c r="O907" s="1" t="s">
        <v>74</v>
      </c>
      <c r="P907" s="1" t="s">
        <v>74</v>
      </c>
      <c r="Q907" s="1" t="s">
        <v>74</v>
      </c>
      <c r="R907" s="1" t="s">
        <v>74</v>
      </c>
      <c r="S907" s="1" t="s">
        <v>74</v>
      </c>
      <c r="T907" s="1" t="s">
        <v>74</v>
      </c>
      <c r="U907" s="1" t="s">
        <v>74</v>
      </c>
      <c r="V907" s="1" t="s">
        <v>8996</v>
      </c>
      <c r="W907" s="1" t="s">
        <v>74</v>
      </c>
      <c r="X907" s="1" t="s">
        <v>74</v>
      </c>
      <c r="Y907" s="1" t="s">
        <v>74</v>
      </c>
      <c r="Z907" s="1" t="s">
        <v>74</v>
      </c>
      <c r="AA907" s="1" t="s">
        <v>8997</v>
      </c>
      <c r="AB907" s="1" t="s">
        <v>8998</v>
      </c>
      <c r="AC907" s="1" t="s">
        <v>74</v>
      </c>
      <c r="AD907" s="1" t="s">
        <v>74</v>
      </c>
      <c r="AE907" s="1" t="s">
        <v>74</v>
      </c>
      <c r="AF907" s="1" t="s">
        <v>74</v>
      </c>
      <c r="AG907" s="1" t="s">
        <v>74</v>
      </c>
      <c r="AH907" s="1" t="s">
        <v>74</v>
      </c>
      <c r="AI907" s="1" t="s">
        <v>74</v>
      </c>
      <c r="AJ907" s="1" t="s">
        <v>74</v>
      </c>
      <c r="AK907" s="1" t="s">
        <v>74</v>
      </c>
      <c r="AL907" s="1" t="s">
        <v>74</v>
      </c>
      <c r="AM907" s="1" t="s">
        <v>74</v>
      </c>
      <c r="AN907" s="1" t="s">
        <v>74</v>
      </c>
      <c r="AO907" s="1" t="s">
        <v>8040</v>
      </c>
      <c r="AP907" s="1" t="s">
        <v>74</v>
      </c>
      <c r="AQ907" s="1" t="s">
        <v>74</v>
      </c>
      <c r="AR907" s="1" t="s">
        <v>74</v>
      </c>
      <c r="AS907" s="1" t="s">
        <v>74</v>
      </c>
      <c r="AT907" s="1" t="s">
        <v>559</v>
      </c>
      <c r="AU907" s="1">
        <v>2000.0</v>
      </c>
      <c r="AV907" s="1">
        <v>41.0</v>
      </c>
      <c r="AW907" s="1">
        <v>26.0</v>
      </c>
      <c r="AX907" s="1" t="s">
        <v>74</v>
      </c>
      <c r="AY907" s="1" t="s">
        <v>74</v>
      </c>
      <c r="AZ907" s="1" t="s">
        <v>74</v>
      </c>
      <c r="BA907" s="1" t="s">
        <v>74</v>
      </c>
      <c r="BB907" s="1">
        <v>9103.0</v>
      </c>
      <c r="BC907" s="1">
        <v>9109.0</v>
      </c>
      <c r="BD907" s="1" t="s">
        <v>74</v>
      </c>
      <c r="BE907" s="1" t="s">
        <v>8999</v>
      </c>
      <c r="BF907" s="2" t="str">
        <f>HYPERLINK("http://dx.doi.org/10.1016/S0032-3861(00)00292-5","http://dx.doi.org/10.1016/S0032-3861(00)00292-5")</f>
        <v>http://dx.doi.org/10.1016/S0032-3861(00)00292-5</v>
      </c>
      <c r="BG907" s="1" t="s">
        <v>74</v>
      </c>
      <c r="BH907" s="1" t="s">
        <v>74</v>
      </c>
      <c r="BI907" s="1" t="s">
        <v>74</v>
      </c>
      <c r="BJ907" s="1" t="s">
        <v>74</v>
      </c>
      <c r="BK907" s="1" t="s">
        <v>74</v>
      </c>
      <c r="BL907" s="1" t="s">
        <v>74</v>
      </c>
      <c r="BM907" s="1" t="s">
        <v>74</v>
      </c>
      <c r="BN907" s="1" t="s">
        <v>74</v>
      </c>
      <c r="BO907" s="1" t="s">
        <v>74</v>
      </c>
      <c r="BP907" s="1" t="s">
        <v>74</v>
      </c>
      <c r="BQ907" s="1" t="s">
        <v>74</v>
      </c>
      <c r="BR907" s="1" t="s">
        <v>74</v>
      </c>
      <c r="BS907" s="1" t="s">
        <v>9000</v>
      </c>
      <c r="BT907" s="1" t="str">
        <f>HYPERLINK("https%3A%2F%2Fwww.webofscience.com%2Fwos%2Fwoscc%2Ffull-record%2FWOS:000089297800010","View Full Record in Web of Science")</f>
        <v>View Full Record in Web of Science</v>
      </c>
    </row>
    <row r="908" ht="12.75" customHeight="1">
      <c r="A908" s="1" t="s">
        <v>72</v>
      </c>
      <c r="B908" s="1" t="s">
        <v>9001</v>
      </c>
      <c r="C908" s="1" t="s">
        <v>74</v>
      </c>
      <c r="D908" s="1" t="s">
        <v>74</v>
      </c>
      <c r="E908" s="1" t="s">
        <v>74</v>
      </c>
      <c r="F908" s="1" t="s">
        <v>9002</v>
      </c>
      <c r="G908" s="1" t="s">
        <v>74</v>
      </c>
      <c r="H908" s="1" t="s">
        <v>74</v>
      </c>
      <c r="I908" s="1" t="s">
        <v>9003</v>
      </c>
      <c r="J908" s="1" t="s">
        <v>383</v>
      </c>
      <c r="K908" s="1" t="s">
        <v>74</v>
      </c>
      <c r="L908" s="1" t="s">
        <v>74</v>
      </c>
      <c r="M908" s="1" t="s">
        <v>74</v>
      </c>
      <c r="N908" s="1" t="s">
        <v>74</v>
      </c>
      <c r="O908" s="1" t="s">
        <v>74</v>
      </c>
      <c r="P908" s="1" t="s">
        <v>74</v>
      </c>
      <c r="Q908" s="1" t="s">
        <v>74</v>
      </c>
      <c r="R908" s="1" t="s">
        <v>74</v>
      </c>
      <c r="S908" s="1" t="s">
        <v>74</v>
      </c>
      <c r="T908" s="1" t="s">
        <v>74</v>
      </c>
      <c r="U908" s="1" t="s">
        <v>74</v>
      </c>
      <c r="V908" s="1" t="s">
        <v>9004</v>
      </c>
      <c r="W908" s="1" t="s">
        <v>74</v>
      </c>
      <c r="X908" s="1" t="s">
        <v>74</v>
      </c>
      <c r="Y908" s="1" t="s">
        <v>74</v>
      </c>
      <c r="Z908" s="1" t="s">
        <v>74</v>
      </c>
      <c r="AA908" s="1" t="s">
        <v>9005</v>
      </c>
      <c r="AB908" s="1" t="s">
        <v>74</v>
      </c>
      <c r="AC908" s="1" t="s">
        <v>74</v>
      </c>
      <c r="AD908" s="1" t="s">
        <v>74</v>
      </c>
      <c r="AE908" s="1" t="s">
        <v>74</v>
      </c>
      <c r="AF908" s="1" t="s">
        <v>74</v>
      </c>
      <c r="AG908" s="1" t="s">
        <v>74</v>
      </c>
      <c r="AH908" s="1" t="s">
        <v>74</v>
      </c>
      <c r="AI908" s="1" t="s">
        <v>74</v>
      </c>
      <c r="AJ908" s="1" t="s">
        <v>74</v>
      </c>
      <c r="AK908" s="1" t="s">
        <v>74</v>
      </c>
      <c r="AL908" s="1" t="s">
        <v>74</v>
      </c>
      <c r="AM908" s="1" t="s">
        <v>74</v>
      </c>
      <c r="AN908" s="1" t="s">
        <v>74</v>
      </c>
      <c r="AO908" s="1" t="s">
        <v>387</v>
      </c>
      <c r="AP908" s="1" t="s">
        <v>74</v>
      </c>
      <c r="AQ908" s="1" t="s">
        <v>74</v>
      </c>
      <c r="AR908" s="1" t="s">
        <v>74</v>
      </c>
      <c r="AS908" s="1" t="s">
        <v>74</v>
      </c>
      <c r="AT908" s="1" t="s">
        <v>9006</v>
      </c>
      <c r="AU908" s="1">
        <v>2024.0</v>
      </c>
      <c r="AV908" s="1">
        <v>14.0</v>
      </c>
      <c r="AW908" s="1">
        <v>1.0</v>
      </c>
      <c r="AX908" s="1" t="s">
        <v>74</v>
      </c>
      <c r="AY908" s="1" t="s">
        <v>74</v>
      </c>
      <c r="AZ908" s="1" t="s">
        <v>74</v>
      </c>
      <c r="BA908" s="1" t="s">
        <v>74</v>
      </c>
      <c r="BB908" s="1" t="s">
        <v>74</v>
      </c>
      <c r="BC908" s="1" t="s">
        <v>74</v>
      </c>
      <c r="BD908" s="1">
        <v>13697.0</v>
      </c>
      <c r="BE908" s="1" t="s">
        <v>9007</v>
      </c>
      <c r="BF908" s="2" t="str">
        <f>HYPERLINK("http://dx.doi.org/10.1038/s41598-024-62546-6","http://dx.doi.org/10.1038/s41598-024-62546-6")</f>
        <v>http://dx.doi.org/10.1038/s41598-024-62546-6</v>
      </c>
      <c r="BG908" s="1" t="s">
        <v>74</v>
      </c>
      <c r="BH908" s="1" t="s">
        <v>74</v>
      </c>
      <c r="BI908" s="1" t="s">
        <v>74</v>
      </c>
      <c r="BJ908" s="1" t="s">
        <v>74</v>
      </c>
      <c r="BK908" s="1" t="s">
        <v>74</v>
      </c>
      <c r="BL908" s="1" t="s">
        <v>74</v>
      </c>
      <c r="BM908" s="1" t="s">
        <v>74</v>
      </c>
      <c r="BN908" s="1">
        <v>3.8871752E7</v>
      </c>
      <c r="BO908" s="1" t="s">
        <v>74</v>
      </c>
      <c r="BP908" s="1" t="s">
        <v>74</v>
      </c>
      <c r="BQ908" s="1" t="s">
        <v>74</v>
      </c>
      <c r="BR908" s="1" t="s">
        <v>74</v>
      </c>
      <c r="BS908" s="1" t="s">
        <v>9008</v>
      </c>
      <c r="BT908" s="1" t="str">
        <f>HYPERLINK("https%3A%2F%2Fwww.webofscience.com%2Fwos%2Fwoscc%2Ffull-record%2FWOS:001249273400043","View Full Record in Web of Science")</f>
        <v>View Full Record in Web of Science</v>
      </c>
    </row>
    <row r="909" ht="12.75" customHeight="1">
      <c r="A909" s="1" t="s">
        <v>72</v>
      </c>
      <c r="B909" s="1" t="s">
        <v>7877</v>
      </c>
      <c r="C909" s="1" t="s">
        <v>74</v>
      </c>
      <c r="D909" s="1" t="s">
        <v>74</v>
      </c>
      <c r="E909" s="1" t="s">
        <v>74</v>
      </c>
      <c r="F909" s="1" t="s">
        <v>7878</v>
      </c>
      <c r="G909" s="1" t="s">
        <v>74</v>
      </c>
      <c r="H909" s="1" t="s">
        <v>74</v>
      </c>
      <c r="I909" s="1" t="s">
        <v>9009</v>
      </c>
      <c r="J909" s="1" t="s">
        <v>3292</v>
      </c>
      <c r="K909" s="1" t="s">
        <v>74</v>
      </c>
      <c r="L909" s="1" t="s">
        <v>74</v>
      </c>
      <c r="M909" s="1" t="s">
        <v>74</v>
      </c>
      <c r="N909" s="1" t="s">
        <v>74</v>
      </c>
      <c r="O909" s="1" t="s">
        <v>74</v>
      </c>
      <c r="P909" s="1" t="s">
        <v>74</v>
      </c>
      <c r="Q909" s="1" t="s">
        <v>74</v>
      </c>
      <c r="R909" s="1" t="s">
        <v>74</v>
      </c>
      <c r="S909" s="1" t="s">
        <v>74</v>
      </c>
      <c r="T909" s="1" t="s">
        <v>74</v>
      </c>
      <c r="U909" s="1" t="s">
        <v>74</v>
      </c>
      <c r="V909" s="1" t="s">
        <v>9010</v>
      </c>
      <c r="W909" s="1" t="s">
        <v>74</v>
      </c>
      <c r="X909" s="1" t="s">
        <v>74</v>
      </c>
      <c r="Y909" s="1" t="s">
        <v>74</v>
      </c>
      <c r="Z909" s="1" t="s">
        <v>74</v>
      </c>
      <c r="AA909" s="1" t="s">
        <v>9011</v>
      </c>
      <c r="AB909" s="1" t="s">
        <v>9012</v>
      </c>
      <c r="AC909" s="1" t="s">
        <v>74</v>
      </c>
      <c r="AD909" s="1" t="s">
        <v>74</v>
      </c>
      <c r="AE909" s="1" t="s">
        <v>74</v>
      </c>
      <c r="AF909" s="1" t="s">
        <v>74</v>
      </c>
      <c r="AG909" s="1" t="s">
        <v>74</v>
      </c>
      <c r="AH909" s="1" t="s">
        <v>74</v>
      </c>
      <c r="AI909" s="1" t="s">
        <v>74</v>
      </c>
      <c r="AJ909" s="1" t="s">
        <v>74</v>
      </c>
      <c r="AK909" s="1" t="s">
        <v>74</v>
      </c>
      <c r="AL909" s="1" t="s">
        <v>74</v>
      </c>
      <c r="AM909" s="1" t="s">
        <v>74</v>
      </c>
      <c r="AN909" s="1" t="s">
        <v>74</v>
      </c>
      <c r="AO909" s="1" t="s">
        <v>74</v>
      </c>
      <c r="AP909" s="1" t="s">
        <v>3296</v>
      </c>
      <c r="AQ909" s="1" t="s">
        <v>74</v>
      </c>
      <c r="AR909" s="1" t="s">
        <v>74</v>
      </c>
      <c r="AS909" s="1" t="s">
        <v>74</v>
      </c>
      <c r="AT909" s="1" t="s">
        <v>9013</v>
      </c>
      <c r="AU909" s="1">
        <v>2023.0</v>
      </c>
      <c r="AV909" s="1">
        <v>13.0</v>
      </c>
      <c r="AW909" s="1">
        <v>2.0</v>
      </c>
      <c r="AX909" s="1" t="s">
        <v>74</v>
      </c>
      <c r="AY909" s="1" t="s">
        <v>74</v>
      </c>
      <c r="AZ909" s="1" t="s">
        <v>74</v>
      </c>
      <c r="BA909" s="1" t="s">
        <v>74</v>
      </c>
      <c r="BB909" s="1">
        <v>825.0</v>
      </c>
      <c r="BC909" s="1">
        <v>838.0</v>
      </c>
      <c r="BD909" s="1" t="s">
        <v>74</v>
      </c>
      <c r="BE909" s="1" t="s">
        <v>9014</v>
      </c>
      <c r="BF909" s="2" t="str">
        <f>HYPERLINK("http://dx.doi.org/10.1039/d2ra05341a","http://dx.doi.org/10.1039/d2ra05341a")</f>
        <v>http://dx.doi.org/10.1039/d2ra05341a</v>
      </c>
      <c r="BG909" s="1" t="s">
        <v>74</v>
      </c>
      <c r="BH909" s="1" t="s">
        <v>74</v>
      </c>
      <c r="BI909" s="1" t="s">
        <v>74</v>
      </c>
      <c r="BJ909" s="1" t="s">
        <v>74</v>
      </c>
      <c r="BK909" s="1" t="s">
        <v>74</v>
      </c>
      <c r="BL909" s="1" t="s">
        <v>74</v>
      </c>
      <c r="BM909" s="1" t="s">
        <v>74</v>
      </c>
      <c r="BN909" s="1">
        <v>3.6686905E7</v>
      </c>
      <c r="BO909" s="1" t="s">
        <v>74</v>
      </c>
      <c r="BP909" s="1" t="s">
        <v>74</v>
      </c>
      <c r="BQ909" s="1" t="s">
        <v>74</v>
      </c>
      <c r="BR909" s="1" t="s">
        <v>74</v>
      </c>
      <c r="BS909" s="1" t="s">
        <v>9015</v>
      </c>
      <c r="BT909" s="1" t="str">
        <f>HYPERLINK("https%3A%2F%2Fwww.webofscience.com%2Fwos%2Fwoscc%2Ffull-record%2FWOS:000906497700001","View Full Record in Web of Science")</f>
        <v>View Full Record in Web of Science</v>
      </c>
    </row>
    <row r="910" ht="12.75" customHeight="1">
      <c r="A910" s="1" t="s">
        <v>72</v>
      </c>
      <c r="B910" s="1" t="s">
        <v>9016</v>
      </c>
      <c r="C910" s="1" t="s">
        <v>74</v>
      </c>
      <c r="D910" s="1" t="s">
        <v>74</v>
      </c>
      <c r="E910" s="1" t="s">
        <v>74</v>
      </c>
      <c r="F910" s="1" t="s">
        <v>9017</v>
      </c>
      <c r="G910" s="1" t="s">
        <v>74</v>
      </c>
      <c r="H910" s="1" t="s">
        <v>74</v>
      </c>
      <c r="I910" s="1" t="s">
        <v>9018</v>
      </c>
      <c r="J910" s="1" t="s">
        <v>9019</v>
      </c>
      <c r="K910" s="1" t="s">
        <v>74</v>
      </c>
      <c r="L910" s="1" t="s">
        <v>74</v>
      </c>
      <c r="M910" s="1" t="s">
        <v>74</v>
      </c>
      <c r="N910" s="1" t="s">
        <v>74</v>
      </c>
      <c r="O910" s="1" t="s">
        <v>74</v>
      </c>
      <c r="P910" s="1" t="s">
        <v>74</v>
      </c>
      <c r="Q910" s="1" t="s">
        <v>74</v>
      </c>
      <c r="R910" s="1" t="s">
        <v>74</v>
      </c>
      <c r="S910" s="1" t="s">
        <v>74</v>
      </c>
      <c r="T910" s="1" t="s">
        <v>74</v>
      </c>
      <c r="U910" s="1" t="s">
        <v>74</v>
      </c>
      <c r="V910" s="1" t="s">
        <v>9020</v>
      </c>
      <c r="W910" s="1" t="s">
        <v>74</v>
      </c>
      <c r="X910" s="1" t="s">
        <v>74</v>
      </c>
      <c r="Y910" s="1" t="s">
        <v>74</v>
      </c>
      <c r="Z910" s="1" t="s">
        <v>74</v>
      </c>
      <c r="AA910" s="1" t="s">
        <v>9021</v>
      </c>
      <c r="AB910" s="1" t="s">
        <v>9022</v>
      </c>
      <c r="AC910" s="1" t="s">
        <v>74</v>
      </c>
      <c r="AD910" s="1" t="s">
        <v>74</v>
      </c>
      <c r="AE910" s="1" t="s">
        <v>74</v>
      </c>
      <c r="AF910" s="1" t="s">
        <v>74</v>
      </c>
      <c r="AG910" s="1" t="s">
        <v>74</v>
      </c>
      <c r="AH910" s="1" t="s">
        <v>74</v>
      </c>
      <c r="AI910" s="1" t="s">
        <v>74</v>
      </c>
      <c r="AJ910" s="1" t="s">
        <v>74</v>
      </c>
      <c r="AK910" s="1" t="s">
        <v>74</v>
      </c>
      <c r="AL910" s="1" t="s">
        <v>74</v>
      </c>
      <c r="AM910" s="1" t="s">
        <v>74</v>
      </c>
      <c r="AN910" s="1" t="s">
        <v>74</v>
      </c>
      <c r="AO910" s="1" t="s">
        <v>9023</v>
      </c>
      <c r="AP910" s="1" t="s">
        <v>9024</v>
      </c>
      <c r="AQ910" s="1" t="s">
        <v>74</v>
      </c>
      <c r="AR910" s="1" t="s">
        <v>74</v>
      </c>
      <c r="AS910" s="1" t="s">
        <v>74</v>
      </c>
      <c r="AT910" s="1" t="s">
        <v>9025</v>
      </c>
      <c r="AU910" s="1">
        <v>2022.0</v>
      </c>
      <c r="AV910" s="1">
        <v>47.0</v>
      </c>
      <c r="AW910" s="1">
        <v>1.0</v>
      </c>
      <c r="AX910" s="1" t="s">
        <v>74</v>
      </c>
      <c r="AY910" s="1" t="s">
        <v>74</v>
      </c>
      <c r="AZ910" s="1" t="s">
        <v>74</v>
      </c>
      <c r="BA910" s="1" t="s">
        <v>74</v>
      </c>
      <c r="BB910" s="1">
        <v>1.0</v>
      </c>
      <c r="BC910" s="1">
        <v>38.0</v>
      </c>
      <c r="BD910" s="1" t="s">
        <v>74</v>
      </c>
      <c r="BE910" s="1" t="s">
        <v>9026</v>
      </c>
      <c r="BF910" s="2" t="str">
        <f>HYPERLINK("http://dx.doi.org/10.1080/03605302.2021.1941108","http://dx.doi.org/10.1080/03605302.2021.1941108")</f>
        <v>http://dx.doi.org/10.1080/03605302.2021.1941108</v>
      </c>
      <c r="BG910" s="1" t="s">
        <v>74</v>
      </c>
      <c r="BH910" s="1" t="s">
        <v>3031</v>
      </c>
      <c r="BI910" s="1" t="s">
        <v>74</v>
      </c>
      <c r="BJ910" s="1" t="s">
        <v>74</v>
      </c>
      <c r="BK910" s="1" t="s">
        <v>74</v>
      </c>
      <c r="BL910" s="1" t="s">
        <v>74</v>
      </c>
      <c r="BM910" s="1" t="s">
        <v>74</v>
      </c>
      <c r="BN910" s="1" t="s">
        <v>74</v>
      </c>
      <c r="BO910" s="1" t="s">
        <v>74</v>
      </c>
      <c r="BP910" s="1" t="s">
        <v>74</v>
      </c>
      <c r="BQ910" s="1" t="s">
        <v>74</v>
      </c>
      <c r="BR910" s="1" t="s">
        <v>74</v>
      </c>
      <c r="BS910" s="1" t="s">
        <v>9027</v>
      </c>
      <c r="BT910" s="1" t="str">
        <f>HYPERLINK("https%3A%2F%2Fwww.webofscience.com%2Fwos%2Fwoscc%2Ffull-record%2FWOS:000670213600001","View Full Record in Web of Science")</f>
        <v>View Full Record in Web of Science</v>
      </c>
    </row>
    <row r="911" ht="12.75" customHeight="1">
      <c r="A911" s="1" t="s">
        <v>72</v>
      </c>
      <c r="B911" s="1" t="s">
        <v>9028</v>
      </c>
      <c r="C911" s="1" t="s">
        <v>74</v>
      </c>
      <c r="D911" s="1" t="s">
        <v>74</v>
      </c>
      <c r="E911" s="1" t="s">
        <v>74</v>
      </c>
      <c r="F911" s="1" t="s">
        <v>9029</v>
      </c>
      <c r="G911" s="1" t="s">
        <v>74</v>
      </c>
      <c r="H911" s="1" t="s">
        <v>74</v>
      </c>
      <c r="I911" s="1" t="s">
        <v>9030</v>
      </c>
      <c r="J911" s="1" t="s">
        <v>9031</v>
      </c>
      <c r="K911" s="1" t="s">
        <v>74</v>
      </c>
      <c r="L911" s="1" t="s">
        <v>74</v>
      </c>
      <c r="M911" s="1" t="s">
        <v>74</v>
      </c>
      <c r="N911" s="1" t="s">
        <v>74</v>
      </c>
      <c r="O911" s="1" t="s">
        <v>74</v>
      </c>
      <c r="P911" s="1" t="s">
        <v>74</v>
      </c>
      <c r="Q911" s="1" t="s">
        <v>74</v>
      </c>
      <c r="R911" s="1" t="s">
        <v>74</v>
      </c>
      <c r="S911" s="1" t="s">
        <v>74</v>
      </c>
      <c r="T911" s="1" t="s">
        <v>74</v>
      </c>
      <c r="U911" s="1" t="s">
        <v>74</v>
      </c>
      <c r="V911" s="1" t="s">
        <v>9032</v>
      </c>
      <c r="W911" s="1" t="s">
        <v>74</v>
      </c>
      <c r="X911" s="1" t="s">
        <v>74</v>
      </c>
      <c r="Y911" s="1" t="s">
        <v>74</v>
      </c>
      <c r="Z911" s="1" t="s">
        <v>74</v>
      </c>
      <c r="AA911" s="1" t="s">
        <v>9033</v>
      </c>
      <c r="AB911" s="1" t="s">
        <v>9034</v>
      </c>
      <c r="AC911" s="1" t="s">
        <v>74</v>
      </c>
      <c r="AD911" s="1" t="s">
        <v>74</v>
      </c>
      <c r="AE911" s="1" t="s">
        <v>74</v>
      </c>
      <c r="AF911" s="1" t="s">
        <v>74</v>
      </c>
      <c r="AG911" s="1" t="s">
        <v>74</v>
      </c>
      <c r="AH911" s="1" t="s">
        <v>74</v>
      </c>
      <c r="AI911" s="1" t="s">
        <v>74</v>
      </c>
      <c r="AJ911" s="1" t="s">
        <v>74</v>
      </c>
      <c r="AK911" s="1" t="s">
        <v>74</v>
      </c>
      <c r="AL911" s="1" t="s">
        <v>74</v>
      </c>
      <c r="AM911" s="1" t="s">
        <v>74</v>
      </c>
      <c r="AN911" s="1" t="s">
        <v>74</v>
      </c>
      <c r="AO911" s="1" t="s">
        <v>9035</v>
      </c>
      <c r="AP911" s="1" t="s">
        <v>9036</v>
      </c>
      <c r="AQ911" s="1" t="s">
        <v>74</v>
      </c>
      <c r="AR911" s="1" t="s">
        <v>74</v>
      </c>
      <c r="AS911" s="1" t="s">
        <v>74</v>
      </c>
      <c r="AT911" s="1" t="s">
        <v>411</v>
      </c>
      <c r="AU911" s="1">
        <v>2020.0</v>
      </c>
      <c r="AV911" s="1">
        <v>86.0</v>
      </c>
      <c r="AW911" s="1">
        <v>16.0</v>
      </c>
      <c r="AX911" s="1" t="s">
        <v>74</v>
      </c>
      <c r="AY911" s="1" t="s">
        <v>74</v>
      </c>
      <c r="AZ911" s="1" t="s">
        <v>74</v>
      </c>
      <c r="BA911" s="1" t="s">
        <v>74</v>
      </c>
      <c r="BB911" s="1">
        <v>1225.0</v>
      </c>
      <c r="BC911" s="1">
        <v>1234.0</v>
      </c>
      <c r="BD911" s="1" t="s">
        <v>74</v>
      </c>
      <c r="BE911" s="1" t="s">
        <v>9037</v>
      </c>
      <c r="BF911" s="2" t="str">
        <f>HYPERLINK("http://dx.doi.org/10.1055/a-1201-3375","http://dx.doi.org/10.1055/a-1201-3375")</f>
        <v>http://dx.doi.org/10.1055/a-1201-3375</v>
      </c>
      <c r="BG911" s="1" t="s">
        <v>74</v>
      </c>
      <c r="BH911" s="1" t="s">
        <v>74</v>
      </c>
      <c r="BI911" s="1" t="s">
        <v>74</v>
      </c>
      <c r="BJ911" s="1" t="s">
        <v>74</v>
      </c>
      <c r="BK911" s="1" t="s">
        <v>74</v>
      </c>
      <c r="BL911" s="1" t="s">
        <v>74</v>
      </c>
      <c r="BM911" s="1" t="s">
        <v>74</v>
      </c>
      <c r="BN911" s="1">
        <v>3.2663893E7</v>
      </c>
      <c r="BO911" s="1" t="s">
        <v>74</v>
      </c>
      <c r="BP911" s="1" t="s">
        <v>74</v>
      </c>
      <c r="BQ911" s="1" t="s">
        <v>74</v>
      </c>
      <c r="BR911" s="1" t="s">
        <v>74</v>
      </c>
      <c r="BS911" s="1" t="s">
        <v>9038</v>
      </c>
      <c r="BT911" s="1" t="str">
        <f>HYPERLINK("https%3A%2F%2Fwww.webofscience.com%2Fwos%2Fwoscc%2Ffull-record%2FWOS:000584615100007","View Full Record in Web of Science")</f>
        <v>View Full Record in Web of Science</v>
      </c>
    </row>
    <row r="912" ht="12.75" customHeight="1">
      <c r="A912" s="1" t="s">
        <v>72</v>
      </c>
      <c r="B912" s="1" t="s">
        <v>9039</v>
      </c>
      <c r="C912" s="1" t="s">
        <v>74</v>
      </c>
      <c r="D912" s="1" t="s">
        <v>74</v>
      </c>
      <c r="E912" s="1" t="s">
        <v>74</v>
      </c>
      <c r="F912" s="1" t="s">
        <v>9040</v>
      </c>
      <c r="G912" s="1" t="s">
        <v>74</v>
      </c>
      <c r="H912" s="1" t="s">
        <v>74</v>
      </c>
      <c r="I912" s="1" t="s">
        <v>9041</v>
      </c>
      <c r="J912" s="1" t="s">
        <v>9042</v>
      </c>
      <c r="K912" s="1" t="s">
        <v>74</v>
      </c>
      <c r="L912" s="1" t="s">
        <v>74</v>
      </c>
      <c r="M912" s="1" t="s">
        <v>74</v>
      </c>
      <c r="N912" s="1" t="s">
        <v>74</v>
      </c>
      <c r="O912" s="1" t="s">
        <v>74</v>
      </c>
      <c r="P912" s="1" t="s">
        <v>74</v>
      </c>
      <c r="Q912" s="1" t="s">
        <v>74</v>
      </c>
      <c r="R912" s="1" t="s">
        <v>74</v>
      </c>
      <c r="S912" s="1" t="s">
        <v>74</v>
      </c>
      <c r="T912" s="1" t="s">
        <v>74</v>
      </c>
      <c r="U912" s="1" t="s">
        <v>74</v>
      </c>
      <c r="V912" s="1" t="s">
        <v>9043</v>
      </c>
      <c r="W912" s="1" t="s">
        <v>74</v>
      </c>
      <c r="X912" s="1" t="s">
        <v>74</v>
      </c>
      <c r="Y912" s="1" t="s">
        <v>74</v>
      </c>
      <c r="Z912" s="1" t="s">
        <v>74</v>
      </c>
      <c r="AA912" s="1" t="s">
        <v>9044</v>
      </c>
      <c r="AB912" s="1" t="s">
        <v>9045</v>
      </c>
      <c r="AC912" s="1" t="s">
        <v>74</v>
      </c>
      <c r="AD912" s="1" t="s">
        <v>74</v>
      </c>
      <c r="AE912" s="1" t="s">
        <v>74</v>
      </c>
      <c r="AF912" s="1" t="s">
        <v>74</v>
      </c>
      <c r="AG912" s="1" t="s">
        <v>74</v>
      </c>
      <c r="AH912" s="1" t="s">
        <v>74</v>
      </c>
      <c r="AI912" s="1" t="s">
        <v>74</v>
      </c>
      <c r="AJ912" s="1" t="s">
        <v>74</v>
      </c>
      <c r="AK912" s="1" t="s">
        <v>74</v>
      </c>
      <c r="AL912" s="1" t="s">
        <v>74</v>
      </c>
      <c r="AM912" s="1" t="s">
        <v>74</v>
      </c>
      <c r="AN912" s="1" t="s">
        <v>74</v>
      </c>
      <c r="AO912" s="1" t="s">
        <v>9046</v>
      </c>
      <c r="AP912" s="1" t="s">
        <v>9047</v>
      </c>
      <c r="AQ912" s="1" t="s">
        <v>74</v>
      </c>
      <c r="AR912" s="1" t="s">
        <v>74</v>
      </c>
      <c r="AS912" s="1" t="s">
        <v>74</v>
      </c>
      <c r="AT912" s="1" t="s">
        <v>259</v>
      </c>
      <c r="AU912" s="1">
        <v>2020.0</v>
      </c>
      <c r="AV912" s="1">
        <v>23.0</v>
      </c>
      <c r="AW912" s="1">
        <v>4.0</v>
      </c>
      <c r="AX912" s="1" t="s">
        <v>74</v>
      </c>
      <c r="AY912" s="1" t="s">
        <v>74</v>
      </c>
      <c r="AZ912" s="1" t="s">
        <v>399</v>
      </c>
      <c r="BA912" s="1" t="s">
        <v>74</v>
      </c>
      <c r="BB912" s="1">
        <v>729.0</v>
      </c>
      <c r="BC912" s="1">
        <v>739.0</v>
      </c>
      <c r="BD912" s="1" t="s">
        <v>9048</v>
      </c>
      <c r="BE912" s="1" t="s">
        <v>9049</v>
      </c>
      <c r="BF912" s="2" t="str">
        <f>HYPERLINK("http://dx.doi.org/10.1017/S1366728919000063","http://dx.doi.org/10.1017/S1366728919000063")</f>
        <v>http://dx.doi.org/10.1017/S1366728919000063</v>
      </c>
      <c r="BG912" s="1" t="s">
        <v>74</v>
      </c>
      <c r="BH912" s="1" t="s">
        <v>74</v>
      </c>
      <c r="BI912" s="1" t="s">
        <v>74</v>
      </c>
      <c r="BJ912" s="1" t="s">
        <v>74</v>
      </c>
      <c r="BK912" s="1" t="s">
        <v>74</v>
      </c>
      <c r="BL912" s="1" t="s">
        <v>74</v>
      </c>
      <c r="BM912" s="1" t="s">
        <v>74</v>
      </c>
      <c r="BN912" s="1" t="s">
        <v>74</v>
      </c>
      <c r="BO912" s="1" t="s">
        <v>74</v>
      </c>
      <c r="BP912" s="1" t="s">
        <v>74</v>
      </c>
      <c r="BQ912" s="1" t="s">
        <v>74</v>
      </c>
      <c r="BR912" s="1" t="s">
        <v>74</v>
      </c>
      <c r="BS912" s="1" t="s">
        <v>9050</v>
      </c>
      <c r="BT912" s="1" t="str">
        <f>HYPERLINK("https%3A%2F%2Fwww.webofscience.com%2Fwos%2Fwoscc%2Ffull-record%2FWOS:000553821800004","View Full Record in Web of Science")</f>
        <v>View Full Record in Web of Science</v>
      </c>
    </row>
    <row r="913" ht="12.75" customHeight="1">
      <c r="A913" s="1" t="s">
        <v>647</v>
      </c>
      <c r="B913" s="1" t="s">
        <v>9051</v>
      </c>
      <c r="C913" s="1" t="s">
        <v>74</v>
      </c>
      <c r="D913" s="1" t="s">
        <v>74</v>
      </c>
      <c r="E913" s="1" t="s">
        <v>9052</v>
      </c>
      <c r="F913" s="1" t="s">
        <v>4781</v>
      </c>
      <c r="G913" s="1" t="s">
        <v>74</v>
      </c>
      <c r="H913" s="1" t="s">
        <v>74</v>
      </c>
      <c r="I913" s="1" t="s">
        <v>4782</v>
      </c>
      <c r="J913" s="1" t="s">
        <v>9053</v>
      </c>
      <c r="K913" s="1" t="s">
        <v>74</v>
      </c>
      <c r="L913" s="1" t="s">
        <v>74</v>
      </c>
      <c r="M913" s="1" t="s">
        <v>74</v>
      </c>
      <c r="N913" s="1" t="s">
        <v>74</v>
      </c>
      <c r="O913" s="1" t="s">
        <v>9054</v>
      </c>
      <c r="P913" s="1" t="s">
        <v>9055</v>
      </c>
      <c r="Q913" s="1" t="s">
        <v>9056</v>
      </c>
      <c r="R913" s="1" t="s">
        <v>9057</v>
      </c>
      <c r="S913" s="1" t="s">
        <v>74</v>
      </c>
      <c r="T913" s="1" t="s">
        <v>74</v>
      </c>
      <c r="U913" s="1" t="s">
        <v>74</v>
      </c>
      <c r="V913" s="1" t="s">
        <v>9058</v>
      </c>
      <c r="W913" s="1" t="s">
        <v>74</v>
      </c>
      <c r="X913" s="1" t="s">
        <v>74</v>
      </c>
      <c r="Y913" s="1" t="s">
        <v>74</v>
      </c>
      <c r="Z913" s="1" t="s">
        <v>74</v>
      </c>
      <c r="AA913" s="1" t="s">
        <v>9059</v>
      </c>
      <c r="AB913" s="1" t="s">
        <v>9060</v>
      </c>
      <c r="AC913" s="1" t="s">
        <v>74</v>
      </c>
      <c r="AD913" s="1" t="s">
        <v>74</v>
      </c>
      <c r="AE913" s="1" t="s">
        <v>74</v>
      </c>
      <c r="AF913" s="1" t="s">
        <v>74</v>
      </c>
      <c r="AG913" s="1" t="s">
        <v>74</v>
      </c>
      <c r="AH913" s="1" t="s">
        <v>74</v>
      </c>
      <c r="AI913" s="1" t="s">
        <v>74</v>
      </c>
      <c r="AJ913" s="1" t="s">
        <v>74</v>
      </c>
      <c r="AK913" s="1" t="s">
        <v>74</v>
      </c>
      <c r="AL913" s="1" t="s">
        <v>74</v>
      </c>
      <c r="AM913" s="1" t="s">
        <v>74</v>
      </c>
      <c r="AN913" s="1" t="s">
        <v>74</v>
      </c>
      <c r="AO913" s="1" t="s">
        <v>74</v>
      </c>
      <c r="AP913" s="1" t="s">
        <v>74</v>
      </c>
      <c r="AQ913" s="1" t="s">
        <v>74</v>
      </c>
      <c r="AR913" s="1" t="s">
        <v>74</v>
      </c>
      <c r="AS913" s="1" t="s">
        <v>74</v>
      </c>
      <c r="AT913" s="1" t="s">
        <v>74</v>
      </c>
      <c r="AU913" s="1">
        <v>2020.0</v>
      </c>
      <c r="AV913" s="1" t="s">
        <v>74</v>
      </c>
      <c r="AW913" s="1" t="s">
        <v>74</v>
      </c>
      <c r="AX913" s="1" t="s">
        <v>74</v>
      </c>
      <c r="AY913" s="1" t="s">
        <v>74</v>
      </c>
      <c r="AZ913" s="1" t="s">
        <v>74</v>
      </c>
      <c r="BA913" s="1" t="s">
        <v>74</v>
      </c>
      <c r="BB913" s="1">
        <v>702.0</v>
      </c>
      <c r="BC913" s="1">
        <v>717.0</v>
      </c>
      <c r="BD913" s="1" t="s">
        <v>74</v>
      </c>
      <c r="BE913" s="1" t="s">
        <v>74</v>
      </c>
      <c r="BF913" s="1" t="s">
        <v>74</v>
      </c>
      <c r="BG913" s="1" t="s">
        <v>74</v>
      </c>
      <c r="BH913" s="1" t="s">
        <v>74</v>
      </c>
      <c r="BI913" s="1" t="s">
        <v>74</v>
      </c>
      <c r="BJ913" s="1" t="s">
        <v>74</v>
      </c>
      <c r="BK913" s="1" t="s">
        <v>74</v>
      </c>
      <c r="BL913" s="1" t="s">
        <v>74</v>
      </c>
      <c r="BM913" s="1" t="s">
        <v>74</v>
      </c>
      <c r="BN913" s="1" t="s">
        <v>74</v>
      </c>
      <c r="BO913" s="1" t="s">
        <v>74</v>
      </c>
      <c r="BP913" s="1" t="s">
        <v>74</v>
      </c>
      <c r="BQ913" s="1" t="s">
        <v>74</v>
      </c>
      <c r="BR913" s="1" t="s">
        <v>74</v>
      </c>
      <c r="BS913" s="1" t="s">
        <v>9061</v>
      </c>
      <c r="BT913" s="1" t="str">
        <f>HYPERLINK("https%3A%2F%2Fwww.webofscience.com%2Fwos%2Fwoscc%2Ffull-record%2FWOS:000554408100043","View Full Record in Web of Science")</f>
        <v>View Full Record in Web of Science</v>
      </c>
    </row>
    <row r="914" ht="12.75" customHeight="1">
      <c r="A914" s="1" t="s">
        <v>72</v>
      </c>
      <c r="B914" s="1" t="s">
        <v>9062</v>
      </c>
      <c r="C914" s="1" t="s">
        <v>74</v>
      </c>
      <c r="D914" s="1" t="s">
        <v>74</v>
      </c>
      <c r="E914" s="1" t="s">
        <v>74</v>
      </c>
      <c r="F914" s="1" t="s">
        <v>9063</v>
      </c>
      <c r="G914" s="1" t="s">
        <v>74</v>
      </c>
      <c r="H914" s="1" t="s">
        <v>74</v>
      </c>
      <c r="I914" s="1" t="s">
        <v>9064</v>
      </c>
      <c r="J914" s="1" t="s">
        <v>9065</v>
      </c>
      <c r="K914" s="1" t="s">
        <v>74</v>
      </c>
      <c r="L914" s="1" t="s">
        <v>74</v>
      </c>
      <c r="M914" s="1" t="s">
        <v>74</v>
      </c>
      <c r="N914" s="1" t="s">
        <v>74</v>
      </c>
      <c r="O914" s="1" t="s">
        <v>74</v>
      </c>
      <c r="P914" s="1" t="s">
        <v>74</v>
      </c>
      <c r="Q914" s="1" t="s">
        <v>74</v>
      </c>
      <c r="R914" s="1" t="s">
        <v>74</v>
      </c>
      <c r="S914" s="1" t="s">
        <v>74</v>
      </c>
      <c r="T914" s="1" t="s">
        <v>74</v>
      </c>
      <c r="U914" s="1" t="s">
        <v>74</v>
      </c>
      <c r="V914" s="1" t="s">
        <v>9066</v>
      </c>
      <c r="W914" s="1" t="s">
        <v>74</v>
      </c>
      <c r="X914" s="1" t="s">
        <v>74</v>
      </c>
      <c r="Y914" s="1" t="s">
        <v>74</v>
      </c>
      <c r="Z914" s="1" t="s">
        <v>74</v>
      </c>
      <c r="AA914" s="1" t="s">
        <v>9067</v>
      </c>
      <c r="AB914" s="1" t="s">
        <v>9068</v>
      </c>
      <c r="AC914" s="1" t="s">
        <v>74</v>
      </c>
      <c r="AD914" s="1" t="s">
        <v>74</v>
      </c>
      <c r="AE914" s="1" t="s">
        <v>74</v>
      </c>
      <c r="AF914" s="1" t="s">
        <v>74</v>
      </c>
      <c r="AG914" s="1" t="s">
        <v>74</v>
      </c>
      <c r="AH914" s="1" t="s">
        <v>74</v>
      </c>
      <c r="AI914" s="1" t="s">
        <v>74</v>
      </c>
      <c r="AJ914" s="1" t="s">
        <v>74</v>
      </c>
      <c r="AK914" s="1" t="s">
        <v>74</v>
      </c>
      <c r="AL914" s="1" t="s">
        <v>74</v>
      </c>
      <c r="AM914" s="1" t="s">
        <v>74</v>
      </c>
      <c r="AN914" s="1" t="s">
        <v>74</v>
      </c>
      <c r="AO914" s="1" t="s">
        <v>9069</v>
      </c>
      <c r="AP914" s="1" t="s">
        <v>9070</v>
      </c>
      <c r="AQ914" s="1" t="s">
        <v>74</v>
      </c>
      <c r="AR914" s="1" t="s">
        <v>74</v>
      </c>
      <c r="AS914" s="1" t="s">
        <v>74</v>
      </c>
      <c r="AT914" s="1" t="s">
        <v>398</v>
      </c>
      <c r="AU914" s="1">
        <v>2017.0</v>
      </c>
      <c r="AV914" s="1">
        <v>64.0</v>
      </c>
      <c r="AW914" s="1">
        <v>2.0</v>
      </c>
      <c r="AX914" s="1" t="s">
        <v>74</v>
      </c>
      <c r="AY914" s="1" t="s">
        <v>74</v>
      </c>
      <c r="AZ914" s="1" t="s">
        <v>74</v>
      </c>
      <c r="BA914" s="1" t="s">
        <v>74</v>
      </c>
      <c r="BB914" s="1">
        <v>279.0</v>
      </c>
      <c r="BC914" s="1">
        <v>291.0</v>
      </c>
      <c r="BD914" s="1" t="s">
        <v>74</v>
      </c>
      <c r="BE914" s="1" t="s">
        <v>9071</v>
      </c>
      <c r="BF914" s="2" t="str">
        <f>HYPERLINK("http://dx.doi.org/10.1007/s11235-016-0175-1","http://dx.doi.org/10.1007/s11235-016-0175-1")</f>
        <v>http://dx.doi.org/10.1007/s11235-016-0175-1</v>
      </c>
      <c r="BG914" s="1" t="s">
        <v>74</v>
      </c>
      <c r="BH914" s="1" t="s">
        <v>74</v>
      </c>
      <c r="BI914" s="1" t="s">
        <v>74</v>
      </c>
      <c r="BJ914" s="1" t="s">
        <v>74</v>
      </c>
      <c r="BK914" s="1" t="s">
        <v>74</v>
      </c>
      <c r="BL914" s="1" t="s">
        <v>74</v>
      </c>
      <c r="BM914" s="1" t="s">
        <v>74</v>
      </c>
      <c r="BN914" s="1" t="s">
        <v>74</v>
      </c>
      <c r="BO914" s="1" t="s">
        <v>74</v>
      </c>
      <c r="BP914" s="1" t="s">
        <v>74</v>
      </c>
      <c r="BQ914" s="1" t="s">
        <v>74</v>
      </c>
      <c r="BR914" s="1" t="s">
        <v>74</v>
      </c>
      <c r="BS914" s="1" t="s">
        <v>9072</v>
      </c>
      <c r="BT914" s="1" t="str">
        <f>HYPERLINK("https%3A%2F%2Fwww.webofscience.com%2Fwos%2Fwoscc%2Ffull-record%2FWOS:000393575600004","View Full Record in Web of Science")</f>
        <v>View Full Record in Web of Science</v>
      </c>
    </row>
    <row r="915" ht="12.75" customHeight="1">
      <c r="A915" s="1" t="s">
        <v>72</v>
      </c>
      <c r="B915" s="1" t="s">
        <v>9073</v>
      </c>
      <c r="C915" s="1" t="s">
        <v>74</v>
      </c>
      <c r="D915" s="1" t="s">
        <v>74</v>
      </c>
      <c r="E915" s="1" t="s">
        <v>74</v>
      </c>
      <c r="F915" s="1" t="s">
        <v>9074</v>
      </c>
      <c r="G915" s="1" t="s">
        <v>74</v>
      </c>
      <c r="H915" s="1" t="s">
        <v>74</v>
      </c>
      <c r="I915" s="1" t="s">
        <v>9075</v>
      </c>
      <c r="J915" s="1" t="s">
        <v>6019</v>
      </c>
      <c r="K915" s="1" t="s">
        <v>74</v>
      </c>
      <c r="L915" s="1" t="s">
        <v>74</v>
      </c>
      <c r="M915" s="1" t="s">
        <v>74</v>
      </c>
      <c r="N915" s="1" t="s">
        <v>74</v>
      </c>
      <c r="O915" s="1" t="s">
        <v>74</v>
      </c>
      <c r="P915" s="1" t="s">
        <v>74</v>
      </c>
      <c r="Q915" s="1" t="s">
        <v>74</v>
      </c>
      <c r="R915" s="1" t="s">
        <v>74</v>
      </c>
      <c r="S915" s="1" t="s">
        <v>74</v>
      </c>
      <c r="T915" s="1" t="s">
        <v>74</v>
      </c>
      <c r="U915" s="1" t="s">
        <v>74</v>
      </c>
      <c r="V915" s="1" t="s">
        <v>9076</v>
      </c>
      <c r="W915" s="1" t="s">
        <v>74</v>
      </c>
      <c r="X915" s="1" t="s">
        <v>74</v>
      </c>
      <c r="Y915" s="1" t="s">
        <v>74</v>
      </c>
      <c r="Z915" s="1" t="s">
        <v>74</v>
      </c>
      <c r="AA915" s="1" t="s">
        <v>9077</v>
      </c>
      <c r="AB915" s="1" t="s">
        <v>9078</v>
      </c>
      <c r="AC915" s="1" t="s">
        <v>74</v>
      </c>
      <c r="AD915" s="1" t="s">
        <v>74</v>
      </c>
      <c r="AE915" s="1" t="s">
        <v>74</v>
      </c>
      <c r="AF915" s="1" t="s">
        <v>74</v>
      </c>
      <c r="AG915" s="1" t="s">
        <v>74</v>
      </c>
      <c r="AH915" s="1" t="s">
        <v>74</v>
      </c>
      <c r="AI915" s="1" t="s">
        <v>74</v>
      </c>
      <c r="AJ915" s="1" t="s">
        <v>74</v>
      </c>
      <c r="AK915" s="1" t="s">
        <v>74</v>
      </c>
      <c r="AL915" s="1" t="s">
        <v>74</v>
      </c>
      <c r="AM915" s="1" t="s">
        <v>74</v>
      </c>
      <c r="AN915" s="1" t="s">
        <v>74</v>
      </c>
      <c r="AO915" s="1" t="s">
        <v>6022</v>
      </c>
      <c r="AP915" s="1" t="s">
        <v>6023</v>
      </c>
      <c r="AQ915" s="1" t="s">
        <v>74</v>
      </c>
      <c r="AR915" s="1" t="s">
        <v>74</v>
      </c>
      <c r="AS915" s="1" t="s">
        <v>74</v>
      </c>
      <c r="AT915" s="1" t="s">
        <v>1720</v>
      </c>
      <c r="AU915" s="1">
        <v>2017.0</v>
      </c>
      <c r="AV915" s="1">
        <v>185.0</v>
      </c>
      <c r="AW915" s="1" t="s">
        <v>74</v>
      </c>
      <c r="AX915" s="1" t="s">
        <v>74</v>
      </c>
      <c r="AY915" s="1" t="s">
        <v>74</v>
      </c>
      <c r="AZ915" s="1" t="s">
        <v>74</v>
      </c>
      <c r="BA915" s="1" t="s">
        <v>74</v>
      </c>
      <c r="BB915" s="1">
        <v>104.0</v>
      </c>
      <c r="BC915" s="1">
        <v>113.0</v>
      </c>
      <c r="BD915" s="1" t="s">
        <v>74</v>
      </c>
      <c r="BE915" s="1" t="s">
        <v>9079</v>
      </c>
      <c r="BF915" s="2" t="str">
        <f>HYPERLINK("http://dx.doi.org/10.1016/j.matchemphys.2016.10.011","http://dx.doi.org/10.1016/j.matchemphys.2016.10.011")</f>
        <v>http://dx.doi.org/10.1016/j.matchemphys.2016.10.011</v>
      </c>
      <c r="BG915" s="1" t="s">
        <v>74</v>
      </c>
      <c r="BH915" s="1" t="s">
        <v>74</v>
      </c>
      <c r="BI915" s="1" t="s">
        <v>74</v>
      </c>
      <c r="BJ915" s="1" t="s">
        <v>74</v>
      </c>
      <c r="BK915" s="1" t="s">
        <v>74</v>
      </c>
      <c r="BL915" s="1" t="s">
        <v>74</v>
      </c>
      <c r="BM915" s="1" t="s">
        <v>74</v>
      </c>
      <c r="BN915" s="1" t="s">
        <v>74</v>
      </c>
      <c r="BO915" s="1" t="s">
        <v>74</v>
      </c>
      <c r="BP915" s="1" t="s">
        <v>74</v>
      </c>
      <c r="BQ915" s="1" t="s">
        <v>74</v>
      </c>
      <c r="BR915" s="1" t="s">
        <v>74</v>
      </c>
      <c r="BS915" s="1" t="s">
        <v>9080</v>
      </c>
      <c r="BT915" s="1" t="str">
        <f>HYPERLINK("https%3A%2F%2Fwww.webofscience.com%2Fwos%2Fwoscc%2Ffull-record%2FWOS:000389097000014","View Full Record in Web of Science")</f>
        <v>View Full Record in Web of Science</v>
      </c>
    </row>
    <row r="916" ht="12.75" customHeight="1">
      <c r="A916" s="1" t="s">
        <v>72</v>
      </c>
      <c r="B916" s="1" t="s">
        <v>9081</v>
      </c>
      <c r="C916" s="1" t="s">
        <v>74</v>
      </c>
      <c r="D916" s="1" t="s">
        <v>74</v>
      </c>
      <c r="E916" s="1" t="s">
        <v>74</v>
      </c>
      <c r="F916" s="1" t="s">
        <v>9082</v>
      </c>
      <c r="G916" s="1" t="s">
        <v>74</v>
      </c>
      <c r="H916" s="1" t="s">
        <v>74</v>
      </c>
      <c r="I916" s="1" t="s">
        <v>9083</v>
      </c>
      <c r="J916" s="1" t="s">
        <v>3292</v>
      </c>
      <c r="K916" s="1" t="s">
        <v>74</v>
      </c>
      <c r="L916" s="1" t="s">
        <v>74</v>
      </c>
      <c r="M916" s="1" t="s">
        <v>74</v>
      </c>
      <c r="N916" s="1" t="s">
        <v>74</v>
      </c>
      <c r="O916" s="1" t="s">
        <v>74</v>
      </c>
      <c r="P916" s="1" t="s">
        <v>74</v>
      </c>
      <c r="Q916" s="1" t="s">
        <v>74</v>
      </c>
      <c r="R916" s="1" t="s">
        <v>74</v>
      </c>
      <c r="S916" s="1" t="s">
        <v>74</v>
      </c>
      <c r="T916" s="1" t="s">
        <v>74</v>
      </c>
      <c r="U916" s="1" t="s">
        <v>74</v>
      </c>
      <c r="V916" s="1" t="s">
        <v>9084</v>
      </c>
      <c r="W916" s="1" t="s">
        <v>74</v>
      </c>
      <c r="X916" s="1" t="s">
        <v>74</v>
      </c>
      <c r="Y916" s="1" t="s">
        <v>74</v>
      </c>
      <c r="Z916" s="1" t="s">
        <v>74</v>
      </c>
      <c r="AA916" s="1" t="s">
        <v>9085</v>
      </c>
      <c r="AB916" s="1" t="s">
        <v>9086</v>
      </c>
      <c r="AC916" s="1" t="s">
        <v>74</v>
      </c>
      <c r="AD916" s="1" t="s">
        <v>74</v>
      </c>
      <c r="AE916" s="1" t="s">
        <v>74</v>
      </c>
      <c r="AF916" s="1" t="s">
        <v>74</v>
      </c>
      <c r="AG916" s="1" t="s">
        <v>74</v>
      </c>
      <c r="AH916" s="1" t="s">
        <v>74</v>
      </c>
      <c r="AI916" s="1" t="s">
        <v>74</v>
      </c>
      <c r="AJ916" s="1" t="s">
        <v>74</v>
      </c>
      <c r="AK916" s="1" t="s">
        <v>74</v>
      </c>
      <c r="AL916" s="1" t="s">
        <v>74</v>
      </c>
      <c r="AM916" s="1" t="s">
        <v>74</v>
      </c>
      <c r="AN916" s="1" t="s">
        <v>74</v>
      </c>
      <c r="AO916" s="1" t="s">
        <v>74</v>
      </c>
      <c r="AP916" s="1" t="s">
        <v>3296</v>
      </c>
      <c r="AQ916" s="1" t="s">
        <v>74</v>
      </c>
      <c r="AR916" s="1" t="s">
        <v>74</v>
      </c>
      <c r="AS916" s="1" t="s">
        <v>74</v>
      </c>
      <c r="AT916" s="1" t="s">
        <v>74</v>
      </c>
      <c r="AU916" s="1">
        <v>2016.0</v>
      </c>
      <c r="AV916" s="1">
        <v>6.0</v>
      </c>
      <c r="AW916" s="1">
        <v>22.0</v>
      </c>
      <c r="AX916" s="1" t="s">
        <v>74</v>
      </c>
      <c r="AY916" s="1" t="s">
        <v>74</v>
      </c>
      <c r="AZ916" s="1" t="s">
        <v>74</v>
      </c>
      <c r="BA916" s="1" t="s">
        <v>74</v>
      </c>
      <c r="BB916" s="1">
        <v>18538.0</v>
      </c>
      <c r="BC916" s="1">
        <v>18541.0</v>
      </c>
      <c r="BD916" s="1" t="s">
        <v>74</v>
      </c>
      <c r="BE916" s="1" t="s">
        <v>9087</v>
      </c>
      <c r="BF916" s="2" t="str">
        <f>HYPERLINK("http://dx.doi.org/10.1039/c5ra26981d","http://dx.doi.org/10.1039/c5ra26981d")</f>
        <v>http://dx.doi.org/10.1039/c5ra26981d</v>
      </c>
      <c r="BG916" s="1" t="s">
        <v>74</v>
      </c>
      <c r="BH916" s="1" t="s">
        <v>74</v>
      </c>
      <c r="BI916" s="1" t="s">
        <v>74</v>
      </c>
      <c r="BJ916" s="1" t="s">
        <v>74</v>
      </c>
      <c r="BK916" s="1" t="s">
        <v>74</v>
      </c>
      <c r="BL916" s="1" t="s">
        <v>74</v>
      </c>
      <c r="BM916" s="1" t="s">
        <v>74</v>
      </c>
      <c r="BN916" s="1" t="s">
        <v>74</v>
      </c>
      <c r="BO916" s="1" t="s">
        <v>74</v>
      </c>
      <c r="BP916" s="1" t="s">
        <v>74</v>
      </c>
      <c r="BQ916" s="1" t="s">
        <v>74</v>
      </c>
      <c r="BR916" s="1" t="s">
        <v>74</v>
      </c>
      <c r="BS916" s="1" t="s">
        <v>9088</v>
      </c>
      <c r="BT916" s="1" t="str">
        <f>HYPERLINK("https%3A%2F%2Fwww.webofscience.com%2Fwos%2Fwoscc%2Ffull-record%2FWOS:000370717900078","View Full Record in Web of Science")</f>
        <v>View Full Record in Web of Science</v>
      </c>
    </row>
    <row r="917" ht="12.75" customHeight="1">
      <c r="A917" s="1" t="s">
        <v>72</v>
      </c>
      <c r="B917" s="1" t="s">
        <v>9089</v>
      </c>
      <c r="C917" s="1" t="s">
        <v>74</v>
      </c>
      <c r="D917" s="1" t="s">
        <v>74</v>
      </c>
      <c r="E917" s="1" t="s">
        <v>74</v>
      </c>
      <c r="F917" s="1" t="s">
        <v>9090</v>
      </c>
      <c r="G917" s="1" t="s">
        <v>74</v>
      </c>
      <c r="H917" s="1" t="s">
        <v>74</v>
      </c>
      <c r="I917" s="1" t="s">
        <v>9091</v>
      </c>
      <c r="J917" s="1" t="s">
        <v>1734</v>
      </c>
      <c r="K917" s="1" t="s">
        <v>74</v>
      </c>
      <c r="L917" s="1" t="s">
        <v>74</v>
      </c>
      <c r="M917" s="1" t="s">
        <v>74</v>
      </c>
      <c r="N917" s="1" t="s">
        <v>74</v>
      </c>
      <c r="O917" s="1" t="s">
        <v>74</v>
      </c>
      <c r="P917" s="1" t="s">
        <v>74</v>
      </c>
      <c r="Q917" s="1" t="s">
        <v>74</v>
      </c>
      <c r="R917" s="1" t="s">
        <v>74</v>
      </c>
      <c r="S917" s="1" t="s">
        <v>74</v>
      </c>
      <c r="T917" s="1" t="s">
        <v>74</v>
      </c>
      <c r="U917" s="1" t="s">
        <v>74</v>
      </c>
      <c r="V917" s="1" t="s">
        <v>9092</v>
      </c>
      <c r="W917" s="1" t="s">
        <v>74</v>
      </c>
      <c r="X917" s="1" t="s">
        <v>74</v>
      </c>
      <c r="Y917" s="1" t="s">
        <v>74</v>
      </c>
      <c r="Z917" s="1" t="s">
        <v>74</v>
      </c>
      <c r="AA917" s="1" t="s">
        <v>9093</v>
      </c>
      <c r="AB917" s="1" t="s">
        <v>9094</v>
      </c>
      <c r="AC917" s="1" t="s">
        <v>74</v>
      </c>
      <c r="AD917" s="1" t="s">
        <v>74</v>
      </c>
      <c r="AE917" s="1" t="s">
        <v>74</v>
      </c>
      <c r="AF917" s="1" t="s">
        <v>74</v>
      </c>
      <c r="AG917" s="1" t="s">
        <v>74</v>
      </c>
      <c r="AH917" s="1" t="s">
        <v>74</v>
      </c>
      <c r="AI917" s="1" t="s">
        <v>74</v>
      </c>
      <c r="AJ917" s="1" t="s">
        <v>74</v>
      </c>
      <c r="AK917" s="1" t="s">
        <v>74</v>
      </c>
      <c r="AL917" s="1" t="s">
        <v>74</v>
      </c>
      <c r="AM917" s="1" t="s">
        <v>74</v>
      </c>
      <c r="AN917" s="1" t="s">
        <v>74</v>
      </c>
      <c r="AO917" s="1" t="s">
        <v>1737</v>
      </c>
      <c r="AP917" s="1" t="s">
        <v>1738</v>
      </c>
      <c r="AQ917" s="1" t="s">
        <v>74</v>
      </c>
      <c r="AR917" s="1" t="s">
        <v>74</v>
      </c>
      <c r="AS917" s="1" t="s">
        <v>74</v>
      </c>
      <c r="AT917" s="1" t="s">
        <v>96</v>
      </c>
      <c r="AU917" s="1">
        <v>2013.0</v>
      </c>
      <c r="AV917" s="1">
        <v>141.0</v>
      </c>
      <c r="AW917" s="1">
        <v>3.0</v>
      </c>
      <c r="AX917" s="1" t="s">
        <v>74</v>
      </c>
      <c r="AY917" s="1" t="s">
        <v>74</v>
      </c>
      <c r="AZ917" s="1" t="s">
        <v>74</v>
      </c>
      <c r="BA917" s="1" t="s">
        <v>74</v>
      </c>
      <c r="BB917" s="1">
        <v>327.0</v>
      </c>
      <c r="BC917" s="1">
        <v>331.0</v>
      </c>
      <c r="BD917" s="1" t="s">
        <v>74</v>
      </c>
      <c r="BE917" s="1" t="s">
        <v>9095</v>
      </c>
      <c r="BF917" s="2" t="str">
        <f>HYPERLINK("http://dx.doi.org/10.4067/S0034-98872013000300007","http://dx.doi.org/10.4067/S0034-98872013000300007")</f>
        <v>http://dx.doi.org/10.4067/S0034-98872013000300007</v>
      </c>
      <c r="BG917" s="1" t="s">
        <v>74</v>
      </c>
      <c r="BH917" s="1" t="s">
        <v>74</v>
      </c>
      <c r="BI917" s="1" t="s">
        <v>74</v>
      </c>
      <c r="BJ917" s="1" t="s">
        <v>74</v>
      </c>
      <c r="BK917" s="1" t="s">
        <v>74</v>
      </c>
      <c r="BL917" s="1" t="s">
        <v>74</v>
      </c>
      <c r="BM917" s="1" t="s">
        <v>74</v>
      </c>
      <c r="BN917" s="1">
        <v>2.3900323E7</v>
      </c>
      <c r="BO917" s="1" t="s">
        <v>74</v>
      </c>
      <c r="BP917" s="1" t="s">
        <v>74</v>
      </c>
      <c r="BQ917" s="1" t="s">
        <v>74</v>
      </c>
      <c r="BR917" s="1" t="s">
        <v>74</v>
      </c>
      <c r="BS917" s="1" t="s">
        <v>9096</v>
      </c>
      <c r="BT917" s="1" t="str">
        <f>HYPERLINK("https%3A%2F%2Fwww.webofscience.com%2Fwos%2Fwoscc%2Ffull-record%2FWOS:000318826600007","View Full Record in Web of Science")</f>
        <v>View Full Record in Web of Science</v>
      </c>
    </row>
    <row r="918" ht="12.75" customHeight="1">
      <c r="A918" s="1" t="s">
        <v>72</v>
      </c>
      <c r="B918" s="1" t="s">
        <v>9097</v>
      </c>
      <c r="C918" s="1" t="s">
        <v>74</v>
      </c>
      <c r="D918" s="1" t="s">
        <v>74</v>
      </c>
      <c r="E918" s="1" t="s">
        <v>74</v>
      </c>
      <c r="F918" s="1" t="s">
        <v>9098</v>
      </c>
      <c r="G918" s="1" t="s">
        <v>74</v>
      </c>
      <c r="H918" s="1" t="s">
        <v>74</v>
      </c>
      <c r="I918" s="1" t="s">
        <v>9099</v>
      </c>
      <c r="J918" s="1" t="s">
        <v>3125</v>
      </c>
      <c r="K918" s="1" t="s">
        <v>74</v>
      </c>
      <c r="L918" s="1" t="s">
        <v>74</v>
      </c>
      <c r="M918" s="1" t="s">
        <v>74</v>
      </c>
      <c r="N918" s="1" t="s">
        <v>74</v>
      </c>
      <c r="O918" s="1" t="s">
        <v>74</v>
      </c>
      <c r="P918" s="1" t="s">
        <v>74</v>
      </c>
      <c r="Q918" s="1" t="s">
        <v>74</v>
      </c>
      <c r="R918" s="1" t="s">
        <v>74</v>
      </c>
      <c r="S918" s="1" t="s">
        <v>74</v>
      </c>
      <c r="T918" s="1" t="s">
        <v>74</v>
      </c>
      <c r="U918" s="1" t="s">
        <v>74</v>
      </c>
      <c r="V918" s="1" t="s">
        <v>9100</v>
      </c>
      <c r="W918" s="1" t="s">
        <v>74</v>
      </c>
      <c r="X918" s="1" t="s">
        <v>74</v>
      </c>
      <c r="Y918" s="1" t="s">
        <v>74</v>
      </c>
      <c r="Z918" s="1" t="s">
        <v>74</v>
      </c>
      <c r="AA918" s="1" t="s">
        <v>9101</v>
      </c>
      <c r="AB918" s="1" t="s">
        <v>9102</v>
      </c>
      <c r="AC918" s="1" t="s">
        <v>74</v>
      </c>
      <c r="AD918" s="1" t="s">
        <v>74</v>
      </c>
      <c r="AE918" s="1" t="s">
        <v>74</v>
      </c>
      <c r="AF918" s="1" t="s">
        <v>74</v>
      </c>
      <c r="AG918" s="1" t="s">
        <v>74</v>
      </c>
      <c r="AH918" s="1" t="s">
        <v>74</v>
      </c>
      <c r="AI918" s="1" t="s">
        <v>74</v>
      </c>
      <c r="AJ918" s="1" t="s">
        <v>74</v>
      </c>
      <c r="AK918" s="1" t="s">
        <v>74</v>
      </c>
      <c r="AL918" s="1" t="s">
        <v>74</v>
      </c>
      <c r="AM918" s="1" t="s">
        <v>74</v>
      </c>
      <c r="AN918" s="1" t="s">
        <v>74</v>
      </c>
      <c r="AO918" s="1" t="s">
        <v>3129</v>
      </c>
      <c r="AP918" s="1" t="s">
        <v>3130</v>
      </c>
      <c r="AQ918" s="1" t="s">
        <v>74</v>
      </c>
      <c r="AR918" s="1" t="s">
        <v>74</v>
      </c>
      <c r="AS918" s="1" t="s">
        <v>74</v>
      </c>
      <c r="AT918" s="1" t="s">
        <v>559</v>
      </c>
      <c r="AU918" s="1">
        <v>2010.0</v>
      </c>
      <c r="AV918" s="1">
        <v>325.0</v>
      </c>
      <c r="AW918" s="1">
        <v>12.0</v>
      </c>
      <c r="AX918" s="1" t="s">
        <v>74</v>
      </c>
      <c r="AY918" s="1" t="s">
        <v>74</v>
      </c>
      <c r="AZ918" s="1" t="s">
        <v>74</v>
      </c>
      <c r="BA918" s="1" t="s">
        <v>74</v>
      </c>
      <c r="BB918" s="1">
        <v>2653.0</v>
      </c>
      <c r="BC918" s="1">
        <v>2667.0</v>
      </c>
      <c r="BD918" s="1" t="s">
        <v>74</v>
      </c>
      <c r="BE918" s="1" t="s">
        <v>9103</v>
      </c>
      <c r="BF918" s="2" t="str">
        <f>HYPERLINK("http://dx.doi.org/10.1016/j.aop.2010.06.005","http://dx.doi.org/10.1016/j.aop.2010.06.005")</f>
        <v>http://dx.doi.org/10.1016/j.aop.2010.06.005</v>
      </c>
      <c r="BG918" s="1" t="s">
        <v>74</v>
      </c>
      <c r="BH918" s="1" t="s">
        <v>74</v>
      </c>
      <c r="BI918" s="1" t="s">
        <v>74</v>
      </c>
      <c r="BJ918" s="1" t="s">
        <v>74</v>
      </c>
      <c r="BK918" s="1" t="s">
        <v>74</v>
      </c>
      <c r="BL918" s="1" t="s">
        <v>74</v>
      </c>
      <c r="BM918" s="1" t="s">
        <v>74</v>
      </c>
      <c r="BN918" s="1" t="s">
        <v>74</v>
      </c>
      <c r="BO918" s="1" t="s">
        <v>74</v>
      </c>
      <c r="BP918" s="1" t="s">
        <v>74</v>
      </c>
      <c r="BQ918" s="1" t="s">
        <v>74</v>
      </c>
      <c r="BR918" s="1" t="s">
        <v>74</v>
      </c>
      <c r="BS918" s="1" t="s">
        <v>9104</v>
      </c>
      <c r="BT918" s="1" t="str">
        <f>HYPERLINK("https%3A%2F%2Fwww.webofscience.com%2Fwos%2Fwoscc%2Ffull-record%2FWOS:000284659400003","View Full Record in Web of Science")</f>
        <v>View Full Record in Web of Science</v>
      </c>
    </row>
    <row r="919" ht="12.75" customHeight="1">
      <c r="A919" s="1" t="s">
        <v>260</v>
      </c>
      <c r="B919" s="1" t="s">
        <v>9105</v>
      </c>
      <c r="C919" s="1" t="s">
        <v>74</v>
      </c>
      <c r="D919" s="1" t="s">
        <v>9106</v>
      </c>
      <c r="E919" s="1" t="s">
        <v>74</v>
      </c>
      <c r="F919" s="1" t="s">
        <v>9105</v>
      </c>
      <c r="G919" s="1" t="s">
        <v>74</v>
      </c>
      <c r="H919" s="1" t="s">
        <v>74</v>
      </c>
      <c r="I919" s="1" t="s">
        <v>9107</v>
      </c>
      <c r="J919" s="1" t="s">
        <v>9108</v>
      </c>
      <c r="K919" s="1" t="s">
        <v>973</v>
      </c>
      <c r="L919" s="1" t="s">
        <v>74</v>
      </c>
      <c r="M919" s="1" t="s">
        <v>74</v>
      </c>
      <c r="N919" s="1" t="s">
        <v>74</v>
      </c>
      <c r="O919" s="1" t="s">
        <v>9109</v>
      </c>
      <c r="P919" s="1" t="s">
        <v>9110</v>
      </c>
      <c r="Q919" s="1" t="s">
        <v>9111</v>
      </c>
      <c r="R919" s="1" t="s">
        <v>9112</v>
      </c>
      <c r="S919" s="1" t="s">
        <v>74</v>
      </c>
      <c r="T919" s="1" t="s">
        <v>74</v>
      </c>
      <c r="U919" s="1" t="s">
        <v>74</v>
      </c>
      <c r="V919" s="1" t="s">
        <v>9113</v>
      </c>
      <c r="W919" s="1" t="s">
        <v>74</v>
      </c>
      <c r="X919" s="1" t="s">
        <v>74</v>
      </c>
      <c r="Y919" s="1" t="s">
        <v>74</v>
      </c>
      <c r="Z919" s="1" t="s">
        <v>74</v>
      </c>
      <c r="AA919" s="1" t="s">
        <v>6437</v>
      </c>
      <c r="AB919" s="1" t="s">
        <v>740</v>
      </c>
      <c r="AC919" s="1" t="s">
        <v>74</v>
      </c>
      <c r="AD919" s="1" t="s">
        <v>74</v>
      </c>
      <c r="AE919" s="1" t="s">
        <v>74</v>
      </c>
      <c r="AF919" s="1" t="s">
        <v>74</v>
      </c>
      <c r="AG919" s="1" t="s">
        <v>74</v>
      </c>
      <c r="AH919" s="1" t="s">
        <v>74</v>
      </c>
      <c r="AI919" s="1" t="s">
        <v>74</v>
      </c>
      <c r="AJ919" s="1" t="s">
        <v>74</v>
      </c>
      <c r="AK919" s="1" t="s">
        <v>74</v>
      </c>
      <c r="AL919" s="1" t="s">
        <v>74</v>
      </c>
      <c r="AM919" s="1" t="s">
        <v>74</v>
      </c>
      <c r="AN919" s="1" t="s">
        <v>74</v>
      </c>
      <c r="AO919" s="1" t="s">
        <v>977</v>
      </c>
      <c r="AP919" s="1" t="s">
        <v>74</v>
      </c>
      <c r="AQ919" s="1" t="s">
        <v>74</v>
      </c>
      <c r="AR919" s="1" t="s">
        <v>74</v>
      </c>
      <c r="AS919" s="1" t="s">
        <v>74</v>
      </c>
      <c r="AT919" s="1" t="s">
        <v>74</v>
      </c>
      <c r="AU919" s="1">
        <v>2003.0</v>
      </c>
      <c r="AV919" s="1">
        <v>31.0</v>
      </c>
      <c r="AW919" s="1">
        <v>5.0</v>
      </c>
      <c r="AX919" s="1" t="s">
        <v>74</v>
      </c>
      <c r="AY919" s="1" t="s">
        <v>74</v>
      </c>
      <c r="AZ919" s="1" t="s">
        <v>74</v>
      </c>
      <c r="BA919" s="1" t="s">
        <v>74</v>
      </c>
      <c r="BB919" s="1">
        <v>1419.0</v>
      </c>
      <c r="BC919" s="1">
        <v>1424.0</v>
      </c>
      <c r="BD919" s="1" t="s">
        <v>74</v>
      </c>
      <c r="BE919" s="1" t="s">
        <v>9114</v>
      </c>
      <c r="BF919" s="2" t="str">
        <f>HYPERLINK("http://dx.doi.org/10.1016/S0273-1177(03)00019-X","http://dx.doi.org/10.1016/S0273-1177(03)00019-X")</f>
        <v>http://dx.doi.org/10.1016/S0273-1177(03)00019-X</v>
      </c>
      <c r="BG919" s="1" t="s">
        <v>74</v>
      </c>
      <c r="BH919" s="1" t="s">
        <v>74</v>
      </c>
      <c r="BI919" s="1" t="s">
        <v>74</v>
      </c>
      <c r="BJ919" s="1" t="s">
        <v>74</v>
      </c>
      <c r="BK919" s="1" t="s">
        <v>74</v>
      </c>
      <c r="BL919" s="1" t="s">
        <v>74</v>
      </c>
      <c r="BM919" s="1" t="s">
        <v>74</v>
      </c>
      <c r="BN919" s="1" t="s">
        <v>74</v>
      </c>
      <c r="BO919" s="1" t="s">
        <v>74</v>
      </c>
      <c r="BP919" s="1" t="s">
        <v>74</v>
      </c>
      <c r="BQ919" s="1" t="s">
        <v>74</v>
      </c>
      <c r="BR919" s="1" t="s">
        <v>74</v>
      </c>
      <c r="BS919" s="1" t="s">
        <v>9115</v>
      </c>
      <c r="BT919" s="1" t="str">
        <f>HYPERLINK("https%3A%2F%2Fwww.webofscience.com%2Fwos%2Fwoscc%2Ffull-record%2FWOS:000184540900040","View Full Record in Web of Science")</f>
        <v>View Full Record in Web of Science</v>
      </c>
    </row>
    <row r="920" ht="12.75" customHeight="1">
      <c r="A920" s="1" t="s">
        <v>72</v>
      </c>
      <c r="B920" s="1" t="s">
        <v>9116</v>
      </c>
      <c r="C920" s="1" t="s">
        <v>74</v>
      </c>
      <c r="D920" s="1" t="s">
        <v>74</v>
      </c>
      <c r="E920" s="1" t="s">
        <v>74</v>
      </c>
      <c r="F920" s="1" t="s">
        <v>9116</v>
      </c>
      <c r="G920" s="1" t="s">
        <v>74</v>
      </c>
      <c r="H920" s="1" t="s">
        <v>74</v>
      </c>
      <c r="I920" s="1" t="s">
        <v>9117</v>
      </c>
      <c r="J920" s="1" t="s">
        <v>786</v>
      </c>
      <c r="K920" s="1" t="s">
        <v>74</v>
      </c>
      <c r="L920" s="1" t="s">
        <v>74</v>
      </c>
      <c r="M920" s="1" t="s">
        <v>74</v>
      </c>
      <c r="N920" s="1" t="s">
        <v>74</v>
      </c>
      <c r="O920" s="1" t="s">
        <v>74</v>
      </c>
      <c r="P920" s="1" t="s">
        <v>74</v>
      </c>
      <c r="Q920" s="1" t="s">
        <v>74</v>
      </c>
      <c r="R920" s="1" t="s">
        <v>74</v>
      </c>
      <c r="S920" s="1" t="s">
        <v>74</v>
      </c>
      <c r="T920" s="1" t="s">
        <v>74</v>
      </c>
      <c r="U920" s="1" t="s">
        <v>74</v>
      </c>
      <c r="V920" s="1" t="s">
        <v>9118</v>
      </c>
      <c r="W920" s="1" t="s">
        <v>74</v>
      </c>
      <c r="X920" s="1" t="s">
        <v>74</v>
      </c>
      <c r="Y920" s="1" t="s">
        <v>74</v>
      </c>
      <c r="Z920" s="1" t="s">
        <v>74</v>
      </c>
      <c r="AA920" s="1" t="s">
        <v>74</v>
      </c>
      <c r="AB920" s="1" t="s">
        <v>74</v>
      </c>
      <c r="AC920" s="1" t="s">
        <v>74</v>
      </c>
      <c r="AD920" s="1" t="s">
        <v>74</v>
      </c>
      <c r="AE920" s="1" t="s">
        <v>74</v>
      </c>
      <c r="AF920" s="1" t="s">
        <v>74</v>
      </c>
      <c r="AG920" s="1" t="s">
        <v>74</v>
      </c>
      <c r="AH920" s="1" t="s">
        <v>74</v>
      </c>
      <c r="AI920" s="1" t="s">
        <v>74</v>
      </c>
      <c r="AJ920" s="1" t="s">
        <v>74</v>
      </c>
      <c r="AK920" s="1" t="s">
        <v>74</v>
      </c>
      <c r="AL920" s="1" t="s">
        <v>74</v>
      </c>
      <c r="AM920" s="1" t="s">
        <v>74</v>
      </c>
      <c r="AN920" s="1" t="s">
        <v>74</v>
      </c>
      <c r="AO920" s="1" t="s">
        <v>790</v>
      </c>
      <c r="AP920" s="1" t="s">
        <v>74</v>
      </c>
      <c r="AQ920" s="1" t="s">
        <v>74</v>
      </c>
      <c r="AR920" s="1" t="s">
        <v>74</v>
      </c>
      <c r="AS920" s="1" t="s">
        <v>74</v>
      </c>
      <c r="AT920" s="1" t="s">
        <v>5058</v>
      </c>
      <c r="AU920" s="1">
        <v>2000.0</v>
      </c>
      <c r="AV920" s="1">
        <v>19.0</v>
      </c>
      <c r="AW920" s="1">
        <v>4.0</v>
      </c>
      <c r="AX920" s="1" t="s">
        <v>74</v>
      </c>
      <c r="AY920" s="1" t="s">
        <v>74</v>
      </c>
      <c r="AZ920" s="1" t="s">
        <v>74</v>
      </c>
      <c r="BA920" s="1" t="s">
        <v>74</v>
      </c>
      <c r="BB920" s="1">
        <v>487.0</v>
      </c>
      <c r="BC920" s="1">
        <v>493.0</v>
      </c>
      <c r="BD920" s="1" t="s">
        <v>74</v>
      </c>
      <c r="BE920" s="1" t="s">
        <v>9119</v>
      </c>
      <c r="BF920" s="2" t="str">
        <f>HYPERLINK("http://dx.doi.org/10.1016/S0277-5387(99)00392-7","http://dx.doi.org/10.1016/S0277-5387(99)00392-7")</f>
        <v>http://dx.doi.org/10.1016/S0277-5387(99)00392-7</v>
      </c>
      <c r="BG920" s="1" t="s">
        <v>74</v>
      </c>
      <c r="BH920" s="1" t="s">
        <v>74</v>
      </c>
      <c r="BI920" s="1" t="s">
        <v>74</v>
      </c>
      <c r="BJ920" s="1" t="s">
        <v>74</v>
      </c>
      <c r="BK920" s="1" t="s">
        <v>74</v>
      </c>
      <c r="BL920" s="1" t="s">
        <v>74</v>
      </c>
      <c r="BM920" s="1" t="s">
        <v>74</v>
      </c>
      <c r="BN920" s="1" t="s">
        <v>74</v>
      </c>
      <c r="BO920" s="1" t="s">
        <v>74</v>
      </c>
      <c r="BP920" s="1" t="s">
        <v>74</v>
      </c>
      <c r="BQ920" s="1" t="s">
        <v>74</v>
      </c>
      <c r="BR920" s="1" t="s">
        <v>74</v>
      </c>
      <c r="BS920" s="1" t="s">
        <v>9120</v>
      </c>
      <c r="BT920" s="1" t="str">
        <f>HYPERLINK("https%3A%2F%2Fwww.webofscience.com%2Fwos%2Fwoscc%2Ffull-record%2FWOS:000086522600018","View Full Record in Web of Science")</f>
        <v>View Full Record in Web of Science</v>
      </c>
    </row>
    <row r="921" ht="12.75" customHeight="1">
      <c r="A921" s="1" t="s">
        <v>72</v>
      </c>
      <c r="B921" s="1" t="s">
        <v>9121</v>
      </c>
      <c r="C921" s="1" t="s">
        <v>74</v>
      </c>
      <c r="D921" s="1" t="s">
        <v>74</v>
      </c>
      <c r="E921" s="1" t="s">
        <v>74</v>
      </c>
      <c r="F921" s="1" t="s">
        <v>9122</v>
      </c>
      <c r="G921" s="1" t="s">
        <v>74</v>
      </c>
      <c r="H921" s="1" t="s">
        <v>74</v>
      </c>
      <c r="I921" s="1" t="s">
        <v>9123</v>
      </c>
      <c r="J921" s="1" t="s">
        <v>9124</v>
      </c>
      <c r="K921" s="1" t="s">
        <v>74</v>
      </c>
      <c r="L921" s="1" t="s">
        <v>74</v>
      </c>
      <c r="M921" s="1" t="s">
        <v>74</v>
      </c>
      <c r="N921" s="1" t="s">
        <v>74</v>
      </c>
      <c r="O921" s="1" t="s">
        <v>74</v>
      </c>
      <c r="P921" s="1" t="s">
        <v>74</v>
      </c>
      <c r="Q921" s="1" t="s">
        <v>74</v>
      </c>
      <c r="R921" s="1" t="s">
        <v>74</v>
      </c>
      <c r="S921" s="1" t="s">
        <v>74</v>
      </c>
      <c r="T921" s="1" t="s">
        <v>74</v>
      </c>
      <c r="U921" s="1" t="s">
        <v>74</v>
      </c>
      <c r="V921" s="1" t="s">
        <v>9125</v>
      </c>
      <c r="W921" s="1" t="s">
        <v>74</v>
      </c>
      <c r="X921" s="1" t="s">
        <v>74</v>
      </c>
      <c r="Y921" s="1" t="s">
        <v>74</v>
      </c>
      <c r="Z921" s="1" t="s">
        <v>74</v>
      </c>
      <c r="AA921" s="1" t="s">
        <v>9126</v>
      </c>
      <c r="AB921" s="1" t="s">
        <v>74</v>
      </c>
      <c r="AC921" s="1" t="s">
        <v>74</v>
      </c>
      <c r="AD921" s="1" t="s">
        <v>74</v>
      </c>
      <c r="AE921" s="1" t="s">
        <v>74</v>
      </c>
      <c r="AF921" s="1" t="s">
        <v>74</v>
      </c>
      <c r="AG921" s="1" t="s">
        <v>74</v>
      </c>
      <c r="AH921" s="1" t="s">
        <v>74</v>
      </c>
      <c r="AI921" s="1" t="s">
        <v>74</v>
      </c>
      <c r="AJ921" s="1" t="s">
        <v>74</v>
      </c>
      <c r="AK921" s="1" t="s">
        <v>74</v>
      </c>
      <c r="AL921" s="1" t="s">
        <v>74</v>
      </c>
      <c r="AM921" s="1" t="s">
        <v>74</v>
      </c>
      <c r="AN921" s="1" t="s">
        <v>74</v>
      </c>
      <c r="AO921" s="1" t="s">
        <v>74</v>
      </c>
      <c r="AP921" s="1" t="s">
        <v>9127</v>
      </c>
      <c r="AQ921" s="1" t="s">
        <v>74</v>
      </c>
      <c r="AR921" s="1" t="s">
        <v>74</v>
      </c>
      <c r="AS921" s="1" t="s">
        <v>74</v>
      </c>
      <c r="AT921" s="1" t="s">
        <v>5851</v>
      </c>
      <c r="AU921" s="1">
        <v>2024.0</v>
      </c>
      <c r="AV921" s="1">
        <v>13.0</v>
      </c>
      <c r="AW921" s="1">
        <v>1.0</v>
      </c>
      <c r="AX921" s="1" t="s">
        <v>74</v>
      </c>
      <c r="AY921" s="1" t="s">
        <v>74</v>
      </c>
      <c r="AZ921" s="1" t="s">
        <v>74</v>
      </c>
      <c r="BA921" s="1" t="s">
        <v>74</v>
      </c>
      <c r="BB921" s="1" t="s">
        <v>74</v>
      </c>
      <c r="BC921" s="1" t="s">
        <v>74</v>
      </c>
      <c r="BD921" s="1">
        <v>73.0</v>
      </c>
      <c r="BE921" s="1" t="s">
        <v>9128</v>
      </c>
      <c r="BF921" s="2" t="str">
        <f>HYPERLINK("http://dx.doi.org/10.1140/epjds/s13688-024-00511-z","http://dx.doi.org/10.1140/epjds/s13688-024-00511-z")</f>
        <v>http://dx.doi.org/10.1140/epjds/s13688-024-00511-z</v>
      </c>
      <c r="BG921" s="1" t="s">
        <v>74</v>
      </c>
      <c r="BH921" s="1" t="s">
        <v>74</v>
      </c>
      <c r="BI921" s="1" t="s">
        <v>74</v>
      </c>
      <c r="BJ921" s="1" t="s">
        <v>74</v>
      </c>
      <c r="BK921" s="1" t="s">
        <v>74</v>
      </c>
      <c r="BL921" s="1" t="s">
        <v>74</v>
      </c>
      <c r="BM921" s="1" t="s">
        <v>74</v>
      </c>
      <c r="BN921" s="1" t="s">
        <v>74</v>
      </c>
      <c r="BO921" s="1" t="s">
        <v>74</v>
      </c>
      <c r="BP921" s="1" t="s">
        <v>74</v>
      </c>
      <c r="BQ921" s="1" t="s">
        <v>74</v>
      </c>
      <c r="BR921" s="1" t="s">
        <v>74</v>
      </c>
      <c r="BS921" s="1" t="s">
        <v>9129</v>
      </c>
      <c r="BT921" s="1" t="str">
        <f>HYPERLINK("https%3A%2F%2Fwww.webofscience.com%2Fwos%2Fwoscc%2Ffull-record%2FWOS:001364991600001","View Full Record in Web of Science")</f>
        <v>View Full Record in Web of Science</v>
      </c>
    </row>
    <row r="922" ht="12.75" customHeight="1">
      <c r="A922" s="1" t="s">
        <v>72</v>
      </c>
      <c r="B922" s="1" t="s">
        <v>9130</v>
      </c>
      <c r="C922" s="1" t="s">
        <v>74</v>
      </c>
      <c r="D922" s="1" t="s">
        <v>74</v>
      </c>
      <c r="E922" s="1" t="s">
        <v>74</v>
      </c>
      <c r="F922" s="1" t="s">
        <v>9131</v>
      </c>
      <c r="G922" s="1" t="s">
        <v>74</v>
      </c>
      <c r="H922" s="1" t="s">
        <v>74</v>
      </c>
      <c r="I922" s="1" t="s">
        <v>9132</v>
      </c>
      <c r="J922" s="1" t="s">
        <v>1072</v>
      </c>
      <c r="K922" s="1" t="s">
        <v>74</v>
      </c>
      <c r="L922" s="1" t="s">
        <v>74</v>
      </c>
      <c r="M922" s="1" t="s">
        <v>74</v>
      </c>
      <c r="N922" s="1" t="s">
        <v>74</v>
      </c>
      <c r="O922" s="1" t="s">
        <v>74</v>
      </c>
      <c r="P922" s="1" t="s">
        <v>74</v>
      </c>
      <c r="Q922" s="1" t="s">
        <v>74</v>
      </c>
      <c r="R922" s="1" t="s">
        <v>74</v>
      </c>
      <c r="S922" s="1" t="s">
        <v>74</v>
      </c>
      <c r="T922" s="1" t="s">
        <v>74</v>
      </c>
      <c r="U922" s="1" t="s">
        <v>74</v>
      </c>
      <c r="V922" s="1" t="s">
        <v>9133</v>
      </c>
      <c r="W922" s="1" t="s">
        <v>74</v>
      </c>
      <c r="X922" s="1" t="s">
        <v>74</v>
      </c>
      <c r="Y922" s="1" t="s">
        <v>74</v>
      </c>
      <c r="Z922" s="1" t="s">
        <v>74</v>
      </c>
      <c r="AA922" s="1" t="s">
        <v>9134</v>
      </c>
      <c r="AB922" s="1" t="s">
        <v>9135</v>
      </c>
      <c r="AC922" s="1" t="s">
        <v>74</v>
      </c>
      <c r="AD922" s="1" t="s">
        <v>74</v>
      </c>
      <c r="AE922" s="1" t="s">
        <v>74</v>
      </c>
      <c r="AF922" s="1" t="s">
        <v>74</v>
      </c>
      <c r="AG922" s="1" t="s">
        <v>74</v>
      </c>
      <c r="AH922" s="1" t="s">
        <v>74</v>
      </c>
      <c r="AI922" s="1" t="s">
        <v>74</v>
      </c>
      <c r="AJ922" s="1" t="s">
        <v>74</v>
      </c>
      <c r="AK922" s="1" t="s">
        <v>74</v>
      </c>
      <c r="AL922" s="1" t="s">
        <v>74</v>
      </c>
      <c r="AM922" s="1" t="s">
        <v>74</v>
      </c>
      <c r="AN922" s="1" t="s">
        <v>74</v>
      </c>
      <c r="AO922" s="1" t="s">
        <v>1075</v>
      </c>
      <c r="AP922" s="1" t="s">
        <v>1076</v>
      </c>
      <c r="AQ922" s="1" t="s">
        <v>74</v>
      </c>
      <c r="AR922" s="1" t="s">
        <v>74</v>
      </c>
      <c r="AS922" s="1" t="s">
        <v>74</v>
      </c>
      <c r="AT922" s="1" t="s">
        <v>74</v>
      </c>
      <c r="AU922" s="1">
        <v>2024.0</v>
      </c>
      <c r="AV922" s="1" t="s">
        <v>74</v>
      </c>
      <c r="AW922" s="1">
        <v>57.0</v>
      </c>
      <c r="AX922" s="1" t="s">
        <v>74</v>
      </c>
      <c r="AY922" s="1" t="s">
        <v>74</v>
      </c>
      <c r="AZ922" s="1" t="s">
        <v>74</v>
      </c>
      <c r="BA922" s="1" t="s">
        <v>74</v>
      </c>
      <c r="BB922" s="1">
        <v>165.0</v>
      </c>
      <c r="BC922" s="1">
        <v>171.0</v>
      </c>
      <c r="BD922" s="1" t="s">
        <v>74</v>
      </c>
      <c r="BE922" s="1" t="s">
        <v>74</v>
      </c>
      <c r="BF922" s="1" t="s">
        <v>74</v>
      </c>
      <c r="BG922" s="1" t="s">
        <v>74</v>
      </c>
      <c r="BH922" s="1" t="s">
        <v>74</v>
      </c>
      <c r="BI922" s="1" t="s">
        <v>74</v>
      </c>
      <c r="BJ922" s="1" t="s">
        <v>74</v>
      </c>
      <c r="BK922" s="1" t="s">
        <v>74</v>
      </c>
      <c r="BL922" s="1" t="s">
        <v>74</v>
      </c>
      <c r="BM922" s="1" t="s">
        <v>74</v>
      </c>
      <c r="BN922" s="1" t="s">
        <v>74</v>
      </c>
      <c r="BO922" s="1" t="s">
        <v>74</v>
      </c>
      <c r="BP922" s="1" t="s">
        <v>74</v>
      </c>
      <c r="BQ922" s="1" t="s">
        <v>74</v>
      </c>
      <c r="BR922" s="1" t="s">
        <v>74</v>
      </c>
      <c r="BS922" s="1" t="s">
        <v>9136</v>
      </c>
      <c r="BT922" s="1" t="str">
        <f>HYPERLINK("https%3A%2F%2Fwww.webofscience.com%2Fwos%2Fwoscc%2Ffull-record%2FWOS:001243716700001","View Full Record in Web of Science")</f>
        <v>View Full Record in Web of Science</v>
      </c>
    </row>
    <row r="923" ht="12.75" customHeight="1">
      <c r="A923" s="1" t="s">
        <v>72</v>
      </c>
      <c r="B923" s="1" t="s">
        <v>9137</v>
      </c>
      <c r="C923" s="1" t="s">
        <v>74</v>
      </c>
      <c r="D923" s="1" t="s">
        <v>74</v>
      </c>
      <c r="E923" s="1" t="s">
        <v>74</v>
      </c>
      <c r="F923" s="1" t="s">
        <v>9138</v>
      </c>
      <c r="G923" s="1" t="s">
        <v>74</v>
      </c>
      <c r="H923" s="1" t="s">
        <v>74</v>
      </c>
      <c r="I923" s="1" t="s">
        <v>9139</v>
      </c>
      <c r="J923" s="1" t="s">
        <v>9140</v>
      </c>
      <c r="K923" s="1" t="s">
        <v>74</v>
      </c>
      <c r="L923" s="1" t="s">
        <v>74</v>
      </c>
      <c r="M923" s="1" t="s">
        <v>74</v>
      </c>
      <c r="N923" s="1" t="s">
        <v>74</v>
      </c>
      <c r="O923" s="1" t="s">
        <v>74</v>
      </c>
      <c r="P923" s="1" t="s">
        <v>74</v>
      </c>
      <c r="Q923" s="1" t="s">
        <v>74</v>
      </c>
      <c r="R923" s="1" t="s">
        <v>74</v>
      </c>
      <c r="S923" s="1" t="s">
        <v>74</v>
      </c>
      <c r="T923" s="1" t="s">
        <v>74</v>
      </c>
      <c r="U923" s="1" t="s">
        <v>74</v>
      </c>
      <c r="V923" s="1" t="s">
        <v>9141</v>
      </c>
      <c r="W923" s="1" t="s">
        <v>74</v>
      </c>
      <c r="X923" s="1" t="s">
        <v>74</v>
      </c>
      <c r="Y923" s="1" t="s">
        <v>74</v>
      </c>
      <c r="Z923" s="1" t="s">
        <v>74</v>
      </c>
      <c r="AA923" s="1" t="s">
        <v>9142</v>
      </c>
      <c r="AB923" s="1" t="s">
        <v>9143</v>
      </c>
      <c r="AC923" s="1" t="s">
        <v>74</v>
      </c>
      <c r="AD923" s="1" t="s">
        <v>74</v>
      </c>
      <c r="AE923" s="1" t="s">
        <v>74</v>
      </c>
      <c r="AF923" s="1" t="s">
        <v>74</v>
      </c>
      <c r="AG923" s="1" t="s">
        <v>74</v>
      </c>
      <c r="AH923" s="1" t="s">
        <v>74</v>
      </c>
      <c r="AI923" s="1" t="s">
        <v>74</v>
      </c>
      <c r="AJ923" s="1" t="s">
        <v>74</v>
      </c>
      <c r="AK923" s="1" t="s">
        <v>74</v>
      </c>
      <c r="AL923" s="1" t="s">
        <v>74</v>
      </c>
      <c r="AM923" s="1" t="s">
        <v>74</v>
      </c>
      <c r="AN923" s="1" t="s">
        <v>74</v>
      </c>
      <c r="AO923" s="1" t="s">
        <v>74</v>
      </c>
      <c r="AP923" s="1" t="s">
        <v>9144</v>
      </c>
      <c r="AQ923" s="1" t="s">
        <v>74</v>
      </c>
      <c r="AR923" s="1" t="s">
        <v>74</v>
      </c>
      <c r="AS923" s="1" t="s">
        <v>74</v>
      </c>
      <c r="AT923" s="1" t="s">
        <v>316</v>
      </c>
      <c r="AU923" s="1">
        <v>2023.0</v>
      </c>
      <c r="AV923" s="1">
        <v>153.0</v>
      </c>
      <c r="AW923" s="1" t="s">
        <v>74</v>
      </c>
      <c r="AX923" s="1" t="s">
        <v>74</v>
      </c>
      <c r="AY923" s="1" t="s">
        <v>74</v>
      </c>
      <c r="AZ923" s="1" t="s">
        <v>74</v>
      </c>
      <c r="BA923" s="1" t="s">
        <v>74</v>
      </c>
      <c r="BB923" s="1" t="s">
        <v>74</v>
      </c>
      <c r="BC923" s="1" t="s">
        <v>74</v>
      </c>
      <c r="BD923" s="1">
        <v>213578.0</v>
      </c>
      <c r="BE923" s="1" t="s">
        <v>9145</v>
      </c>
      <c r="BF923" s="2" t="str">
        <f>HYPERLINK("http://dx.doi.org/10.1016/j.bioadv.2023.213578","http://dx.doi.org/10.1016/j.bioadv.2023.213578")</f>
        <v>http://dx.doi.org/10.1016/j.bioadv.2023.213578</v>
      </c>
      <c r="BG923" s="1" t="s">
        <v>74</v>
      </c>
      <c r="BH923" s="1" t="s">
        <v>9146</v>
      </c>
      <c r="BI923" s="1" t="s">
        <v>74</v>
      </c>
      <c r="BJ923" s="1" t="s">
        <v>74</v>
      </c>
      <c r="BK923" s="1" t="s">
        <v>74</v>
      </c>
      <c r="BL923" s="1" t="s">
        <v>74</v>
      </c>
      <c r="BM923" s="1" t="s">
        <v>74</v>
      </c>
      <c r="BN923" s="1">
        <v>3.7572597E7</v>
      </c>
      <c r="BO923" s="1" t="s">
        <v>74</v>
      </c>
      <c r="BP923" s="1" t="s">
        <v>74</v>
      </c>
      <c r="BQ923" s="1" t="s">
        <v>74</v>
      </c>
      <c r="BR923" s="1" t="s">
        <v>74</v>
      </c>
      <c r="BS923" s="1" t="s">
        <v>9147</v>
      </c>
      <c r="BT923" s="1" t="str">
        <f>HYPERLINK("https%3A%2F%2Fwww.webofscience.com%2Fwos%2Fwoscc%2Ffull-record%2FWOS:001061941700001","View Full Record in Web of Science")</f>
        <v>View Full Record in Web of Science</v>
      </c>
    </row>
    <row r="924" ht="12.75" customHeight="1">
      <c r="A924" s="1" t="s">
        <v>72</v>
      </c>
      <c r="B924" s="1" t="s">
        <v>9148</v>
      </c>
      <c r="C924" s="1" t="s">
        <v>74</v>
      </c>
      <c r="D924" s="1" t="s">
        <v>74</v>
      </c>
      <c r="E924" s="1" t="s">
        <v>74</v>
      </c>
      <c r="F924" s="1" t="s">
        <v>9149</v>
      </c>
      <c r="G924" s="1" t="s">
        <v>74</v>
      </c>
      <c r="H924" s="1" t="s">
        <v>74</v>
      </c>
      <c r="I924" s="1" t="s">
        <v>9150</v>
      </c>
      <c r="J924" s="1" t="s">
        <v>406</v>
      </c>
      <c r="K924" s="1" t="s">
        <v>74</v>
      </c>
      <c r="L924" s="1" t="s">
        <v>74</v>
      </c>
      <c r="M924" s="1" t="s">
        <v>74</v>
      </c>
      <c r="N924" s="1" t="s">
        <v>74</v>
      </c>
      <c r="O924" s="1" t="s">
        <v>74</v>
      </c>
      <c r="P924" s="1" t="s">
        <v>74</v>
      </c>
      <c r="Q924" s="1" t="s">
        <v>74</v>
      </c>
      <c r="R924" s="1" t="s">
        <v>74</v>
      </c>
      <c r="S924" s="1" t="s">
        <v>74</v>
      </c>
      <c r="T924" s="1" t="s">
        <v>74</v>
      </c>
      <c r="U924" s="1" t="s">
        <v>74</v>
      </c>
      <c r="V924" s="1" t="s">
        <v>9151</v>
      </c>
      <c r="W924" s="1" t="s">
        <v>74</v>
      </c>
      <c r="X924" s="1" t="s">
        <v>74</v>
      </c>
      <c r="Y924" s="1" t="s">
        <v>74</v>
      </c>
      <c r="Z924" s="1" t="s">
        <v>74</v>
      </c>
      <c r="AA924" s="1" t="s">
        <v>9152</v>
      </c>
      <c r="AB924" s="1" t="s">
        <v>9153</v>
      </c>
      <c r="AC924" s="1" t="s">
        <v>74</v>
      </c>
      <c r="AD924" s="1" t="s">
        <v>74</v>
      </c>
      <c r="AE924" s="1" t="s">
        <v>74</v>
      </c>
      <c r="AF924" s="1" t="s">
        <v>74</v>
      </c>
      <c r="AG924" s="1" t="s">
        <v>74</v>
      </c>
      <c r="AH924" s="1" t="s">
        <v>74</v>
      </c>
      <c r="AI924" s="1" t="s">
        <v>74</v>
      </c>
      <c r="AJ924" s="1" t="s">
        <v>74</v>
      </c>
      <c r="AK924" s="1" t="s">
        <v>74</v>
      </c>
      <c r="AL924" s="1" t="s">
        <v>74</v>
      </c>
      <c r="AM924" s="1" t="s">
        <v>74</v>
      </c>
      <c r="AN924" s="1" t="s">
        <v>74</v>
      </c>
      <c r="AO924" s="1" t="s">
        <v>74</v>
      </c>
      <c r="AP924" s="1" t="s">
        <v>410</v>
      </c>
      <c r="AQ924" s="1" t="s">
        <v>74</v>
      </c>
      <c r="AR924" s="1" t="s">
        <v>74</v>
      </c>
      <c r="AS924" s="1" t="s">
        <v>74</v>
      </c>
      <c r="AT924" s="1" t="s">
        <v>96</v>
      </c>
      <c r="AU924" s="1">
        <v>2023.0</v>
      </c>
      <c r="AV924" s="1">
        <v>9.0</v>
      </c>
      <c r="AW924" s="1">
        <v>3.0</v>
      </c>
      <c r="AX924" s="1" t="s">
        <v>74</v>
      </c>
      <c r="AY924" s="1" t="s">
        <v>74</v>
      </c>
      <c r="AZ924" s="1" t="s">
        <v>74</v>
      </c>
      <c r="BA924" s="1" t="s">
        <v>74</v>
      </c>
      <c r="BB924" s="1" t="s">
        <v>74</v>
      </c>
      <c r="BC924" s="1" t="s">
        <v>74</v>
      </c>
      <c r="BD924" s="1" t="s">
        <v>9154</v>
      </c>
      <c r="BE924" s="1" t="s">
        <v>9155</v>
      </c>
      <c r="BF924" s="2" t="str">
        <f>HYPERLINK("http://dx.doi.org/10.1016/j.heliyon.2023.e14693","http://dx.doi.org/10.1016/j.heliyon.2023.e14693")</f>
        <v>http://dx.doi.org/10.1016/j.heliyon.2023.e14693</v>
      </c>
      <c r="BG924" s="1" t="s">
        <v>74</v>
      </c>
      <c r="BH924" s="1" t="s">
        <v>1749</v>
      </c>
      <c r="BI924" s="1" t="s">
        <v>74</v>
      </c>
      <c r="BJ924" s="1" t="s">
        <v>74</v>
      </c>
      <c r="BK924" s="1" t="s">
        <v>74</v>
      </c>
      <c r="BL924" s="1" t="s">
        <v>74</v>
      </c>
      <c r="BM924" s="1" t="s">
        <v>74</v>
      </c>
      <c r="BN924" s="1">
        <v>3.710148E7</v>
      </c>
      <c r="BO924" s="1" t="s">
        <v>74</v>
      </c>
      <c r="BP924" s="1" t="s">
        <v>74</v>
      </c>
      <c r="BQ924" s="1" t="s">
        <v>74</v>
      </c>
      <c r="BR924" s="1" t="s">
        <v>74</v>
      </c>
      <c r="BS924" s="1" t="s">
        <v>9156</v>
      </c>
      <c r="BT924" s="1" t="str">
        <f>HYPERLINK("https%3A%2F%2Fwww.webofscience.com%2Fwos%2Fwoscc%2Ffull-record%2FWOS:000968143300001","View Full Record in Web of Science")</f>
        <v>View Full Record in Web of Science</v>
      </c>
    </row>
    <row r="925" ht="12.75" customHeight="1">
      <c r="A925" s="1" t="s">
        <v>72</v>
      </c>
      <c r="B925" s="1" t="s">
        <v>9157</v>
      </c>
      <c r="C925" s="1" t="s">
        <v>74</v>
      </c>
      <c r="D925" s="1" t="s">
        <v>74</v>
      </c>
      <c r="E925" s="1" t="s">
        <v>74</v>
      </c>
      <c r="F925" s="1" t="s">
        <v>9158</v>
      </c>
      <c r="G925" s="1" t="s">
        <v>74</v>
      </c>
      <c r="H925" s="1" t="s">
        <v>74</v>
      </c>
      <c r="I925" s="1" t="s">
        <v>9159</v>
      </c>
      <c r="J925" s="1" t="s">
        <v>9160</v>
      </c>
      <c r="K925" s="1" t="s">
        <v>74</v>
      </c>
      <c r="L925" s="1" t="s">
        <v>74</v>
      </c>
      <c r="M925" s="1" t="s">
        <v>74</v>
      </c>
      <c r="N925" s="1" t="s">
        <v>74</v>
      </c>
      <c r="O925" s="1" t="s">
        <v>74</v>
      </c>
      <c r="P925" s="1" t="s">
        <v>74</v>
      </c>
      <c r="Q925" s="1" t="s">
        <v>74</v>
      </c>
      <c r="R925" s="1" t="s">
        <v>74</v>
      </c>
      <c r="S925" s="1" t="s">
        <v>74</v>
      </c>
      <c r="T925" s="1" t="s">
        <v>74</v>
      </c>
      <c r="U925" s="1" t="s">
        <v>74</v>
      </c>
      <c r="V925" s="1" t="s">
        <v>9161</v>
      </c>
      <c r="W925" s="1" t="s">
        <v>74</v>
      </c>
      <c r="X925" s="1" t="s">
        <v>74</v>
      </c>
      <c r="Y925" s="1" t="s">
        <v>74</v>
      </c>
      <c r="Z925" s="1" t="s">
        <v>74</v>
      </c>
      <c r="AA925" s="1" t="s">
        <v>74</v>
      </c>
      <c r="AB925" s="1" t="s">
        <v>74</v>
      </c>
      <c r="AC925" s="1" t="s">
        <v>74</v>
      </c>
      <c r="AD925" s="1" t="s">
        <v>74</v>
      </c>
      <c r="AE925" s="1" t="s">
        <v>74</v>
      </c>
      <c r="AF925" s="1" t="s">
        <v>74</v>
      </c>
      <c r="AG925" s="1" t="s">
        <v>74</v>
      </c>
      <c r="AH925" s="1" t="s">
        <v>74</v>
      </c>
      <c r="AI925" s="1" t="s">
        <v>74</v>
      </c>
      <c r="AJ925" s="1" t="s">
        <v>74</v>
      </c>
      <c r="AK925" s="1" t="s">
        <v>74</v>
      </c>
      <c r="AL925" s="1" t="s">
        <v>74</v>
      </c>
      <c r="AM925" s="1" t="s">
        <v>74</v>
      </c>
      <c r="AN925" s="1" t="s">
        <v>74</v>
      </c>
      <c r="AO925" s="1" t="s">
        <v>9162</v>
      </c>
      <c r="AP925" s="1" t="s">
        <v>9163</v>
      </c>
      <c r="AQ925" s="1" t="s">
        <v>74</v>
      </c>
      <c r="AR925" s="1" t="s">
        <v>74</v>
      </c>
      <c r="AS925" s="1" t="s">
        <v>74</v>
      </c>
      <c r="AT925" s="1" t="s">
        <v>464</v>
      </c>
      <c r="AU925" s="1">
        <v>2023.0</v>
      </c>
      <c r="AV925" s="1">
        <v>62.0</v>
      </c>
      <c r="AW925" s="1">
        <v>1.0</v>
      </c>
      <c r="AX925" s="1" t="s">
        <v>74</v>
      </c>
      <c r="AY925" s="1" t="s">
        <v>74</v>
      </c>
      <c r="AZ925" s="1" t="s">
        <v>74</v>
      </c>
      <c r="BA925" s="1" t="s">
        <v>74</v>
      </c>
      <c r="BB925" s="1" t="s">
        <v>74</v>
      </c>
      <c r="BC925" s="1" t="s">
        <v>74</v>
      </c>
      <c r="BD925" s="1">
        <v>8.0</v>
      </c>
      <c r="BE925" s="1" t="s">
        <v>9164</v>
      </c>
      <c r="BF925" s="2" t="str">
        <f>HYPERLINK("http://dx.doi.org/10.1007/s00526-022-02367-5","http://dx.doi.org/10.1007/s00526-022-02367-5")</f>
        <v>http://dx.doi.org/10.1007/s00526-022-02367-5</v>
      </c>
      <c r="BG925" s="1" t="s">
        <v>74</v>
      </c>
      <c r="BH925" s="1" t="s">
        <v>74</v>
      </c>
      <c r="BI925" s="1" t="s">
        <v>74</v>
      </c>
      <c r="BJ925" s="1" t="s">
        <v>74</v>
      </c>
      <c r="BK925" s="1" t="s">
        <v>74</v>
      </c>
      <c r="BL925" s="1" t="s">
        <v>74</v>
      </c>
      <c r="BM925" s="1" t="s">
        <v>74</v>
      </c>
      <c r="BN925" s="1" t="s">
        <v>74</v>
      </c>
      <c r="BO925" s="1" t="s">
        <v>74</v>
      </c>
      <c r="BP925" s="1" t="s">
        <v>74</v>
      </c>
      <c r="BQ925" s="1" t="s">
        <v>74</v>
      </c>
      <c r="BR925" s="1" t="s">
        <v>74</v>
      </c>
      <c r="BS925" s="1" t="s">
        <v>9165</v>
      </c>
      <c r="BT925" s="1" t="str">
        <f>HYPERLINK("https%3A%2F%2Fwww.webofscience.com%2Fwos%2Fwoscc%2Ffull-record%2FWOS:000879074900017","View Full Record in Web of Science")</f>
        <v>View Full Record in Web of Science</v>
      </c>
    </row>
    <row r="926" ht="12.75" customHeight="1">
      <c r="A926" s="1" t="s">
        <v>72</v>
      </c>
      <c r="B926" s="1" t="s">
        <v>9166</v>
      </c>
      <c r="C926" s="1" t="s">
        <v>74</v>
      </c>
      <c r="D926" s="1" t="s">
        <v>74</v>
      </c>
      <c r="E926" s="1" t="s">
        <v>74</v>
      </c>
      <c r="F926" s="1" t="s">
        <v>9167</v>
      </c>
      <c r="G926" s="1" t="s">
        <v>74</v>
      </c>
      <c r="H926" s="1" t="s">
        <v>74</v>
      </c>
      <c r="I926" s="1" t="s">
        <v>9168</v>
      </c>
      <c r="J926" s="1" t="s">
        <v>9169</v>
      </c>
      <c r="K926" s="1" t="s">
        <v>74</v>
      </c>
      <c r="L926" s="1" t="s">
        <v>74</v>
      </c>
      <c r="M926" s="1" t="s">
        <v>74</v>
      </c>
      <c r="N926" s="1" t="s">
        <v>74</v>
      </c>
      <c r="O926" s="1" t="s">
        <v>74</v>
      </c>
      <c r="P926" s="1" t="s">
        <v>74</v>
      </c>
      <c r="Q926" s="1" t="s">
        <v>74</v>
      </c>
      <c r="R926" s="1" t="s">
        <v>74</v>
      </c>
      <c r="S926" s="1" t="s">
        <v>74</v>
      </c>
      <c r="T926" s="1" t="s">
        <v>74</v>
      </c>
      <c r="U926" s="1" t="s">
        <v>74</v>
      </c>
      <c r="V926" s="1" t="s">
        <v>9170</v>
      </c>
      <c r="W926" s="1" t="s">
        <v>74</v>
      </c>
      <c r="X926" s="1" t="s">
        <v>74</v>
      </c>
      <c r="Y926" s="1" t="s">
        <v>74</v>
      </c>
      <c r="Z926" s="1" t="s">
        <v>74</v>
      </c>
      <c r="AA926" s="1" t="s">
        <v>9171</v>
      </c>
      <c r="AB926" s="1" t="s">
        <v>9172</v>
      </c>
      <c r="AC926" s="1" t="s">
        <v>74</v>
      </c>
      <c r="AD926" s="1" t="s">
        <v>74</v>
      </c>
      <c r="AE926" s="1" t="s">
        <v>74</v>
      </c>
      <c r="AF926" s="1" t="s">
        <v>74</v>
      </c>
      <c r="AG926" s="1" t="s">
        <v>74</v>
      </c>
      <c r="AH926" s="1" t="s">
        <v>74</v>
      </c>
      <c r="AI926" s="1" t="s">
        <v>74</v>
      </c>
      <c r="AJ926" s="1" t="s">
        <v>74</v>
      </c>
      <c r="AK926" s="1" t="s">
        <v>74</v>
      </c>
      <c r="AL926" s="1" t="s">
        <v>74</v>
      </c>
      <c r="AM926" s="1" t="s">
        <v>74</v>
      </c>
      <c r="AN926" s="1" t="s">
        <v>74</v>
      </c>
      <c r="AO926" s="1" t="s">
        <v>9173</v>
      </c>
      <c r="AP926" s="1" t="s">
        <v>9174</v>
      </c>
      <c r="AQ926" s="1" t="s">
        <v>74</v>
      </c>
      <c r="AR926" s="1" t="s">
        <v>74</v>
      </c>
      <c r="AS926" s="1" t="s">
        <v>74</v>
      </c>
      <c r="AT926" s="1" t="s">
        <v>559</v>
      </c>
      <c r="AU926" s="1">
        <v>2022.0</v>
      </c>
      <c r="AV926" s="1">
        <v>9.0</v>
      </c>
      <c r="AW926" s="1">
        <v>1.0</v>
      </c>
      <c r="AX926" s="1" t="s">
        <v>74</v>
      </c>
      <c r="AY926" s="1" t="s">
        <v>74</v>
      </c>
      <c r="AZ926" s="1" t="s">
        <v>74</v>
      </c>
      <c r="BA926" s="1" t="s">
        <v>74</v>
      </c>
      <c r="BB926" s="1" t="s">
        <v>74</v>
      </c>
      <c r="BC926" s="1" t="s">
        <v>74</v>
      </c>
      <c r="BD926" s="1">
        <v>9.0</v>
      </c>
      <c r="BE926" s="1" t="s">
        <v>9175</v>
      </c>
      <c r="BF926" s="2" t="str">
        <f>HYPERLINK("http://dx.doi.org/10.1140/epjqt/s40507-022-00129-y","http://dx.doi.org/10.1140/epjqt/s40507-022-00129-y")</f>
        <v>http://dx.doi.org/10.1140/epjqt/s40507-022-00129-y</v>
      </c>
      <c r="BG926" s="1" t="s">
        <v>74</v>
      </c>
      <c r="BH926" s="1" t="s">
        <v>74</v>
      </c>
      <c r="BI926" s="1" t="s">
        <v>74</v>
      </c>
      <c r="BJ926" s="1" t="s">
        <v>74</v>
      </c>
      <c r="BK926" s="1" t="s">
        <v>74</v>
      </c>
      <c r="BL926" s="1" t="s">
        <v>74</v>
      </c>
      <c r="BM926" s="1" t="s">
        <v>74</v>
      </c>
      <c r="BN926" s="1" t="s">
        <v>74</v>
      </c>
      <c r="BO926" s="1" t="s">
        <v>74</v>
      </c>
      <c r="BP926" s="1" t="s">
        <v>74</v>
      </c>
      <c r="BQ926" s="1" t="s">
        <v>74</v>
      </c>
      <c r="BR926" s="1" t="s">
        <v>74</v>
      </c>
      <c r="BS926" s="1" t="s">
        <v>9176</v>
      </c>
      <c r="BT926" s="1" t="str">
        <f>HYPERLINK("https%3A%2F%2Fwww.webofscience.com%2Fwos%2Fwoscc%2Ffull-record%2FWOS:000779138700001","View Full Record in Web of Science")</f>
        <v>View Full Record in Web of Science</v>
      </c>
    </row>
    <row r="927" ht="12.75" customHeight="1">
      <c r="A927" s="1" t="s">
        <v>72</v>
      </c>
      <c r="B927" s="1" t="s">
        <v>9177</v>
      </c>
      <c r="C927" s="1" t="s">
        <v>74</v>
      </c>
      <c r="D927" s="1" t="s">
        <v>74</v>
      </c>
      <c r="E927" s="1" t="s">
        <v>74</v>
      </c>
      <c r="F927" s="1" t="s">
        <v>9178</v>
      </c>
      <c r="G927" s="1" t="s">
        <v>74</v>
      </c>
      <c r="H927" s="1" t="s">
        <v>74</v>
      </c>
      <c r="I927" s="1" t="s">
        <v>9179</v>
      </c>
      <c r="J927" s="1" t="s">
        <v>9180</v>
      </c>
      <c r="K927" s="1" t="s">
        <v>74</v>
      </c>
      <c r="L927" s="1" t="s">
        <v>74</v>
      </c>
      <c r="M927" s="1" t="s">
        <v>74</v>
      </c>
      <c r="N927" s="1" t="s">
        <v>74</v>
      </c>
      <c r="O927" s="1" t="s">
        <v>74</v>
      </c>
      <c r="P927" s="1" t="s">
        <v>74</v>
      </c>
      <c r="Q927" s="1" t="s">
        <v>74</v>
      </c>
      <c r="R927" s="1" t="s">
        <v>74</v>
      </c>
      <c r="S927" s="1" t="s">
        <v>74</v>
      </c>
      <c r="T927" s="1" t="s">
        <v>74</v>
      </c>
      <c r="U927" s="1" t="s">
        <v>74</v>
      </c>
      <c r="V927" s="1" t="s">
        <v>9181</v>
      </c>
      <c r="W927" s="1" t="s">
        <v>74</v>
      </c>
      <c r="X927" s="1" t="s">
        <v>74</v>
      </c>
      <c r="Y927" s="1" t="s">
        <v>74</v>
      </c>
      <c r="Z927" s="1" t="s">
        <v>74</v>
      </c>
      <c r="AA927" s="1" t="s">
        <v>9182</v>
      </c>
      <c r="AB927" s="1" t="s">
        <v>74</v>
      </c>
      <c r="AC927" s="1" t="s">
        <v>74</v>
      </c>
      <c r="AD927" s="1" t="s">
        <v>74</v>
      </c>
      <c r="AE927" s="1" t="s">
        <v>74</v>
      </c>
      <c r="AF927" s="1" t="s">
        <v>74</v>
      </c>
      <c r="AG927" s="1" t="s">
        <v>74</v>
      </c>
      <c r="AH927" s="1" t="s">
        <v>74</v>
      </c>
      <c r="AI927" s="1" t="s">
        <v>74</v>
      </c>
      <c r="AJ927" s="1" t="s">
        <v>74</v>
      </c>
      <c r="AK927" s="1" t="s">
        <v>74</v>
      </c>
      <c r="AL927" s="1" t="s">
        <v>74</v>
      </c>
      <c r="AM927" s="1" t="s">
        <v>74</v>
      </c>
      <c r="AN927" s="1" t="s">
        <v>74</v>
      </c>
      <c r="AO927" s="1" t="s">
        <v>9183</v>
      </c>
      <c r="AP927" s="1" t="s">
        <v>9184</v>
      </c>
      <c r="AQ927" s="1" t="s">
        <v>74</v>
      </c>
      <c r="AR927" s="1" t="s">
        <v>74</v>
      </c>
      <c r="AS927" s="1" t="s">
        <v>74</v>
      </c>
      <c r="AT927" s="1" t="s">
        <v>9185</v>
      </c>
      <c r="AU927" s="1">
        <v>2022.0</v>
      </c>
      <c r="AV927" s="1">
        <v>32.0</v>
      </c>
      <c r="AW927" s="1">
        <v>2.0</v>
      </c>
      <c r="AX927" s="1" t="s">
        <v>74</v>
      </c>
      <c r="AY927" s="1" t="s">
        <v>74</v>
      </c>
      <c r="AZ927" s="1" t="s">
        <v>74</v>
      </c>
      <c r="BA927" s="1" t="s">
        <v>74</v>
      </c>
      <c r="BB927" s="1">
        <v>1.0</v>
      </c>
      <c r="BC927" s="1">
        <v>24.0</v>
      </c>
      <c r="BD927" s="1" t="s">
        <v>74</v>
      </c>
      <c r="BE927" s="1" t="s">
        <v>9186</v>
      </c>
      <c r="BF927" s="2" t="str">
        <f>HYPERLINK("http://dx.doi.org/10.15446/bitacora.v32n2.99055","http://dx.doi.org/10.15446/bitacora.v32n2.99055")</f>
        <v>http://dx.doi.org/10.15446/bitacora.v32n2.99055</v>
      </c>
      <c r="BG927" s="1" t="s">
        <v>74</v>
      </c>
      <c r="BH927" s="1" t="s">
        <v>74</v>
      </c>
      <c r="BI927" s="1" t="s">
        <v>74</v>
      </c>
      <c r="BJ927" s="1" t="s">
        <v>74</v>
      </c>
      <c r="BK927" s="1" t="s">
        <v>74</v>
      </c>
      <c r="BL927" s="1" t="s">
        <v>74</v>
      </c>
      <c r="BM927" s="1" t="s">
        <v>74</v>
      </c>
      <c r="BN927" s="1" t="s">
        <v>74</v>
      </c>
      <c r="BO927" s="1" t="s">
        <v>74</v>
      </c>
      <c r="BP927" s="1" t="s">
        <v>74</v>
      </c>
      <c r="BQ927" s="1" t="s">
        <v>74</v>
      </c>
      <c r="BR927" s="1" t="s">
        <v>74</v>
      </c>
      <c r="BS927" s="1" t="s">
        <v>9187</v>
      </c>
      <c r="BT927" s="1" t="str">
        <f>HYPERLINK("https%3A%2F%2Fwww.webofscience.com%2Fwos%2Fwoscc%2Ffull-record%2FWOS:000793952000001","View Full Record in Web of Science")</f>
        <v>View Full Record in Web of Science</v>
      </c>
    </row>
    <row r="928" ht="12.75" customHeight="1">
      <c r="A928" s="1" t="s">
        <v>72</v>
      </c>
      <c r="B928" s="1" t="s">
        <v>8394</v>
      </c>
      <c r="C928" s="1" t="s">
        <v>74</v>
      </c>
      <c r="D928" s="1" t="s">
        <v>74</v>
      </c>
      <c r="E928" s="1" t="s">
        <v>74</v>
      </c>
      <c r="F928" s="1" t="s">
        <v>8395</v>
      </c>
      <c r="G928" s="1" t="s">
        <v>74</v>
      </c>
      <c r="H928" s="1" t="s">
        <v>74</v>
      </c>
      <c r="I928" s="1" t="s">
        <v>9188</v>
      </c>
      <c r="J928" s="1" t="s">
        <v>8397</v>
      </c>
      <c r="K928" s="1" t="s">
        <v>74</v>
      </c>
      <c r="L928" s="1" t="s">
        <v>74</v>
      </c>
      <c r="M928" s="1" t="s">
        <v>74</v>
      </c>
      <c r="N928" s="1" t="s">
        <v>74</v>
      </c>
      <c r="O928" s="1" t="s">
        <v>74</v>
      </c>
      <c r="P928" s="1" t="s">
        <v>74</v>
      </c>
      <c r="Q928" s="1" t="s">
        <v>74</v>
      </c>
      <c r="R928" s="1" t="s">
        <v>74</v>
      </c>
      <c r="S928" s="1" t="s">
        <v>74</v>
      </c>
      <c r="T928" s="1" t="s">
        <v>74</v>
      </c>
      <c r="U928" s="1" t="s">
        <v>74</v>
      </c>
      <c r="V928" s="1" t="s">
        <v>9189</v>
      </c>
      <c r="W928" s="1" t="s">
        <v>74</v>
      </c>
      <c r="X928" s="1" t="s">
        <v>74</v>
      </c>
      <c r="Y928" s="1" t="s">
        <v>74</v>
      </c>
      <c r="Z928" s="1" t="s">
        <v>74</v>
      </c>
      <c r="AA928" s="1" t="s">
        <v>9190</v>
      </c>
      <c r="AB928" s="1" t="s">
        <v>9191</v>
      </c>
      <c r="AC928" s="1" t="s">
        <v>74</v>
      </c>
      <c r="AD928" s="1" t="s">
        <v>74</v>
      </c>
      <c r="AE928" s="1" t="s">
        <v>74</v>
      </c>
      <c r="AF928" s="1" t="s">
        <v>74</v>
      </c>
      <c r="AG928" s="1" t="s">
        <v>74</v>
      </c>
      <c r="AH928" s="1" t="s">
        <v>74</v>
      </c>
      <c r="AI928" s="1" t="s">
        <v>74</v>
      </c>
      <c r="AJ928" s="1" t="s">
        <v>74</v>
      </c>
      <c r="AK928" s="1" t="s">
        <v>74</v>
      </c>
      <c r="AL928" s="1" t="s">
        <v>74</v>
      </c>
      <c r="AM928" s="1" t="s">
        <v>74</v>
      </c>
      <c r="AN928" s="1" t="s">
        <v>74</v>
      </c>
      <c r="AO928" s="1" t="s">
        <v>8399</v>
      </c>
      <c r="AP928" s="1" t="s">
        <v>8400</v>
      </c>
      <c r="AQ928" s="1" t="s">
        <v>74</v>
      </c>
      <c r="AR928" s="1" t="s">
        <v>74</v>
      </c>
      <c r="AS928" s="1" t="s">
        <v>74</v>
      </c>
      <c r="AT928" s="1" t="s">
        <v>719</v>
      </c>
      <c r="AU928" s="1">
        <v>2021.0</v>
      </c>
      <c r="AV928" s="1">
        <v>162.0</v>
      </c>
      <c r="AW928" s="1">
        <v>3.0</v>
      </c>
      <c r="AX928" s="1" t="s">
        <v>74</v>
      </c>
      <c r="AY928" s="1" t="s">
        <v>74</v>
      </c>
      <c r="AZ928" s="1" t="s">
        <v>74</v>
      </c>
      <c r="BA928" s="1" t="s">
        <v>74</v>
      </c>
      <c r="BB928" s="1">
        <v>677.0</v>
      </c>
      <c r="BC928" s="1">
        <v>686.0</v>
      </c>
      <c r="BD928" s="1" t="s">
        <v>74</v>
      </c>
      <c r="BE928" s="1" t="s">
        <v>9192</v>
      </c>
      <c r="BF928" s="2" t="str">
        <f>HYPERLINK("http://dx.doi.org/10.1007/s10336-021-01878-w","http://dx.doi.org/10.1007/s10336-021-01878-w")</f>
        <v>http://dx.doi.org/10.1007/s10336-021-01878-w</v>
      </c>
      <c r="BG928" s="1" t="s">
        <v>74</v>
      </c>
      <c r="BH928" s="1" t="s">
        <v>109</v>
      </c>
      <c r="BI928" s="1" t="s">
        <v>74</v>
      </c>
      <c r="BJ928" s="1" t="s">
        <v>74</v>
      </c>
      <c r="BK928" s="1" t="s">
        <v>74</v>
      </c>
      <c r="BL928" s="1" t="s">
        <v>74</v>
      </c>
      <c r="BM928" s="1" t="s">
        <v>74</v>
      </c>
      <c r="BN928" s="1" t="s">
        <v>74</v>
      </c>
      <c r="BO928" s="1" t="s">
        <v>74</v>
      </c>
      <c r="BP928" s="1" t="s">
        <v>74</v>
      </c>
      <c r="BQ928" s="1" t="s">
        <v>74</v>
      </c>
      <c r="BR928" s="1" t="s">
        <v>74</v>
      </c>
      <c r="BS928" s="1" t="s">
        <v>9193</v>
      </c>
      <c r="BT928" s="1" t="str">
        <f>HYPERLINK("https%3A%2F%2Fwww.webofscience.com%2Fwos%2Fwoscc%2Ffull-record%2FWOS:000632756500001","View Full Record in Web of Science")</f>
        <v>View Full Record in Web of Science</v>
      </c>
    </row>
    <row r="929" ht="12.75" customHeight="1">
      <c r="A929" s="1" t="s">
        <v>647</v>
      </c>
      <c r="B929" s="1" t="s">
        <v>9194</v>
      </c>
      <c r="C929" s="1" t="s">
        <v>74</v>
      </c>
      <c r="D929" s="1" t="s">
        <v>74</v>
      </c>
      <c r="E929" s="1" t="s">
        <v>649</v>
      </c>
      <c r="F929" s="1" t="s">
        <v>9195</v>
      </c>
      <c r="G929" s="1" t="s">
        <v>74</v>
      </c>
      <c r="H929" s="1" t="s">
        <v>74</v>
      </c>
      <c r="I929" s="1" t="s">
        <v>9196</v>
      </c>
      <c r="J929" s="1" t="s">
        <v>9197</v>
      </c>
      <c r="K929" s="1" t="s">
        <v>2474</v>
      </c>
      <c r="L929" s="1" t="s">
        <v>74</v>
      </c>
      <c r="M929" s="1" t="s">
        <v>74</v>
      </c>
      <c r="N929" s="1" t="s">
        <v>74</v>
      </c>
      <c r="O929" s="1" t="s">
        <v>9198</v>
      </c>
      <c r="P929" s="1" t="s">
        <v>9199</v>
      </c>
      <c r="Q929" s="1" t="s">
        <v>1491</v>
      </c>
      <c r="R929" s="1" t="s">
        <v>74</v>
      </c>
      <c r="S929" s="1" t="s">
        <v>74</v>
      </c>
      <c r="T929" s="1" t="s">
        <v>74</v>
      </c>
      <c r="U929" s="1" t="s">
        <v>74</v>
      </c>
      <c r="V929" s="1" t="s">
        <v>9200</v>
      </c>
      <c r="W929" s="1" t="s">
        <v>74</v>
      </c>
      <c r="X929" s="1" t="s">
        <v>74</v>
      </c>
      <c r="Y929" s="1" t="s">
        <v>74</v>
      </c>
      <c r="Z929" s="1" t="s">
        <v>74</v>
      </c>
      <c r="AA929" s="1" t="s">
        <v>9201</v>
      </c>
      <c r="AB929" s="1" t="s">
        <v>9202</v>
      </c>
      <c r="AC929" s="1" t="s">
        <v>74</v>
      </c>
      <c r="AD929" s="1" t="s">
        <v>74</v>
      </c>
      <c r="AE929" s="1" t="s">
        <v>74</v>
      </c>
      <c r="AF929" s="1" t="s">
        <v>74</v>
      </c>
      <c r="AG929" s="1" t="s">
        <v>74</v>
      </c>
      <c r="AH929" s="1" t="s">
        <v>74</v>
      </c>
      <c r="AI929" s="1" t="s">
        <v>74</v>
      </c>
      <c r="AJ929" s="1" t="s">
        <v>74</v>
      </c>
      <c r="AK929" s="1" t="s">
        <v>74</v>
      </c>
      <c r="AL929" s="1" t="s">
        <v>74</v>
      </c>
      <c r="AM929" s="1" t="s">
        <v>74</v>
      </c>
      <c r="AN929" s="1" t="s">
        <v>74</v>
      </c>
      <c r="AO929" s="1" t="s">
        <v>2480</v>
      </c>
      <c r="AP929" s="1" t="s">
        <v>74</v>
      </c>
      <c r="AQ929" s="1" t="s">
        <v>9203</v>
      </c>
      <c r="AR929" s="1" t="s">
        <v>74</v>
      </c>
      <c r="AS929" s="1" t="s">
        <v>74</v>
      </c>
      <c r="AT929" s="1" t="s">
        <v>74</v>
      </c>
      <c r="AU929" s="1">
        <v>2021.0</v>
      </c>
      <c r="AV929" s="1" t="s">
        <v>74</v>
      </c>
      <c r="AW929" s="1" t="s">
        <v>74</v>
      </c>
      <c r="AX929" s="1" t="s">
        <v>74</v>
      </c>
      <c r="AY929" s="1" t="s">
        <v>74</v>
      </c>
      <c r="AZ929" s="1" t="s">
        <v>74</v>
      </c>
      <c r="BA929" s="1" t="s">
        <v>74</v>
      </c>
      <c r="BB929" s="1" t="s">
        <v>74</v>
      </c>
      <c r="BC929" s="1" t="s">
        <v>74</v>
      </c>
      <c r="BD929" s="1" t="s">
        <v>74</v>
      </c>
      <c r="BE929" s="1" t="s">
        <v>74</v>
      </c>
      <c r="BF929" s="1" t="s">
        <v>74</v>
      </c>
      <c r="BG929" s="1" t="s">
        <v>74</v>
      </c>
      <c r="BH929" s="1" t="s">
        <v>74</v>
      </c>
      <c r="BI929" s="1" t="s">
        <v>74</v>
      </c>
      <c r="BJ929" s="1" t="s">
        <v>74</v>
      </c>
      <c r="BK929" s="1" t="s">
        <v>74</v>
      </c>
      <c r="BL929" s="1" t="s">
        <v>74</v>
      </c>
      <c r="BM929" s="1" t="s">
        <v>74</v>
      </c>
      <c r="BN929" s="1" t="s">
        <v>74</v>
      </c>
      <c r="BO929" s="1" t="s">
        <v>74</v>
      </c>
      <c r="BP929" s="1" t="s">
        <v>74</v>
      </c>
      <c r="BQ929" s="1" t="s">
        <v>74</v>
      </c>
      <c r="BR929" s="1" t="s">
        <v>74</v>
      </c>
      <c r="BS929" s="1" t="s">
        <v>9204</v>
      </c>
      <c r="BT929" s="1" t="str">
        <f>HYPERLINK("https%3A%2F%2Fwww.webofscience.com%2Fwos%2Fwoscc%2Ffull-record%2FWOS:000832143901077","View Full Record in Web of Science")</f>
        <v>View Full Record in Web of Science</v>
      </c>
    </row>
    <row r="930" ht="12.75" customHeight="1">
      <c r="A930" s="1" t="s">
        <v>72</v>
      </c>
      <c r="B930" s="1" t="s">
        <v>9205</v>
      </c>
      <c r="C930" s="1" t="s">
        <v>74</v>
      </c>
      <c r="D930" s="1" t="s">
        <v>74</v>
      </c>
      <c r="E930" s="1" t="s">
        <v>74</v>
      </c>
      <c r="F930" s="1" t="s">
        <v>9206</v>
      </c>
      <c r="G930" s="1" t="s">
        <v>74</v>
      </c>
      <c r="H930" s="1" t="s">
        <v>74</v>
      </c>
      <c r="I930" s="1" t="s">
        <v>9207</v>
      </c>
      <c r="J930" s="1" t="s">
        <v>9208</v>
      </c>
      <c r="K930" s="1" t="s">
        <v>74</v>
      </c>
      <c r="L930" s="1" t="s">
        <v>74</v>
      </c>
      <c r="M930" s="1" t="s">
        <v>74</v>
      </c>
      <c r="N930" s="1" t="s">
        <v>74</v>
      </c>
      <c r="O930" s="1" t="s">
        <v>74</v>
      </c>
      <c r="P930" s="1" t="s">
        <v>74</v>
      </c>
      <c r="Q930" s="1" t="s">
        <v>74</v>
      </c>
      <c r="R930" s="1" t="s">
        <v>74</v>
      </c>
      <c r="S930" s="1" t="s">
        <v>74</v>
      </c>
      <c r="T930" s="1" t="s">
        <v>74</v>
      </c>
      <c r="U930" s="1" t="s">
        <v>74</v>
      </c>
      <c r="V930" s="1" t="s">
        <v>9209</v>
      </c>
      <c r="W930" s="1" t="s">
        <v>74</v>
      </c>
      <c r="X930" s="1" t="s">
        <v>74</v>
      </c>
      <c r="Y930" s="1" t="s">
        <v>74</v>
      </c>
      <c r="Z930" s="1" t="s">
        <v>74</v>
      </c>
      <c r="AA930" s="1" t="s">
        <v>9210</v>
      </c>
      <c r="AB930" s="1" t="s">
        <v>9211</v>
      </c>
      <c r="AC930" s="1" t="s">
        <v>74</v>
      </c>
      <c r="AD930" s="1" t="s">
        <v>74</v>
      </c>
      <c r="AE930" s="1" t="s">
        <v>74</v>
      </c>
      <c r="AF930" s="1" t="s">
        <v>74</v>
      </c>
      <c r="AG930" s="1" t="s">
        <v>74</v>
      </c>
      <c r="AH930" s="1" t="s">
        <v>74</v>
      </c>
      <c r="AI930" s="1" t="s">
        <v>74</v>
      </c>
      <c r="AJ930" s="1" t="s">
        <v>74</v>
      </c>
      <c r="AK930" s="1" t="s">
        <v>74</v>
      </c>
      <c r="AL930" s="1" t="s">
        <v>74</v>
      </c>
      <c r="AM930" s="1" t="s">
        <v>74</v>
      </c>
      <c r="AN930" s="1" t="s">
        <v>74</v>
      </c>
      <c r="AO930" s="1" t="s">
        <v>9212</v>
      </c>
      <c r="AP930" s="1" t="s">
        <v>74</v>
      </c>
      <c r="AQ930" s="1" t="s">
        <v>74</v>
      </c>
      <c r="AR930" s="1" t="s">
        <v>74</v>
      </c>
      <c r="AS930" s="1" t="s">
        <v>74</v>
      </c>
      <c r="AT930" s="1" t="s">
        <v>559</v>
      </c>
      <c r="AU930" s="1">
        <v>2020.0</v>
      </c>
      <c r="AV930" s="1">
        <v>75.0</v>
      </c>
      <c r="AW930" s="1" t="s">
        <v>74</v>
      </c>
      <c r="AX930" s="1" t="s">
        <v>74</v>
      </c>
      <c r="AY930" s="1" t="s">
        <v>74</v>
      </c>
      <c r="AZ930" s="1" t="s">
        <v>74</v>
      </c>
      <c r="BA930" s="1" t="s">
        <v>74</v>
      </c>
      <c r="BB930" s="1" t="s">
        <v>74</v>
      </c>
      <c r="BC930" s="1" t="s">
        <v>74</v>
      </c>
      <c r="BD930" s="1">
        <v>104267.0</v>
      </c>
      <c r="BE930" s="1" t="s">
        <v>9213</v>
      </c>
      <c r="BF930" s="2" t="str">
        <f>HYPERLINK("http://dx.doi.org/10.1016/j.jff.2020.104267","http://dx.doi.org/10.1016/j.jff.2020.104267")</f>
        <v>http://dx.doi.org/10.1016/j.jff.2020.104267</v>
      </c>
      <c r="BG930" s="1" t="s">
        <v>74</v>
      </c>
      <c r="BH930" s="1" t="s">
        <v>74</v>
      </c>
      <c r="BI930" s="1" t="s">
        <v>74</v>
      </c>
      <c r="BJ930" s="1" t="s">
        <v>74</v>
      </c>
      <c r="BK930" s="1" t="s">
        <v>74</v>
      </c>
      <c r="BL930" s="1" t="s">
        <v>74</v>
      </c>
      <c r="BM930" s="1" t="s">
        <v>74</v>
      </c>
      <c r="BN930" s="1" t="s">
        <v>74</v>
      </c>
      <c r="BO930" s="1" t="s">
        <v>74</v>
      </c>
      <c r="BP930" s="1" t="s">
        <v>74</v>
      </c>
      <c r="BQ930" s="1" t="s">
        <v>74</v>
      </c>
      <c r="BR930" s="1" t="s">
        <v>74</v>
      </c>
      <c r="BS930" s="1" t="s">
        <v>9214</v>
      </c>
      <c r="BT930" s="1" t="str">
        <f>HYPERLINK("https%3A%2F%2Fwww.webofscience.com%2Fwos%2Fwoscc%2Ffull-record%2FWOS:000600362800004","View Full Record in Web of Science")</f>
        <v>View Full Record in Web of Science</v>
      </c>
    </row>
    <row r="931" ht="12.75" customHeight="1">
      <c r="A931" s="1" t="s">
        <v>72</v>
      </c>
      <c r="B931" s="1" t="s">
        <v>9215</v>
      </c>
      <c r="C931" s="1" t="s">
        <v>74</v>
      </c>
      <c r="D931" s="1" t="s">
        <v>74</v>
      </c>
      <c r="E931" s="1" t="s">
        <v>74</v>
      </c>
      <c r="F931" s="1" t="s">
        <v>9216</v>
      </c>
      <c r="G931" s="1" t="s">
        <v>74</v>
      </c>
      <c r="H931" s="1" t="s">
        <v>74</v>
      </c>
      <c r="I931" s="1" t="s">
        <v>9217</v>
      </c>
      <c r="J931" s="1" t="s">
        <v>3957</v>
      </c>
      <c r="K931" s="1" t="s">
        <v>74</v>
      </c>
      <c r="L931" s="1" t="s">
        <v>74</v>
      </c>
      <c r="M931" s="1" t="s">
        <v>74</v>
      </c>
      <c r="N931" s="1" t="s">
        <v>74</v>
      </c>
      <c r="O931" s="1" t="s">
        <v>74</v>
      </c>
      <c r="P931" s="1" t="s">
        <v>74</v>
      </c>
      <c r="Q931" s="1" t="s">
        <v>74</v>
      </c>
      <c r="R931" s="1" t="s">
        <v>74</v>
      </c>
      <c r="S931" s="1" t="s">
        <v>74</v>
      </c>
      <c r="T931" s="1" t="s">
        <v>74</v>
      </c>
      <c r="U931" s="1" t="s">
        <v>74</v>
      </c>
      <c r="V931" s="1" t="s">
        <v>9218</v>
      </c>
      <c r="W931" s="1" t="s">
        <v>74</v>
      </c>
      <c r="X931" s="1" t="s">
        <v>74</v>
      </c>
      <c r="Y931" s="1" t="s">
        <v>74</v>
      </c>
      <c r="Z931" s="1" t="s">
        <v>74</v>
      </c>
      <c r="AA931" s="1" t="s">
        <v>9219</v>
      </c>
      <c r="AB931" s="1" t="s">
        <v>9220</v>
      </c>
      <c r="AC931" s="1" t="s">
        <v>74</v>
      </c>
      <c r="AD931" s="1" t="s">
        <v>74</v>
      </c>
      <c r="AE931" s="1" t="s">
        <v>74</v>
      </c>
      <c r="AF931" s="1" t="s">
        <v>74</v>
      </c>
      <c r="AG931" s="1" t="s">
        <v>74</v>
      </c>
      <c r="AH931" s="1" t="s">
        <v>74</v>
      </c>
      <c r="AI931" s="1" t="s">
        <v>74</v>
      </c>
      <c r="AJ931" s="1" t="s">
        <v>74</v>
      </c>
      <c r="AK931" s="1" t="s">
        <v>74</v>
      </c>
      <c r="AL931" s="1" t="s">
        <v>74</v>
      </c>
      <c r="AM931" s="1" t="s">
        <v>74</v>
      </c>
      <c r="AN931" s="1" t="s">
        <v>74</v>
      </c>
      <c r="AO931" s="1" t="s">
        <v>74</v>
      </c>
      <c r="AP931" s="1" t="s">
        <v>3961</v>
      </c>
      <c r="AQ931" s="1" t="s">
        <v>74</v>
      </c>
      <c r="AR931" s="1" t="s">
        <v>74</v>
      </c>
      <c r="AS931" s="1" t="s">
        <v>74</v>
      </c>
      <c r="AT931" s="1" t="s">
        <v>250</v>
      </c>
      <c r="AU931" s="1">
        <v>2020.0</v>
      </c>
      <c r="AV931" s="1">
        <v>12.0</v>
      </c>
      <c r="AW931" s="1">
        <v>9.0</v>
      </c>
      <c r="AX931" s="1" t="s">
        <v>74</v>
      </c>
      <c r="AY931" s="1" t="s">
        <v>74</v>
      </c>
      <c r="AZ931" s="1" t="s">
        <v>74</v>
      </c>
      <c r="BA931" s="1" t="s">
        <v>74</v>
      </c>
      <c r="BB931" s="1" t="s">
        <v>74</v>
      </c>
      <c r="BC931" s="1" t="s">
        <v>74</v>
      </c>
      <c r="BD931" s="1">
        <v>2132.0</v>
      </c>
      <c r="BE931" s="1" t="s">
        <v>9221</v>
      </c>
      <c r="BF931" s="2" t="str">
        <f>HYPERLINK("http://dx.doi.org/10.3390/polym12092132","http://dx.doi.org/10.3390/polym12092132")</f>
        <v>http://dx.doi.org/10.3390/polym12092132</v>
      </c>
      <c r="BG931" s="1" t="s">
        <v>74</v>
      </c>
      <c r="BH931" s="1" t="s">
        <v>74</v>
      </c>
      <c r="BI931" s="1" t="s">
        <v>74</v>
      </c>
      <c r="BJ931" s="1" t="s">
        <v>74</v>
      </c>
      <c r="BK931" s="1" t="s">
        <v>74</v>
      </c>
      <c r="BL931" s="1" t="s">
        <v>74</v>
      </c>
      <c r="BM931" s="1" t="s">
        <v>74</v>
      </c>
      <c r="BN931" s="1">
        <v>3.2961957E7</v>
      </c>
      <c r="BO931" s="1" t="s">
        <v>74</v>
      </c>
      <c r="BP931" s="1" t="s">
        <v>74</v>
      </c>
      <c r="BQ931" s="1" t="s">
        <v>74</v>
      </c>
      <c r="BR931" s="1" t="s">
        <v>74</v>
      </c>
      <c r="BS931" s="1" t="s">
        <v>9222</v>
      </c>
      <c r="BT931" s="1" t="str">
        <f>HYPERLINK("https%3A%2F%2Fwww.webofscience.com%2Fwos%2Fwoscc%2Ffull-record%2FWOS:000580701100001","View Full Record in Web of Science")</f>
        <v>View Full Record in Web of Science</v>
      </c>
    </row>
    <row r="932" ht="12.75" customHeight="1">
      <c r="A932" s="1" t="s">
        <v>72</v>
      </c>
      <c r="B932" s="1" t="s">
        <v>9223</v>
      </c>
      <c r="C932" s="1" t="s">
        <v>74</v>
      </c>
      <c r="D932" s="1" t="s">
        <v>74</v>
      </c>
      <c r="E932" s="1" t="s">
        <v>74</v>
      </c>
      <c r="F932" s="1" t="s">
        <v>9224</v>
      </c>
      <c r="G932" s="1" t="s">
        <v>74</v>
      </c>
      <c r="H932" s="1" t="s">
        <v>74</v>
      </c>
      <c r="I932" s="1" t="s">
        <v>9225</v>
      </c>
      <c r="J932" s="1" t="s">
        <v>1954</v>
      </c>
      <c r="K932" s="1" t="s">
        <v>74</v>
      </c>
      <c r="L932" s="1" t="s">
        <v>74</v>
      </c>
      <c r="M932" s="1" t="s">
        <v>74</v>
      </c>
      <c r="N932" s="1" t="s">
        <v>74</v>
      </c>
      <c r="O932" s="1" t="s">
        <v>74</v>
      </c>
      <c r="P932" s="1" t="s">
        <v>74</v>
      </c>
      <c r="Q932" s="1" t="s">
        <v>74</v>
      </c>
      <c r="R932" s="1" t="s">
        <v>74</v>
      </c>
      <c r="S932" s="1" t="s">
        <v>74</v>
      </c>
      <c r="T932" s="1" t="s">
        <v>74</v>
      </c>
      <c r="U932" s="1" t="s">
        <v>74</v>
      </c>
      <c r="V932" s="1" t="s">
        <v>9226</v>
      </c>
      <c r="W932" s="1" t="s">
        <v>74</v>
      </c>
      <c r="X932" s="1" t="s">
        <v>74</v>
      </c>
      <c r="Y932" s="1" t="s">
        <v>74</v>
      </c>
      <c r="Z932" s="1" t="s">
        <v>74</v>
      </c>
      <c r="AA932" s="1" t="s">
        <v>9227</v>
      </c>
      <c r="AB932" s="1" t="s">
        <v>9228</v>
      </c>
      <c r="AC932" s="1" t="s">
        <v>74</v>
      </c>
      <c r="AD932" s="1" t="s">
        <v>74</v>
      </c>
      <c r="AE932" s="1" t="s">
        <v>74</v>
      </c>
      <c r="AF932" s="1" t="s">
        <v>74</v>
      </c>
      <c r="AG932" s="1" t="s">
        <v>74</v>
      </c>
      <c r="AH932" s="1" t="s">
        <v>74</v>
      </c>
      <c r="AI932" s="1" t="s">
        <v>74</v>
      </c>
      <c r="AJ932" s="1" t="s">
        <v>74</v>
      </c>
      <c r="AK932" s="1" t="s">
        <v>74</v>
      </c>
      <c r="AL932" s="1" t="s">
        <v>74</v>
      </c>
      <c r="AM932" s="1" t="s">
        <v>74</v>
      </c>
      <c r="AN932" s="1" t="s">
        <v>74</v>
      </c>
      <c r="AO932" s="1" t="s">
        <v>1958</v>
      </c>
      <c r="AP932" s="1" t="s">
        <v>1959</v>
      </c>
      <c r="AQ932" s="1" t="s">
        <v>74</v>
      </c>
      <c r="AR932" s="1" t="s">
        <v>74</v>
      </c>
      <c r="AS932" s="1" t="s">
        <v>74</v>
      </c>
      <c r="AT932" s="1" t="s">
        <v>398</v>
      </c>
      <c r="AU932" s="1">
        <v>2020.0</v>
      </c>
      <c r="AV932" s="1">
        <v>38.0</v>
      </c>
      <c r="AW932" s="1">
        <v>1.0</v>
      </c>
      <c r="AX932" s="1" t="s">
        <v>74</v>
      </c>
      <c r="AY932" s="1" t="s">
        <v>74</v>
      </c>
      <c r="AZ932" s="1" t="s">
        <v>74</v>
      </c>
      <c r="BA932" s="1" t="s">
        <v>74</v>
      </c>
      <c r="BB932" s="1">
        <v>13.0</v>
      </c>
      <c r="BC932" s="1">
        <v>16.0</v>
      </c>
      <c r="BD932" s="1" t="s">
        <v>74</v>
      </c>
      <c r="BE932" s="1" t="s">
        <v>9229</v>
      </c>
      <c r="BF932" s="2" t="str">
        <f>HYPERLINK("http://dx.doi.org/10.4067/S0717-95022020000100013","http://dx.doi.org/10.4067/S0717-95022020000100013")</f>
        <v>http://dx.doi.org/10.4067/S0717-95022020000100013</v>
      </c>
      <c r="BG932" s="1" t="s">
        <v>74</v>
      </c>
      <c r="BH932" s="1" t="s">
        <v>74</v>
      </c>
      <c r="BI932" s="1" t="s">
        <v>74</v>
      </c>
      <c r="BJ932" s="1" t="s">
        <v>74</v>
      </c>
      <c r="BK932" s="1" t="s">
        <v>74</v>
      </c>
      <c r="BL932" s="1" t="s">
        <v>74</v>
      </c>
      <c r="BM932" s="1" t="s">
        <v>74</v>
      </c>
      <c r="BN932" s="1" t="s">
        <v>74</v>
      </c>
      <c r="BO932" s="1" t="s">
        <v>74</v>
      </c>
      <c r="BP932" s="1" t="s">
        <v>74</v>
      </c>
      <c r="BQ932" s="1" t="s">
        <v>74</v>
      </c>
      <c r="BR932" s="1" t="s">
        <v>74</v>
      </c>
      <c r="BS932" s="1" t="s">
        <v>9230</v>
      </c>
      <c r="BT932" s="1" t="str">
        <f>HYPERLINK("https%3A%2F%2Fwww.webofscience.com%2Fwos%2Fwoscc%2Ffull-record%2FWOS:000497982000002","View Full Record in Web of Science")</f>
        <v>View Full Record in Web of Science</v>
      </c>
    </row>
    <row r="933" ht="12.75" customHeight="1">
      <c r="A933" s="1" t="s">
        <v>72</v>
      </c>
      <c r="B933" s="1" t="s">
        <v>9231</v>
      </c>
      <c r="C933" s="1" t="s">
        <v>74</v>
      </c>
      <c r="D933" s="1" t="s">
        <v>74</v>
      </c>
      <c r="E933" s="1" t="s">
        <v>74</v>
      </c>
      <c r="F933" s="1" t="s">
        <v>9232</v>
      </c>
      <c r="G933" s="1" t="s">
        <v>74</v>
      </c>
      <c r="H933" s="1" t="s">
        <v>74</v>
      </c>
      <c r="I933" s="1" t="s">
        <v>9233</v>
      </c>
      <c r="J933" s="1" t="s">
        <v>2022</v>
      </c>
      <c r="K933" s="1" t="s">
        <v>74</v>
      </c>
      <c r="L933" s="1" t="s">
        <v>74</v>
      </c>
      <c r="M933" s="1" t="s">
        <v>74</v>
      </c>
      <c r="N933" s="1" t="s">
        <v>74</v>
      </c>
      <c r="O933" s="1" t="s">
        <v>74</v>
      </c>
      <c r="P933" s="1" t="s">
        <v>74</v>
      </c>
      <c r="Q933" s="1" t="s">
        <v>74</v>
      </c>
      <c r="R933" s="1" t="s">
        <v>74</v>
      </c>
      <c r="S933" s="1" t="s">
        <v>74</v>
      </c>
      <c r="T933" s="1" t="s">
        <v>74</v>
      </c>
      <c r="U933" s="1" t="s">
        <v>74</v>
      </c>
      <c r="V933" s="1" t="s">
        <v>9234</v>
      </c>
      <c r="W933" s="1" t="s">
        <v>74</v>
      </c>
      <c r="X933" s="1" t="s">
        <v>74</v>
      </c>
      <c r="Y933" s="1" t="s">
        <v>74</v>
      </c>
      <c r="Z933" s="1" t="s">
        <v>74</v>
      </c>
      <c r="AA933" s="1" t="s">
        <v>9235</v>
      </c>
      <c r="AB933" s="1" t="s">
        <v>9236</v>
      </c>
      <c r="AC933" s="1" t="s">
        <v>74</v>
      </c>
      <c r="AD933" s="1" t="s">
        <v>74</v>
      </c>
      <c r="AE933" s="1" t="s">
        <v>74</v>
      </c>
      <c r="AF933" s="1" t="s">
        <v>74</v>
      </c>
      <c r="AG933" s="1" t="s">
        <v>74</v>
      </c>
      <c r="AH933" s="1" t="s">
        <v>74</v>
      </c>
      <c r="AI933" s="1" t="s">
        <v>74</v>
      </c>
      <c r="AJ933" s="1" t="s">
        <v>74</v>
      </c>
      <c r="AK933" s="1" t="s">
        <v>74</v>
      </c>
      <c r="AL933" s="1" t="s">
        <v>74</v>
      </c>
      <c r="AM933" s="1" t="s">
        <v>74</v>
      </c>
      <c r="AN933" s="1" t="s">
        <v>74</v>
      </c>
      <c r="AO933" s="1" t="s">
        <v>2025</v>
      </c>
      <c r="AP933" s="1" t="s">
        <v>2026</v>
      </c>
      <c r="AQ933" s="1" t="s">
        <v>74</v>
      </c>
      <c r="AR933" s="1" t="s">
        <v>74</v>
      </c>
      <c r="AS933" s="1" t="s">
        <v>74</v>
      </c>
      <c r="AT933" s="1" t="s">
        <v>96</v>
      </c>
      <c r="AU933" s="1">
        <v>2018.0</v>
      </c>
      <c r="AV933" s="1">
        <v>74.0</v>
      </c>
      <c r="AW933" s="1" t="s">
        <v>74</v>
      </c>
      <c r="AX933" s="1" t="s">
        <v>74</v>
      </c>
      <c r="AY933" s="1" t="s">
        <v>74</v>
      </c>
      <c r="AZ933" s="1" t="s">
        <v>74</v>
      </c>
      <c r="BA933" s="1" t="s">
        <v>74</v>
      </c>
      <c r="BB933" s="1">
        <v>250.0</v>
      </c>
      <c r="BC933" s="1">
        <v>259.0</v>
      </c>
      <c r="BD933" s="1" t="s">
        <v>74</v>
      </c>
      <c r="BE933" s="1" t="s">
        <v>9237</v>
      </c>
      <c r="BF933" s="2" t="str">
        <f>HYPERLINK("http://dx.doi.org/10.1016/j.fsi.2017.12.061","http://dx.doi.org/10.1016/j.fsi.2017.12.061")</f>
        <v>http://dx.doi.org/10.1016/j.fsi.2017.12.061</v>
      </c>
      <c r="BG933" s="1" t="s">
        <v>74</v>
      </c>
      <c r="BH933" s="1" t="s">
        <v>74</v>
      </c>
      <c r="BI933" s="1" t="s">
        <v>74</v>
      </c>
      <c r="BJ933" s="1" t="s">
        <v>74</v>
      </c>
      <c r="BK933" s="1" t="s">
        <v>74</v>
      </c>
      <c r="BL933" s="1" t="s">
        <v>74</v>
      </c>
      <c r="BM933" s="1" t="s">
        <v>74</v>
      </c>
      <c r="BN933" s="1">
        <v>2.930599E7</v>
      </c>
      <c r="BO933" s="1" t="s">
        <v>74</v>
      </c>
      <c r="BP933" s="1" t="s">
        <v>74</v>
      </c>
      <c r="BQ933" s="1" t="s">
        <v>74</v>
      </c>
      <c r="BR933" s="1" t="s">
        <v>74</v>
      </c>
      <c r="BS933" s="1" t="s">
        <v>9238</v>
      </c>
      <c r="BT933" s="1" t="str">
        <f>HYPERLINK("https%3A%2F%2Fwww.webofscience.com%2Fwos%2Fwoscc%2Ffull-record%2FWOS:000427344200027","View Full Record in Web of Science")</f>
        <v>View Full Record in Web of Science</v>
      </c>
    </row>
    <row r="934" ht="12.75" customHeight="1">
      <c r="A934" s="1" t="s">
        <v>647</v>
      </c>
      <c r="B934" s="1" t="s">
        <v>9239</v>
      </c>
      <c r="C934" s="1" t="s">
        <v>74</v>
      </c>
      <c r="D934" s="1" t="s">
        <v>3070</v>
      </c>
      <c r="E934" s="1" t="s">
        <v>74</v>
      </c>
      <c r="F934" s="1" t="s">
        <v>9240</v>
      </c>
      <c r="G934" s="1" t="s">
        <v>74</v>
      </c>
      <c r="H934" s="1" t="s">
        <v>74</v>
      </c>
      <c r="I934" s="1" t="s">
        <v>9241</v>
      </c>
      <c r="J934" s="1" t="s">
        <v>3073</v>
      </c>
      <c r="K934" s="1" t="s">
        <v>74</v>
      </c>
      <c r="L934" s="1" t="s">
        <v>74</v>
      </c>
      <c r="M934" s="1" t="s">
        <v>74</v>
      </c>
      <c r="N934" s="1" t="s">
        <v>74</v>
      </c>
      <c r="O934" s="1" t="s">
        <v>3074</v>
      </c>
      <c r="P934" s="1" t="s">
        <v>3075</v>
      </c>
      <c r="Q934" s="1" t="s">
        <v>3076</v>
      </c>
      <c r="R934" s="1" t="s">
        <v>3077</v>
      </c>
      <c r="S934" s="1" t="s">
        <v>74</v>
      </c>
      <c r="T934" s="1" t="s">
        <v>74</v>
      </c>
      <c r="U934" s="1" t="s">
        <v>74</v>
      </c>
      <c r="V934" s="1" t="s">
        <v>9242</v>
      </c>
      <c r="W934" s="1" t="s">
        <v>74</v>
      </c>
      <c r="X934" s="1" t="s">
        <v>74</v>
      </c>
      <c r="Y934" s="1" t="s">
        <v>74</v>
      </c>
      <c r="Z934" s="1" t="s">
        <v>74</v>
      </c>
      <c r="AA934" s="1" t="s">
        <v>9243</v>
      </c>
      <c r="AB934" s="1" t="s">
        <v>9244</v>
      </c>
      <c r="AC934" s="1" t="s">
        <v>74</v>
      </c>
      <c r="AD934" s="1" t="s">
        <v>74</v>
      </c>
      <c r="AE934" s="1" t="s">
        <v>74</v>
      </c>
      <c r="AF934" s="1" t="s">
        <v>74</v>
      </c>
      <c r="AG934" s="1" t="s">
        <v>74</v>
      </c>
      <c r="AH934" s="1" t="s">
        <v>74</v>
      </c>
      <c r="AI934" s="1" t="s">
        <v>74</v>
      </c>
      <c r="AJ934" s="1" t="s">
        <v>74</v>
      </c>
      <c r="AK934" s="1" t="s">
        <v>74</v>
      </c>
      <c r="AL934" s="1" t="s">
        <v>74</v>
      </c>
      <c r="AM934" s="1" t="s">
        <v>74</v>
      </c>
      <c r="AN934" s="1" t="s">
        <v>74</v>
      </c>
      <c r="AO934" s="1" t="s">
        <v>74</v>
      </c>
      <c r="AP934" s="1" t="s">
        <v>74</v>
      </c>
      <c r="AQ934" s="1" t="s">
        <v>3080</v>
      </c>
      <c r="AR934" s="1" t="s">
        <v>74</v>
      </c>
      <c r="AS934" s="1" t="s">
        <v>74</v>
      </c>
      <c r="AT934" s="1" t="s">
        <v>74</v>
      </c>
      <c r="AU934" s="1">
        <v>2018.0</v>
      </c>
      <c r="AV934" s="1" t="s">
        <v>74</v>
      </c>
      <c r="AW934" s="1" t="s">
        <v>74</v>
      </c>
      <c r="AX934" s="1" t="s">
        <v>74</v>
      </c>
      <c r="AY934" s="1" t="s">
        <v>74</v>
      </c>
      <c r="AZ934" s="1" t="s">
        <v>74</v>
      </c>
      <c r="BA934" s="1" t="s">
        <v>74</v>
      </c>
      <c r="BB934" s="1" t="s">
        <v>74</v>
      </c>
      <c r="BC934" s="1" t="s">
        <v>74</v>
      </c>
      <c r="BD934" s="1" t="s">
        <v>74</v>
      </c>
      <c r="BE934" s="1" t="s">
        <v>74</v>
      </c>
      <c r="BF934" s="1" t="s">
        <v>74</v>
      </c>
      <c r="BG934" s="1" t="s">
        <v>74</v>
      </c>
      <c r="BH934" s="1" t="s">
        <v>74</v>
      </c>
      <c r="BI934" s="1" t="s">
        <v>74</v>
      </c>
      <c r="BJ934" s="1" t="s">
        <v>74</v>
      </c>
      <c r="BK934" s="1" t="s">
        <v>74</v>
      </c>
      <c r="BL934" s="1" t="s">
        <v>74</v>
      </c>
      <c r="BM934" s="1" t="s">
        <v>74</v>
      </c>
      <c r="BN934" s="1" t="s">
        <v>74</v>
      </c>
      <c r="BO934" s="1" t="s">
        <v>74</v>
      </c>
      <c r="BP934" s="1" t="s">
        <v>74</v>
      </c>
      <c r="BQ934" s="1" t="s">
        <v>74</v>
      </c>
      <c r="BR934" s="1" t="s">
        <v>74</v>
      </c>
      <c r="BS934" s="1" t="s">
        <v>9245</v>
      </c>
      <c r="BT934" s="1" t="str">
        <f>HYPERLINK("https%3A%2F%2Fwww.webofscience.com%2Fwos%2Fwoscc%2Ffull-record%2FWOS:000458417600013","View Full Record in Web of Science")</f>
        <v>View Full Record in Web of Science</v>
      </c>
    </row>
    <row r="935" ht="12.75" customHeight="1">
      <c r="A935" s="1" t="s">
        <v>72</v>
      </c>
      <c r="B935" s="1" t="s">
        <v>9246</v>
      </c>
      <c r="C935" s="1" t="s">
        <v>74</v>
      </c>
      <c r="D935" s="1" t="s">
        <v>74</v>
      </c>
      <c r="E935" s="1" t="s">
        <v>74</v>
      </c>
      <c r="F935" s="1" t="s">
        <v>9247</v>
      </c>
      <c r="G935" s="1" t="s">
        <v>74</v>
      </c>
      <c r="H935" s="1" t="s">
        <v>74</v>
      </c>
      <c r="I935" s="1" t="s">
        <v>9248</v>
      </c>
      <c r="J935" s="1" t="s">
        <v>9249</v>
      </c>
      <c r="K935" s="1" t="s">
        <v>74</v>
      </c>
      <c r="L935" s="1" t="s">
        <v>74</v>
      </c>
      <c r="M935" s="1" t="s">
        <v>74</v>
      </c>
      <c r="N935" s="1" t="s">
        <v>74</v>
      </c>
      <c r="O935" s="1" t="s">
        <v>74</v>
      </c>
      <c r="P935" s="1" t="s">
        <v>74</v>
      </c>
      <c r="Q935" s="1" t="s">
        <v>74</v>
      </c>
      <c r="R935" s="1" t="s">
        <v>74</v>
      </c>
      <c r="S935" s="1" t="s">
        <v>74</v>
      </c>
      <c r="T935" s="1" t="s">
        <v>74</v>
      </c>
      <c r="U935" s="1" t="s">
        <v>74</v>
      </c>
      <c r="V935" s="1" t="s">
        <v>9250</v>
      </c>
      <c r="W935" s="1" t="s">
        <v>74</v>
      </c>
      <c r="X935" s="1" t="s">
        <v>74</v>
      </c>
      <c r="Y935" s="1" t="s">
        <v>74</v>
      </c>
      <c r="Z935" s="1" t="s">
        <v>74</v>
      </c>
      <c r="AA935" s="1" t="s">
        <v>9251</v>
      </c>
      <c r="AB935" s="1" t="s">
        <v>9252</v>
      </c>
      <c r="AC935" s="1" t="s">
        <v>74</v>
      </c>
      <c r="AD935" s="1" t="s">
        <v>74</v>
      </c>
      <c r="AE935" s="1" t="s">
        <v>74</v>
      </c>
      <c r="AF935" s="1" t="s">
        <v>74</v>
      </c>
      <c r="AG935" s="1" t="s">
        <v>74</v>
      </c>
      <c r="AH935" s="1" t="s">
        <v>74</v>
      </c>
      <c r="AI935" s="1" t="s">
        <v>74</v>
      </c>
      <c r="AJ935" s="1" t="s">
        <v>74</v>
      </c>
      <c r="AK935" s="1" t="s">
        <v>74</v>
      </c>
      <c r="AL935" s="1" t="s">
        <v>74</v>
      </c>
      <c r="AM935" s="1" t="s">
        <v>74</v>
      </c>
      <c r="AN935" s="1" t="s">
        <v>74</v>
      </c>
      <c r="AO935" s="1" t="s">
        <v>9253</v>
      </c>
      <c r="AP935" s="1" t="s">
        <v>9254</v>
      </c>
      <c r="AQ935" s="1" t="s">
        <v>74</v>
      </c>
      <c r="AR935" s="1" t="s">
        <v>74</v>
      </c>
      <c r="AS935" s="1" t="s">
        <v>74</v>
      </c>
      <c r="AT935" s="1" t="s">
        <v>96</v>
      </c>
      <c r="AU935" s="1">
        <v>2017.0</v>
      </c>
      <c r="AV935" s="1">
        <v>41.0</v>
      </c>
      <c r="AW935" s="1" t="s">
        <v>74</v>
      </c>
      <c r="AX935" s="1" t="s">
        <v>74</v>
      </c>
      <c r="AY935" s="1" t="s">
        <v>74</v>
      </c>
      <c r="AZ935" s="1" t="s">
        <v>74</v>
      </c>
      <c r="BA935" s="1" t="s">
        <v>74</v>
      </c>
      <c r="BB935" s="1">
        <v>8.0</v>
      </c>
      <c r="BC935" s="1">
        <v>13.0</v>
      </c>
      <c r="BD935" s="1" t="s">
        <v>74</v>
      </c>
      <c r="BE935" s="1" t="s">
        <v>9255</v>
      </c>
      <c r="BF935" s="2" t="str">
        <f>HYPERLINK("http://dx.doi.org/10.1016/j.drugpo.2016.10.001","http://dx.doi.org/10.1016/j.drugpo.2016.10.001")</f>
        <v>http://dx.doi.org/10.1016/j.drugpo.2016.10.001</v>
      </c>
      <c r="BG935" s="1" t="s">
        <v>74</v>
      </c>
      <c r="BH935" s="1" t="s">
        <v>74</v>
      </c>
      <c r="BI935" s="1" t="s">
        <v>74</v>
      </c>
      <c r="BJ935" s="1" t="s">
        <v>74</v>
      </c>
      <c r="BK935" s="1" t="s">
        <v>74</v>
      </c>
      <c r="BL935" s="1" t="s">
        <v>74</v>
      </c>
      <c r="BM935" s="1" t="s">
        <v>74</v>
      </c>
      <c r="BN935" s="1">
        <v>2.7988428E7</v>
      </c>
      <c r="BO935" s="1" t="s">
        <v>74</v>
      </c>
      <c r="BP935" s="1" t="s">
        <v>74</v>
      </c>
      <c r="BQ935" s="1" t="s">
        <v>74</v>
      </c>
      <c r="BR935" s="1" t="s">
        <v>74</v>
      </c>
      <c r="BS935" s="1" t="s">
        <v>9256</v>
      </c>
      <c r="BT935" s="1" t="str">
        <f>HYPERLINK("https%3A%2F%2Fwww.webofscience.com%2Fwos%2Fwoscc%2Ffull-record%2FWOS:000396954300002","View Full Record in Web of Science")</f>
        <v>View Full Record in Web of Science</v>
      </c>
    </row>
    <row r="936" ht="12.75" customHeight="1">
      <c r="A936" s="1" t="s">
        <v>72</v>
      </c>
      <c r="B936" s="1" t="s">
        <v>9257</v>
      </c>
      <c r="C936" s="1" t="s">
        <v>74</v>
      </c>
      <c r="D936" s="1" t="s">
        <v>74</v>
      </c>
      <c r="E936" s="1" t="s">
        <v>74</v>
      </c>
      <c r="F936" s="1" t="s">
        <v>9258</v>
      </c>
      <c r="G936" s="1" t="s">
        <v>74</v>
      </c>
      <c r="H936" s="1" t="s">
        <v>74</v>
      </c>
      <c r="I936" s="1" t="s">
        <v>9259</v>
      </c>
      <c r="J936" s="1" t="s">
        <v>8047</v>
      </c>
      <c r="K936" s="1" t="s">
        <v>74</v>
      </c>
      <c r="L936" s="1" t="s">
        <v>74</v>
      </c>
      <c r="M936" s="1" t="s">
        <v>74</v>
      </c>
      <c r="N936" s="1" t="s">
        <v>74</v>
      </c>
      <c r="O936" s="1" t="s">
        <v>74</v>
      </c>
      <c r="P936" s="1" t="s">
        <v>74</v>
      </c>
      <c r="Q936" s="1" t="s">
        <v>74</v>
      </c>
      <c r="R936" s="1" t="s">
        <v>74</v>
      </c>
      <c r="S936" s="1" t="s">
        <v>74</v>
      </c>
      <c r="T936" s="1" t="s">
        <v>74</v>
      </c>
      <c r="U936" s="1" t="s">
        <v>74</v>
      </c>
      <c r="V936" s="1" t="s">
        <v>9260</v>
      </c>
      <c r="W936" s="1" t="s">
        <v>74</v>
      </c>
      <c r="X936" s="1" t="s">
        <v>74</v>
      </c>
      <c r="Y936" s="1" t="s">
        <v>74</v>
      </c>
      <c r="Z936" s="1" t="s">
        <v>74</v>
      </c>
      <c r="AA936" s="1" t="s">
        <v>9261</v>
      </c>
      <c r="AB936" s="1" t="s">
        <v>9262</v>
      </c>
      <c r="AC936" s="1" t="s">
        <v>74</v>
      </c>
      <c r="AD936" s="1" t="s">
        <v>74</v>
      </c>
      <c r="AE936" s="1" t="s">
        <v>74</v>
      </c>
      <c r="AF936" s="1" t="s">
        <v>74</v>
      </c>
      <c r="AG936" s="1" t="s">
        <v>74</v>
      </c>
      <c r="AH936" s="1" t="s">
        <v>74</v>
      </c>
      <c r="AI936" s="1" t="s">
        <v>74</v>
      </c>
      <c r="AJ936" s="1" t="s">
        <v>74</v>
      </c>
      <c r="AK936" s="1" t="s">
        <v>74</v>
      </c>
      <c r="AL936" s="1" t="s">
        <v>74</v>
      </c>
      <c r="AM936" s="1" t="s">
        <v>74</v>
      </c>
      <c r="AN936" s="1" t="s">
        <v>74</v>
      </c>
      <c r="AO936" s="1" t="s">
        <v>8051</v>
      </c>
      <c r="AP936" s="1" t="s">
        <v>9263</v>
      </c>
      <c r="AQ936" s="1" t="s">
        <v>74</v>
      </c>
      <c r="AR936" s="1" t="s">
        <v>74</v>
      </c>
      <c r="AS936" s="1" t="s">
        <v>74</v>
      </c>
      <c r="AT936" s="1" t="s">
        <v>9264</v>
      </c>
      <c r="AU936" s="1">
        <v>2015.0</v>
      </c>
      <c r="AV936" s="1">
        <v>106.0</v>
      </c>
      <c r="AW936" s="1">
        <v>13.0</v>
      </c>
      <c r="AX936" s="1" t="s">
        <v>74</v>
      </c>
      <c r="AY936" s="1" t="s">
        <v>74</v>
      </c>
      <c r="AZ936" s="1" t="s">
        <v>74</v>
      </c>
      <c r="BA936" s="1" t="s">
        <v>74</v>
      </c>
      <c r="BB936" s="1" t="s">
        <v>74</v>
      </c>
      <c r="BC936" s="1" t="s">
        <v>74</v>
      </c>
      <c r="BD936" s="1">
        <v>132405.0</v>
      </c>
      <c r="BE936" s="1" t="s">
        <v>9265</v>
      </c>
      <c r="BF936" s="2" t="str">
        <f>HYPERLINK("http://dx.doi.org/10.1063/1.4916666","http://dx.doi.org/10.1063/1.4916666")</f>
        <v>http://dx.doi.org/10.1063/1.4916666</v>
      </c>
      <c r="BG936" s="1" t="s">
        <v>74</v>
      </c>
      <c r="BH936" s="1" t="s">
        <v>74</v>
      </c>
      <c r="BI936" s="1" t="s">
        <v>74</v>
      </c>
      <c r="BJ936" s="1" t="s">
        <v>74</v>
      </c>
      <c r="BK936" s="1" t="s">
        <v>74</v>
      </c>
      <c r="BL936" s="1" t="s">
        <v>74</v>
      </c>
      <c r="BM936" s="1" t="s">
        <v>74</v>
      </c>
      <c r="BN936" s="1" t="s">
        <v>74</v>
      </c>
      <c r="BO936" s="1" t="s">
        <v>74</v>
      </c>
      <c r="BP936" s="1" t="s">
        <v>74</v>
      </c>
      <c r="BQ936" s="1" t="s">
        <v>74</v>
      </c>
      <c r="BR936" s="1" t="s">
        <v>74</v>
      </c>
      <c r="BS936" s="1" t="s">
        <v>9266</v>
      </c>
      <c r="BT936" s="1" t="str">
        <f>HYPERLINK("https%3A%2F%2Fwww.webofscience.com%2Fwos%2Fwoscc%2Ffull-record%2FWOS:000352310700031","View Full Record in Web of Science")</f>
        <v>View Full Record in Web of Science</v>
      </c>
    </row>
    <row r="937" ht="12.75" customHeight="1">
      <c r="A937" s="1" t="s">
        <v>72</v>
      </c>
      <c r="B937" s="1" t="s">
        <v>9267</v>
      </c>
      <c r="C937" s="1" t="s">
        <v>74</v>
      </c>
      <c r="D937" s="1" t="s">
        <v>74</v>
      </c>
      <c r="E937" s="1" t="s">
        <v>74</v>
      </c>
      <c r="F937" s="1" t="s">
        <v>9268</v>
      </c>
      <c r="G937" s="1" t="s">
        <v>74</v>
      </c>
      <c r="H937" s="1" t="s">
        <v>74</v>
      </c>
      <c r="I937" s="1" t="s">
        <v>9269</v>
      </c>
      <c r="J937" s="1" t="s">
        <v>4335</v>
      </c>
      <c r="K937" s="1" t="s">
        <v>74</v>
      </c>
      <c r="L937" s="1" t="s">
        <v>74</v>
      </c>
      <c r="M937" s="1" t="s">
        <v>74</v>
      </c>
      <c r="N937" s="1" t="s">
        <v>74</v>
      </c>
      <c r="O937" s="1" t="s">
        <v>74</v>
      </c>
      <c r="P937" s="1" t="s">
        <v>74</v>
      </c>
      <c r="Q937" s="1" t="s">
        <v>74</v>
      </c>
      <c r="R937" s="1" t="s">
        <v>74</v>
      </c>
      <c r="S937" s="1" t="s">
        <v>74</v>
      </c>
      <c r="T937" s="1" t="s">
        <v>74</v>
      </c>
      <c r="U937" s="1" t="s">
        <v>74</v>
      </c>
      <c r="V937" s="1" t="s">
        <v>74</v>
      </c>
      <c r="W937" s="1" t="s">
        <v>74</v>
      </c>
      <c r="X937" s="1" t="s">
        <v>74</v>
      </c>
      <c r="Y937" s="1" t="s">
        <v>74</v>
      </c>
      <c r="Z937" s="1" t="s">
        <v>74</v>
      </c>
      <c r="AA937" s="1" t="s">
        <v>9270</v>
      </c>
      <c r="AB937" s="1" t="s">
        <v>9271</v>
      </c>
      <c r="AC937" s="1" t="s">
        <v>74</v>
      </c>
      <c r="AD937" s="1" t="s">
        <v>74</v>
      </c>
      <c r="AE937" s="1" t="s">
        <v>74</v>
      </c>
      <c r="AF937" s="1" t="s">
        <v>74</v>
      </c>
      <c r="AG937" s="1" t="s">
        <v>74</v>
      </c>
      <c r="AH937" s="1" t="s">
        <v>74</v>
      </c>
      <c r="AI937" s="1" t="s">
        <v>74</v>
      </c>
      <c r="AJ937" s="1" t="s">
        <v>74</v>
      </c>
      <c r="AK937" s="1" t="s">
        <v>74</v>
      </c>
      <c r="AL937" s="1" t="s">
        <v>74</v>
      </c>
      <c r="AM937" s="1" t="s">
        <v>74</v>
      </c>
      <c r="AN937" s="1" t="s">
        <v>74</v>
      </c>
      <c r="AO937" s="1" t="s">
        <v>4339</v>
      </c>
      <c r="AP937" s="1" t="s">
        <v>74</v>
      </c>
      <c r="AQ937" s="1" t="s">
        <v>74</v>
      </c>
      <c r="AR937" s="1" t="s">
        <v>74</v>
      </c>
      <c r="AS937" s="1" t="s">
        <v>74</v>
      </c>
      <c r="AT937" s="1" t="s">
        <v>9272</v>
      </c>
      <c r="AU937" s="1">
        <v>2015.0</v>
      </c>
      <c r="AV937" s="1">
        <v>6.0</v>
      </c>
      <c r="AW937" s="1" t="s">
        <v>74</v>
      </c>
      <c r="AX937" s="1" t="s">
        <v>74</v>
      </c>
      <c r="AY937" s="1" t="s">
        <v>74</v>
      </c>
      <c r="AZ937" s="1" t="s">
        <v>74</v>
      </c>
      <c r="BA937" s="1" t="s">
        <v>74</v>
      </c>
      <c r="BB937" s="1" t="s">
        <v>74</v>
      </c>
      <c r="BC937" s="1" t="s">
        <v>74</v>
      </c>
      <c r="BD937" s="1">
        <v>38.0</v>
      </c>
      <c r="BE937" s="1" t="s">
        <v>9273</v>
      </c>
      <c r="BF937" s="2" t="str">
        <f>HYPERLINK("http://dx.doi.org/10.3389/fpsyt.2015.00038","http://dx.doi.org/10.3389/fpsyt.2015.00038")</f>
        <v>http://dx.doi.org/10.3389/fpsyt.2015.00038</v>
      </c>
      <c r="BG937" s="1" t="s">
        <v>74</v>
      </c>
      <c r="BH937" s="1" t="s">
        <v>74</v>
      </c>
      <c r="BI937" s="1" t="s">
        <v>74</v>
      </c>
      <c r="BJ937" s="1" t="s">
        <v>74</v>
      </c>
      <c r="BK937" s="1" t="s">
        <v>74</v>
      </c>
      <c r="BL937" s="1" t="s">
        <v>74</v>
      </c>
      <c r="BM937" s="1" t="s">
        <v>74</v>
      </c>
      <c r="BN937" s="1">
        <v>2.5814959E7</v>
      </c>
      <c r="BO937" s="1" t="s">
        <v>74</v>
      </c>
      <c r="BP937" s="1" t="s">
        <v>74</v>
      </c>
      <c r="BQ937" s="1" t="s">
        <v>74</v>
      </c>
      <c r="BR937" s="1" t="s">
        <v>74</v>
      </c>
      <c r="BS937" s="1" t="s">
        <v>9274</v>
      </c>
      <c r="BT937" s="1" t="str">
        <f>HYPERLINK("https%3A%2F%2Fwww.webofscience.com%2Fwos%2Fwoscc%2Ffull-record%2FWOS:000364209900001","View Full Record in Web of Science")</f>
        <v>View Full Record in Web of Science</v>
      </c>
    </row>
    <row r="938" ht="12.75" customHeight="1">
      <c r="A938" s="1" t="s">
        <v>72</v>
      </c>
      <c r="B938" s="1" t="s">
        <v>9275</v>
      </c>
      <c r="C938" s="1" t="s">
        <v>74</v>
      </c>
      <c r="D938" s="1" t="s">
        <v>74</v>
      </c>
      <c r="E938" s="1" t="s">
        <v>74</v>
      </c>
      <c r="F938" s="1" t="s">
        <v>9276</v>
      </c>
      <c r="G938" s="1" t="s">
        <v>74</v>
      </c>
      <c r="H938" s="1" t="s">
        <v>74</v>
      </c>
      <c r="I938" s="1" t="s">
        <v>9277</v>
      </c>
      <c r="J938" s="1" t="s">
        <v>5728</v>
      </c>
      <c r="K938" s="1" t="s">
        <v>74</v>
      </c>
      <c r="L938" s="1" t="s">
        <v>74</v>
      </c>
      <c r="M938" s="1" t="s">
        <v>74</v>
      </c>
      <c r="N938" s="1" t="s">
        <v>74</v>
      </c>
      <c r="O938" s="1" t="s">
        <v>74</v>
      </c>
      <c r="P938" s="1" t="s">
        <v>74</v>
      </c>
      <c r="Q938" s="1" t="s">
        <v>74</v>
      </c>
      <c r="R938" s="1" t="s">
        <v>74</v>
      </c>
      <c r="S938" s="1" t="s">
        <v>74</v>
      </c>
      <c r="T938" s="1" t="s">
        <v>74</v>
      </c>
      <c r="U938" s="1" t="s">
        <v>74</v>
      </c>
      <c r="V938" s="1" t="s">
        <v>9278</v>
      </c>
      <c r="W938" s="1" t="s">
        <v>74</v>
      </c>
      <c r="X938" s="1" t="s">
        <v>74</v>
      </c>
      <c r="Y938" s="1" t="s">
        <v>74</v>
      </c>
      <c r="Z938" s="1" t="s">
        <v>74</v>
      </c>
      <c r="AA938" s="1" t="s">
        <v>9279</v>
      </c>
      <c r="AB938" s="1" t="s">
        <v>9280</v>
      </c>
      <c r="AC938" s="1" t="s">
        <v>74</v>
      </c>
      <c r="AD938" s="1" t="s">
        <v>74</v>
      </c>
      <c r="AE938" s="1" t="s">
        <v>74</v>
      </c>
      <c r="AF938" s="1" t="s">
        <v>74</v>
      </c>
      <c r="AG938" s="1" t="s">
        <v>74</v>
      </c>
      <c r="AH938" s="1" t="s">
        <v>74</v>
      </c>
      <c r="AI938" s="1" t="s">
        <v>74</v>
      </c>
      <c r="AJ938" s="1" t="s">
        <v>74</v>
      </c>
      <c r="AK938" s="1" t="s">
        <v>74</v>
      </c>
      <c r="AL938" s="1" t="s">
        <v>74</v>
      </c>
      <c r="AM938" s="1" t="s">
        <v>74</v>
      </c>
      <c r="AN938" s="1" t="s">
        <v>74</v>
      </c>
      <c r="AO938" s="1" t="s">
        <v>5732</v>
      </c>
      <c r="AP938" s="1" t="s">
        <v>5733</v>
      </c>
      <c r="AQ938" s="1" t="s">
        <v>74</v>
      </c>
      <c r="AR938" s="1" t="s">
        <v>74</v>
      </c>
      <c r="AS938" s="1" t="s">
        <v>74</v>
      </c>
      <c r="AT938" s="1" t="s">
        <v>96</v>
      </c>
      <c r="AU938" s="1">
        <v>2014.0</v>
      </c>
      <c r="AV938" s="1">
        <v>51.0</v>
      </c>
      <c r="AW938" s="1" t="s">
        <v>74</v>
      </c>
      <c r="AX938" s="1" t="s">
        <v>74</v>
      </c>
      <c r="AY938" s="1" t="s">
        <v>74</v>
      </c>
      <c r="AZ938" s="1" t="s">
        <v>74</v>
      </c>
      <c r="BA938" s="1" t="s">
        <v>74</v>
      </c>
      <c r="BB938" s="1">
        <v>145.0</v>
      </c>
      <c r="BC938" s="1">
        <v>152.0</v>
      </c>
      <c r="BD938" s="1" t="s">
        <v>74</v>
      </c>
      <c r="BE938" s="1" t="s">
        <v>9281</v>
      </c>
      <c r="BF938" s="2" t="str">
        <f>HYPERLINK("http://dx.doi.org/10.1016/j.materresbull.2013.12.014","http://dx.doi.org/10.1016/j.materresbull.2013.12.014")</f>
        <v>http://dx.doi.org/10.1016/j.materresbull.2013.12.014</v>
      </c>
      <c r="BG938" s="1" t="s">
        <v>74</v>
      </c>
      <c r="BH938" s="1" t="s">
        <v>74</v>
      </c>
      <c r="BI938" s="1" t="s">
        <v>74</v>
      </c>
      <c r="BJ938" s="1" t="s">
        <v>74</v>
      </c>
      <c r="BK938" s="1" t="s">
        <v>74</v>
      </c>
      <c r="BL938" s="1" t="s">
        <v>74</v>
      </c>
      <c r="BM938" s="1" t="s">
        <v>74</v>
      </c>
      <c r="BN938" s="1" t="s">
        <v>74</v>
      </c>
      <c r="BO938" s="1" t="s">
        <v>74</v>
      </c>
      <c r="BP938" s="1" t="s">
        <v>74</v>
      </c>
      <c r="BQ938" s="1" t="s">
        <v>74</v>
      </c>
      <c r="BR938" s="1" t="s">
        <v>74</v>
      </c>
      <c r="BS938" s="1" t="s">
        <v>9282</v>
      </c>
      <c r="BT938" s="1" t="str">
        <f>HYPERLINK("https%3A%2F%2Fwww.webofscience.com%2Fwos%2Fwoscc%2Ffull-record%2FWOS:000332437200026","View Full Record in Web of Science")</f>
        <v>View Full Record in Web of Science</v>
      </c>
    </row>
    <row r="939" ht="12.75" customHeight="1">
      <c r="A939" s="1" t="s">
        <v>72</v>
      </c>
      <c r="B939" s="1" t="s">
        <v>9283</v>
      </c>
      <c r="C939" s="1" t="s">
        <v>74</v>
      </c>
      <c r="D939" s="1" t="s">
        <v>74</v>
      </c>
      <c r="E939" s="1" t="s">
        <v>74</v>
      </c>
      <c r="F939" s="1" t="s">
        <v>9284</v>
      </c>
      <c r="G939" s="1" t="s">
        <v>74</v>
      </c>
      <c r="H939" s="1" t="s">
        <v>74</v>
      </c>
      <c r="I939" s="1" t="s">
        <v>9285</v>
      </c>
      <c r="J939" s="1" t="s">
        <v>1393</v>
      </c>
      <c r="K939" s="1" t="s">
        <v>74</v>
      </c>
      <c r="L939" s="1" t="s">
        <v>74</v>
      </c>
      <c r="M939" s="1" t="s">
        <v>74</v>
      </c>
      <c r="N939" s="1" t="s">
        <v>74</v>
      </c>
      <c r="O939" s="1" t="s">
        <v>74</v>
      </c>
      <c r="P939" s="1" t="s">
        <v>74</v>
      </c>
      <c r="Q939" s="1" t="s">
        <v>74</v>
      </c>
      <c r="R939" s="1" t="s">
        <v>74</v>
      </c>
      <c r="S939" s="1" t="s">
        <v>74</v>
      </c>
      <c r="T939" s="1" t="s">
        <v>74</v>
      </c>
      <c r="U939" s="1" t="s">
        <v>74</v>
      </c>
      <c r="V939" s="1" t="s">
        <v>74</v>
      </c>
      <c r="W939" s="1" t="s">
        <v>74</v>
      </c>
      <c r="X939" s="1" t="s">
        <v>74</v>
      </c>
      <c r="Y939" s="1" t="s">
        <v>74</v>
      </c>
      <c r="Z939" s="1" t="s">
        <v>74</v>
      </c>
      <c r="AA939" s="1" t="s">
        <v>74</v>
      </c>
      <c r="AB939" s="1" t="s">
        <v>74</v>
      </c>
      <c r="AC939" s="1" t="s">
        <v>74</v>
      </c>
      <c r="AD939" s="1" t="s">
        <v>74</v>
      </c>
      <c r="AE939" s="1" t="s">
        <v>74</v>
      </c>
      <c r="AF939" s="1" t="s">
        <v>74</v>
      </c>
      <c r="AG939" s="1" t="s">
        <v>74</v>
      </c>
      <c r="AH939" s="1" t="s">
        <v>74</v>
      </c>
      <c r="AI939" s="1" t="s">
        <v>74</v>
      </c>
      <c r="AJ939" s="1" t="s">
        <v>74</v>
      </c>
      <c r="AK939" s="1" t="s">
        <v>74</v>
      </c>
      <c r="AL939" s="1" t="s">
        <v>74</v>
      </c>
      <c r="AM939" s="1" t="s">
        <v>74</v>
      </c>
      <c r="AN939" s="1" t="s">
        <v>74</v>
      </c>
      <c r="AO939" s="1" t="s">
        <v>1394</v>
      </c>
      <c r="AP939" s="1" t="s">
        <v>74</v>
      </c>
      <c r="AQ939" s="1" t="s">
        <v>74</v>
      </c>
      <c r="AR939" s="1" t="s">
        <v>74</v>
      </c>
      <c r="AS939" s="1" t="s">
        <v>74</v>
      </c>
      <c r="AT939" s="1" t="s">
        <v>6786</v>
      </c>
      <c r="AU939" s="1">
        <v>2009.0</v>
      </c>
      <c r="AV939" s="1">
        <v>238.0</v>
      </c>
      <c r="AW939" s="1" t="s">
        <v>74</v>
      </c>
      <c r="AX939" s="1" t="s">
        <v>74</v>
      </c>
      <c r="AY939" s="1" t="s">
        <v>74</v>
      </c>
      <c r="AZ939" s="1" t="s">
        <v>74</v>
      </c>
      <c r="BA939" s="1" t="s">
        <v>9286</v>
      </c>
      <c r="BB939" s="1" t="s">
        <v>74</v>
      </c>
      <c r="BC939" s="1" t="s">
        <v>74</v>
      </c>
      <c r="BD939" s="1" t="s">
        <v>74</v>
      </c>
      <c r="BE939" s="1" t="s">
        <v>74</v>
      </c>
      <c r="BF939" s="1" t="s">
        <v>74</v>
      </c>
      <c r="BG939" s="1" t="s">
        <v>74</v>
      </c>
      <c r="BH939" s="1" t="s">
        <v>74</v>
      </c>
      <c r="BI939" s="1" t="s">
        <v>74</v>
      </c>
      <c r="BJ939" s="1" t="s">
        <v>74</v>
      </c>
      <c r="BK939" s="1" t="s">
        <v>74</v>
      </c>
      <c r="BL939" s="1" t="s">
        <v>74</v>
      </c>
      <c r="BM939" s="1" t="s">
        <v>74</v>
      </c>
      <c r="BN939" s="1" t="s">
        <v>74</v>
      </c>
      <c r="BO939" s="1" t="s">
        <v>74</v>
      </c>
      <c r="BP939" s="1" t="s">
        <v>74</v>
      </c>
      <c r="BQ939" s="1" t="s">
        <v>74</v>
      </c>
      <c r="BR939" s="1" t="s">
        <v>74</v>
      </c>
      <c r="BS939" s="1" t="s">
        <v>9287</v>
      </c>
      <c r="BT939" s="1" t="str">
        <f>HYPERLINK("https%3A%2F%2Fwww.webofscience.com%2Fwos%2Fwoscc%2Ffull-record%2FWOS:000207861904656","View Full Record in Web of Science")</f>
        <v>View Full Record in Web of Science</v>
      </c>
    </row>
    <row r="940" ht="12.75" customHeight="1">
      <c r="A940" s="1" t="s">
        <v>72</v>
      </c>
      <c r="B940" s="1" t="s">
        <v>9288</v>
      </c>
      <c r="C940" s="1" t="s">
        <v>74</v>
      </c>
      <c r="D940" s="1" t="s">
        <v>74</v>
      </c>
      <c r="E940" s="1" t="s">
        <v>74</v>
      </c>
      <c r="F940" s="1" t="s">
        <v>9288</v>
      </c>
      <c r="G940" s="1" t="s">
        <v>74</v>
      </c>
      <c r="H940" s="1" t="s">
        <v>74</v>
      </c>
      <c r="I940" s="1" t="s">
        <v>9289</v>
      </c>
      <c r="J940" s="1" t="s">
        <v>9290</v>
      </c>
      <c r="K940" s="1" t="s">
        <v>74</v>
      </c>
      <c r="L940" s="1" t="s">
        <v>74</v>
      </c>
      <c r="M940" s="1" t="s">
        <v>74</v>
      </c>
      <c r="N940" s="1" t="s">
        <v>74</v>
      </c>
      <c r="O940" s="1" t="s">
        <v>74</v>
      </c>
      <c r="P940" s="1" t="s">
        <v>74</v>
      </c>
      <c r="Q940" s="1" t="s">
        <v>74</v>
      </c>
      <c r="R940" s="1" t="s">
        <v>74</v>
      </c>
      <c r="S940" s="1" t="s">
        <v>74</v>
      </c>
      <c r="T940" s="1" t="s">
        <v>74</v>
      </c>
      <c r="U940" s="1" t="s">
        <v>74</v>
      </c>
      <c r="V940" s="1" t="s">
        <v>9291</v>
      </c>
      <c r="W940" s="1" t="s">
        <v>74</v>
      </c>
      <c r="X940" s="1" t="s">
        <v>74</v>
      </c>
      <c r="Y940" s="1" t="s">
        <v>74</v>
      </c>
      <c r="Z940" s="1" t="s">
        <v>74</v>
      </c>
      <c r="AA940" s="1" t="s">
        <v>9292</v>
      </c>
      <c r="AB940" s="1" t="s">
        <v>9293</v>
      </c>
      <c r="AC940" s="1" t="s">
        <v>74</v>
      </c>
      <c r="AD940" s="1" t="s">
        <v>74</v>
      </c>
      <c r="AE940" s="1" t="s">
        <v>74</v>
      </c>
      <c r="AF940" s="1" t="s">
        <v>74</v>
      </c>
      <c r="AG940" s="1" t="s">
        <v>74</v>
      </c>
      <c r="AH940" s="1" t="s">
        <v>74</v>
      </c>
      <c r="AI940" s="1" t="s">
        <v>74</v>
      </c>
      <c r="AJ940" s="1" t="s">
        <v>74</v>
      </c>
      <c r="AK940" s="1" t="s">
        <v>74</v>
      </c>
      <c r="AL940" s="1" t="s">
        <v>74</v>
      </c>
      <c r="AM940" s="1" t="s">
        <v>74</v>
      </c>
      <c r="AN940" s="1" t="s">
        <v>74</v>
      </c>
      <c r="AO940" s="1" t="s">
        <v>9294</v>
      </c>
      <c r="AP940" s="1" t="s">
        <v>9295</v>
      </c>
      <c r="AQ940" s="1" t="s">
        <v>74</v>
      </c>
      <c r="AR940" s="1" t="s">
        <v>74</v>
      </c>
      <c r="AS940" s="1" t="s">
        <v>74</v>
      </c>
      <c r="AT940" s="1" t="s">
        <v>316</v>
      </c>
      <c r="AU940" s="1">
        <v>2005.0</v>
      </c>
      <c r="AV940" s="1">
        <v>26.0</v>
      </c>
      <c r="AW940" s="1">
        <v>10.0</v>
      </c>
      <c r="AX940" s="1" t="s">
        <v>74</v>
      </c>
      <c r="AY940" s="1" t="s">
        <v>74</v>
      </c>
      <c r="AZ940" s="1" t="s">
        <v>74</v>
      </c>
      <c r="BA940" s="1" t="s">
        <v>74</v>
      </c>
      <c r="BB940" s="1">
        <v>526.0</v>
      </c>
      <c r="BC940" s="1">
        <v>532.0</v>
      </c>
      <c r="BD940" s="1" t="s">
        <v>74</v>
      </c>
      <c r="BE940" s="1" t="s">
        <v>9296</v>
      </c>
      <c r="BF940" s="2" t="str">
        <f>HYPERLINK("http://dx.doi.org/10.1016/j.tips.2005.08.003","http://dx.doi.org/10.1016/j.tips.2005.08.003")</f>
        <v>http://dx.doi.org/10.1016/j.tips.2005.08.003</v>
      </c>
      <c r="BG940" s="1" t="s">
        <v>74</v>
      </c>
      <c r="BH940" s="1" t="s">
        <v>74</v>
      </c>
      <c r="BI940" s="1" t="s">
        <v>74</v>
      </c>
      <c r="BJ940" s="1" t="s">
        <v>74</v>
      </c>
      <c r="BK940" s="1" t="s">
        <v>74</v>
      </c>
      <c r="BL940" s="1" t="s">
        <v>74</v>
      </c>
      <c r="BM940" s="1" t="s">
        <v>74</v>
      </c>
      <c r="BN940" s="1">
        <v>1.6125797E7</v>
      </c>
      <c r="BO940" s="1" t="s">
        <v>74</v>
      </c>
      <c r="BP940" s="1" t="s">
        <v>74</v>
      </c>
      <c r="BQ940" s="1" t="s">
        <v>74</v>
      </c>
      <c r="BR940" s="1" t="s">
        <v>74</v>
      </c>
      <c r="BS940" s="1" t="s">
        <v>9297</v>
      </c>
      <c r="BT940" s="1" t="str">
        <f>HYPERLINK("https%3A%2F%2Fwww.webofscience.com%2Fwos%2Fwoscc%2Ffull-record%2FWOS:000232606200007","View Full Record in Web of Science")</f>
        <v>View Full Record in Web of Science</v>
      </c>
    </row>
    <row r="941" ht="12.75" customHeight="1">
      <c r="A941" s="1" t="s">
        <v>72</v>
      </c>
      <c r="B941" s="1" t="s">
        <v>9298</v>
      </c>
      <c r="C941" s="1" t="s">
        <v>74</v>
      </c>
      <c r="D941" s="1" t="s">
        <v>74</v>
      </c>
      <c r="E941" s="1" t="s">
        <v>74</v>
      </c>
      <c r="F941" s="1" t="s">
        <v>9298</v>
      </c>
      <c r="G941" s="1" t="s">
        <v>74</v>
      </c>
      <c r="H941" s="1" t="s">
        <v>74</v>
      </c>
      <c r="I941" s="1" t="s">
        <v>9299</v>
      </c>
      <c r="J941" s="1" t="s">
        <v>9300</v>
      </c>
      <c r="K941" s="1" t="s">
        <v>74</v>
      </c>
      <c r="L941" s="1" t="s">
        <v>74</v>
      </c>
      <c r="M941" s="1" t="s">
        <v>74</v>
      </c>
      <c r="N941" s="1" t="s">
        <v>74</v>
      </c>
      <c r="O941" s="1" t="s">
        <v>74</v>
      </c>
      <c r="P941" s="1" t="s">
        <v>74</v>
      </c>
      <c r="Q941" s="1" t="s">
        <v>74</v>
      </c>
      <c r="R941" s="1" t="s">
        <v>74</v>
      </c>
      <c r="S941" s="1" t="s">
        <v>74</v>
      </c>
      <c r="T941" s="1" t="s">
        <v>74</v>
      </c>
      <c r="U941" s="1" t="s">
        <v>74</v>
      </c>
      <c r="V941" s="1" t="s">
        <v>9301</v>
      </c>
      <c r="W941" s="1" t="s">
        <v>74</v>
      </c>
      <c r="X941" s="1" t="s">
        <v>74</v>
      </c>
      <c r="Y941" s="1" t="s">
        <v>74</v>
      </c>
      <c r="Z941" s="1" t="s">
        <v>74</v>
      </c>
      <c r="AA941" s="1" t="s">
        <v>74</v>
      </c>
      <c r="AB941" s="1" t="s">
        <v>9302</v>
      </c>
      <c r="AC941" s="1" t="s">
        <v>74</v>
      </c>
      <c r="AD941" s="1" t="s">
        <v>74</v>
      </c>
      <c r="AE941" s="1" t="s">
        <v>74</v>
      </c>
      <c r="AF941" s="1" t="s">
        <v>74</v>
      </c>
      <c r="AG941" s="1" t="s">
        <v>74</v>
      </c>
      <c r="AH941" s="1" t="s">
        <v>74</v>
      </c>
      <c r="AI941" s="1" t="s">
        <v>74</v>
      </c>
      <c r="AJ941" s="1" t="s">
        <v>74</v>
      </c>
      <c r="AK941" s="1" t="s">
        <v>74</v>
      </c>
      <c r="AL941" s="1" t="s">
        <v>74</v>
      </c>
      <c r="AM941" s="1" t="s">
        <v>74</v>
      </c>
      <c r="AN941" s="1" t="s">
        <v>74</v>
      </c>
      <c r="AO941" s="1" t="s">
        <v>9303</v>
      </c>
      <c r="AP941" s="1" t="s">
        <v>9304</v>
      </c>
      <c r="AQ941" s="1" t="s">
        <v>74</v>
      </c>
      <c r="AR941" s="1" t="s">
        <v>74</v>
      </c>
      <c r="AS941" s="1" t="s">
        <v>74</v>
      </c>
      <c r="AT941" s="1" t="s">
        <v>74</v>
      </c>
      <c r="AU941" s="1">
        <v>1984.0</v>
      </c>
      <c r="AV941" s="1">
        <v>40.0</v>
      </c>
      <c r="AW941" s="1">
        <v>20.0</v>
      </c>
      <c r="AX941" s="1" t="s">
        <v>74</v>
      </c>
      <c r="AY941" s="1" t="s">
        <v>74</v>
      </c>
      <c r="AZ941" s="1" t="s">
        <v>74</v>
      </c>
      <c r="BA941" s="1" t="s">
        <v>74</v>
      </c>
      <c r="BB941" s="1">
        <v>3957.0</v>
      </c>
      <c r="BC941" s="1">
        <v>3962.0</v>
      </c>
      <c r="BD941" s="1" t="s">
        <v>74</v>
      </c>
      <c r="BE941" s="1" t="s">
        <v>9305</v>
      </c>
      <c r="BF941" s="2" t="str">
        <f>HYPERLINK("http://dx.doi.org/10.1016/0040-4020(84)85073-5","http://dx.doi.org/10.1016/0040-4020(84)85073-5")</f>
        <v>http://dx.doi.org/10.1016/0040-4020(84)85073-5</v>
      </c>
      <c r="BG941" s="1" t="s">
        <v>74</v>
      </c>
      <c r="BH941" s="1" t="s">
        <v>74</v>
      </c>
      <c r="BI941" s="1" t="s">
        <v>74</v>
      </c>
      <c r="BJ941" s="1" t="s">
        <v>74</v>
      </c>
      <c r="BK941" s="1" t="s">
        <v>74</v>
      </c>
      <c r="BL941" s="1" t="s">
        <v>74</v>
      </c>
      <c r="BM941" s="1" t="s">
        <v>74</v>
      </c>
      <c r="BN941" s="1" t="s">
        <v>74</v>
      </c>
      <c r="BO941" s="1" t="s">
        <v>74</v>
      </c>
      <c r="BP941" s="1" t="s">
        <v>74</v>
      </c>
      <c r="BQ941" s="1" t="s">
        <v>74</v>
      </c>
      <c r="BR941" s="1" t="s">
        <v>74</v>
      </c>
      <c r="BS941" s="1" t="s">
        <v>9306</v>
      </c>
      <c r="BT941" s="1" t="str">
        <f>HYPERLINK("https%3A%2F%2Fwww.webofscience.com%2Fwos%2Fwoscc%2Ffull-record%2FWOS:A1984AAQ0100005","View Full Record in Web of Science")</f>
        <v>View Full Record in Web of Science</v>
      </c>
    </row>
    <row r="942" ht="12.75" customHeight="1">
      <c r="A942" s="1" t="s">
        <v>72</v>
      </c>
      <c r="B942" s="1" t="s">
        <v>9307</v>
      </c>
      <c r="C942" s="1" t="s">
        <v>74</v>
      </c>
      <c r="D942" s="1" t="s">
        <v>74</v>
      </c>
      <c r="E942" s="1" t="s">
        <v>74</v>
      </c>
      <c r="F942" s="1" t="s">
        <v>9308</v>
      </c>
      <c r="G942" s="1" t="s">
        <v>74</v>
      </c>
      <c r="H942" s="1" t="s">
        <v>74</v>
      </c>
      <c r="I942" s="1" t="s">
        <v>9309</v>
      </c>
      <c r="J942" s="1" t="s">
        <v>8103</v>
      </c>
      <c r="K942" s="1" t="s">
        <v>74</v>
      </c>
      <c r="L942" s="1" t="s">
        <v>74</v>
      </c>
      <c r="M942" s="1" t="s">
        <v>74</v>
      </c>
      <c r="N942" s="1" t="s">
        <v>74</v>
      </c>
      <c r="O942" s="1" t="s">
        <v>74</v>
      </c>
      <c r="P942" s="1" t="s">
        <v>74</v>
      </c>
      <c r="Q942" s="1" t="s">
        <v>74</v>
      </c>
      <c r="R942" s="1" t="s">
        <v>74</v>
      </c>
      <c r="S942" s="1" t="s">
        <v>74</v>
      </c>
      <c r="T942" s="1" t="s">
        <v>74</v>
      </c>
      <c r="U942" s="1" t="s">
        <v>74</v>
      </c>
      <c r="V942" s="1" t="s">
        <v>9310</v>
      </c>
      <c r="W942" s="1" t="s">
        <v>74</v>
      </c>
      <c r="X942" s="1" t="s">
        <v>74</v>
      </c>
      <c r="Y942" s="1" t="s">
        <v>74</v>
      </c>
      <c r="Z942" s="1" t="s">
        <v>74</v>
      </c>
      <c r="AA942" s="1" t="s">
        <v>9311</v>
      </c>
      <c r="AB942" s="1" t="s">
        <v>9312</v>
      </c>
      <c r="AC942" s="1" t="s">
        <v>74</v>
      </c>
      <c r="AD942" s="1" t="s">
        <v>74</v>
      </c>
      <c r="AE942" s="1" t="s">
        <v>74</v>
      </c>
      <c r="AF942" s="1" t="s">
        <v>74</v>
      </c>
      <c r="AG942" s="1" t="s">
        <v>74</v>
      </c>
      <c r="AH942" s="1" t="s">
        <v>74</v>
      </c>
      <c r="AI942" s="1" t="s">
        <v>74</v>
      </c>
      <c r="AJ942" s="1" t="s">
        <v>74</v>
      </c>
      <c r="AK942" s="1" t="s">
        <v>74</v>
      </c>
      <c r="AL942" s="1" t="s">
        <v>74</v>
      </c>
      <c r="AM942" s="1" t="s">
        <v>74</v>
      </c>
      <c r="AN942" s="1" t="s">
        <v>74</v>
      </c>
      <c r="AO942" s="1" t="s">
        <v>8107</v>
      </c>
      <c r="AP942" s="1" t="s">
        <v>8108</v>
      </c>
      <c r="AQ942" s="1" t="s">
        <v>74</v>
      </c>
      <c r="AR942" s="1" t="s">
        <v>74</v>
      </c>
      <c r="AS942" s="1" t="s">
        <v>74</v>
      </c>
      <c r="AT942" s="1" t="s">
        <v>719</v>
      </c>
      <c r="AU942" s="1">
        <v>2024.0</v>
      </c>
      <c r="AV942" s="1">
        <v>273.0</v>
      </c>
      <c r="AW942" s="1" t="s">
        <v>74</v>
      </c>
      <c r="AX942" s="1">
        <v>1.0</v>
      </c>
      <c r="AY942" s="1" t="s">
        <v>74</v>
      </c>
      <c r="AZ942" s="1" t="s">
        <v>74</v>
      </c>
      <c r="BA942" s="1" t="s">
        <v>74</v>
      </c>
      <c r="BB942" s="1" t="s">
        <v>74</v>
      </c>
      <c r="BC942" s="1" t="s">
        <v>74</v>
      </c>
      <c r="BD942" s="1">
        <v>132891.0</v>
      </c>
      <c r="BE942" s="1" t="s">
        <v>9313</v>
      </c>
      <c r="BF942" s="2" t="str">
        <f>HYPERLINK("http://dx.doi.org/10.1016/j.ijbiomac.2024.132891","http://dx.doi.org/10.1016/j.ijbiomac.2024.132891")</f>
        <v>http://dx.doi.org/10.1016/j.ijbiomac.2024.132891</v>
      </c>
      <c r="BG942" s="1" t="s">
        <v>74</v>
      </c>
      <c r="BH942" s="1" t="s">
        <v>6990</v>
      </c>
      <c r="BI942" s="1" t="s">
        <v>74</v>
      </c>
      <c r="BJ942" s="1" t="s">
        <v>74</v>
      </c>
      <c r="BK942" s="1" t="s">
        <v>74</v>
      </c>
      <c r="BL942" s="1" t="s">
        <v>74</v>
      </c>
      <c r="BM942" s="1" t="s">
        <v>74</v>
      </c>
      <c r="BN942" s="1">
        <v>3.8848852E7</v>
      </c>
      <c r="BO942" s="1" t="s">
        <v>74</v>
      </c>
      <c r="BP942" s="1" t="s">
        <v>74</v>
      </c>
      <c r="BQ942" s="1" t="s">
        <v>74</v>
      </c>
      <c r="BR942" s="1" t="s">
        <v>74</v>
      </c>
      <c r="BS942" s="1" t="s">
        <v>9314</v>
      </c>
      <c r="BT942" s="1" t="str">
        <f>HYPERLINK("https%3A%2F%2Fwww.webofscience.com%2Fwos%2Fwoscc%2Ffull-record%2FWOS:001256888500001","View Full Record in Web of Science")</f>
        <v>View Full Record in Web of Science</v>
      </c>
    </row>
    <row r="943" ht="12.75" customHeight="1">
      <c r="A943" s="1" t="s">
        <v>72</v>
      </c>
      <c r="B943" s="1" t="s">
        <v>9315</v>
      </c>
      <c r="C943" s="1" t="s">
        <v>74</v>
      </c>
      <c r="D943" s="1" t="s">
        <v>74</v>
      </c>
      <c r="E943" s="1" t="s">
        <v>74</v>
      </c>
      <c r="F943" s="1" t="s">
        <v>9316</v>
      </c>
      <c r="G943" s="1" t="s">
        <v>74</v>
      </c>
      <c r="H943" s="1" t="s">
        <v>74</v>
      </c>
      <c r="I943" s="1" t="s">
        <v>9317</v>
      </c>
      <c r="J943" s="1" t="s">
        <v>3984</v>
      </c>
      <c r="K943" s="1" t="s">
        <v>74</v>
      </c>
      <c r="L943" s="1" t="s">
        <v>74</v>
      </c>
      <c r="M943" s="1" t="s">
        <v>74</v>
      </c>
      <c r="N943" s="1" t="s">
        <v>74</v>
      </c>
      <c r="O943" s="1" t="s">
        <v>74</v>
      </c>
      <c r="P943" s="1" t="s">
        <v>74</v>
      </c>
      <c r="Q943" s="1" t="s">
        <v>74</v>
      </c>
      <c r="R943" s="1" t="s">
        <v>74</v>
      </c>
      <c r="S943" s="1" t="s">
        <v>74</v>
      </c>
      <c r="T943" s="1" t="s">
        <v>74</v>
      </c>
      <c r="U943" s="1" t="s">
        <v>74</v>
      </c>
      <c r="V943" s="1" t="s">
        <v>9318</v>
      </c>
      <c r="W943" s="1" t="s">
        <v>74</v>
      </c>
      <c r="X943" s="1" t="s">
        <v>74</v>
      </c>
      <c r="Y943" s="1" t="s">
        <v>74</v>
      </c>
      <c r="Z943" s="1" t="s">
        <v>74</v>
      </c>
      <c r="AA943" s="1" t="s">
        <v>9319</v>
      </c>
      <c r="AB943" s="1" t="s">
        <v>9320</v>
      </c>
      <c r="AC943" s="1" t="s">
        <v>74</v>
      </c>
      <c r="AD943" s="1" t="s">
        <v>74</v>
      </c>
      <c r="AE943" s="1" t="s">
        <v>74</v>
      </c>
      <c r="AF943" s="1" t="s">
        <v>74</v>
      </c>
      <c r="AG943" s="1" t="s">
        <v>74</v>
      </c>
      <c r="AH943" s="1" t="s">
        <v>74</v>
      </c>
      <c r="AI943" s="1" t="s">
        <v>74</v>
      </c>
      <c r="AJ943" s="1" t="s">
        <v>74</v>
      </c>
      <c r="AK943" s="1" t="s">
        <v>74</v>
      </c>
      <c r="AL943" s="1" t="s">
        <v>74</v>
      </c>
      <c r="AM943" s="1" t="s">
        <v>74</v>
      </c>
      <c r="AN943" s="1" t="s">
        <v>74</v>
      </c>
      <c r="AO943" s="1" t="s">
        <v>3987</v>
      </c>
      <c r="AP943" s="1" t="s">
        <v>3988</v>
      </c>
      <c r="AQ943" s="1" t="s">
        <v>74</v>
      </c>
      <c r="AR943" s="1" t="s">
        <v>74</v>
      </c>
      <c r="AS943" s="1" t="s">
        <v>74</v>
      </c>
      <c r="AT943" s="1" t="s">
        <v>464</v>
      </c>
      <c r="AU943" s="1">
        <v>2024.0</v>
      </c>
      <c r="AV943" s="1">
        <v>889.0</v>
      </c>
      <c r="AW943" s="1" t="s">
        <v>74</v>
      </c>
      <c r="AX943" s="1" t="s">
        <v>74</v>
      </c>
      <c r="AY943" s="1" t="s">
        <v>74</v>
      </c>
      <c r="AZ943" s="1" t="s">
        <v>74</v>
      </c>
      <c r="BA943" s="1" t="s">
        <v>74</v>
      </c>
      <c r="BB943" s="1" t="s">
        <v>74</v>
      </c>
      <c r="BC943" s="1" t="s">
        <v>74</v>
      </c>
      <c r="BD943" s="1">
        <v>145865.0</v>
      </c>
      <c r="BE943" s="1" t="s">
        <v>9321</v>
      </c>
      <c r="BF943" s="2" t="str">
        <f>HYPERLINK("http://dx.doi.org/10.1016/j.msea.2023.145865","http://dx.doi.org/10.1016/j.msea.2023.145865")</f>
        <v>http://dx.doi.org/10.1016/j.msea.2023.145865</v>
      </c>
      <c r="BG943" s="1" t="s">
        <v>74</v>
      </c>
      <c r="BH943" s="1" t="s">
        <v>2383</v>
      </c>
      <c r="BI943" s="1" t="s">
        <v>74</v>
      </c>
      <c r="BJ943" s="1" t="s">
        <v>74</v>
      </c>
      <c r="BK943" s="1" t="s">
        <v>74</v>
      </c>
      <c r="BL943" s="1" t="s">
        <v>74</v>
      </c>
      <c r="BM943" s="1" t="s">
        <v>74</v>
      </c>
      <c r="BN943" s="1" t="s">
        <v>74</v>
      </c>
      <c r="BO943" s="1" t="s">
        <v>74</v>
      </c>
      <c r="BP943" s="1" t="s">
        <v>74</v>
      </c>
      <c r="BQ943" s="1" t="s">
        <v>74</v>
      </c>
      <c r="BR943" s="1" t="s">
        <v>74</v>
      </c>
      <c r="BS943" s="1" t="s">
        <v>9322</v>
      </c>
      <c r="BT943" s="1" t="str">
        <f>HYPERLINK("https%3A%2F%2Fwww.webofscience.com%2Fwos%2Fwoscc%2Ffull-record%2FWOS:001111942800001","View Full Record in Web of Science")</f>
        <v>View Full Record in Web of Science</v>
      </c>
    </row>
    <row r="944" ht="12.75" customHeight="1">
      <c r="A944" s="1" t="s">
        <v>72</v>
      </c>
      <c r="B944" s="1" t="s">
        <v>9323</v>
      </c>
      <c r="C944" s="1" t="s">
        <v>74</v>
      </c>
      <c r="D944" s="1" t="s">
        <v>74</v>
      </c>
      <c r="E944" s="1" t="s">
        <v>74</v>
      </c>
      <c r="F944" s="1" t="s">
        <v>9324</v>
      </c>
      <c r="G944" s="1" t="s">
        <v>74</v>
      </c>
      <c r="H944" s="1" t="s">
        <v>74</v>
      </c>
      <c r="I944" s="1" t="s">
        <v>9325</v>
      </c>
      <c r="J944" s="1" t="s">
        <v>1734</v>
      </c>
      <c r="K944" s="1" t="s">
        <v>74</v>
      </c>
      <c r="L944" s="1" t="s">
        <v>74</v>
      </c>
      <c r="M944" s="1" t="s">
        <v>74</v>
      </c>
      <c r="N944" s="1" t="s">
        <v>74</v>
      </c>
      <c r="O944" s="1" t="s">
        <v>74</v>
      </c>
      <c r="P944" s="1" t="s">
        <v>74</v>
      </c>
      <c r="Q944" s="1" t="s">
        <v>74</v>
      </c>
      <c r="R944" s="1" t="s">
        <v>74</v>
      </c>
      <c r="S944" s="1" t="s">
        <v>74</v>
      </c>
      <c r="T944" s="1" t="s">
        <v>74</v>
      </c>
      <c r="U944" s="1" t="s">
        <v>74</v>
      </c>
      <c r="V944" s="1" t="s">
        <v>9326</v>
      </c>
      <c r="W944" s="1" t="s">
        <v>74</v>
      </c>
      <c r="X944" s="1" t="s">
        <v>74</v>
      </c>
      <c r="Y944" s="1" t="s">
        <v>74</v>
      </c>
      <c r="Z944" s="1" t="s">
        <v>74</v>
      </c>
      <c r="AA944" s="1" t="s">
        <v>74</v>
      </c>
      <c r="AB944" s="1" t="s">
        <v>3701</v>
      </c>
      <c r="AC944" s="1" t="s">
        <v>74</v>
      </c>
      <c r="AD944" s="1" t="s">
        <v>74</v>
      </c>
      <c r="AE944" s="1" t="s">
        <v>74</v>
      </c>
      <c r="AF944" s="1" t="s">
        <v>74</v>
      </c>
      <c r="AG944" s="1" t="s">
        <v>74</v>
      </c>
      <c r="AH944" s="1" t="s">
        <v>74</v>
      </c>
      <c r="AI944" s="1" t="s">
        <v>74</v>
      </c>
      <c r="AJ944" s="1" t="s">
        <v>74</v>
      </c>
      <c r="AK944" s="1" t="s">
        <v>74</v>
      </c>
      <c r="AL944" s="1" t="s">
        <v>74</v>
      </c>
      <c r="AM944" s="1" t="s">
        <v>74</v>
      </c>
      <c r="AN944" s="1" t="s">
        <v>74</v>
      </c>
      <c r="AO944" s="1" t="s">
        <v>1737</v>
      </c>
      <c r="AP944" s="1" t="s">
        <v>1738</v>
      </c>
      <c r="AQ944" s="1" t="s">
        <v>74</v>
      </c>
      <c r="AR944" s="1" t="s">
        <v>74</v>
      </c>
      <c r="AS944" s="1" t="s">
        <v>74</v>
      </c>
      <c r="AT944" s="1" t="s">
        <v>559</v>
      </c>
      <c r="AU944" s="1">
        <v>2022.0</v>
      </c>
      <c r="AV944" s="1">
        <v>150.0</v>
      </c>
      <c r="AW944" s="1">
        <v>12.0</v>
      </c>
      <c r="AX944" s="1" t="s">
        <v>74</v>
      </c>
      <c r="AY944" s="1" t="s">
        <v>74</v>
      </c>
      <c r="AZ944" s="1" t="s">
        <v>74</v>
      </c>
      <c r="BA944" s="1" t="s">
        <v>74</v>
      </c>
      <c r="BB944" s="1">
        <v>1605.0</v>
      </c>
      <c r="BC944" s="1">
        <v>1612.0</v>
      </c>
      <c r="BD944" s="1" t="s">
        <v>74</v>
      </c>
      <c r="BE944" s="1" t="s">
        <v>74</v>
      </c>
      <c r="BF944" s="1" t="s">
        <v>74</v>
      </c>
      <c r="BG944" s="1" t="s">
        <v>74</v>
      </c>
      <c r="BH944" s="1" t="s">
        <v>74</v>
      </c>
      <c r="BI944" s="1" t="s">
        <v>74</v>
      </c>
      <c r="BJ944" s="1" t="s">
        <v>74</v>
      </c>
      <c r="BK944" s="1" t="s">
        <v>74</v>
      </c>
      <c r="BL944" s="1" t="s">
        <v>74</v>
      </c>
      <c r="BM944" s="1" t="s">
        <v>74</v>
      </c>
      <c r="BN944" s="1">
        <v>3.7906781E7</v>
      </c>
      <c r="BO944" s="1" t="s">
        <v>74</v>
      </c>
      <c r="BP944" s="1" t="s">
        <v>74</v>
      </c>
      <c r="BQ944" s="1" t="s">
        <v>74</v>
      </c>
      <c r="BR944" s="1" t="s">
        <v>74</v>
      </c>
      <c r="BS944" s="1" t="s">
        <v>9327</v>
      </c>
      <c r="BT944" s="1" t="str">
        <f>HYPERLINK("https%3A%2F%2Fwww.webofscience.com%2Fwos%2Fwoscc%2Ffull-record%2FWOS:001042468100006","View Full Record in Web of Science")</f>
        <v>View Full Record in Web of Science</v>
      </c>
    </row>
    <row r="945" ht="12.75" customHeight="1">
      <c r="A945" s="1" t="s">
        <v>72</v>
      </c>
      <c r="B945" s="1" t="s">
        <v>9328</v>
      </c>
      <c r="C945" s="1" t="s">
        <v>74</v>
      </c>
      <c r="D945" s="1" t="s">
        <v>74</v>
      </c>
      <c r="E945" s="1" t="s">
        <v>74</v>
      </c>
      <c r="F945" s="1" t="s">
        <v>9329</v>
      </c>
      <c r="G945" s="1" t="s">
        <v>74</v>
      </c>
      <c r="H945" s="1" t="s">
        <v>74</v>
      </c>
      <c r="I945" s="1" t="s">
        <v>9330</v>
      </c>
      <c r="J945" s="1" t="s">
        <v>3514</v>
      </c>
      <c r="K945" s="1" t="s">
        <v>74</v>
      </c>
      <c r="L945" s="1" t="s">
        <v>74</v>
      </c>
      <c r="M945" s="1" t="s">
        <v>74</v>
      </c>
      <c r="N945" s="1" t="s">
        <v>74</v>
      </c>
      <c r="O945" s="1" t="s">
        <v>74</v>
      </c>
      <c r="P945" s="1" t="s">
        <v>74</v>
      </c>
      <c r="Q945" s="1" t="s">
        <v>74</v>
      </c>
      <c r="R945" s="1" t="s">
        <v>74</v>
      </c>
      <c r="S945" s="1" t="s">
        <v>74</v>
      </c>
      <c r="T945" s="1" t="s">
        <v>74</v>
      </c>
      <c r="U945" s="1" t="s">
        <v>74</v>
      </c>
      <c r="V945" s="1" t="s">
        <v>9331</v>
      </c>
      <c r="W945" s="1" t="s">
        <v>74</v>
      </c>
      <c r="X945" s="1" t="s">
        <v>74</v>
      </c>
      <c r="Y945" s="1" t="s">
        <v>74</v>
      </c>
      <c r="Z945" s="1" t="s">
        <v>74</v>
      </c>
      <c r="AA945" s="1" t="s">
        <v>9332</v>
      </c>
      <c r="AB945" s="1" t="s">
        <v>9333</v>
      </c>
      <c r="AC945" s="1" t="s">
        <v>74</v>
      </c>
      <c r="AD945" s="1" t="s">
        <v>74</v>
      </c>
      <c r="AE945" s="1" t="s">
        <v>74</v>
      </c>
      <c r="AF945" s="1" t="s">
        <v>74</v>
      </c>
      <c r="AG945" s="1" t="s">
        <v>74</v>
      </c>
      <c r="AH945" s="1" t="s">
        <v>74</v>
      </c>
      <c r="AI945" s="1" t="s">
        <v>74</v>
      </c>
      <c r="AJ945" s="1" t="s">
        <v>74</v>
      </c>
      <c r="AK945" s="1" t="s">
        <v>74</v>
      </c>
      <c r="AL945" s="1" t="s">
        <v>74</v>
      </c>
      <c r="AM945" s="1" t="s">
        <v>74</v>
      </c>
      <c r="AN945" s="1" t="s">
        <v>74</v>
      </c>
      <c r="AO945" s="1" t="s">
        <v>74</v>
      </c>
      <c r="AP945" s="1" t="s">
        <v>3518</v>
      </c>
      <c r="AQ945" s="1" t="s">
        <v>74</v>
      </c>
      <c r="AR945" s="1" t="s">
        <v>74</v>
      </c>
      <c r="AS945" s="1" t="s">
        <v>74</v>
      </c>
      <c r="AT945" s="1" t="s">
        <v>559</v>
      </c>
      <c r="AU945" s="1">
        <v>2021.0</v>
      </c>
      <c r="AV945" s="1">
        <v>9.0</v>
      </c>
      <c r="AW945" s="1">
        <v>12.0</v>
      </c>
      <c r="AX945" s="1" t="s">
        <v>74</v>
      </c>
      <c r="AY945" s="1" t="s">
        <v>74</v>
      </c>
      <c r="AZ945" s="1" t="s">
        <v>74</v>
      </c>
      <c r="BA945" s="1" t="s">
        <v>74</v>
      </c>
      <c r="BB945" s="1" t="s">
        <v>74</v>
      </c>
      <c r="BC945" s="1" t="s">
        <v>74</v>
      </c>
      <c r="BD945" s="1">
        <v>2419.0</v>
      </c>
      <c r="BE945" s="1" t="s">
        <v>9334</v>
      </c>
      <c r="BF945" s="2" t="str">
        <f>HYPERLINK("http://dx.doi.org/10.3390/microorganisms9122419","http://dx.doi.org/10.3390/microorganisms9122419")</f>
        <v>http://dx.doi.org/10.3390/microorganisms9122419</v>
      </c>
      <c r="BG945" s="1" t="s">
        <v>74</v>
      </c>
      <c r="BH945" s="1" t="s">
        <v>74</v>
      </c>
      <c r="BI945" s="1" t="s">
        <v>74</v>
      </c>
      <c r="BJ945" s="1" t="s">
        <v>74</v>
      </c>
      <c r="BK945" s="1" t="s">
        <v>74</v>
      </c>
      <c r="BL945" s="1" t="s">
        <v>74</v>
      </c>
      <c r="BM945" s="1" t="s">
        <v>74</v>
      </c>
      <c r="BN945" s="1">
        <v>3.4946021E7</v>
      </c>
      <c r="BO945" s="1" t="s">
        <v>74</v>
      </c>
      <c r="BP945" s="1" t="s">
        <v>74</v>
      </c>
      <c r="BQ945" s="1" t="s">
        <v>74</v>
      </c>
      <c r="BR945" s="1" t="s">
        <v>74</v>
      </c>
      <c r="BS945" s="1" t="s">
        <v>9335</v>
      </c>
      <c r="BT945" s="1" t="str">
        <f>HYPERLINK("https%3A%2F%2Fwww.webofscience.com%2Fwos%2Fwoscc%2Ffull-record%2FWOS:000741494500001","View Full Record in Web of Science")</f>
        <v>View Full Record in Web of Science</v>
      </c>
    </row>
    <row r="946" ht="12.75" customHeight="1">
      <c r="A946" s="1" t="s">
        <v>72</v>
      </c>
      <c r="B946" s="1" t="s">
        <v>9336</v>
      </c>
      <c r="C946" s="1" t="s">
        <v>74</v>
      </c>
      <c r="D946" s="1" t="s">
        <v>74</v>
      </c>
      <c r="E946" s="1" t="s">
        <v>74</v>
      </c>
      <c r="F946" s="1" t="s">
        <v>9337</v>
      </c>
      <c r="G946" s="1" t="s">
        <v>74</v>
      </c>
      <c r="H946" s="1" t="s">
        <v>74</v>
      </c>
      <c r="I946" s="1" t="s">
        <v>9338</v>
      </c>
      <c r="J946" s="1" t="s">
        <v>8564</v>
      </c>
      <c r="K946" s="1" t="s">
        <v>74</v>
      </c>
      <c r="L946" s="1" t="s">
        <v>74</v>
      </c>
      <c r="M946" s="1" t="s">
        <v>74</v>
      </c>
      <c r="N946" s="1" t="s">
        <v>74</v>
      </c>
      <c r="O946" s="1" t="s">
        <v>8565</v>
      </c>
      <c r="P946" s="1" t="s">
        <v>8566</v>
      </c>
      <c r="Q946" s="1" t="s">
        <v>1491</v>
      </c>
      <c r="R946" s="1" t="s">
        <v>8567</v>
      </c>
      <c r="S946" s="1" t="s">
        <v>74</v>
      </c>
      <c r="T946" s="1" t="s">
        <v>74</v>
      </c>
      <c r="U946" s="1" t="s">
        <v>74</v>
      </c>
      <c r="V946" s="1" t="s">
        <v>74</v>
      </c>
      <c r="W946" s="1" t="s">
        <v>74</v>
      </c>
      <c r="X946" s="1" t="s">
        <v>74</v>
      </c>
      <c r="Y946" s="1" t="s">
        <v>74</v>
      </c>
      <c r="Z946" s="1" t="s">
        <v>74</v>
      </c>
      <c r="AA946" s="1" t="s">
        <v>9339</v>
      </c>
      <c r="AB946" s="1" t="s">
        <v>9340</v>
      </c>
      <c r="AC946" s="1" t="s">
        <v>74</v>
      </c>
      <c r="AD946" s="1" t="s">
        <v>74</v>
      </c>
      <c r="AE946" s="1" t="s">
        <v>74</v>
      </c>
      <c r="AF946" s="1" t="s">
        <v>74</v>
      </c>
      <c r="AG946" s="1" t="s">
        <v>74</v>
      </c>
      <c r="AH946" s="1" t="s">
        <v>74</v>
      </c>
      <c r="AI946" s="1" t="s">
        <v>74</v>
      </c>
      <c r="AJ946" s="1" t="s">
        <v>74</v>
      </c>
      <c r="AK946" s="1" t="s">
        <v>74</v>
      </c>
      <c r="AL946" s="1" t="s">
        <v>74</v>
      </c>
      <c r="AM946" s="1" t="s">
        <v>74</v>
      </c>
      <c r="AN946" s="1" t="s">
        <v>74</v>
      </c>
      <c r="AO946" s="1" t="s">
        <v>8570</v>
      </c>
      <c r="AP946" s="1" t="s">
        <v>8571</v>
      </c>
      <c r="AQ946" s="1" t="s">
        <v>74</v>
      </c>
      <c r="AR946" s="1" t="s">
        <v>74</v>
      </c>
      <c r="AS946" s="1" t="s">
        <v>74</v>
      </c>
      <c r="AT946" s="1" t="s">
        <v>695</v>
      </c>
      <c r="AU946" s="1">
        <v>2021.0</v>
      </c>
      <c r="AV946" s="1">
        <v>39.0</v>
      </c>
      <c r="AW946" s="1">
        <v>15.0</v>
      </c>
      <c r="AX946" s="1" t="s">
        <v>74</v>
      </c>
      <c r="AY946" s="1" t="s">
        <v>260</v>
      </c>
      <c r="AZ946" s="1" t="s">
        <v>74</v>
      </c>
      <c r="BA946" s="1" t="s">
        <v>9341</v>
      </c>
      <c r="BB946" s="1" t="s">
        <v>74</v>
      </c>
      <c r="BC946" s="1" t="s">
        <v>74</v>
      </c>
      <c r="BD946" s="1" t="s">
        <v>74</v>
      </c>
      <c r="BE946" s="1" t="s">
        <v>9342</v>
      </c>
      <c r="BF946" s="2" t="str">
        <f>HYPERLINK("http://dx.doi.org/10.1200/JCO.2021.39.15_suppl.e18814","http://dx.doi.org/10.1200/JCO.2021.39.15_suppl.e18814")</f>
        <v>http://dx.doi.org/10.1200/JCO.2021.39.15_suppl.e18814</v>
      </c>
      <c r="BG946" s="1" t="s">
        <v>74</v>
      </c>
      <c r="BH946" s="1" t="s">
        <v>74</v>
      </c>
      <c r="BI946" s="1" t="s">
        <v>74</v>
      </c>
      <c r="BJ946" s="1" t="s">
        <v>74</v>
      </c>
      <c r="BK946" s="1" t="s">
        <v>74</v>
      </c>
      <c r="BL946" s="1" t="s">
        <v>74</v>
      </c>
      <c r="BM946" s="1" t="s">
        <v>74</v>
      </c>
      <c r="BN946" s="1" t="s">
        <v>74</v>
      </c>
      <c r="BO946" s="1" t="s">
        <v>74</v>
      </c>
      <c r="BP946" s="1" t="s">
        <v>74</v>
      </c>
      <c r="BQ946" s="1" t="s">
        <v>74</v>
      </c>
      <c r="BR946" s="1" t="s">
        <v>74</v>
      </c>
      <c r="BS946" s="1" t="s">
        <v>9343</v>
      </c>
      <c r="BT946" s="1" t="str">
        <f>HYPERLINK("https%3A%2F%2Fwww.webofscience.com%2Fwos%2Fwoscc%2Ffull-record%2FWOS:000708120304047","View Full Record in Web of Science")</f>
        <v>View Full Record in Web of Science</v>
      </c>
    </row>
    <row r="947" ht="12.75" customHeight="1">
      <c r="A947" s="1" t="s">
        <v>72</v>
      </c>
      <c r="B947" s="1" t="s">
        <v>9344</v>
      </c>
      <c r="C947" s="1" t="s">
        <v>74</v>
      </c>
      <c r="D947" s="1" t="s">
        <v>74</v>
      </c>
      <c r="E947" s="1" t="s">
        <v>74</v>
      </c>
      <c r="F947" s="1" t="s">
        <v>9345</v>
      </c>
      <c r="G947" s="1" t="s">
        <v>74</v>
      </c>
      <c r="H947" s="1" t="s">
        <v>74</v>
      </c>
      <c r="I947" s="1" t="s">
        <v>9346</v>
      </c>
      <c r="J947" s="1" t="s">
        <v>1263</v>
      </c>
      <c r="K947" s="1" t="s">
        <v>74</v>
      </c>
      <c r="L947" s="1" t="s">
        <v>74</v>
      </c>
      <c r="M947" s="1" t="s">
        <v>74</v>
      </c>
      <c r="N947" s="1" t="s">
        <v>74</v>
      </c>
      <c r="O947" s="1" t="s">
        <v>74</v>
      </c>
      <c r="P947" s="1" t="s">
        <v>74</v>
      </c>
      <c r="Q947" s="1" t="s">
        <v>74</v>
      </c>
      <c r="R947" s="1" t="s">
        <v>74</v>
      </c>
      <c r="S947" s="1" t="s">
        <v>74</v>
      </c>
      <c r="T947" s="1" t="s">
        <v>74</v>
      </c>
      <c r="U947" s="1" t="s">
        <v>74</v>
      </c>
      <c r="V947" s="1" t="s">
        <v>9347</v>
      </c>
      <c r="W947" s="1" t="s">
        <v>74</v>
      </c>
      <c r="X947" s="1" t="s">
        <v>74</v>
      </c>
      <c r="Y947" s="1" t="s">
        <v>74</v>
      </c>
      <c r="Z947" s="1" t="s">
        <v>74</v>
      </c>
      <c r="AA947" s="1" t="s">
        <v>9348</v>
      </c>
      <c r="AB947" s="1" t="s">
        <v>9349</v>
      </c>
      <c r="AC947" s="1" t="s">
        <v>74</v>
      </c>
      <c r="AD947" s="1" t="s">
        <v>74</v>
      </c>
      <c r="AE947" s="1" t="s">
        <v>74</v>
      </c>
      <c r="AF947" s="1" t="s">
        <v>74</v>
      </c>
      <c r="AG947" s="1" t="s">
        <v>74</v>
      </c>
      <c r="AH947" s="1" t="s">
        <v>74</v>
      </c>
      <c r="AI947" s="1" t="s">
        <v>74</v>
      </c>
      <c r="AJ947" s="1" t="s">
        <v>74</v>
      </c>
      <c r="AK947" s="1" t="s">
        <v>74</v>
      </c>
      <c r="AL947" s="1" t="s">
        <v>74</v>
      </c>
      <c r="AM947" s="1" t="s">
        <v>74</v>
      </c>
      <c r="AN947" s="1" t="s">
        <v>74</v>
      </c>
      <c r="AO947" s="1" t="s">
        <v>1267</v>
      </c>
      <c r="AP947" s="1" t="s">
        <v>1268</v>
      </c>
      <c r="AQ947" s="1" t="s">
        <v>74</v>
      </c>
      <c r="AR947" s="1" t="s">
        <v>74</v>
      </c>
      <c r="AS947" s="1" t="s">
        <v>74</v>
      </c>
      <c r="AT947" s="1" t="s">
        <v>438</v>
      </c>
      <c r="AU947" s="1">
        <v>2021.0</v>
      </c>
      <c r="AV947" s="1">
        <v>502.0</v>
      </c>
      <c r="AW947" s="1">
        <v>4.0</v>
      </c>
      <c r="AX947" s="1" t="s">
        <v>74</v>
      </c>
      <c r="AY947" s="1" t="s">
        <v>74</v>
      </c>
      <c r="AZ947" s="1" t="s">
        <v>74</v>
      </c>
      <c r="BA947" s="1" t="s">
        <v>74</v>
      </c>
      <c r="BB947" s="1">
        <v>5839.0</v>
      </c>
      <c r="BC947" s="1">
        <v>5853.0</v>
      </c>
      <c r="BD947" s="1" t="s">
        <v>74</v>
      </c>
      <c r="BE947" s="1" t="s">
        <v>9350</v>
      </c>
      <c r="BF947" s="2" t="str">
        <f>HYPERLINK("http://dx.doi.org/10.1093/mnras/stab379","http://dx.doi.org/10.1093/mnras/stab379")</f>
        <v>http://dx.doi.org/10.1093/mnras/stab379</v>
      </c>
      <c r="BG947" s="1" t="s">
        <v>74</v>
      </c>
      <c r="BH947" s="1" t="s">
        <v>109</v>
      </c>
      <c r="BI947" s="1" t="s">
        <v>74</v>
      </c>
      <c r="BJ947" s="1" t="s">
        <v>74</v>
      </c>
      <c r="BK947" s="1" t="s">
        <v>74</v>
      </c>
      <c r="BL947" s="1" t="s">
        <v>74</v>
      </c>
      <c r="BM947" s="1" t="s">
        <v>74</v>
      </c>
      <c r="BN947" s="1" t="s">
        <v>74</v>
      </c>
      <c r="BO947" s="1" t="s">
        <v>74</v>
      </c>
      <c r="BP947" s="1" t="s">
        <v>74</v>
      </c>
      <c r="BQ947" s="1" t="s">
        <v>74</v>
      </c>
      <c r="BR947" s="1" t="s">
        <v>74</v>
      </c>
      <c r="BS947" s="1" t="s">
        <v>9351</v>
      </c>
      <c r="BT947" s="1" t="str">
        <f>HYPERLINK("https%3A%2F%2Fwww.webofscience.com%2Fwos%2Fwoscc%2Ffull-record%2FWOS:000637320100082","View Full Record in Web of Science")</f>
        <v>View Full Record in Web of Science</v>
      </c>
    </row>
    <row r="948" ht="12.75" customHeight="1">
      <c r="A948" s="1" t="s">
        <v>72</v>
      </c>
      <c r="B948" s="1" t="s">
        <v>9352</v>
      </c>
      <c r="C948" s="1" t="s">
        <v>74</v>
      </c>
      <c r="D948" s="1" t="s">
        <v>74</v>
      </c>
      <c r="E948" s="1" t="s">
        <v>74</v>
      </c>
      <c r="F948" s="1" t="s">
        <v>9353</v>
      </c>
      <c r="G948" s="1" t="s">
        <v>74</v>
      </c>
      <c r="H948" s="1" t="s">
        <v>74</v>
      </c>
      <c r="I948" s="1" t="s">
        <v>9354</v>
      </c>
      <c r="J948" s="1" t="s">
        <v>703</v>
      </c>
      <c r="K948" s="1" t="s">
        <v>74</v>
      </c>
      <c r="L948" s="1" t="s">
        <v>74</v>
      </c>
      <c r="M948" s="1" t="s">
        <v>74</v>
      </c>
      <c r="N948" s="1" t="s">
        <v>74</v>
      </c>
      <c r="O948" s="1" t="s">
        <v>74</v>
      </c>
      <c r="P948" s="1" t="s">
        <v>74</v>
      </c>
      <c r="Q948" s="1" t="s">
        <v>74</v>
      </c>
      <c r="R948" s="1" t="s">
        <v>74</v>
      </c>
      <c r="S948" s="1" t="s">
        <v>74</v>
      </c>
      <c r="T948" s="1" t="s">
        <v>74</v>
      </c>
      <c r="U948" s="1" t="s">
        <v>74</v>
      </c>
      <c r="V948" s="1" t="s">
        <v>9355</v>
      </c>
      <c r="W948" s="1" t="s">
        <v>74</v>
      </c>
      <c r="X948" s="1" t="s">
        <v>74</v>
      </c>
      <c r="Y948" s="1" t="s">
        <v>74</v>
      </c>
      <c r="Z948" s="1" t="s">
        <v>74</v>
      </c>
      <c r="AA948" s="1" t="s">
        <v>9356</v>
      </c>
      <c r="AB948" s="1" t="s">
        <v>9357</v>
      </c>
      <c r="AC948" s="1" t="s">
        <v>74</v>
      </c>
      <c r="AD948" s="1" t="s">
        <v>74</v>
      </c>
      <c r="AE948" s="1" t="s">
        <v>74</v>
      </c>
      <c r="AF948" s="1" t="s">
        <v>74</v>
      </c>
      <c r="AG948" s="1" t="s">
        <v>74</v>
      </c>
      <c r="AH948" s="1" t="s">
        <v>74</v>
      </c>
      <c r="AI948" s="1" t="s">
        <v>74</v>
      </c>
      <c r="AJ948" s="1" t="s">
        <v>74</v>
      </c>
      <c r="AK948" s="1" t="s">
        <v>74</v>
      </c>
      <c r="AL948" s="1" t="s">
        <v>74</v>
      </c>
      <c r="AM948" s="1" t="s">
        <v>74</v>
      </c>
      <c r="AN948" s="1" t="s">
        <v>74</v>
      </c>
      <c r="AO948" s="1" t="s">
        <v>74</v>
      </c>
      <c r="AP948" s="1" t="s">
        <v>707</v>
      </c>
      <c r="AQ948" s="1" t="s">
        <v>74</v>
      </c>
      <c r="AR948" s="1" t="s">
        <v>74</v>
      </c>
      <c r="AS948" s="1" t="s">
        <v>74</v>
      </c>
      <c r="AT948" s="1" t="s">
        <v>464</v>
      </c>
      <c r="AU948" s="1">
        <v>2021.0</v>
      </c>
      <c r="AV948" s="1">
        <v>18.0</v>
      </c>
      <c r="AW948" s="1">
        <v>2.0</v>
      </c>
      <c r="AX948" s="1" t="s">
        <v>74</v>
      </c>
      <c r="AY948" s="1" t="s">
        <v>74</v>
      </c>
      <c r="AZ948" s="1" t="s">
        <v>74</v>
      </c>
      <c r="BA948" s="1" t="s">
        <v>74</v>
      </c>
      <c r="BB948" s="1" t="s">
        <v>74</v>
      </c>
      <c r="BC948" s="1" t="s">
        <v>74</v>
      </c>
      <c r="BD948" s="1">
        <v>693.0</v>
      </c>
      <c r="BE948" s="1" t="s">
        <v>9358</v>
      </c>
      <c r="BF948" s="2" t="str">
        <f>HYPERLINK("http://dx.doi.org/10.3390/ijerph18020693","http://dx.doi.org/10.3390/ijerph18020693")</f>
        <v>http://dx.doi.org/10.3390/ijerph18020693</v>
      </c>
      <c r="BG948" s="1" t="s">
        <v>74</v>
      </c>
      <c r="BH948" s="1" t="s">
        <v>74</v>
      </c>
      <c r="BI948" s="1" t="s">
        <v>74</v>
      </c>
      <c r="BJ948" s="1" t="s">
        <v>74</v>
      </c>
      <c r="BK948" s="1" t="s">
        <v>74</v>
      </c>
      <c r="BL948" s="1" t="s">
        <v>74</v>
      </c>
      <c r="BM948" s="1" t="s">
        <v>74</v>
      </c>
      <c r="BN948" s="1">
        <v>3.3467399E7</v>
      </c>
      <c r="BO948" s="1" t="s">
        <v>74</v>
      </c>
      <c r="BP948" s="1" t="s">
        <v>74</v>
      </c>
      <c r="BQ948" s="1" t="s">
        <v>74</v>
      </c>
      <c r="BR948" s="1" t="s">
        <v>74</v>
      </c>
      <c r="BS948" s="1" t="s">
        <v>9359</v>
      </c>
      <c r="BT948" s="1" t="str">
        <f>HYPERLINK("https%3A%2F%2Fwww.webofscience.com%2Fwos%2Fwoscc%2Ffull-record%2FWOS:000611242400001","View Full Record in Web of Science")</f>
        <v>View Full Record in Web of Science</v>
      </c>
    </row>
    <row r="949" ht="12.75" customHeight="1">
      <c r="A949" s="1" t="s">
        <v>72</v>
      </c>
      <c r="B949" s="1" t="s">
        <v>9360</v>
      </c>
      <c r="C949" s="1" t="s">
        <v>74</v>
      </c>
      <c r="D949" s="1" t="s">
        <v>74</v>
      </c>
      <c r="E949" s="1" t="s">
        <v>74</v>
      </c>
      <c r="F949" s="1" t="s">
        <v>9361</v>
      </c>
      <c r="G949" s="1" t="s">
        <v>74</v>
      </c>
      <c r="H949" s="1" t="s">
        <v>74</v>
      </c>
      <c r="I949" s="1" t="s">
        <v>9362</v>
      </c>
      <c r="J949" s="1" t="s">
        <v>9363</v>
      </c>
      <c r="K949" s="1" t="s">
        <v>74</v>
      </c>
      <c r="L949" s="1" t="s">
        <v>74</v>
      </c>
      <c r="M949" s="1" t="s">
        <v>74</v>
      </c>
      <c r="N949" s="1" t="s">
        <v>74</v>
      </c>
      <c r="O949" s="1" t="s">
        <v>74</v>
      </c>
      <c r="P949" s="1" t="s">
        <v>74</v>
      </c>
      <c r="Q949" s="1" t="s">
        <v>74</v>
      </c>
      <c r="R949" s="1" t="s">
        <v>74</v>
      </c>
      <c r="S949" s="1" t="s">
        <v>74</v>
      </c>
      <c r="T949" s="1" t="s">
        <v>74</v>
      </c>
      <c r="U949" s="1" t="s">
        <v>74</v>
      </c>
      <c r="V949" s="1" t="s">
        <v>9364</v>
      </c>
      <c r="W949" s="1" t="s">
        <v>74</v>
      </c>
      <c r="X949" s="1" t="s">
        <v>74</v>
      </c>
      <c r="Y949" s="1" t="s">
        <v>74</v>
      </c>
      <c r="Z949" s="1" t="s">
        <v>74</v>
      </c>
      <c r="AA949" s="1" t="s">
        <v>9365</v>
      </c>
      <c r="AB949" s="1" t="s">
        <v>9366</v>
      </c>
      <c r="AC949" s="1" t="s">
        <v>74</v>
      </c>
      <c r="AD949" s="1" t="s">
        <v>74</v>
      </c>
      <c r="AE949" s="1" t="s">
        <v>74</v>
      </c>
      <c r="AF949" s="1" t="s">
        <v>74</v>
      </c>
      <c r="AG949" s="1" t="s">
        <v>74</v>
      </c>
      <c r="AH949" s="1" t="s">
        <v>74</v>
      </c>
      <c r="AI949" s="1" t="s">
        <v>74</v>
      </c>
      <c r="AJ949" s="1" t="s">
        <v>74</v>
      </c>
      <c r="AK949" s="1" t="s">
        <v>74</v>
      </c>
      <c r="AL949" s="1" t="s">
        <v>74</v>
      </c>
      <c r="AM949" s="1" t="s">
        <v>74</v>
      </c>
      <c r="AN949" s="1" t="s">
        <v>74</v>
      </c>
      <c r="AO949" s="1" t="s">
        <v>9367</v>
      </c>
      <c r="AP949" s="1" t="s">
        <v>74</v>
      </c>
      <c r="AQ949" s="1" t="s">
        <v>74</v>
      </c>
      <c r="AR949" s="1" t="s">
        <v>74</v>
      </c>
      <c r="AS949" s="1" t="s">
        <v>74</v>
      </c>
      <c r="AT949" s="1" t="s">
        <v>83</v>
      </c>
      <c r="AU949" s="1">
        <v>2020.0</v>
      </c>
      <c r="AV949" s="1">
        <v>60.0</v>
      </c>
      <c r="AW949" s="1">
        <v>2.0</v>
      </c>
      <c r="AX949" s="1" t="s">
        <v>74</v>
      </c>
      <c r="AY949" s="1" t="s">
        <v>74</v>
      </c>
      <c r="AZ949" s="1" t="s">
        <v>74</v>
      </c>
      <c r="BA949" s="1" t="s">
        <v>74</v>
      </c>
      <c r="BB949" s="1">
        <v>156.0</v>
      </c>
      <c r="BC949" s="1">
        <v>167.0</v>
      </c>
      <c r="BD949" s="1" t="s">
        <v>74</v>
      </c>
      <c r="BE949" s="1" t="s">
        <v>9368</v>
      </c>
      <c r="BF949" s="2" t="str">
        <f>HYPERLINK("http://dx.doi.org/10.1590/S0034-759020200208","http://dx.doi.org/10.1590/S0034-759020200208")</f>
        <v>http://dx.doi.org/10.1590/S0034-759020200208</v>
      </c>
      <c r="BG949" s="1" t="s">
        <v>74</v>
      </c>
      <c r="BH949" s="1" t="s">
        <v>74</v>
      </c>
      <c r="BI949" s="1" t="s">
        <v>74</v>
      </c>
      <c r="BJ949" s="1" t="s">
        <v>74</v>
      </c>
      <c r="BK949" s="1" t="s">
        <v>74</v>
      </c>
      <c r="BL949" s="1" t="s">
        <v>74</v>
      </c>
      <c r="BM949" s="1" t="s">
        <v>74</v>
      </c>
      <c r="BN949" s="1" t="s">
        <v>74</v>
      </c>
      <c r="BO949" s="1" t="s">
        <v>74</v>
      </c>
      <c r="BP949" s="1" t="s">
        <v>74</v>
      </c>
      <c r="BQ949" s="1" t="s">
        <v>74</v>
      </c>
      <c r="BR949" s="1" t="s">
        <v>74</v>
      </c>
      <c r="BS949" s="1" t="s">
        <v>9369</v>
      </c>
      <c r="BT949" s="1" t="str">
        <f>HYPERLINK("https%3A%2F%2Fwww.webofscience.com%2Fwos%2Fwoscc%2Ffull-record%2FWOS:000537025800008","View Full Record in Web of Science")</f>
        <v>View Full Record in Web of Science</v>
      </c>
    </row>
    <row r="950" ht="12.75" customHeight="1">
      <c r="A950" s="1" t="s">
        <v>72</v>
      </c>
      <c r="B950" s="1" t="s">
        <v>9370</v>
      </c>
      <c r="C950" s="1" t="s">
        <v>74</v>
      </c>
      <c r="D950" s="1" t="s">
        <v>74</v>
      </c>
      <c r="E950" s="1" t="s">
        <v>74</v>
      </c>
      <c r="F950" s="1" t="s">
        <v>9371</v>
      </c>
      <c r="G950" s="1" t="s">
        <v>74</v>
      </c>
      <c r="H950" s="1" t="s">
        <v>74</v>
      </c>
      <c r="I950" s="1" t="s">
        <v>9372</v>
      </c>
      <c r="J950" s="1" t="s">
        <v>332</v>
      </c>
      <c r="K950" s="1" t="s">
        <v>74</v>
      </c>
      <c r="L950" s="1" t="s">
        <v>74</v>
      </c>
      <c r="M950" s="1" t="s">
        <v>74</v>
      </c>
      <c r="N950" s="1" t="s">
        <v>74</v>
      </c>
      <c r="O950" s="1" t="s">
        <v>74</v>
      </c>
      <c r="P950" s="1" t="s">
        <v>74</v>
      </c>
      <c r="Q950" s="1" t="s">
        <v>74</v>
      </c>
      <c r="R950" s="1" t="s">
        <v>74</v>
      </c>
      <c r="S950" s="1" t="s">
        <v>74</v>
      </c>
      <c r="T950" s="1" t="s">
        <v>74</v>
      </c>
      <c r="U950" s="1" t="s">
        <v>74</v>
      </c>
      <c r="V950" s="1" t="s">
        <v>9373</v>
      </c>
      <c r="W950" s="1" t="s">
        <v>74</v>
      </c>
      <c r="X950" s="1" t="s">
        <v>74</v>
      </c>
      <c r="Y950" s="1" t="s">
        <v>74</v>
      </c>
      <c r="Z950" s="1" t="s">
        <v>74</v>
      </c>
      <c r="AA950" s="1" t="s">
        <v>9374</v>
      </c>
      <c r="AB950" s="1" t="s">
        <v>9375</v>
      </c>
      <c r="AC950" s="1" t="s">
        <v>74</v>
      </c>
      <c r="AD950" s="1" t="s">
        <v>74</v>
      </c>
      <c r="AE950" s="1" t="s">
        <v>74</v>
      </c>
      <c r="AF950" s="1" t="s">
        <v>74</v>
      </c>
      <c r="AG950" s="1" t="s">
        <v>74</v>
      </c>
      <c r="AH950" s="1" t="s">
        <v>74</v>
      </c>
      <c r="AI950" s="1" t="s">
        <v>74</v>
      </c>
      <c r="AJ950" s="1" t="s">
        <v>74</v>
      </c>
      <c r="AK950" s="1" t="s">
        <v>74</v>
      </c>
      <c r="AL950" s="1" t="s">
        <v>74</v>
      </c>
      <c r="AM950" s="1" t="s">
        <v>74</v>
      </c>
      <c r="AN950" s="1" t="s">
        <v>74</v>
      </c>
      <c r="AO950" s="1" t="s">
        <v>336</v>
      </c>
      <c r="AP950" s="1" t="s">
        <v>337</v>
      </c>
      <c r="AQ950" s="1" t="s">
        <v>74</v>
      </c>
      <c r="AR950" s="1" t="s">
        <v>74</v>
      </c>
      <c r="AS950" s="1" t="s">
        <v>74</v>
      </c>
      <c r="AT950" s="1" t="s">
        <v>3552</v>
      </c>
      <c r="AU950" s="1">
        <v>2017.0</v>
      </c>
      <c r="AV950" s="1">
        <v>258.0</v>
      </c>
      <c r="AW950" s="1" t="s">
        <v>74</v>
      </c>
      <c r="AX950" s="1" t="s">
        <v>74</v>
      </c>
      <c r="AY950" s="1" t="s">
        <v>74</v>
      </c>
      <c r="AZ950" s="1" t="s">
        <v>74</v>
      </c>
      <c r="BA950" s="1" t="s">
        <v>74</v>
      </c>
      <c r="BB950" s="1">
        <v>959.0</v>
      </c>
      <c r="BC950" s="1">
        <v>969.0</v>
      </c>
      <c r="BD950" s="1" t="s">
        <v>74</v>
      </c>
      <c r="BE950" s="1" t="s">
        <v>9376</v>
      </c>
      <c r="BF950" s="2" t="str">
        <f>HYPERLINK("http://dx.doi.org/10.1016/j.electacta.2017.11.147","http://dx.doi.org/10.1016/j.electacta.2017.11.147")</f>
        <v>http://dx.doi.org/10.1016/j.electacta.2017.11.147</v>
      </c>
      <c r="BG950" s="1" t="s">
        <v>74</v>
      </c>
      <c r="BH950" s="1" t="s">
        <v>74</v>
      </c>
      <c r="BI950" s="1" t="s">
        <v>74</v>
      </c>
      <c r="BJ950" s="1" t="s">
        <v>74</v>
      </c>
      <c r="BK950" s="1" t="s">
        <v>74</v>
      </c>
      <c r="BL950" s="1" t="s">
        <v>74</v>
      </c>
      <c r="BM950" s="1" t="s">
        <v>74</v>
      </c>
      <c r="BN950" s="1" t="s">
        <v>74</v>
      </c>
      <c r="BO950" s="1" t="s">
        <v>74</v>
      </c>
      <c r="BP950" s="1" t="s">
        <v>74</v>
      </c>
      <c r="BQ950" s="1" t="s">
        <v>74</v>
      </c>
      <c r="BR950" s="1" t="s">
        <v>74</v>
      </c>
      <c r="BS950" s="1" t="s">
        <v>9377</v>
      </c>
      <c r="BT950" s="1" t="str">
        <f>HYPERLINK("https%3A%2F%2Fwww.webofscience.com%2Fwos%2Fwoscc%2Ffull-record%2FWOS:000418324800108","View Full Record in Web of Science")</f>
        <v>View Full Record in Web of Science</v>
      </c>
    </row>
    <row r="951" ht="12.75" customHeight="1">
      <c r="A951" s="1" t="s">
        <v>72</v>
      </c>
      <c r="B951" s="1" t="s">
        <v>9378</v>
      </c>
      <c r="C951" s="1" t="s">
        <v>74</v>
      </c>
      <c r="D951" s="1" t="s">
        <v>74</v>
      </c>
      <c r="E951" s="1" t="s">
        <v>74</v>
      </c>
      <c r="F951" s="1" t="s">
        <v>9379</v>
      </c>
      <c r="G951" s="1" t="s">
        <v>74</v>
      </c>
      <c r="H951" s="1" t="s">
        <v>74</v>
      </c>
      <c r="I951" s="1" t="s">
        <v>9380</v>
      </c>
      <c r="J951" s="1" t="s">
        <v>9381</v>
      </c>
      <c r="K951" s="1" t="s">
        <v>74</v>
      </c>
      <c r="L951" s="1" t="s">
        <v>74</v>
      </c>
      <c r="M951" s="1" t="s">
        <v>74</v>
      </c>
      <c r="N951" s="1" t="s">
        <v>74</v>
      </c>
      <c r="O951" s="1" t="s">
        <v>74</v>
      </c>
      <c r="P951" s="1" t="s">
        <v>74</v>
      </c>
      <c r="Q951" s="1" t="s">
        <v>74</v>
      </c>
      <c r="R951" s="1" t="s">
        <v>74</v>
      </c>
      <c r="S951" s="1" t="s">
        <v>74</v>
      </c>
      <c r="T951" s="1" t="s">
        <v>74</v>
      </c>
      <c r="U951" s="1" t="s">
        <v>74</v>
      </c>
      <c r="V951" s="1" t="s">
        <v>9382</v>
      </c>
      <c r="W951" s="1" t="s">
        <v>74</v>
      </c>
      <c r="X951" s="1" t="s">
        <v>74</v>
      </c>
      <c r="Y951" s="1" t="s">
        <v>74</v>
      </c>
      <c r="Z951" s="1" t="s">
        <v>74</v>
      </c>
      <c r="AA951" s="1" t="s">
        <v>9383</v>
      </c>
      <c r="AB951" s="1" t="s">
        <v>9384</v>
      </c>
      <c r="AC951" s="1" t="s">
        <v>74</v>
      </c>
      <c r="AD951" s="1" t="s">
        <v>74</v>
      </c>
      <c r="AE951" s="1" t="s">
        <v>74</v>
      </c>
      <c r="AF951" s="1" t="s">
        <v>74</v>
      </c>
      <c r="AG951" s="1" t="s">
        <v>74</v>
      </c>
      <c r="AH951" s="1" t="s">
        <v>74</v>
      </c>
      <c r="AI951" s="1" t="s">
        <v>74</v>
      </c>
      <c r="AJ951" s="1" t="s">
        <v>74</v>
      </c>
      <c r="AK951" s="1" t="s">
        <v>74</v>
      </c>
      <c r="AL951" s="1" t="s">
        <v>74</v>
      </c>
      <c r="AM951" s="1" t="s">
        <v>74</v>
      </c>
      <c r="AN951" s="1" t="s">
        <v>74</v>
      </c>
      <c r="AO951" s="1" t="s">
        <v>9385</v>
      </c>
      <c r="AP951" s="1" t="s">
        <v>9386</v>
      </c>
      <c r="AQ951" s="1" t="s">
        <v>74</v>
      </c>
      <c r="AR951" s="1" t="s">
        <v>74</v>
      </c>
      <c r="AS951" s="1" t="s">
        <v>74</v>
      </c>
      <c r="AT951" s="1" t="s">
        <v>74</v>
      </c>
      <c r="AU951" s="1">
        <v>2017.0</v>
      </c>
      <c r="AV951" s="1">
        <v>46.0</v>
      </c>
      <c r="AW951" s="1">
        <v>8.0</v>
      </c>
      <c r="AX951" s="1" t="s">
        <v>74</v>
      </c>
      <c r="AY951" s="1" t="s">
        <v>74</v>
      </c>
      <c r="AZ951" s="1" t="s">
        <v>74</v>
      </c>
      <c r="BA951" s="1" t="s">
        <v>74</v>
      </c>
      <c r="BB951" s="1">
        <v>6342.0</v>
      </c>
      <c r="BC951" s="1">
        <v>6359.0</v>
      </c>
      <c r="BD951" s="1" t="s">
        <v>74</v>
      </c>
      <c r="BE951" s="1" t="s">
        <v>9387</v>
      </c>
      <c r="BF951" s="2" t="str">
        <f>HYPERLINK("http://dx.doi.org/10.1080/03610918.2016.1202276","http://dx.doi.org/10.1080/03610918.2016.1202276")</f>
        <v>http://dx.doi.org/10.1080/03610918.2016.1202276</v>
      </c>
      <c r="BG951" s="1" t="s">
        <v>74</v>
      </c>
      <c r="BH951" s="1" t="s">
        <v>74</v>
      </c>
      <c r="BI951" s="1" t="s">
        <v>74</v>
      </c>
      <c r="BJ951" s="1" t="s">
        <v>74</v>
      </c>
      <c r="BK951" s="1" t="s">
        <v>74</v>
      </c>
      <c r="BL951" s="1" t="s">
        <v>74</v>
      </c>
      <c r="BM951" s="1" t="s">
        <v>74</v>
      </c>
      <c r="BN951" s="1" t="s">
        <v>74</v>
      </c>
      <c r="BO951" s="1" t="s">
        <v>74</v>
      </c>
      <c r="BP951" s="1" t="s">
        <v>74</v>
      </c>
      <c r="BQ951" s="1" t="s">
        <v>74</v>
      </c>
      <c r="BR951" s="1" t="s">
        <v>74</v>
      </c>
      <c r="BS951" s="1" t="s">
        <v>9388</v>
      </c>
      <c r="BT951" s="1" t="str">
        <f>HYPERLINK("https%3A%2F%2Fwww.webofscience.com%2Fwos%2Fwoscc%2Ffull-record%2FWOS:000415033700029","View Full Record in Web of Science")</f>
        <v>View Full Record in Web of Science</v>
      </c>
    </row>
    <row r="952" ht="12.75" customHeight="1">
      <c r="A952" s="1" t="s">
        <v>72</v>
      </c>
      <c r="B952" s="1" t="s">
        <v>9389</v>
      </c>
      <c r="C952" s="1" t="s">
        <v>74</v>
      </c>
      <c r="D952" s="1" t="s">
        <v>74</v>
      </c>
      <c r="E952" s="1" t="s">
        <v>74</v>
      </c>
      <c r="F952" s="1" t="s">
        <v>9390</v>
      </c>
      <c r="G952" s="1" t="s">
        <v>74</v>
      </c>
      <c r="H952" s="1" t="s">
        <v>74</v>
      </c>
      <c r="I952" s="1" t="s">
        <v>9391</v>
      </c>
      <c r="J952" s="1" t="s">
        <v>5846</v>
      </c>
      <c r="K952" s="1" t="s">
        <v>74</v>
      </c>
      <c r="L952" s="1" t="s">
        <v>74</v>
      </c>
      <c r="M952" s="1" t="s">
        <v>74</v>
      </c>
      <c r="N952" s="1" t="s">
        <v>74</v>
      </c>
      <c r="O952" s="1" t="s">
        <v>74</v>
      </c>
      <c r="P952" s="1" t="s">
        <v>74</v>
      </c>
      <c r="Q952" s="1" t="s">
        <v>74</v>
      </c>
      <c r="R952" s="1" t="s">
        <v>74</v>
      </c>
      <c r="S952" s="1" t="s">
        <v>74</v>
      </c>
      <c r="T952" s="1" t="s">
        <v>74</v>
      </c>
      <c r="U952" s="1" t="s">
        <v>74</v>
      </c>
      <c r="V952" s="1" t="s">
        <v>9392</v>
      </c>
      <c r="W952" s="1" t="s">
        <v>74</v>
      </c>
      <c r="X952" s="1" t="s">
        <v>74</v>
      </c>
      <c r="Y952" s="1" t="s">
        <v>74</v>
      </c>
      <c r="Z952" s="1" t="s">
        <v>74</v>
      </c>
      <c r="AA952" s="1" t="s">
        <v>9393</v>
      </c>
      <c r="AB952" s="1" t="s">
        <v>9394</v>
      </c>
      <c r="AC952" s="1" t="s">
        <v>74</v>
      </c>
      <c r="AD952" s="1" t="s">
        <v>74</v>
      </c>
      <c r="AE952" s="1" t="s">
        <v>74</v>
      </c>
      <c r="AF952" s="1" t="s">
        <v>74</v>
      </c>
      <c r="AG952" s="1" t="s">
        <v>74</v>
      </c>
      <c r="AH952" s="1" t="s">
        <v>74</v>
      </c>
      <c r="AI952" s="1" t="s">
        <v>74</v>
      </c>
      <c r="AJ952" s="1" t="s">
        <v>74</v>
      </c>
      <c r="AK952" s="1" t="s">
        <v>74</v>
      </c>
      <c r="AL952" s="1" t="s">
        <v>74</v>
      </c>
      <c r="AM952" s="1" t="s">
        <v>74</v>
      </c>
      <c r="AN952" s="1" t="s">
        <v>74</v>
      </c>
      <c r="AO952" s="1" t="s">
        <v>5850</v>
      </c>
      <c r="AP952" s="1" t="s">
        <v>6043</v>
      </c>
      <c r="AQ952" s="1" t="s">
        <v>74</v>
      </c>
      <c r="AR952" s="1" t="s">
        <v>74</v>
      </c>
      <c r="AS952" s="1" t="s">
        <v>74</v>
      </c>
      <c r="AT952" s="1" t="s">
        <v>6706</v>
      </c>
      <c r="AU952" s="1">
        <v>2016.0</v>
      </c>
      <c r="AV952" s="1">
        <v>116.0</v>
      </c>
      <c r="AW952" s="1">
        <v>9.0</v>
      </c>
      <c r="AX952" s="1" t="s">
        <v>74</v>
      </c>
      <c r="AY952" s="1" t="s">
        <v>74</v>
      </c>
      <c r="AZ952" s="1" t="s">
        <v>74</v>
      </c>
      <c r="BA952" s="1" t="s">
        <v>74</v>
      </c>
      <c r="BB952" s="1" t="s">
        <v>74</v>
      </c>
      <c r="BC952" s="1" t="s">
        <v>74</v>
      </c>
      <c r="BD952" s="1">
        <v>91101.0</v>
      </c>
      <c r="BE952" s="1" t="s">
        <v>9395</v>
      </c>
      <c r="BF952" s="2" t="str">
        <f>HYPERLINK("http://dx.doi.org/10.1103/PhysRevLett.116.091101","http://dx.doi.org/10.1103/PhysRevLett.116.091101")</f>
        <v>http://dx.doi.org/10.1103/PhysRevLett.116.091101</v>
      </c>
      <c r="BG952" s="1" t="s">
        <v>74</v>
      </c>
      <c r="BH952" s="1" t="s">
        <v>74</v>
      </c>
      <c r="BI952" s="1" t="s">
        <v>74</v>
      </c>
      <c r="BJ952" s="1" t="s">
        <v>74</v>
      </c>
      <c r="BK952" s="1" t="s">
        <v>74</v>
      </c>
      <c r="BL952" s="1" t="s">
        <v>74</v>
      </c>
      <c r="BM952" s="1" t="s">
        <v>74</v>
      </c>
      <c r="BN952" s="1">
        <v>2.6991167E7</v>
      </c>
      <c r="BO952" s="1" t="s">
        <v>74</v>
      </c>
      <c r="BP952" s="1" t="s">
        <v>74</v>
      </c>
      <c r="BQ952" s="1" t="s">
        <v>74</v>
      </c>
      <c r="BR952" s="1" t="s">
        <v>74</v>
      </c>
      <c r="BS952" s="1" t="s">
        <v>9396</v>
      </c>
      <c r="BT952" s="1" t="str">
        <f>HYPERLINK("https%3A%2F%2Fwww.webofscience.com%2Fwos%2Fwoscc%2Ffull-record%2FWOS:000371419600005","View Full Record in Web of Science")</f>
        <v>View Full Record in Web of Science</v>
      </c>
    </row>
    <row r="953" ht="12.75" customHeight="1">
      <c r="A953" s="1" t="s">
        <v>72</v>
      </c>
      <c r="B953" s="1" t="s">
        <v>9397</v>
      </c>
      <c r="C953" s="1" t="s">
        <v>74</v>
      </c>
      <c r="D953" s="1" t="s">
        <v>74</v>
      </c>
      <c r="E953" s="1" t="s">
        <v>74</v>
      </c>
      <c r="F953" s="1" t="s">
        <v>9398</v>
      </c>
      <c r="G953" s="1" t="s">
        <v>74</v>
      </c>
      <c r="H953" s="1" t="s">
        <v>74</v>
      </c>
      <c r="I953" s="1" t="s">
        <v>9399</v>
      </c>
      <c r="J953" s="1" t="s">
        <v>582</v>
      </c>
      <c r="K953" s="1" t="s">
        <v>74</v>
      </c>
      <c r="L953" s="1" t="s">
        <v>74</v>
      </c>
      <c r="M953" s="1" t="s">
        <v>74</v>
      </c>
      <c r="N953" s="1" t="s">
        <v>74</v>
      </c>
      <c r="O953" s="1" t="s">
        <v>74</v>
      </c>
      <c r="P953" s="1" t="s">
        <v>74</v>
      </c>
      <c r="Q953" s="1" t="s">
        <v>74</v>
      </c>
      <c r="R953" s="1" t="s">
        <v>74</v>
      </c>
      <c r="S953" s="1" t="s">
        <v>74</v>
      </c>
      <c r="T953" s="1" t="s">
        <v>74</v>
      </c>
      <c r="U953" s="1" t="s">
        <v>74</v>
      </c>
      <c r="V953" s="1" t="s">
        <v>9400</v>
      </c>
      <c r="W953" s="1" t="s">
        <v>74</v>
      </c>
      <c r="X953" s="1" t="s">
        <v>74</v>
      </c>
      <c r="Y953" s="1" t="s">
        <v>74</v>
      </c>
      <c r="Z953" s="1" t="s">
        <v>74</v>
      </c>
      <c r="AA953" s="1" t="s">
        <v>9401</v>
      </c>
      <c r="AB953" s="1" t="s">
        <v>9402</v>
      </c>
      <c r="AC953" s="1" t="s">
        <v>74</v>
      </c>
      <c r="AD953" s="1" t="s">
        <v>74</v>
      </c>
      <c r="AE953" s="1" t="s">
        <v>74</v>
      </c>
      <c r="AF953" s="1" t="s">
        <v>74</v>
      </c>
      <c r="AG953" s="1" t="s">
        <v>74</v>
      </c>
      <c r="AH953" s="1" t="s">
        <v>74</v>
      </c>
      <c r="AI953" s="1" t="s">
        <v>74</v>
      </c>
      <c r="AJ953" s="1" t="s">
        <v>74</v>
      </c>
      <c r="AK953" s="1" t="s">
        <v>74</v>
      </c>
      <c r="AL953" s="1" t="s">
        <v>74</v>
      </c>
      <c r="AM953" s="1" t="s">
        <v>74</v>
      </c>
      <c r="AN953" s="1" t="s">
        <v>74</v>
      </c>
      <c r="AO953" s="1" t="s">
        <v>3724</v>
      </c>
      <c r="AP953" s="1" t="s">
        <v>9403</v>
      </c>
      <c r="AQ953" s="1" t="s">
        <v>74</v>
      </c>
      <c r="AR953" s="1" t="s">
        <v>74</v>
      </c>
      <c r="AS953" s="1" t="s">
        <v>74</v>
      </c>
      <c r="AT953" s="1" t="s">
        <v>9404</v>
      </c>
      <c r="AU953" s="1">
        <v>2015.0</v>
      </c>
      <c r="AV953" s="1">
        <v>92.0</v>
      </c>
      <c r="AW953" s="1">
        <v>24.0</v>
      </c>
      <c r="AX953" s="1" t="s">
        <v>74</v>
      </c>
      <c r="AY953" s="1" t="s">
        <v>74</v>
      </c>
      <c r="AZ953" s="1" t="s">
        <v>74</v>
      </c>
      <c r="BA953" s="1" t="s">
        <v>74</v>
      </c>
      <c r="BB953" s="1" t="s">
        <v>74</v>
      </c>
      <c r="BC953" s="1" t="s">
        <v>74</v>
      </c>
      <c r="BD953" s="1">
        <v>245436.0</v>
      </c>
      <c r="BE953" s="1" t="s">
        <v>9405</v>
      </c>
      <c r="BF953" s="2" t="str">
        <f>HYPERLINK("http://dx.doi.org/10.1103/PhysRevB.92.245436","http://dx.doi.org/10.1103/PhysRevB.92.245436")</f>
        <v>http://dx.doi.org/10.1103/PhysRevB.92.245436</v>
      </c>
      <c r="BG953" s="1" t="s">
        <v>74</v>
      </c>
      <c r="BH953" s="1" t="s">
        <v>74</v>
      </c>
      <c r="BI953" s="1" t="s">
        <v>74</v>
      </c>
      <c r="BJ953" s="1" t="s">
        <v>74</v>
      </c>
      <c r="BK953" s="1" t="s">
        <v>74</v>
      </c>
      <c r="BL953" s="1" t="s">
        <v>74</v>
      </c>
      <c r="BM953" s="1" t="s">
        <v>74</v>
      </c>
      <c r="BN953" s="1" t="s">
        <v>74</v>
      </c>
      <c r="BO953" s="1" t="s">
        <v>74</v>
      </c>
      <c r="BP953" s="1" t="s">
        <v>74</v>
      </c>
      <c r="BQ953" s="1" t="s">
        <v>74</v>
      </c>
      <c r="BR953" s="1" t="s">
        <v>74</v>
      </c>
      <c r="BS953" s="1" t="s">
        <v>9406</v>
      </c>
      <c r="BT953" s="1" t="str">
        <f>HYPERLINK("https%3A%2F%2Fwww.webofscience.com%2Fwos%2Fwoscc%2Ffull-record%2FWOS:000367067100006","View Full Record in Web of Science")</f>
        <v>View Full Record in Web of Science</v>
      </c>
    </row>
    <row r="954" ht="12.75" customHeight="1">
      <c r="A954" s="1" t="s">
        <v>72</v>
      </c>
      <c r="B954" s="1" t="s">
        <v>9407</v>
      </c>
      <c r="C954" s="1" t="s">
        <v>74</v>
      </c>
      <c r="D954" s="1" t="s">
        <v>74</v>
      </c>
      <c r="E954" s="1" t="s">
        <v>74</v>
      </c>
      <c r="F954" s="1" t="s">
        <v>9408</v>
      </c>
      <c r="G954" s="1" t="s">
        <v>74</v>
      </c>
      <c r="H954" s="1" t="s">
        <v>74</v>
      </c>
      <c r="I954" s="1" t="s">
        <v>9409</v>
      </c>
      <c r="J954" s="1" t="s">
        <v>9410</v>
      </c>
      <c r="K954" s="1" t="s">
        <v>74</v>
      </c>
      <c r="L954" s="1" t="s">
        <v>74</v>
      </c>
      <c r="M954" s="1" t="s">
        <v>74</v>
      </c>
      <c r="N954" s="1" t="s">
        <v>74</v>
      </c>
      <c r="O954" s="1" t="s">
        <v>74</v>
      </c>
      <c r="P954" s="1" t="s">
        <v>74</v>
      </c>
      <c r="Q954" s="1" t="s">
        <v>74</v>
      </c>
      <c r="R954" s="1" t="s">
        <v>74</v>
      </c>
      <c r="S954" s="1" t="s">
        <v>74</v>
      </c>
      <c r="T954" s="1" t="s">
        <v>74</v>
      </c>
      <c r="U954" s="1" t="s">
        <v>74</v>
      </c>
      <c r="V954" s="1" t="s">
        <v>9411</v>
      </c>
      <c r="W954" s="1" t="s">
        <v>74</v>
      </c>
      <c r="X954" s="1" t="s">
        <v>74</v>
      </c>
      <c r="Y954" s="1" t="s">
        <v>74</v>
      </c>
      <c r="Z954" s="1" t="s">
        <v>74</v>
      </c>
      <c r="AA954" s="1" t="s">
        <v>9412</v>
      </c>
      <c r="AB954" s="1" t="s">
        <v>9413</v>
      </c>
      <c r="AC954" s="1" t="s">
        <v>74</v>
      </c>
      <c r="AD954" s="1" t="s">
        <v>74</v>
      </c>
      <c r="AE954" s="1" t="s">
        <v>74</v>
      </c>
      <c r="AF954" s="1" t="s">
        <v>74</v>
      </c>
      <c r="AG954" s="1" t="s">
        <v>74</v>
      </c>
      <c r="AH954" s="1" t="s">
        <v>74</v>
      </c>
      <c r="AI954" s="1" t="s">
        <v>74</v>
      </c>
      <c r="AJ954" s="1" t="s">
        <v>74</v>
      </c>
      <c r="AK954" s="1" t="s">
        <v>74</v>
      </c>
      <c r="AL954" s="1" t="s">
        <v>74</v>
      </c>
      <c r="AM954" s="1" t="s">
        <v>74</v>
      </c>
      <c r="AN954" s="1" t="s">
        <v>74</v>
      </c>
      <c r="AO954" s="1" t="s">
        <v>9414</v>
      </c>
      <c r="AP954" s="1" t="s">
        <v>9415</v>
      </c>
      <c r="AQ954" s="1" t="s">
        <v>74</v>
      </c>
      <c r="AR954" s="1" t="s">
        <v>74</v>
      </c>
      <c r="AS954" s="1" t="s">
        <v>74</v>
      </c>
      <c r="AT954" s="1" t="s">
        <v>411</v>
      </c>
      <c r="AU954" s="1">
        <v>2015.0</v>
      </c>
      <c r="AV954" s="1">
        <v>84.0</v>
      </c>
      <c r="AW954" s="1" t="s">
        <v>74</v>
      </c>
      <c r="AX954" s="1" t="s">
        <v>74</v>
      </c>
      <c r="AY954" s="1" t="s">
        <v>74</v>
      </c>
      <c r="AZ954" s="1" t="s">
        <v>74</v>
      </c>
      <c r="BA954" s="1" t="s">
        <v>74</v>
      </c>
      <c r="BB954" s="1">
        <v>214.0</v>
      </c>
      <c r="BC954" s="1">
        <v>229.0</v>
      </c>
      <c r="BD954" s="1" t="s">
        <v>74</v>
      </c>
      <c r="BE954" s="1" t="s">
        <v>9416</v>
      </c>
      <c r="BF954" s="2" t="str">
        <f>HYPERLINK("http://dx.doi.org/10.1016/j.jmps.2015.07.010","http://dx.doi.org/10.1016/j.jmps.2015.07.010")</f>
        <v>http://dx.doi.org/10.1016/j.jmps.2015.07.010</v>
      </c>
      <c r="BG954" s="1" t="s">
        <v>74</v>
      </c>
      <c r="BH954" s="1" t="s">
        <v>74</v>
      </c>
      <c r="BI954" s="1" t="s">
        <v>74</v>
      </c>
      <c r="BJ954" s="1" t="s">
        <v>74</v>
      </c>
      <c r="BK954" s="1" t="s">
        <v>74</v>
      </c>
      <c r="BL954" s="1" t="s">
        <v>74</v>
      </c>
      <c r="BM954" s="1" t="s">
        <v>74</v>
      </c>
      <c r="BN954" s="1" t="s">
        <v>74</v>
      </c>
      <c r="BO954" s="1" t="s">
        <v>74</v>
      </c>
      <c r="BP954" s="1" t="s">
        <v>74</v>
      </c>
      <c r="BQ954" s="1" t="s">
        <v>74</v>
      </c>
      <c r="BR954" s="1" t="s">
        <v>74</v>
      </c>
      <c r="BS954" s="1" t="s">
        <v>9417</v>
      </c>
      <c r="BT954" s="1" t="str">
        <f>HYPERLINK("https%3A%2F%2Fwww.webofscience.com%2Fwos%2Fwoscc%2Ffull-record%2FWOS:000364887400012","View Full Record in Web of Science")</f>
        <v>View Full Record in Web of Science</v>
      </c>
    </row>
    <row r="955" ht="12.75" customHeight="1">
      <c r="A955" s="1" t="s">
        <v>72</v>
      </c>
      <c r="B955" s="1" t="s">
        <v>9418</v>
      </c>
      <c r="C955" s="1" t="s">
        <v>74</v>
      </c>
      <c r="D955" s="1" t="s">
        <v>74</v>
      </c>
      <c r="E955" s="1" t="s">
        <v>74</v>
      </c>
      <c r="F955" s="1" t="s">
        <v>9419</v>
      </c>
      <c r="G955" s="1" t="s">
        <v>74</v>
      </c>
      <c r="H955" s="1" t="s">
        <v>74</v>
      </c>
      <c r="I955" s="1" t="s">
        <v>9420</v>
      </c>
      <c r="J955" s="1" t="s">
        <v>9421</v>
      </c>
      <c r="K955" s="1" t="s">
        <v>74</v>
      </c>
      <c r="L955" s="1" t="s">
        <v>74</v>
      </c>
      <c r="M955" s="1" t="s">
        <v>74</v>
      </c>
      <c r="N955" s="1" t="s">
        <v>74</v>
      </c>
      <c r="O955" s="1" t="s">
        <v>74</v>
      </c>
      <c r="P955" s="1" t="s">
        <v>74</v>
      </c>
      <c r="Q955" s="1" t="s">
        <v>74</v>
      </c>
      <c r="R955" s="1" t="s">
        <v>74</v>
      </c>
      <c r="S955" s="1" t="s">
        <v>74</v>
      </c>
      <c r="T955" s="1" t="s">
        <v>74</v>
      </c>
      <c r="U955" s="1" t="s">
        <v>74</v>
      </c>
      <c r="V955" s="1" t="s">
        <v>9422</v>
      </c>
      <c r="W955" s="1" t="s">
        <v>74</v>
      </c>
      <c r="X955" s="1" t="s">
        <v>74</v>
      </c>
      <c r="Y955" s="1" t="s">
        <v>74</v>
      </c>
      <c r="Z955" s="1" t="s">
        <v>74</v>
      </c>
      <c r="AA955" s="1" t="s">
        <v>9423</v>
      </c>
      <c r="AB955" s="1" t="s">
        <v>9424</v>
      </c>
      <c r="AC955" s="1" t="s">
        <v>74</v>
      </c>
      <c r="AD955" s="1" t="s">
        <v>74</v>
      </c>
      <c r="AE955" s="1" t="s">
        <v>74</v>
      </c>
      <c r="AF955" s="1" t="s">
        <v>74</v>
      </c>
      <c r="AG955" s="1" t="s">
        <v>74</v>
      </c>
      <c r="AH955" s="1" t="s">
        <v>74</v>
      </c>
      <c r="AI955" s="1" t="s">
        <v>74</v>
      </c>
      <c r="AJ955" s="1" t="s">
        <v>74</v>
      </c>
      <c r="AK955" s="1" t="s">
        <v>74</v>
      </c>
      <c r="AL955" s="1" t="s">
        <v>74</v>
      </c>
      <c r="AM955" s="1" t="s">
        <v>74</v>
      </c>
      <c r="AN955" s="1" t="s">
        <v>74</v>
      </c>
      <c r="AO955" s="1" t="s">
        <v>9425</v>
      </c>
      <c r="AP955" s="1" t="s">
        <v>9426</v>
      </c>
      <c r="AQ955" s="1" t="s">
        <v>74</v>
      </c>
      <c r="AR955" s="1" t="s">
        <v>74</v>
      </c>
      <c r="AS955" s="1" t="s">
        <v>74</v>
      </c>
      <c r="AT955" s="1" t="s">
        <v>4836</v>
      </c>
      <c r="AU955" s="1">
        <v>2015.0</v>
      </c>
      <c r="AV955" s="1">
        <v>51.0</v>
      </c>
      <c r="AW955" s="1">
        <v>18.0</v>
      </c>
      <c r="AX955" s="1" t="s">
        <v>74</v>
      </c>
      <c r="AY955" s="1" t="s">
        <v>74</v>
      </c>
      <c r="AZ955" s="1" t="s">
        <v>74</v>
      </c>
      <c r="BA955" s="1" t="s">
        <v>74</v>
      </c>
      <c r="BB955" s="1" t="s">
        <v>74</v>
      </c>
      <c r="BC955" s="1" t="s">
        <v>74</v>
      </c>
      <c r="BD955" s="1" t="s">
        <v>74</v>
      </c>
      <c r="BE955" s="1" t="s">
        <v>9427</v>
      </c>
      <c r="BF955" s="2" t="str">
        <f>HYPERLINK("http://dx.doi.org/10.1049/el.2015.1226","http://dx.doi.org/10.1049/el.2015.1226")</f>
        <v>http://dx.doi.org/10.1049/el.2015.1226</v>
      </c>
      <c r="BG955" s="1" t="s">
        <v>74</v>
      </c>
      <c r="BH955" s="1" t="s">
        <v>74</v>
      </c>
      <c r="BI955" s="1" t="s">
        <v>74</v>
      </c>
      <c r="BJ955" s="1" t="s">
        <v>74</v>
      </c>
      <c r="BK955" s="1" t="s">
        <v>74</v>
      </c>
      <c r="BL955" s="1" t="s">
        <v>74</v>
      </c>
      <c r="BM955" s="1" t="s">
        <v>74</v>
      </c>
      <c r="BN955" s="1" t="s">
        <v>74</v>
      </c>
      <c r="BO955" s="1" t="s">
        <v>74</v>
      </c>
      <c r="BP955" s="1" t="s">
        <v>74</v>
      </c>
      <c r="BQ955" s="1" t="s">
        <v>74</v>
      </c>
      <c r="BR955" s="1" t="s">
        <v>74</v>
      </c>
      <c r="BS955" s="1" t="s">
        <v>9428</v>
      </c>
      <c r="BT955" s="1" t="str">
        <f>HYPERLINK("https%3A%2F%2Fwww.webofscience.com%2Fwos%2Fwoscc%2Ffull-record%2FWOS:000360199000044","View Full Record in Web of Science")</f>
        <v>View Full Record in Web of Science</v>
      </c>
    </row>
    <row r="956" ht="12.75" customHeight="1">
      <c r="A956" s="1" t="s">
        <v>72</v>
      </c>
      <c r="B956" s="1" t="s">
        <v>9429</v>
      </c>
      <c r="C956" s="1" t="s">
        <v>74</v>
      </c>
      <c r="D956" s="1" t="s">
        <v>74</v>
      </c>
      <c r="E956" s="1" t="s">
        <v>74</v>
      </c>
      <c r="F956" s="1" t="s">
        <v>9430</v>
      </c>
      <c r="G956" s="1" t="s">
        <v>74</v>
      </c>
      <c r="H956" s="1" t="s">
        <v>74</v>
      </c>
      <c r="I956" s="1" t="s">
        <v>9431</v>
      </c>
      <c r="J956" s="1" t="s">
        <v>9432</v>
      </c>
      <c r="K956" s="1" t="s">
        <v>74</v>
      </c>
      <c r="L956" s="1" t="s">
        <v>74</v>
      </c>
      <c r="M956" s="1" t="s">
        <v>74</v>
      </c>
      <c r="N956" s="1" t="s">
        <v>74</v>
      </c>
      <c r="O956" s="1" t="s">
        <v>74</v>
      </c>
      <c r="P956" s="1" t="s">
        <v>74</v>
      </c>
      <c r="Q956" s="1" t="s">
        <v>74</v>
      </c>
      <c r="R956" s="1" t="s">
        <v>74</v>
      </c>
      <c r="S956" s="1" t="s">
        <v>74</v>
      </c>
      <c r="T956" s="1" t="s">
        <v>74</v>
      </c>
      <c r="U956" s="1" t="s">
        <v>74</v>
      </c>
      <c r="V956" s="1" t="s">
        <v>9433</v>
      </c>
      <c r="W956" s="1" t="s">
        <v>74</v>
      </c>
      <c r="X956" s="1" t="s">
        <v>74</v>
      </c>
      <c r="Y956" s="1" t="s">
        <v>74</v>
      </c>
      <c r="Z956" s="1" t="s">
        <v>74</v>
      </c>
      <c r="AA956" s="1" t="s">
        <v>9434</v>
      </c>
      <c r="AB956" s="1" t="s">
        <v>9435</v>
      </c>
      <c r="AC956" s="1" t="s">
        <v>74</v>
      </c>
      <c r="AD956" s="1" t="s">
        <v>74</v>
      </c>
      <c r="AE956" s="1" t="s">
        <v>74</v>
      </c>
      <c r="AF956" s="1" t="s">
        <v>74</v>
      </c>
      <c r="AG956" s="1" t="s">
        <v>74</v>
      </c>
      <c r="AH956" s="1" t="s">
        <v>74</v>
      </c>
      <c r="AI956" s="1" t="s">
        <v>74</v>
      </c>
      <c r="AJ956" s="1" t="s">
        <v>74</v>
      </c>
      <c r="AK956" s="1" t="s">
        <v>74</v>
      </c>
      <c r="AL956" s="1" t="s">
        <v>74</v>
      </c>
      <c r="AM956" s="1" t="s">
        <v>74</v>
      </c>
      <c r="AN956" s="1" t="s">
        <v>74</v>
      </c>
      <c r="AO956" s="1" t="s">
        <v>9436</v>
      </c>
      <c r="AP956" s="1" t="s">
        <v>9437</v>
      </c>
      <c r="AQ956" s="1" t="s">
        <v>74</v>
      </c>
      <c r="AR956" s="1" t="s">
        <v>74</v>
      </c>
      <c r="AS956" s="1" t="s">
        <v>74</v>
      </c>
      <c r="AT956" s="1" t="s">
        <v>411</v>
      </c>
      <c r="AU956" s="1">
        <v>2014.0</v>
      </c>
      <c r="AV956" s="1">
        <v>149.0</v>
      </c>
      <c r="AW956" s="1" t="s">
        <v>74</v>
      </c>
      <c r="AX956" s="1" t="s">
        <v>74</v>
      </c>
      <c r="AY956" s="1" t="s">
        <v>74</v>
      </c>
      <c r="AZ956" s="1" t="s">
        <v>74</v>
      </c>
      <c r="BA956" s="1" t="s">
        <v>74</v>
      </c>
      <c r="BB956" s="1">
        <v>282.0</v>
      </c>
      <c r="BC956" s="1">
        <v>291.0</v>
      </c>
      <c r="BD956" s="1" t="s">
        <v>74</v>
      </c>
      <c r="BE956" s="1" t="s">
        <v>9438</v>
      </c>
      <c r="BF956" s="2" t="str">
        <f>HYPERLINK("http://dx.doi.org/10.1016/j.atmosres.2014.07.002","http://dx.doi.org/10.1016/j.atmosres.2014.07.002")</f>
        <v>http://dx.doi.org/10.1016/j.atmosres.2014.07.002</v>
      </c>
      <c r="BG956" s="1" t="s">
        <v>74</v>
      </c>
      <c r="BH956" s="1" t="s">
        <v>74</v>
      </c>
      <c r="BI956" s="1" t="s">
        <v>74</v>
      </c>
      <c r="BJ956" s="1" t="s">
        <v>74</v>
      </c>
      <c r="BK956" s="1" t="s">
        <v>74</v>
      </c>
      <c r="BL956" s="1" t="s">
        <v>74</v>
      </c>
      <c r="BM956" s="1" t="s">
        <v>74</v>
      </c>
      <c r="BN956" s="1" t="s">
        <v>74</v>
      </c>
      <c r="BO956" s="1" t="s">
        <v>74</v>
      </c>
      <c r="BP956" s="1" t="s">
        <v>74</v>
      </c>
      <c r="BQ956" s="1" t="s">
        <v>74</v>
      </c>
      <c r="BR956" s="1" t="s">
        <v>74</v>
      </c>
      <c r="BS956" s="1" t="s">
        <v>9439</v>
      </c>
      <c r="BT956" s="1" t="str">
        <f>HYPERLINK("https%3A%2F%2Fwww.webofscience.com%2Fwos%2Fwoscc%2Ffull-record%2FWOS:000341468100023","View Full Record in Web of Science")</f>
        <v>View Full Record in Web of Science</v>
      </c>
    </row>
    <row r="957" ht="12.75" customHeight="1">
      <c r="A957" s="1" t="s">
        <v>72</v>
      </c>
      <c r="B957" s="1" t="s">
        <v>9440</v>
      </c>
      <c r="C957" s="1" t="s">
        <v>74</v>
      </c>
      <c r="D957" s="1" t="s">
        <v>74</v>
      </c>
      <c r="E957" s="1" t="s">
        <v>74</v>
      </c>
      <c r="F957" s="1" t="s">
        <v>9441</v>
      </c>
      <c r="G957" s="1" t="s">
        <v>74</v>
      </c>
      <c r="H957" s="1" t="s">
        <v>9442</v>
      </c>
      <c r="I957" s="1" t="s">
        <v>9443</v>
      </c>
      <c r="J957" s="1" t="s">
        <v>9444</v>
      </c>
      <c r="K957" s="1" t="s">
        <v>74</v>
      </c>
      <c r="L957" s="1" t="s">
        <v>74</v>
      </c>
      <c r="M957" s="1" t="s">
        <v>74</v>
      </c>
      <c r="N957" s="1" t="s">
        <v>74</v>
      </c>
      <c r="O957" s="1" t="s">
        <v>74</v>
      </c>
      <c r="P957" s="1" t="s">
        <v>74</v>
      </c>
      <c r="Q957" s="1" t="s">
        <v>74</v>
      </c>
      <c r="R957" s="1" t="s">
        <v>74</v>
      </c>
      <c r="S957" s="1" t="s">
        <v>74</v>
      </c>
      <c r="T957" s="1" t="s">
        <v>74</v>
      </c>
      <c r="U957" s="1" t="s">
        <v>74</v>
      </c>
      <c r="V957" s="1" t="s">
        <v>9445</v>
      </c>
      <c r="W957" s="1" t="s">
        <v>74</v>
      </c>
      <c r="X957" s="1" t="s">
        <v>74</v>
      </c>
      <c r="Y957" s="1" t="s">
        <v>74</v>
      </c>
      <c r="Z957" s="1" t="s">
        <v>74</v>
      </c>
      <c r="AA957" s="1" t="s">
        <v>9446</v>
      </c>
      <c r="AB957" s="1" t="s">
        <v>9447</v>
      </c>
      <c r="AC957" s="1" t="s">
        <v>74</v>
      </c>
      <c r="AD957" s="1" t="s">
        <v>74</v>
      </c>
      <c r="AE957" s="1" t="s">
        <v>74</v>
      </c>
      <c r="AF957" s="1" t="s">
        <v>74</v>
      </c>
      <c r="AG957" s="1" t="s">
        <v>74</v>
      </c>
      <c r="AH957" s="1" t="s">
        <v>74</v>
      </c>
      <c r="AI957" s="1" t="s">
        <v>74</v>
      </c>
      <c r="AJ957" s="1" t="s">
        <v>74</v>
      </c>
      <c r="AK957" s="1" t="s">
        <v>74</v>
      </c>
      <c r="AL957" s="1" t="s">
        <v>74</v>
      </c>
      <c r="AM957" s="1" t="s">
        <v>74</v>
      </c>
      <c r="AN957" s="1" t="s">
        <v>74</v>
      </c>
      <c r="AO957" s="1" t="s">
        <v>9448</v>
      </c>
      <c r="AP957" s="1" t="s">
        <v>9449</v>
      </c>
      <c r="AQ957" s="1" t="s">
        <v>74</v>
      </c>
      <c r="AR957" s="1" t="s">
        <v>74</v>
      </c>
      <c r="AS957" s="1" t="s">
        <v>74</v>
      </c>
      <c r="AT957" s="1" t="s">
        <v>377</v>
      </c>
      <c r="AU957" s="1">
        <v>2012.0</v>
      </c>
      <c r="AV957" s="1">
        <v>16.0</v>
      </c>
      <c r="AW957" s="1">
        <v>5.0</v>
      </c>
      <c r="AX957" s="1" t="s">
        <v>74</v>
      </c>
      <c r="AY957" s="1" t="s">
        <v>74</v>
      </c>
      <c r="AZ957" s="1" t="s">
        <v>74</v>
      </c>
      <c r="BA957" s="1" t="s">
        <v>74</v>
      </c>
      <c r="BB957" s="1">
        <v>687.0</v>
      </c>
      <c r="BC957" s="1">
        <v>693.0</v>
      </c>
      <c r="BD957" s="1" t="s">
        <v>74</v>
      </c>
      <c r="BE957" s="1" t="s">
        <v>9450</v>
      </c>
      <c r="BF957" s="2" t="str">
        <f>HYPERLINK("http://dx.doi.org/10.5588/ijtld.11.0226","http://dx.doi.org/10.5588/ijtld.11.0226")</f>
        <v>http://dx.doi.org/10.5588/ijtld.11.0226</v>
      </c>
      <c r="BG957" s="1" t="s">
        <v>74</v>
      </c>
      <c r="BH957" s="1" t="s">
        <v>74</v>
      </c>
      <c r="BI957" s="1" t="s">
        <v>74</v>
      </c>
      <c r="BJ957" s="1" t="s">
        <v>74</v>
      </c>
      <c r="BK957" s="1" t="s">
        <v>74</v>
      </c>
      <c r="BL957" s="1" t="s">
        <v>74</v>
      </c>
      <c r="BM957" s="1" t="s">
        <v>74</v>
      </c>
      <c r="BN957" s="1">
        <v>2.2507933E7</v>
      </c>
      <c r="BO957" s="1" t="s">
        <v>74</v>
      </c>
      <c r="BP957" s="1" t="s">
        <v>74</v>
      </c>
      <c r="BQ957" s="1" t="s">
        <v>74</v>
      </c>
      <c r="BR957" s="1" t="s">
        <v>74</v>
      </c>
      <c r="BS957" s="1" t="s">
        <v>9451</v>
      </c>
      <c r="BT957" s="1" t="str">
        <f>HYPERLINK("https%3A%2F%2Fwww.webofscience.com%2Fwos%2Fwoscc%2Ffull-record%2FWOS:000303700600025","View Full Record in Web of Science")</f>
        <v>View Full Record in Web of Science</v>
      </c>
    </row>
    <row r="958" ht="12.75" customHeight="1">
      <c r="A958" s="1" t="s">
        <v>72</v>
      </c>
      <c r="B958" s="1" t="s">
        <v>9452</v>
      </c>
      <c r="C958" s="1" t="s">
        <v>74</v>
      </c>
      <c r="D958" s="1" t="s">
        <v>74</v>
      </c>
      <c r="E958" s="1" t="s">
        <v>74</v>
      </c>
      <c r="F958" s="1" t="s">
        <v>9452</v>
      </c>
      <c r="G958" s="1" t="s">
        <v>74</v>
      </c>
      <c r="H958" s="1" t="s">
        <v>74</v>
      </c>
      <c r="I958" s="1" t="s">
        <v>9453</v>
      </c>
      <c r="J958" s="1" t="s">
        <v>9454</v>
      </c>
      <c r="K958" s="1" t="s">
        <v>74</v>
      </c>
      <c r="L958" s="1" t="s">
        <v>74</v>
      </c>
      <c r="M958" s="1" t="s">
        <v>74</v>
      </c>
      <c r="N958" s="1" t="s">
        <v>74</v>
      </c>
      <c r="O958" s="1" t="s">
        <v>74</v>
      </c>
      <c r="P958" s="1" t="s">
        <v>74</v>
      </c>
      <c r="Q958" s="1" t="s">
        <v>74</v>
      </c>
      <c r="R958" s="1" t="s">
        <v>74</v>
      </c>
      <c r="S958" s="1" t="s">
        <v>74</v>
      </c>
      <c r="T958" s="1" t="s">
        <v>74</v>
      </c>
      <c r="U958" s="1" t="s">
        <v>74</v>
      </c>
      <c r="V958" s="1" t="s">
        <v>9455</v>
      </c>
      <c r="W958" s="1" t="s">
        <v>74</v>
      </c>
      <c r="X958" s="1" t="s">
        <v>74</v>
      </c>
      <c r="Y958" s="1" t="s">
        <v>74</v>
      </c>
      <c r="Z958" s="1" t="s">
        <v>74</v>
      </c>
      <c r="AA958" s="1" t="s">
        <v>9456</v>
      </c>
      <c r="AB958" s="1" t="s">
        <v>9457</v>
      </c>
      <c r="AC958" s="1" t="s">
        <v>74</v>
      </c>
      <c r="AD958" s="1" t="s">
        <v>74</v>
      </c>
      <c r="AE958" s="1" t="s">
        <v>74</v>
      </c>
      <c r="AF958" s="1" t="s">
        <v>74</v>
      </c>
      <c r="AG958" s="1" t="s">
        <v>74</v>
      </c>
      <c r="AH958" s="1" t="s">
        <v>74</v>
      </c>
      <c r="AI958" s="1" t="s">
        <v>74</v>
      </c>
      <c r="AJ958" s="1" t="s">
        <v>74</v>
      </c>
      <c r="AK958" s="1" t="s">
        <v>74</v>
      </c>
      <c r="AL958" s="1" t="s">
        <v>74</v>
      </c>
      <c r="AM958" s="1" t="s">
        <v>74</v>
      </c>
      <c r="AN958" s="1" t="s">
        <v>74</v>
      </c>
      <c r="AO958" s="1" t="s">
        <v>9458</v>
      </c>
      <c r="AP958" s="1" t="s">
        <v>9459</v>
      </c>
      <c r="AQ958" s="1" t="s">
        <v>74</v>
      </c>
      <c r="AR958" s="1" t="s">
        <v>74</v>
      </c>
      <c r="AS958" s="1" t="s">
        <v>74</v>
      </c>
      <c r="AT958" s="1" t="s">
        <v>1554</v>
      </c>
      <c r="AU958" s="1">
        <v>2003.0</v>
      </c>
      <c r="AV958" s="1">
        <v>10.0</v>
      </c>
      <c r="AW958" s="1">
        <v>3.0</v>
      </c>
      <c r="AX958" s="1" t="s">
        <v>74</v>
      </c>
      <c r="AY958" s="1" t="s">
        <v>74</v>
      </c>
      <c r="AZ958" s="1" t="s">
        <v>74</v>
      </c>
      <c r="BA958" s="1" t="s">
        <v>74</v>
      </c>
      <c r="BB958" s="1">
        <v>235.0</v>
      </c>
      <c r="BC958" s="1">
        <v>240.0</v>
      </c>
      <c r="BD958" s="1" t="s">
        <v>74</v>
      </c>
      <c r="BE958" s="1" t="s">
        <v>9460</v>
      </c>
      <c r="BF958" s="2" t="str">
        <f>HYPERLINK("http://dx.doi.org/10.1097/01.GME.0000047164.31787.45","http://dx.doi.org/10.1097/01.GME.0000047164.31787.45")</f>
        <v>http://dx.doi.org/10.1097/01.GME.0000047164.31787.45</v>
      </c>
      <c r="BG958" s="1" t="s">
        <v>74</v>
      </c>
      <c r="BH958" s="1" t="s">
        <v>74</v>
      </c>
      <c r="BI958" s="1" t="s">
        <v>74</v>
      </c>
      <c r="BJ958" s="1" t="s">
        <v>74</v>
      </c>
      <c r="BK958" s="1" t="s">
        <v>74</v>
      </c>
      <c r="BL958" s="1" t="s">
        <v>74</v>
      </c>
      <c r="BM958" s="1" t="s">
        <v>74</v>
      </c>
      <c r="BN958" s="1">
        <v>1.2792296E7</v>
      </c>
      <c r="BO958" s="1" t="s">
        <v>74</v>
      </c>
      <c r="BP958" s="1" t="s">
        <v>74</v>
      </c>
      <c r="BQ958" s="1" t="s">
        <v>74</v>
      </c>
      <c r="BR958" s="1" t="s">
        <v>74</v>
      </c>
      <c r="BS958" s="1" t="s">
        <v>9461</v>
      </c>
      <c r="BT958" s="1" t="str">
        <f>HYPERLINK("https%3A%2F%2Fwww.webofscience.com%2Fwos%2Fwoscc%2Ffull-record%2FWOS:000182908100011","View Full Record in Web of Science")</f>
        <v>View Full Record in Web of Science</v>
      </c>
    </row>
    <row r="959" ht="12.75" customHeight="1">
      <c r="A959" s="1" t="s">
        <v>72</v>
      </c>
      <c r="B959" s="1" t="s">
        <v>9462</v>
      </c>
      <c r="C959" s="1" t="s">
        <v>74</v>
      </c>
      <c r="D959" s="1" t="s">
        <v>74</v>
      </c>
      <c r="E959" s="1" t="s">
        <v>74</v>
      </c>
      <c r="F959" s="1" t="s">
        <v>9462</v>
      </c>
      <c r="G959" s="1" t="s">
        <v>74</v>
      </c>
      <c r="H959" s="1" t="s">
        <v>74</v>
      </c>
      <c r="I959" s="1" t="s">
        <v>9463</v>
      </c>
      <c r="J959" s="1" t="s">
        <v>8036</v>
      </c>
      <c r="K959" s="1" t="s">
        <v>74</v>
      </c>
      <c r="L959" s="1" t="s">
        <v>74</v>
      </c>
      <c r="M959" s="1" t="s">
        <v>74</v>
      </c>
      <c r="N959" s="1" t="s">
        <v>74</v>
      </c>
      <c r="O959" s="1" t="s">
        <v>74</v>
      </c>
      <c r="P959" s="1" t="s">
        <v>74</v>
      </c>
      <c r="Q959" s="1" t="s">
        <v>74</v>
      </c>
      <c r="R959" s="1" t="s">
        <v>74</v>
      </c>
      <c r="S959" s="1" t="s">
        <v>74</v>
      </c>
      <c r="T959" s="1" t="s">
        <v>74</v>
      </c>
      <c r="U959" s="1" t="s">
        <v>74</v>
      </c>
      <c r="V959" s="1" t="s">
        <v>9464</v>
      </c>
      <c r="W959" s="1" t="s">
        <v>74</v>
      </c>
      <c r="X959" s="1" t="s">
        <v>74</v>
      </c>
      <c r="Y959" s="1" t="s">
        <v>74</v>
      </c>
      <c r="Z959" s="1" t="s">
        <v>74</v>
      </c>
      <c r="AA959" s="1" t="s">
        <v>9465</v>
      </c>
      <c r="AB959" s="1" t="s">
        <v>9466</v>
      </c>
      <c r="AC959" s="1" t="s">
        <v>74</v>
      </c>
      <c r="AD959" s="1" t="s">
        <v>74</v>
      </c>
      <c r="AE959" s="1" t="s">
        <v>74</v>
      </c>
      <c r="AF959" s="1" t="s">
        <v>74</v>
      </c>
      <c r="AG959" s="1" t="s">
        <v>74</v>
      </c>
      <c r="AH959" s="1" t="s">
        <v>74</v>
      </c>
      <c r="AI959" s="1" t="s">
        <v>74</v>
      </c>
      <c r="AJ959" s="1" t="s">
        <v>74</v>
      </c>
      <c r="AK959" s="1" t="s">
        <v>74</v>
      </c>
      <c r="AL959" s="1" t="s">
        <v>74</v>
      </c>
      <c r="AM959" s="1" t="s">
        <v>74</v>
      </c>
      <c r="AN959" s="1" t="s">
        <v>74</v>
      </c>
      <c r="AO959" s="1" t="s">
        <v>8040</v>
      </c>
      <c r="AP959" s="1" t="s">
        <v>74</v>
      </c>
      <c r="AQ959" s="1" t="s">
        <v>74</v>
      </c>
      <c r="AR959" s="1" t="s">
        <v>74</v>
      </c>
      <c r="AS959" s="1" t="s">
        <v>74</v>
      </c>
      <c r="AT959" s="1" t="s">
        <v>155</v>
      </c>
      <c r="AU959" s="1">
        <v>2002.0</v>
      </c>
      <c r="AV959" s="1">
        <v>43.0</v>
      </c>
      <c r="AW959" s="1">
        <v>14.0</v>
      </c>
      <c r="AX959" s="1" t="s">
        <v>74</v>
      </c>
      <c r="AY959" s="1" t="s">
        <v>74</v>
      </c>
      <c r="AZ959" s="1" t="s">
        <v>74</v>
      </c>
      <c r="BA959" s="1" t="s">
        <v>74</v>
      </c>
      <c r="BB959" s="1">
        <v>3909.0</v>
      </c>
      <c r="BC959" s="1">
        <v>3913.0</v>
      </c>
      <c r="BD959" s="1" t="s">
        <v>9467</v>
      </c>
      <c r="BE959" s="1" t="s">
        <v>9468</v>
      </c>
      <c r="BF959" s="2" t="str">
        <f>HYPERLINK("http://dx.doi.org/10.1016/S0032-3861(02)00211-2","http://dx.doi.org/10.1016/S0032-3861(02)00211-2")</f>
        <v>http://dx.doi.org/10.1016/S0032-3861(02)00211-2</v>
      </c>
      <c r="BG959" s="1" t="s">
        <v>74</v>
      </c>
      <c r="BH959" s="1" t="s">
        <v>74</v>
      </c>
      <c r="BI959" s="1" t="s">
        <v>74</v>
      </c>
      <c r="BJ959" s="1" t="s">
        <v>74</v>
      </c>
      <c r="BK959" s="1" t="s">
        <v>74</v>
      </c>
      <c r="BL959" s="1" t="s">
        <v>74</v>
      </c>
      <c r="BM959" s="1" t="s">
        <v>74</v>
      </c>
      <c r="BN959" s="1" t="s">
        <v>74</v>
      </c>
      <c r="BO959" s="1" t="s">
        <v>74</v>
      </c>
      <c r="BP959" s="1" t="s">
        <v>74</v>
      </c>
      <c r="BQ959" s="1" t="s">
        <v>74</v>
      </c>
      <c r="BR959" s="1" t="s">
        <v>74</v>
      </c>
      <c r="BS959" s="1" t="s">
        <v>9469</v>
      </c>
      <c r="BT959" s="1" t="str">
        <f>HYPERLINK("https%3A%2F%2Fwww.webofscience.com%2Fwos%2Fwoscc%2Ffull-record%2FWOS:000176030500008","View Full Record in Web of Science")</f>
        <v>View Full Record in Web of Science</v>
      </c>
    </row>
    <row r="960" ht="12.75" customHeight="1">
      <c r="A960" s="1" t="s">
        <v>72</v>
      </c>
      <c r="B960" s="1" t="s">
        <v>9470</v>
      </c>
      <c r="C960" s="1" t="s">
        <v>74</v>
      </c>
      <c r="D960" s="1" t="s">
        <v>74</v>
      </c>
      <c r="E960" s="1" t="s">
        <v>74</v>
      </c>
      <c r="F960" s="1" t="s">
        <v>9471</v>
      </c>
      <c r="G960" s="1" t="s">
        <v>74</v>
      </c>
      <c r="H960" s="1" t="s">
        <v>74</v>
      </c>
      <c r="I960" s="1" t="s">
        <v>9472</v>
      </c>
      <c r="J960" s="1" t="s">
        <v>9473</v>
      </c>
      <c r="K960" s="1" t="s">
        <v>74</v>
      </c>
      <c r="L960" s="1" t="s">
        <v>74</v>
      </c>
      <c r="M960" s="1" t="s">
        <v>74</v>
      </c>
      <c r="N960" s="1" t="s">
        <v>74</v>
      </c>
      <c r="O960" s="1" t="s">
        <v>74</v>
      </c>
      <c r="P960" s="1" t="s">
        <v>74</v>
      </c>
      <c r="Q960" s="1" t="s">
        <v>74</v>
      </c>
      <c r="R960" s="1" t="s">
        <v>74</v>
      </c>
      <c r="S960" s="1" t="s">
        <v>74</v>
      </c>
      <c r="T960" s="1" t="s">
        <v>74</v>
      </c>
      <c r="U960" s="1" t="s">
        <v>74</v>
      </c>
      <c r="V960" s="1" t="s">
        <v>9474</v>
      </c>
      <c r="W960" s="1" t="s">
        <v>74</v>
      </c>
      <c r="X960" s="1" t="s">
        <v>74</v>
      </c>
      <c r="Y960" s="1" t="s">
        <v>74</v>
      </c>
      <c r="Z960" s="1" t="s">
        <v>74</v>
      </c>
      <c r="AA960" s="1" t="s">
        <v>9475</v>
      </c>
      <c r="AB960" s="1" t="s">
        <v>9476</v>
      </c>
      <c r="AC960" s="1" t="s">
        <v>74</v>
      </c>
      <c r="AD960" s="1" t="s">
        <v>74</v>
      </c>
      <c r="AE960" s="1" t="s">
        <v>74</v>
      </c>
      <c r="AF960" s="1" t="s">
        <v>74</v>
      </c>
      <c r="AG960" s="1" t="s">
        <v>74</v>
      </c>
      <c r="AH960" s="1" t="s">
        <v>74</v>
      </c>
      <c r="AI960" s="1" t="s">
        <v>74</v>
      </c>
      <c r="AJ960" s="1" t="s">
        <v>74</v>
      </c>
      <c r="AK960" s="1" t="s">
        <v>74</v>
      </c>
      <c r="AL960" s="1" t="s">
        <v>74</v>
      </c>
      <c r="AM960" s="1" t="s">
        <v>74</v>
      </c>
      <c r="AN960" s="1" t="s">
        <v>74</v>
      </c>
      <c r="AO960" s="1" t="s">
        <v>74</v>
      </c>
      <c r="AP960" s="1" t="s">
        <v>9477</v>
      </c>
      <c r="AQ960" s="1" t="s">
        <v>74</v>
      </c>
      <c r="AR960" s="1" t="s">
        <v>74</v>
      </c>
      <c r="AS960" s="1" t="s">
        <v>74</v>
      </c>
      <c r="AT960" s="1" t="s">
        <v>9478</v>
      </c>
      <c r="AU960" s="1">
        <v>2023.0</v>
      </c>
      <c r="AV960" s="1">
        <v>9.0</v>
      </c>
      <c r="AW960" s="1">
        <v>1.0</v>
      </c>
      <c r="AX960" s="1" t="s">
        <v>74</v>
      </c>
      <c r="AY960" s="1" t="s">
        <v>74</v>
      </c>
      <c r="AZ960" s="1" t="s">
        <v>74</v>
      </c>
      <c r="BA960" s="1" t="s">
        <v>74</v>
      </c>
      <c r="BB960" s="1" t="s">
        <v>74</v>
      </c>
      <c r="BC960" s="1" t="s">
        <v>74</v>
      </c>
      <c r="BD960" s="1">
        <v>86.0</v>
      </c>
      <c r="BE960" s="1" t="s">
        <v>9479</v>
      </c>
      <c r="BF960" s="2" t="str">
        <f>HYPERLINK("http://dx.doi.org/10.1038/s41531-023-00524-x","http://dx.doi.org/10.1038/s41531-023-00524-x")</f>
        <v>http://dx.doi.org/10.1038/s41531-023-00524-x</v>
      </c>
      <c r="BG960" s="1" t="s">
        <v>74</v>
      </c>
      <c r="BH960" s="1" t="s">
        <v>74</v>
      </c>
      <c r="BI960" s="1" t="s">
        <v>74</v>
      </c>
      <c r="BJ960" s="1" t="s">
        <v>74</v>
      </c>
      <c r="BK960" s="1" t="s">
        <v>74</v>
      </c>
      <c r="BL960" s="1" t="s">
        <v>74</v>
      </c>
      <c r="BM960" s="1" t="s">
        <v>74</v>
      </c>
      <c r="BN960" s="1">
        <v>3.7277346E7</v>
      </c>
      <c r="BO960" s="1" t="s">
        <v>74</v>
      </c>
      <c r="BP960" s="1" t="s">
        <v>74</v>
      </c>
      <c r="BQ960" s="1" t="s">
        <v>74</v>
      </c>
      <c r="BR960" s="1" t="s">
        <v>74</v>
      </c>
      <c r="BS960" s="1" t="s">
        <v>9480</v>
      </c>
      <c r="BT960" s="1" t="str">
        <f>HYPERLINK("https%3A%2F%2Fwww.webofscience.com%2Fwos%2Fwoscc%2Ffull-record%2FWOS:001000902300001","View Full Record in Web of Science")</f>
        <v>View Full Record in Web of Science</v>
      </c>
    </row>
    <row r="961" ht="12.75" customHeight="1">
      <c r="A961" s="1" t="s">
        <v>72</v>
      </c>
      <c r="B961" s="1" t="s">
        <v>9481</v>
      </c>
      <c r="C961" s="1" t="s">
        <v>74</v>
      </c>
      <c r="D961" s="1" t="s">
        <v>74</v>
      </c>
      <c r="E961" s="1" t="s">
        <v>74</v>
      </c>
      <c r="F961" s="1" t="s">
        <v>9482</v>
      </c>
      <c r="G961" s="1" t="s">
        <v>74</v>
      </c>
      <c r="H961" s="1" t="s">
        <v>74</v>
      </c>
      <c r="I961" s="1" t="s">
        <v>9483</v>
      </c>
      <c r="J961" s="1" t="s">
        <v>4353</v>
      </c>
      <c r="K961" s="1" t="s">
        <v>74</v>
      </c>
      <c r="L961" s="1" t="s">
        <v>74</v>
      </c>
      <c r="M961" s="1" t="s">
        <v>74</v>
      </c>
      <c r="N961" s="1" t="s">
        <v>74</v>
      </c>
      <c r="O961" s="1" t="s">
        <v>74</v>
      </c>
      <c r="P961" s="1" t="s">
        <v>74</v>
      </c>
      <c r="Q961" s="1" t="s">
        <v>74</v>
      </c>
      <c r="R961" s="1" t="s">
        <v>74</v>
      </c>
      <c r="S961" s="1" t="s">
        <v>74</v>
      </c>
      <c r="T961" s="1" t="s">
        <v>74</v>
      </c>
      <c r="U961" s="1" t="s">
        <v>74</v>
      </c>
      <c r="V961" s="1" t="s">
        <v>9484</v>
      </c>
      <c r="W961" s="1" t="s">
        <v>74</v>
      </c>
      <c r="X961" s="1" t="s">
        <v>74</v>
      </c>
      <c r="Y961" s="1" t="s">
        <v>74</v>
      </c>
      <c r="Z961" s="1" t="s">
        <v>74</v>
      </c>
      <c r="AA961" s="1" t="s">
        <v>9485</v>
      </c>
      <c r="AB961" s="1" t="s">
        <v>9486</v>
      </c>
      <c r="AC961" s="1" t="s">
        <v>74</v>
      </c>
      <c r="AD961" s="1" t="s">
        <v>74</v>
      </c>
      <c r="AE961" s="1" t="s">
        <v>74</v>
      </c>
      <c r="AF961" s="1" t="s">
        <v>74</v>
      </c>
      <c r="AG961" s="1" t="s">
        <v>74</v>
      </c>
      <c r="AH961" s="1" t="s">
        <v>74</v>
      </c>
      <c r="AI961" s="1" t="s">
        <v>74</v>
      </c>
      <c r="AJ961" s="1" t="s">
        <v>74</v>
      </c>
      <c r="AK961" s="1" t="s">
        <v>74</v>
      </c>
      <c r="AL961" s="1" t="s">
        <v>74</v>
      </c>
      <c r="AM961" s="1" t="s">
        <v>74</v>
      </c>
      <c r="AN961" s="1" t="s">
        <v>74</v>
      </c>
      <c r="AO961" s="1" t="s">
        <v>4357</v>
      </c>
      <c r="AP961" s="1" t="s">
        <v>74</v>
      </c>
      <c r="AQ961" s="1" t="s">
        <v>74</v>
      </c>
      <c r="AR961" s="1" t="s">
        <v>74</v>
      </c>
      <c r="AS961" s="1" t="s">
        <v>74</v>
      </c>
      <c r="AT961" s="1" t="s">
        <v>9487</v>
      </c>
      <c r="AU961" s="1">
        <v>2022.0</v>
      </c>
      <c r="AV961" s="1">
        <v>13.0</v>
      </c>
      <c r="AW961" s="1" t="s">
        <v>74</v>
      </c>
      <c r="AX961" s="1" t="s">
        <v>74</v>
      </c>
      <c r="AY961" s="1" t="s">
        <v>74</v>
      </c>
      <c r="AZ961" s="1" t="s">
        <v>74</v>
      </c>
      <c r="BA961" s="1" t="s">
        <v>74</v>
      </c>
      <c r="BB961" s="1" t="s">
        <v>74</v>
      </c>
      <c r="BC961" s="1" t="s">
        <v>74</v>
      </c>
      <c r="BD961" s="1">
        <v>882162.0</v>
      </c>
      <c r="BE961" s="1" t="s">
        <v>9488</v>
      </c>
      <c r="BF961" s="2" t="str">
        <f>HYPERLINK("http://dx.doi.org/10.3389/fpsyg.2022.882162","http://dx.doi.org/10.3389/fpsyg.2022.882162")</f>
        <v>http://dx.doi.org/10.3389/fpsyg.2022.882162</v>
      </c>
      <c r="BG961" s="1" t="s">
        <v>74</v>
      </c>
      <c r="BH961" s="1" t="s">
        <v>74</v>
      </c>
      <c r="BI961" s="1" t="s">
        <v>74</v>
      </c>
      <c r="BJ961" s="1" t="s">
        <v>74</v>
      </c>
      <c r="BK961" s="1" t="s">
        <v>74</v>
      </c>
      <c r="BL961" s="1" t="s">
        <v>74</v>
      </c>
      <c r="BM961" s="1" t="s">
        <v>74</v>
      </c>
      <c r="BN961" s="1">
        <v>3.5707646E7</v>
      </c>
      <c r="BO961" s="1" t="s">
        <v>74</v>
      </c>
      <c r="BP961" s="1" t="s">
        <v>74</v>
      </c>
      <c r="BQ961" s="1" t="s">
        <v>74</v>
      </c>
      <c r="BR961" s="1" t="s">
        <v>74</v>
      </c>
      <c r="BS961" s="1" t="s">
        <v>9489</v>
      </c>
      <c r="BT961" s="1" t="str">
        <f>HYPERLINK("https%3A%2F%2Fwww.webofscience.com%2Fwos%2Fwoscc%2Ffull-record%2FWOS:000810347300001","View Full Record in Web of Science")</f>
        <v>View Full Record in Web of Science</v>
      </c>
    </row>
    <row r="962" ht="12.75" customHeight="1">
      <c r="A962" s="1" t="s">
        <v>72</v>
      </c>
      <c r="B962" s="1" t="s">
        <v>9490</v>
      </c>
      <c r="C962" s="1" t="s">
        <v>74</v>
      </c>
      <c r="D962" s="1" t="s">
        <v>74</v>
      </c>
      <c r="E962" s="1" t="s">
        <v>74</v>
      </c>
      <c r="F962" s="1" t="s">
        <v>9491</v>
      </c>
      <c r="G962" s="1" t="s">
        <v>74</v>
      </c>
      <c r="H962" s="1" t="s">
        <v>74</v>
      </c>
      <c r="I962" s="1" t="s">
        <v>9492</v>
      </c>
      <c r="J962" s="1" t="s">
        <v>9493</v>
      </c>
      <c r="K962" s="1" t="s">
        <v>74</v>
      </c>
      <c r="L962" s="1" t="s">
        <v>74</v>
      </c>
      <c r="M962" s="1" t="s">
        <v>74</v>
      </c>
      <c r="N962" s="1" t="s">
        <v>74</v>
      </c>
      <c r="O962" s="1" t="s">
        <v>74</v>
      </c>
      <c r="P962" s="1" t="s">
        <v>74</v>
      </c>
      <c r="Q962" s="1" t="s">
        <v>74</v>
      </c>
      <c r="R962" s="1" t="s">
        <v>74</v>
      </c>
      <c r="S962" s="1" t="s">
        <v>74</v>
      </c>
      <c r="T962" s="1" t="s">
        <v>74</v>
      </c>
      <c r="U962" s="1" t="s">
        <v>74</v>
      </c>
      <c r="V962" s="1" t="s">
        <v>9494</v>
      </c>
      <c r="W962" s="1" t="s">
        <v>74</v>
      </c>
      <c r="X962" s="1" t="s">
        <v>74</v>
      </c>
      <c r="Y962" s="1" t="s">
        <v>74</v>
      </c>
      <c r="Z962" s="1" t="s">
        <v>74</v>
      </c>
      <c r="AA962" s="1" t="s">
        <v>9495</v>
      </c>
      <c r="AB962" s="1" t="s">
        <v>9496</v>
      </c>
      <c r="AC962" s="1" t="s">
        <v>74</v>
      </c>
      <c r="AD962" s="1" t="s">
        <v>74</v>
      </c>
      <c r="AE962" s="1" t="s">
        <v>74</v>
      </c>
      <c r="AF962" s="1" t="s">
        <v>74</v>
      </c>
      <c r="AG962" s="1" t="s">
        <v>74</v>
      </c>
      <c r="AH962" s="1" t="s">
        <v>74</v>
      </c>
      <c r="AI962" s="1" t="s">
        <v>74</v>
      </c>
      <c r="AJ962" s="1" t="s">
        <v>74</v>
      </c>
      <c r="AK962" s="1" t="s">
        <v>74</v>
      </c>
      <c r="AL962" s="1" t="s">
        <v>74</v>
      </c>
      <c r="AM962" s="1" t="s">
        <v>74</v>
      </c>
      <c r="AN962" s="1" t="s">
        <v>74</v>
      </c>
      <c r="AO962" s="1" t="s">
        <v>74</v>
      </c>
      <c r="AP962" s="1" t="s">
        <v>9497</v>
      </c>
      <c r="AQ962" s="1" t="s">
        <v>74</v>
      </c>
      <c r="AR962" s="1" t="s">
        <v>74</v>
      </c>
      <c r="AS962" s="1" t="s">
        <v>74</v>
      </c>
      <c r="AT962" s="1" t="s">
        <v>464</v>
      </c>
      <c r="AU962" s="1">
        <v>2022.0</v>
      </c>
      <c r="AV962" s="1">
        <v>8.0</v>
      </c>
      <c r="AW962" s="1">
        <v>1.0</v>
      </c>
      <c r="AX962" s="1" t="s">
        <v>74</v>
      </c>
      <c r="AY962" s="1" t="s">
        <v>74</v>
      </c>
      <c r="AZ962" s="1" t="s">
        <v>74</v>
      </c>
      <c r="BA962" s="1" t="s">
        <v>74</v>
      </c>
      <c r="BB962" s="1" t="s">
        <v>74</v>
      </c>
      <c r="BC962" s="1" t="s">
        <v>74</v>
      </c>
      <c r="BD962" s="1">
        <v>38.0</v>
      </c>
      <c r="BE962" s="1" t="s">
        <v>9498</v>
      </c>
      <c r="BF962" s="2" t="str">
        <f>HYPERLINK("http://dx.doi.org/10.3390/horticulturae8010038","http://dx.doi.org/10.3390/horticulturae8010038")</f>
        <v>http://dx.doi.org/10.3390/horticulturae8010038</v>
      </c>
      <c r="BG962" s="1" t="s">
        <v>74</v>
      </c>
      <c r="BH962" s="1" t="s">
        <v>74</v>
      </c>
      <c r="BI962" s="1" t="s">
        <v>74</v>
      </c>
      <c r="BJ962" s="1" t="s">
        <v>74</v>
      </c>
      <c r="BK962" s="1" t="s">
        <v>74</v>
      </c>
      <c r="BL962" s="1" t="s">
        <v>74</v>
      </c>
      <c r="BM962" s="1" t="s">
        <v>74</v>
      </c>
      <c r="BN962" s="1" t="s">
        <v>74</v>
      </c>
      <c r="BO962" s="1" t="s">
        <v>74</v>
      </c>
      <c r="BP962" s="1" t="s">
        <v>74</v>
      </c>
      <c r="BQ962" s="1" t="s">
        <v>74</v>
      </c>
      <c r="BR962" s="1" t="s">
        <v>74</v>
      </c>
      <c r="BS962" s="1" t="s">
        <v>9499</v>
      </c>
      <c r="BT962" s="1" t="str">
        <f>HYPERLINK("https%3A%2F%2Fwww.webofscience.com%2Fwos%2Fwoscc%2Ffull-record%2FWOS:000747489500001","View Full Record in Web of Science")</f>
        <v>View Full Record in Web of Science</v>
      </c>
    </row>
    <row r="963" ht="12.75" customHeight="1">
      <c r="A963" s="1" t="s">
        <v>72</v>
      </c>
      <c r="B963" s="1" t="s">
        <v>9500</v>
      </c>
      <c r="C963" s="1" t="s">
        <v>74</v>
      </c>
      <c r="D963" s="1" t="s">
        <v>74</v>
      </c>
      <c r="E963" s="1" t="s">
        <v>74</v>
      </c>
      <c r="F963" s="1" t="s">
        <v>9501</v>
      </c>
      <c r="G963" s="1" t="s">
        <v>74</v>
      </c>
      <c r="H963" s="1" t="s">
        <v>74</v>
      </c>
      <c r="I963" s="1" t="s">
        <v>9502</v>
      </c>
      <c r="J963" s="1" t="s">
        <v>9503</v>
      </c>
      <c r="K963" s="1" t="s">
        <v>74</v>
      </c>
      <c r="L963" s="1" t="s">
        <v>74</v>
      </c>
      <c r="M963" s="1" t="s">
        <v>74</v>
      </c>
      <c r="N963" s="1" t="s">
        <v>74</v>
      </c>
      <c r="O963" s="1" t="s">
        <v>74</v>
      </c>
      <c r="P963" s="1" t="s">
        <v>74</v>
      </c>
      <c r="Q963" s="1" t="s">
        <v>74</v>
      </c>
      <c r="R963" s="1" t="s">
        <v>74</v>
      </c>
      <c r="S963" s="1" t="s">
        <v>74</v>
      </c>
      <c r="T963" s="1" t="s">
        <v>74</v>
      </c>
      <c r="U963" s="1" t="s">
        <v>74</v>
      </c>
      <c r="V963" s="1" t="s">
        <v>9504</v>
      </c>
      <c r="W963" s="1" t="s">
        <v>74</v>
      </c>
      <c r="X963" s="1" t="s">
        <v>74</v>
      </c>
      <c r="Y963" s="1" t="s">
        <v>74</v>
      </c>
      <c r="Z963" s="1" t="s">
        <v>74</v>
      </c>
      <c r="AA963" s="1" t="s">
        <v>9505</v>
      </c>
      <c r="AB963" s="1" t="s">
        <v>9506</v>
      </c>
      <c r="AC963" s="1" t="s">
        <v>74</v>
      </c>
      <c r="AD963" s="1" t="s">
        <v>74</v>
      </c>
      <c r="AE963" s="1" t="s">
        <v>74</v>
      </c>
      <c r="AF963" s="1" t="s">
        <v>74</v>
      </c>
      <c r="AG963" s="1" t="s">
        <v>74</v>
      </c>
      <c r="AH963" s="1" t="s">
        <v>74</v>
      </c>
      <c r="AI963" s="1" t="s">
        <v>74</v>
      </c>
      <c r="AJ963" s="1" t="s">
        <v>74</v>
      </c>
      <c r="AK963" s="1" t="s">
        <v>74</v>
      </c>
      <c r="AL963" s="1" t="s">
        <v>74</v>
      </c>
      <c r="AM963" s="1" t="s">
        <v>74</v>
      </c>
      <c r="AN963" s="1" t="s">
        <v>74</v>
      </c>
      <c r="AO963" s="1" t="s">
        <v>9507</v>
      </c>
      <c r="AP963" s="1" t="s">
        <v>74</v>
      </c>
      <c r="AQ963" s="1" t="s">
        <v>74</v>
      </c>
      <c r="AR963" s="1" t="s">
        <v>74</v>
      </c>
      <c r="AS963" s="1" t="s">
        <v>74</v>
      </c>
      <c r="AT963" s="1" t="s">
        <v>398</v>
      </c>
      <c r="AU963" s="1">
        <v>2021.0</v>
      </c>
      <c r="AV963" s="1">
        <v>5.0</v>
      </c>
      <c r="AW963" s="1">
        <v>2.0</v>
      </c>
      <c r="AX963" s="1" t="s">
        <v>74</v>
      </c>
      <c r="AY963" s="1" t="s">
        <v>74</v>
      </c>
      <c r="AZ963" s="1" t="s">
        <v>74</v>
      </c>
      <c r="BA963" s="1" t="s">
        <v>74</v>
      </c>
      <c r="BB963" s="1" t="s">
        <v>74</v>
      </c>
      <c r="BC963" s="1" t="s">
        <v>74</v>
      </c>
      <c r="BD963" s="1">
        <v>37.0</v>
      </c>
      <c r="BE963" s="1" t="s">
        <v>9508</v>
      </c>
      <c r="BF963" s="2" t="str">
        <f>HYPERLINK("http://dx.doi.org/10.3390/jcs5020037","http://dx.doi.org/10.3390/jcs5020037")</f>
        <v>http://dx.doi.org/10.3390/jcs5020037</v>
      </c>
      <c r="BG963" s="1" t="s">
        <v>74</v>
      </c>
      <c r="BH963" s="1" t="s">
        <v>74</v>
      </c>
      <c r="BI963" s="1" t="s">
        <v>74</v>
      </c>
      <c r="BJ963" s="1" t="s">
        <v>74</v>
      </c>
      <c r="BK963" s="1" t="s">
        <v>74</v>
      </c>
      <c r="BL963" s="1" t="s">
        <v>74</v>
      </c>
      <c r="BM963" s="1" t="s">
        <v>74</v>
      </c>
      <c r="BN963" s="1" t="s">
        <v>74</v>
      </c>
      <c r="BO963" s="1" t="s">
        <v>74</v>
      </c>
      <c r="BP963" s="1" t="s">
        <v>74</v>
      </c>
      <c r="BQ963" s="1" t="s">
        <v>74</v>
      </c>
      <c r="BR963" s="1" t="s">
        <v>74</v>
      </c>
      <c r="BS963" s="1" t="s">
        <v>9509</v>
      </c>
      <c r="BT963" s="1" t="str">
        <f>HYPERLINK("https%3A%2F%2Fwww.webofscience.com%2Fwos%2Fwoscc%2Ffull-record%2FWOS:000624935000001","View Full Record in Web of Science")</f>
        <v>View Full Record in Web of Science</v>
      </c>
    </row>
    <row r="964" ht="12.75" customHeight="1">
      <c r="A964" s="1" t="s">
        <v>72</v>
      </c>
      <c r="B964" s="1" t="s">
        <v>9510</v>
      </c>
      <c r="C964" s="1" t="s">
        <v>74</v>
      </c>
      <c r="D964" s="1" t="s">
        <v>74</v>
      </c>
      <c r="E964" s="1" t="s">
        <v>74</v>
      </c>
      <c r="F964" s="1" t="s">
        <v>9511</v>
      </c>
      <c r="G964" s="1" t="s">
        <v>74</v>
      </c>
      <c r="H964" s="1" t="s">
        <v>74</v>
      </c>
      <c r="I964" s="1" t="s">
        <v>9512</v>
      </c>
      <c r="J964" s="1" t="s">
        <v>9513</v>
      </c>
      <c r="K964" s="1" t="s">
        <v>74</v>
      </c>
      <c r="L964" s="1" t="s">
        <v>74</v>
      </c>
      <c r="M964" s="1" t="s">
        <v>74</v>
      </c>
      <c r="N964" s="1" t="s">
        <v>74</v>
      </c>
      <c r="O964" s="1" t="s">
        <v>74</v>
      </c>
      <c r="P964" s="1" t="s">
        <v>74</v>
      </c>
      <c r="Q964" s="1" t="s">
        <v>74</v>
      </c>
      <c r="R964" s="1" t="s">
        <v>74</v>
      </c>
      <c r="S964" s="1" t="s">
        <v>74</v>
      </c>
      <c r="T964" s="1" t="s">
        <v>74</v>
      </c>
      <c r="U964" s="1" t="s">
        <v>74</v>
      </c>
      <c r="V964" s="1" t="s">
        <v>9514</v>
      </c>
      <c r="W964" s="1" t="s">
        <v>74</v>
      </c>
      <c r="X964" s="1" t="s">
        <v>74</v>
      </c>
      <c r="Y964" s="1" t="s">
        <v>74</v>
      </c>
      <c r="Z964" s="1" t="s">
        <v>74</v>
      </c>
      <c r="AA964" s="1" t="s">
        <v>9515</v>
      </c>
      <c r="AB964" s="1" t="s">
        <v>9516</v>
      </c>
      <c r="AC964" s="1" t="s">
        <v>74</v>
      </c>
      <c r="AD964" s="1" t="s">
        <v>74</v>
      </c>
      <c r="AE964" s="1" t="s">
        <v>74</v>
      </c>
      <c r="AF964" s="1" t="s">
        <v>74</v>
      </c>
      <c r="AG964" s="1" t="s">
        <v>74</v>
      </c>
      <c r="AH964" s="1" t="s">
        <v>74</v>
      </c>
      <c r="AI964" s="1" t="s">
        <v>74</v>
      </c>
      <c r="AJ964" s="1" t="s">
        <v>74</v>
      </c>
      <c r="AK964" s="1" t="s">
        <v>74</v>
      </c>
      <c r="AL964" s="1" t="s">
        <v>74</v>
      </c>
      <c r="AM964" s="1" t="s">
        <v>74</v>
      </c>
      <c r="AN964" s="1" t="s">
        <v>74</v>
      </c>
      <c r="AO964" s="1" t="s">
        <v>9517</v>
      </c>
      <c r="AP964" s="1" t="s">
        <v>9518</v>
      </c>
      <c r="AQ964" s="1" t="s">
        <v>74</v>
      </c>
      <c r="AR964" s="1" t="s">
        <v>74</v>
      </c>
      <c r="AS964" s="1" t="s">
        <v>74</v>
      </c>
      <c r="AT964" s="1" t="s">
        <v>5691</v>
      </c>
      <c r="AU964" s="1">
        <v>2021.0</v>
      </c>
      <c r="AV964" s="1">
        <v>24.0</v>
      </c>
      <c r="AW964" s="1">
        <v>11.0</v>
      </c>
      <c r="AX964" s="1" t="s">
        <v>74</v>
      </c>
      <c r="AY964" s="1" t="s">
        <v>74</v>
      </c>
      <c r="AZ964" s="1" t="s">
        <v>74</v>
      </c>
      <c r="BA964" s="1" t="s">
        <v>74</v>
      </c>
      <c r="BB964" s="1">
        <v>1228.0</v>
      </c>
      <c r="BC964" s="1">
        <v>1241.0</v>
      </c>
      <c r="BD964" s="1" t="s">
        <v>74</v>
      </c>
      <c r="BE964" s="1" t="s">
        <v>9519</v>
      </c>
      <c r="BF964" s="2" t="str">
        <f>HYPERLINK("http://dx.doi.org/10.1080/10255842.2021.1872549","http://dx.doi.org/10.1080/10255842.2021.1872549")</f>
        <v>http://dx.doi.org/10.1080/10255842.2021.1872549</v>
      </c>
      <c r="BG964" s="1" t="s">
        <v>74</v>
      </c>
      <c r="BH964" s="1" t="s">
        <v>4798</v>
      </c>
      <c r="BI964" s="1" t="s">
        <v>74</v>
      </c>
      <c r="BJ964" s="1" t="s">
        <v>74</v>
      </c>
      <c r="BK964" s="1" t="s">
        <v>74</v>
      </c>
      <c r="BL964" s="1" t="s">
        <v>74</v>
      </c>
      <c r="BM964" s="1" t="s">
        <v>74</v>
      </c>
      <c r="BN964" s="1">
        <v>3.3475015E7</v>
      </c>
      <c r="BO964" s="1" t="s">
        <v>74</v>
      </c>
      <c r="BP964" s="1" t="s">
        <v>74</v>
      </c>
      <c r="BQ964" s="1" t="s">
        <v>74</v>
      </c>
      <c r="BR964" s="1" t="s">
        <v>74</v>
      </c>
      <c r="BS964" s="1" t="s">
        <v>9520</v>
      </c>
      <c r="BT964" s="1" t="str">
        <f>HYPERLINK("https%3A%2F%2Fwww.webofscience.com%2Fwos%2Fwoscc%2Ffull-record%2FWOS:000609607900001","View Full Record in Web of Science")</f>
        <v>View Full Record in Web of Science</v>
      </c>
    </row>
    <row r="965" ht="12.75" customHeight="1">
      <c r="A965" s="1" t="s">
        <v>72</v>
      </c>
      <c r="B965" s="1" t="s">
        <v>9521</v>
      </c>
      <c r="C965" s="1" t="s">
        <v>74</v>
      </c>
      <c r="D965" s="1" t="s">
        <v>74</v>
      </c>
      <c r="E965" s="1" t="s">
        <v>74</v>
      </c>
      <c r="F965" s="1" t="s">
        <v>9522</v>
      </c>
      <c r="G965" s="1" t="s">
        <v>74</v>
      </c>
      <c r="H965" s="1" t="s">
        <v>74</v>
      </c>
      <c r="I965" s="1" t="s">
        <v>9523</v>
      </c>
      <c r="J965" s="1" t="s">
        <v>9524</v>
      </c>
      <c r="K965" s="1" t="s">
        <v>74</v>
      </c>
      <c r="L965" s="1" t="s">
        <v>74</v>
      </c>
      <c r="M965" s="1" t="s">
        <v>74</v>
      </c>
      <c r="N965" s="1" t="s">
        <v>74</v>
      </c>
      <c r="O965" s="1" t="s">
        <v>74</v>
      </c>
      <c r="P965" s="1" t="s">
        <v>74</v>
      </c>
      <c r="Q965" s="1" t="s">
        <v>74</v>
      </c>
      <c r="R965" s="1" t="s">
        <v>74</v>
      </c>
      <c r="S965" s="1" t="s">
        <v>74</v>
      </c>
      <c r="T965" s="1" t="s">
        <v>74</v>
      </c>
      <c r="U965" s="1" t="s">
        <v>74</v>
      </c>
      <c r="V965" s="1" t="s">
        <v>9525</v>
      </c>
      <c r="W965" s="1" t="s">
        <v>74</v>
      </c>
      <c r="X965" s="1" t="s">
        <v>74</v>
      </c>
      <c r="Y965" s="1" t="s">
        <v>74</v>
      </c>
      <c r="Z965" s="1" t="s">
        <v>74</v>
      </c>
      <c r="AA965" s="1" t="s">
        <v>9526</v>
      </c>
      <c r="AB965" s="1" t="s">
        <v>9527</v>
      </c>
      <c r="AC965" s="1" t="s">
        <v>74</v>
      </c>
      <c r="AD965" s="1" t="s">
        <v>74</v>
      </c>
      <c r="AE965" s="1" t="s">
        <v>74</v>
      </c>
      <c r="AF965" s="1" t="s">
        <v>74</v>
      </c>
      <c r="AG965" s="1" t="s">
        <v>74</v>
      </c>
      <c r="AH965" s="1" t="s">
        <v>74</v>
      </c>
      <c r="AI965" s="1" t="s">
        <v>74</v>
      </c>
      <c r="AJ965" s="1" t="s">
        <v>74</v>
      </c>
      <c r="AK965" s="1" t="s">
        <v>74</v>
      </c>
      <c r="AL965" s="1" t="s">
        <v>74</v>
      </c>
      <c r="AM965" s="1" t="s">
        <v>74</v>
      </c>
      <c r="AN965" s="1" t="s">
        <v>74</v>
      </c>
      <c r="AO965" s="1" t="s">
        <v>9528</v>
      </c>
      <c r="AP965" s="1" t="s">
        <v>9529</v>
      </c>
      <c r="AQ965" s="1" t="s">
        <v>74</v>
      </c>
      <c r="AR965" s="1" t="s">
        <v>74</v>
      </c>
      <c r="AS965" s="1" t="s">
        <v>74</v>
      </c>
      <c r="AT965" s="1" t="s">
        <v>74</v>
      </c>
      <c r="AU965" s="1">
        <v>2021.0</v>
      </c>
      <c r="AV965" s="1">
        <v>25.0</v>
      </c>
      <c r="AW965" s="1" t="s">
        <v>74</v>
      </c>
      <c r="AX965" s="1" t="s">
        <v>74</v>
      </c>
      <c r="AY965" s="1">
        <v>1.0</v>
      </c>
      <c r="AZ965" s="1" t="s">
        <v>74</v>
      </c>
      <c r="BA965" s="1" t="s">
        <v>74</v>
      </c>
      <c r="BB965" s="1" t="s">
        <v>74</v>
      </c>
      <c r="BC965" s="1" t="s">
        <v>74</v>
      </c>
      <c r="BD965" s="1" t="s">
        <v>9530</v>
      </c>
      <c r="BE965" s="1" t="s">
        <v>9531</v>
      </c>
      <c r="BF965" s="2" t="str">
        <f>HYPERLINK("http://dx.doi.org/10.14306/renhyd.25.S1.1272","http://dx.doi.org/10.14306/renhyd.25.S1.1272")</f>
        <v>http://dx.doi.org/10.14306/renhyd.25.S1.1272</v>
      </c>
      <c r="BG965" s="1" t="s">
        <v>74</v>
      </c>
      <c r="BH965" s="1" t="s">
        <v>74</v>
      </c>
      <c r="BI965" s="1" t="s">
        <v>74</v>
      </c>
      <c r="BJ965" s="1" t="s">
        <v>74</v>
      </c>
      <c r="BK965" s="1" t="s">
        <v>74</v>
      </c>
      <c r="BL965" s="1" t="s">
        <v>74</v>
      </c>
      <c r="BM965" s="1" t="s">
        <v>74</v>
      </c>
      <c r="BN965" s="1" t="s">
        <v>74</v>
      </c>
      <c r="BO965" s="1" t="s">
        <v>74</v>
      </c>
      <c r="BP965" s="1" t="s">
        <v>74</v>
      </c>
      <c r="BQ965" s="1" t="s">
        <v>74</v>
      </c>
      <c r="BR965" s="1" t="s">
        <v>74</v>
      </c>
      <c r="BS965" s="1" t="s">
        <v>9532</v>
      </c>
      <c r="BT965" s="1" t="str">
        <f>HYPERLINK("https%3A%2F%2Fwww.webofscience.com%2Fwos%2Fwoscc%2Ffull-record%2FWOS:000736678000005","View Full Record in Web of Science")</f>
        <v>View Full Record in Web of Science</v>
      </c>
    </row>
    <row r="966" ht="12.75" customHeight="1">
      <c r="A966" s="1" t="s">
        <v>72</v>
      </c>
      <c r="B966" s="1" t="s">
        <v>9533</v>
      </c>
      <c r="C966" s="1" t="s">
        <v>74</v>
      </c>
      <c r="D966" s="1" t="s">
        <v>74</v>
      </c>
      <c r="E966" s="1" t="s">
        <v>74</v>
      </c>
      <c r="F966" s="1" t="s">
        <v>9534</v>
      </c>
      <c r="G966" s="1" t="s">
        <v>74</v>
      </c>
      <c r="H966" s="1" t="s">
        <v>74</v>
      </c>
      <c r="I966" s="1" t="s">
        <v>9535</v>
      </c>
      <c r="J966" s="1" t="s">
        <v>4551</v>
      </c>
      <c r="K966" s="1" t="s">
        <v>74</v>
      </c>
      <c r="L966" s="1" t="s">
        <v>74</v>
      </c>
      <c r="M966" s="1" t="s">
        <v>74</v>
      </c>
      <c r="N966" s="1" t="s">
        <v>74</v>
      </c>
      <c r="O966" s="1" t="s">
        <v>74</v>
      </c>
      <c r="P966" s="1" t="s">
        <v>74</v>
      </c>
      <c r="Q966" s="1" t="s">
        <v>74</v>
      </c>
      <c r="R966" s="1" t="s">
        <v>74</v>
      </c>
      <c r="S966" s="1" t="s">
        <v>74</v>
      </c>
      <c r="T966" s="1" t="s">
        <v>74</v>
      </c>
      <c r="U966" s="1" t="s">
        <v>74</v>
      </c>
      <c r="V966" s="1" t="s">
        <v>9536</v>
      </c>
      <c r="W966" s="1" t="s">
        <v>74</v>
      </c>
      <c r="X966" s="1" t="s">
        <v>74</v>
      </c>
      <c r="Y966" s="1" t="s">
        <v>74</v>
      </c>
      <c r="Z966" s="1" t="s">
        <v>74</v>
      </c>
      <c r="AA966" s="1" t="s">
        <v>9537</v>
      </c>
      <c r="AB966" s="1" t="s">
        <v>9538</v>
      </c>
      <c r="AC966" s="1" t="s">
        <v>74</v>
      </c>
      <c r="AD966" s="1" t="s">
        <v>74</v>
      </c>
      <c r="AE966" s="1" t="s">
        <v>74</v>
      </c>
      <c r="AF966" s="1" t="s">
        <v>74</v>
      </c>
      <c r="AG966" s="1" t="s">
        <v>74</v>
      </c>
      <c r="AH966" s="1" t="s">
        <v>74</v>
      </c>
      <c r="AI966" s="1" t="s">
        <v>74</v>
      </c>
      <c r="AJ966" s="1" t="s">
        <v>74</v>
      </c>
      <c r="AK966" s="1" t="s">
        <v>74</v>
      </c>
      <c r="AL966" s="1" t="s">
        <v>74</v>
      </c>
      <c r="AM966" s="1" t="s">
        <v>74</v>
      </c>
      <c r="AN966" s="1" t="s">
        <v>74</v>
      </c>
      <c r="AO966" s="1" t="s">
        <v>74</v>
      </c>
      <c r="AP966" s="1" t="s">
        <v>4555</v>
      </c>
      <c r="AQ966" s="1" t="s">
        <v>74</v>
      </c>
      <c r="AR966" s="1" t="s">
        <v>74</v>
      </c>
      <c r="AS966" s="1" t="s">
        <v>74</v>
      </c>
      <c r="AT966" s="1" t="s">
        <v>411</v>
      </c>
      <c r="AU966" s="1">
        <v>2020.0</v>
      </c>
      <c r="AV966" s="1">
        <v>9.0</v>
      </c>
      <c r="AW966" s="1">
        <v>11.0</v>
      </c>
      <c r="AX966" s="1" t="s">
        <v>74</v>
      </c>
      <c r="AY966" s="1" t="s">
        <v>74</v>
      </c>
      <c r="AZ966" s="1" t="s">
        <v>74</v>
      </c>
      <c r="BA966" s="1" t="s">
        <v>74</v>
      </c>
      <c r="BB966" s="1" t="s">
        <v>74</v>
      </c>
      <c r="BC966" s="1" t="s">
        <v>74</v>
      </c>
      <c r="BD966" s="1">
        <v>1677.0</v>
      </c>
      <c r="BE966" s="1" t="s">
        <v>9539</v>
      </c>
      <c r="BF966" s="2" t="str">
        <f>HYPERLINK("http://dx.doi.org/10.3390/foods9111677","http://dx.doi.org/10.3390/foods9111677")</f>
        <v>http://dx.doi.org/10.3390/foods9111677</v>
      </c>
      <c r="BG966" s="1" t="s">
        <v>74</v>
      </c>
      <c r="BH966" s="1" t="s">
        <v>74</v>
      </c>
      <c r="BI966" s="1" t="s">
        <v>74</v>
      </c>
      <c r="BJ966" s="1" t="s">
        <v>74</v>
      </c>
      <c r="BK966" s="1" t="s">
        <v>74</v>
      </c>
      <c r="BL966" s="1" t="s">
        <v>74</v>
      </c>
      <c r="BM966" s="1" t="s">
        <v>74</v>
      </c>
      <c r="BN966" s="1">
        <v>3.3207725E7</v>
      </c>
      <c r="BO966" s="1" t="s">
        <v>74</v>
      </c>
      <c r="BP966" s="1" t="s">
        <v>74</v>
      </c>
      <c r="BQ966" s="1" t="s">
        <v>74</v>
      </c>
      <c r="BR966" s="1" t="s">
        <v>74</v>
      </c>
      <c r="BS966" s="1" t="s">
        <v>9540</v>
      </c>
      <c r="BT966" s="1" t="str">
        <f>HYPERLINK("https%3A%2F%2Fwww.webofscience.com%2Fwos%2Fwoscc%2Ffull-record%2FWOS:000593242500001","View Full Record in Web of Science")</f>
        <v>View Full Record in Web of Science</v>
      </c>
    </row>
    <row r="967" ht="12.75" customHeight="1">
      <c r="A967" s="1" t="s">
        <v>72</v>
      </c>
      <c r="B967" s="1" t="s">
        <v>9541</v>
      </c>
      <c r="C967" s="1" t="s">
        <v>74</v>
      </c>
      <c r="D967" s="1" t="s">
        <v>74</v>
      </c>
      <c r="E967" s="1" t="s">
        <v>74</v>
      </c>
      <c r="F967" s="1" t="s">
        <v>9542</v>
      </c>
      <c r="G967" s="1" t="s">
        <v>74</v>
      </c>
      <c r="H967" s="1" t="s">
        <v>74</v>
      </c>
      <c r="I967" s="1" t="s">
        <v>9543</v>
      </c>
      <c r="J967" s="1" t="s">
        <v>3838</v>
      </c>
      <c r="K967" s="1" t="s">
        <v>74</v>
      </c>
      <c r="L967" s="1" t="s">
        <v>74</v>
      </c>
      <c r="M967" s="1" t="s">
        <v>74</v>
      </c>
      <c r="N967" s="1" t="s">
        <v>74</v>
      </c>
      <c r="O967" s="1" t="s">
        <v>74</v>
      </c>
      <c r="P967" s="1" t="s">
        <v>74</v>
      </c>
      <c r="Q967" s="1" t="s">
        <v>74</v>
      </c>
      <c r="R967" s="1" t="s">
        <v>74</v>
      </c>
      <c r="S967" s="1" t="s">
        <v>74</v>
      </c>
      <c r="T967" s="1" t="s">
        <v>74</v>
      </c>
      <c r="U967" s="1" t="s">
        <v>74</v>
      </c>
      <c r="V967" s="1" t="s">
        <v>9544</v>
      </c>
      <c r="W967" s="1" t="s">
        <v>74</v>
      </c>
      <c r="X967" s="1" t="s">
        <v>74</v>
      </c>
      <c r="Y967" s="1" t="s">
        <v>74</v>
      </c>
      <c r="Z967" s="1" t="s">
        <v>74</v>
      </c>
      <c r="AA967" s="1" t="s">
        <v>9545</v>
      </c>
      <c r="AB967" s="1" t="s">
        <v>9546</v>
      </c>
      <c r="AC967" s="1" t="s">
        <v>74</v>
      </c>
      <c r="AD967" s="1" t="s">
        <v>74</v>
      </c>
      <c r="AE967" s="1" t="s">
        <v>74</v>
      </c>
      <c r="AF967" s="1" t="s">
        <v>74</v>
      </c>
      <c r="AG967" s="1" t="s">
        <v>74</v>
      </c>
      <c r="AH967" s="1" t="s">
        <v>74</v>
      </c>
      <c r="AI967" s="1" t="s">
        <v>74</v>
      </c>
      <c r="AJ967" s="1" t="s">
        <v>74</v>
      </c>
      <c r="AK967" s="1" t="s">
        <v>74</v>
      </c>
      <c r="AL967" s="1" t="s">
        <v>74</v>
      </c>
      <c r="AM967" s="1" t="s">
        <v>74</v>
      </c>
      <c r="AN967" s="1" t="s">
        <v>74</v>
      </c>
      <c r="AO967" s="1" t="s">
        <v>3842</v>
      </c>
      <c r="AP967" s="1" t="s">
        <v>74</v>
      </c>
      <c r="AQ967" s="1" t="s">
        <v>74</v>
      </c>
      <c r="AR967" s="1" t="s">
        <v>74</v>
      </c>
      <c r="AS967" s="1" t="s">
        <v>74</v>
      </c>
      <c r="AT967" s="1" t="s">
        <v>203</v>
      </c>
      <c r="AU967" s="1">
        <v>2019.0</v>
      </c>
      <c r="AV967" s="1">
        <v>12.0</v>
      </c>
      <c r="AW967" s="1">
        <v>5.0</v>
      </c>
      <c r="AX967" s="1" t="s">
        <v>74</v>
      </c>
      <c r="AY967" s="1" t="s">
        <v>74</v>
      </c>
      <c r="AZ967" s="1" t="s">
        <v>74</v>
      </c>
      <c r="BA967" s="1" t="s">
        <v>74</v>
      </c>
      <c r="BB967" s="1" t="s">
        <v>74</v>
      </c>
      <c r="BC967" s="1" t="s">
        <v>74</v>
      </c>
      <c r="BD967" s="1">
        <v>887.0</v>
      </c>
      <c r="BE967" s="1" t="s">
        <v>9547</v>
      </c>
      <c r="BF967" s="2" t="str">
        <f>HYPERLINK("http://dx.doi.org/10.3390/en12050887","http://dx.doi.org/10.3390/en12050887")</f>
        <v>http://dx.doi.org/10.3390/en12050887</v>
      </c>
      <c r="BG967" s="1" t="s">
        <v>74</v>
      </c>
      <c r="BH967" s="1" t="s">
        <v>74</v>
      </c>
      <c r="BI967" s="1" t="s">
        <v>74</v>
      </c>
      <c r="BJ967" s="1" t="s">
        <v>74</v>
      </c>
      <c r="BK967" s="1" t="s">
        <v>74</v>
      </c>
      <c r="BL967" s="1" t="s">
        <v>74</v>
      </c>
      <c r="BM967" s="1" t="s">
        <v>74</v>
      </c>
      <c r="BN967" s="1" t="s">
        <v>74</v>
      </c>
      <c r="BO967" s="1" t="s">
        <v>74</v>
      </c>
      <c r="BP967" s="1" t="s">
        <v>74</v>
      </c>
      <c r="BQ967" s="1" t="s">
        <v>74</v>
      </c>
      <c r="BR967" s="1" t="s">
        <v>74</v>
      </c>
      <c r="BS967" s="1" t="s">
        <v>9548</v>
      </c>
      <c r="BT967" s="1" t="str">
        <f>HYPERLINK("https%3A%2F%2Fwww.webofscience.com%2Fwos%2Fwoscc%2Ffull-record%2FWOS:000462646700120","View Full Record in Web of Science")</f>
        <v>View Full Record in Web of Science</v>
      </c>
    </row>
    <row r="968" ht="12.75" customHeight="1">
      <c r="A968" s="1" t="s">
        <v>72</v>
      </c>
      <c r="B968" s="1" t="s">
        <v>9549</v>
      </c>
      <c r="C968" s="1" t="s">
        <v>74</v>
      </c>
      <c r="D968" s="1" t="s">
        <v>74</v>
      </c>
      <c r="E968" s="1" t="s">
        <v>74</v>
      </c>
      <c r="F968" s="1" t="s">
        <v>9550</v>
      </c>
      <c r="G968" s="1" t="s">
        <v>74</v>
      </c>
      <c r="H968" s="1" t="s">
        <v>74</v>
      </c>
      <c r="I968" s="1" t="s">
        <v>9551</v>
      </c>
      <c r="J968" s="1" t="s">
        <v>3113</v>
      </c>
      <c r="K968" s="1" t="s">
        <v>74</v>
      </c>
      <c r="L968" s="1" t="s">
        <v>74</v>
      </c>
      <c r="M968" s="1" t="s">
        <v>74</v>
      </c>
      <c r="N968" s="1" t="s">
        <v>74</v>
      </c>
      <c r="O968" s="1" t="s">
        <v>74</v>
      </c>
      <c r="P968" s="1" t="s">
        <v>74</v>
      </c>
      <c r="Q968" s="1" t="s">
        <v>74</v>
      </c>
      <c r="R968" s="1" t="s">
        <v>74</v>
      </c>
      <c r="S968" s="1" t="s">
        <v>74</v>
      </c>
      <c r="T968" s="1" t="s">
        <v>74</v>
      </c>
      <c r="U968" s="1" t="s">
        <v>74</v>
      </c>
      <c r="V968" s="1" t="s">
        <v>9552</v>
      </c>
      <c r="W968" s="1" t="s">
        <v>74</v>
      </c>
      <c r="X968" s="1" t="s">
        <v>74</v>
      </c>
      <c r="Y968" s="1" t="s">
        <v>74</v>
      </c>
      <c r="Z968" s="1" t="s">
        <v>74</v>
      </c>
      <c r="AA968" s="1" t="s">
        <v>9553</v>
      </c>
      <c r="AB968" s="1" t="s">
        <v>9554</v>
      </c>
      <c r="AC968" s="1" t="s">
        <v>74</v>
      </c>
      <c r="AD968" s="1" t="s">
        <v>74</v>
      </c>
      <c r="AE968" s="1" t="s">
        <v>74</v>
      </c>
      <c r="AF968" s="1" t="s">
        <v>74</v>
      </c>
      <c r="AG968" s="1" t="s">
        <v>74</v>
      </c>
      <c r="AH968" s="1" t="s">
        <v>74</v>
      </c>
      <c r="AI968" s="1" t="s">
        <v>74</v>
      </c>
      <c r="AJ968" s="1" t="s">
        <v>74</v>
      </c>
      <c r="AK968" s="1" t="s">
        <v>74</v>
      </c>
      <c r="AL968" s="1" t="s">
        <v>74</v>
      </c>
      <c r="AM968" s="1" t="s">
        <v>74</v>
      </c>
      <c r="AN968" s="1" t="s">
        <v>74</v>
      </c>
      <c r="AO968" s="1" t="s">
        <v>3117</v>
      </c>
      <c r="AP968" s="1" t="s">
        <v>3118</v>
      </c>
      <c r="AQ968" s="1" t="s">
        <v>74</v>
      </c>
      <c r="AR968" s="1" t="s">
        <v>74</v>
      </c>
      <c r="AS968" s="1" t="s">
        <v>74</v>
      </c>
      <c r="AT968" s="1" t="s">
        <v>215</v>
      </c>
      <c r="AU968" s="1">
        <v>2017.0</v>
      </c>
      <c r="AV968" s="1">
        <v>25.0</v>
      </c>
      <c r="AW968" s="1">
        <v>2.0</v>
      </c>
      <c r="AX968" s="1" t="s">
        <v>74</v>
      </c>
      <c r="AY968" s="1" t="s">
        <v>74</v>
      </c>
      <c r="AZ968" s="1" t="s">
        <v>74</v>
      </c>
      <c r="BA968" s="1" t="s">
        <v>74</v>
      </c>
      <c r="BB968" s="1">
        <v>621.0</v>
      </c>
      <c r="BC968" s="1">
        <v>632.0</v>
      </c>
      <c r="BD968" s="1" t="s">
        <v>74</v>
      </c>
      <c r="BE968" s="1" t="s">
        <v>9555</v>
      </c>
      <c r="BF968" s="2" t="str">
        <f>HYPERLINK("http://dx.doi.org/10.1016/j.bmc.2016.11.033","http://dx.doi.org/10.1016/j.bmc.2016.11.033")</f>
        <v>http://dx.doi.org/10.1016/j.bmc.2016.11.033</v>
      </c>
      <c r="BG968" s="1" t="s">
        <v>74</v>
      </c>
      <c r="BH968" s="1" t="s">
        <v>74</v>
      </c>
      <c r="BI968" s="1" t="s">
        <v>74</v>
      </c>
      <c r="BJ968" s="1" t="s">
        <v>74</v>
      </c>
      <c r="BK968" s="1" t="s">
        <v>74</v>
      </c>
      <c r="BL968" s="1" t="s">
        <v>74</v>
      </c>
      <c r="BM968" s="1" t="s">
        <v>74</v>
      </c>
      <c r="BN968" s="1">
        <v>2.7908757E7</v>
      </c>
      <c r="BO968" s="1" t="s">
        <v>74</v>
      </c>
      <c r="BP968" s="1" t="s">
        <v>74</v>
      </c>
      <c r="BQ968" s="1" t="s">
        <v>74</v>
      </c>
      <c r="BR968" s="1" t="s">
        <v>74</v>
      </c>
      <c r="BS968" s="1" t="s">
        <v>9556</v>
      </c>
      <c r="BT968" s="1" t="str">
        <f>HYPERLINK("https%3A%2F%2Fwww.webofscience.com%2Fwos%2Fwoscc%2Ffull-record%2FWOS:000392906500018","View Full Record in Web of Science")</f>
        <v>View Full Record in Web of Science</v>
      </c>
    </row>
    <row r="969" ht="12.75" customHeight="1">
      <c r="A969" s="1" t="s">
        <v>72</v>
      </c>
      <c r="B969" s="1" t="s">
        <v>9557</v>
      </c>
      <c r="C969" s="1" t="s">
        <v>74</v>
      </c>
      <c r="D969" s="1" t="s">
        <v>74</v>
      </c>
      <c r="E969" s="1" t="s">
        <v>74</v>
      </c>
      <c r="F969" s="1" t="s">
        <v>9558</v>
      </c>
      <c r="G969" s="1" t="s">
        <v>74</v>
      </c>
      <c r="H969" s="1" t="s">
        <v>74</v>
      </c>
      <c r="I969" s="1" t="s">
        <v>9559</v>
      </c>
      <c r="J969" s="1" t="s">
        <v>9560</v>
      </c>
      <c r="K969" s="1" t="s">
        <v>74</v>
      </c>
      <c r="L969" s="1" t="s">
        <v>74</v>
      </c>
      <c r="M969" s="1" t="s">
        <v>74</v>
      </c>
      <c r="N969" s="1" t="s">
        <v>74</v>
      </c>
      <c r="O969" s="1" t="s">
        <v>74</v>
      </c>
      <c r="P969" s="1" t="s">
        <v>74</v>
      </c>
      <c r="Q969" s="1" t="s">
        <v>74</v>
      </c>
      <c r="R969" s="1" t="s">
        <v>74</v>
      </c>
      <c r="S969" s="1" t="s">
        <v>74</v>
      </c>
      <c r="T969" s="1" t="s">
        <v>74</v>
      </c>
      <c r="U969" s="1" t="s">
        <v>74</v>
      </c>
      <c r="V969" s="1" t="s">
        <v>9561</v>
      </c>
      <c r="W969" s="1" t="s">
        <v>74</v>
      </c>
      <c r="X969" s="1" t="s">
        <v>74</v>
      </c>
      <c r="Y969" s="1" t="s">
        <v>74</v>
      </c>
      <c r="Z969" s="1" t="s">
        <v>74</v>
      </c>
      <c r="AA969" s="1" t="s">
        <v>9562</v>
      </c>
      <c r="AB969" s="1" t="s">
        <v>9563</v>
      </c>
      <c r="AC969" s="1" t="s">
        <v>74</v>
      </c>
      <c r="AD969" s="1" t="s">
        <v>74</v>
      </c>
      <c r="AE969" s="1" t="s">
        <v>74</v>
      </c>
      <c r="AF969" s="1" t="s">
        <v>74</v>
      </c>
      <c r="AG969" s="1" t="s">
        <v>74</v>
      </c>
      <c r="AH969" s="1" t="s">
        <v>74</v>
      </c>
      <c r="AI969" s="1" t="s">
        <v>74</v>
      </c>
      <c r="AJ969" s="1" t="s">
        <v>74</v>
      </c>
      <c r="AK969" s="1" t="s">
        <v>74</v>
      </c>
      <c r="AL969" s="1" t="s">
        <v>74</v>
      </c>
      <c r="AM969" s="1" t="s">
        <v>74</v>
      </c>
      <c r="AN969" s="1" t="s">
        <v>74</v>
      </c>
      <c r="AO969" s="1" t="s">
        <v>9564</v>
      </c>
      <c r="AP969" s="1" t="s">
        <v>9565</v>
      </c>
      <c r="AQ969" s="1" t="s">
        <v>74</v>
      </c>
      <c r="AR969" s="1" t="s">
        <v>74</v>
      </c>
      <c r="AS969" s="1" t="s">
        <v>74</v>
      </c>
      <c r="AT969" s="1" t="s">
        <v>9566</v>
      </c>
      <c r="AU969" s="1">
        <v>2014.0</v>
      </c>
      <c r="AV969" s="1">
        <v>173.0</v>
      </c>
      <c r="AW969" s="1" t="s">
        <v>74</v>
      </c>
      <c r="AX969" s="1" t="s">
        <v>74</v>
      </c>
      <c r="AY969" s="1" t="s">
        <v>74</v>
      </c>
      <c r="AZ969" s="1" t="s">
        <v>74</v>
      </c>
      <c r="BA969" s="1" t="s">
        <v>74</v>
      </c>
      <c r="BB969" s="1">
        <v>71.0</v>
      </c>
      <c r="BC969" s="1">
        <v>78.0</v>
      </c>
      <c r="BD969" s="1" t="s">
        <v>74</v>
      </c>
      <c r="BE969" s="1" t="s">
        <v>9567</v>
      </c>
      <c r="BF969" s="2" t="str">
        <f>HYPERLINK("http://dx.doi.org/10.1016/j.scienta.2014.04.014","http://dx.doi.org/10.1016/j.scienta.2014.04.014")</f>
        <v>http://dx.doi.org/10.1016/j.scienta.2014.04.014</v>
      </c>
      <c r="BG969" s="1" t="s">
        <v>74</v>
      </c>
      <c r="BH969" s="1" t="s">
        <v>74</v>
      </c>
      <c r="BI969" s="1" t="s">
        <v>74</v>
      </c>
      <c r="BJ969" s="1" t="s">
        <v>74</v>
      </c>
      <c r="BK969" s="1" t="s">
        <v>74</v>
      </c>
      <c r="BL969" s="1" t="s">
        <v>74</v>
      </c>
      <c r="BM969" s="1" t="s">
        <v>74</v>
      </c>
      <c r="BN969" s="1" t="s">
        <v>74</v>
      </c>
      <c r="BO969" s="1" t="s">
        <v>74</v>
      </c>
      <c r="BP969" s="1" t="s">
        <v>74</v>
      </c>
      <c r="BQ969" s="1" t="s">
        <v>74</v>
      </c>
      <c r="BR969" s="1" t="s">
        <v>74</v>
      </c>
      <c r="BS969" s="1" t="s">
        <v>9568</v>
      </c>
      <c r="BT969" s="1" t="str">
        <f>HYPERLINK("https%3A%2F%2Fwww.webofscience.com%2Fwos%2Fwoscc%2Ffull-record%2FWOS:000338606400009","View Full Record in Web of Science")</f>
        <v>View Full Record in Web of Science</v>
      </c>
    </row>
    <row r="970" ht="12.75" customHeight="1">
      <c r="A970" s="1" t="s">
        <v>72</v>
      </c>
      <c r="B970" s="1" t="s">
        <v>9569</v>
      </c>
      <c r="C970" s="1" t="s">
        <v>74</v>
      </c>
      <c r="D970" s="1" t="s">
        <v>74</v>
      </c>
      <c r="E970" s="1" t="s">
        <v>74</v>
      </c>
      <c r="F970" s="1" t="s">
        <v>9570</v>
      </c>
      <c r="G970" s="1" t="s">
        <v>74</v>
      </c>
      <c r="H970" s="1" t="s">
        <v>74</v>
      </c>
      <c r="I970" s="1" t="s">
        <v>9571</v>
      </c>
      <c r="J970" s="1" t="s">
        <v>1590</v>
      </c>
      <c r="K970" s="1" t="s">
        <v>74</v>
      </c>
      <c r="L970" s="1" t="s">
        <v>74</v>
      </c>
      <c r="M970" s="1" t="s">
        <v>74</v>
      </c>
      <c r="N970" s="1" t="s">
        <v>74</v>
      </c>
      <c r="O970" s="1" t="s">
        <v>74</v>
      </c>
      <c r="P970" s="1" t="s">
        <v>74</v>
      </c>
      <c r="Q970" s="1" t="s">
        <v>74</v>
      </c>
      <c r="R970" s="1" t="s">
        <v>74</v>
      </c>
      <c r="S970" s="1" t="s">
        <v>74</v>
      </c>
      <c r="T970" s="1" t="s">
        <v>74</v>
      </c>
      <c r="U970" s="1" t="s">
        <v>74</v>
      </c>
      <c r="V970" s="1" t="s">
        <v>9572</v>
      </c>
      <c r="W970" s="1" t="s">
        <v>74</v>
      </c>
      <c r="X970" s="1" t="s">
        <v>74</v>
      </c>
      <c r="Y970" s="1" t="s">
        <v>74</v>
      </c>
      <c r="Z970" s="1" t="s">
        <v>74</v>
      </c>
      <c r="AA970" s="1" t="s">
        <v>9573</v>
      </c>
      <c r="AB970" s="1" t="s">
        <v>9574</v>
      </c>
      <c r="AC970" s="1" t="s">
        <v>74</v>
      </c>
      <c r="AD970" s="1" t="s">
        <v>74</v>
      </c>
      <c r="AE970" s="1" t="s">
        <v>74</v>
      </c>
      <c r="AF970" s="1" t="s">
        <v>74</v>
      </c>
      <c r="AG970" s="1" t="s">
        <v>74</v>
      </c>
      <c r="AH970" s="1" t="s">
        <v>74</v>
      </c>
      <c r="AI970" s="1" t="s">
        <v>74</v>
      </c>
      <c r="AJ970" s="1" t="s">
        <v>74</v>
      </c>
      <c r="AK970" s="1" t="s">
        <v>74</v>
      </c>
      <c r="AL970" s="1" t="s">
        <v>74</v>
      </c>
      <c r="AM970" s="1" t="s">
        <v>74</v>
      </c>
      <c r="AN970" s="1" t="s">
        <v>74</v>
      </c>
      <c r="AO970" s="1" t="s">
        <v>9575</v>
      </c>
      <c r="AP970" s="1" t="s">
        <v>9576</v>
      </c>
      <c r="AQ970" s="1" t="s">
        <v>74</v>
      </c>
      <c r="AR970" s="1" t="s">
        <v>74</v>
      </c>
      <c r="AS970" s="1" t="s">
        <v>74</v>
      </c>
      <c r="AT970" s="1" t="s">
        <v>9577</v>
      </c>
      <c r="AU970" s="1">
        <v>2013.0</v>
      </c>
      <c r="AV970" s="1">
        <v>87.0</v>
      </c>
      <c r="AW970" s="1">
        <v>3.0</v>
      </c>
      <c r="AX970" s="1" t="s">
        <v>74</v>
      </c>
      <c r="AY970" s="1" t="s">
        <v>74</v>
      </c>
      <c r="AZ970" s="1" t="s">
        <v>74</v>
      </c>
      <c r="BA970" s="1" t="s">
        <v>74</v>
      </c>
      <c r="BB970" s="1" t="s">
        <v>74</v>
      </c>
      <c r="BC970" s="1" t="s">
        <v>74</v>
      </c>
      <c r="BD970" s="1">
        <v>32325.0</v>
      </c>
      <c r="BE970" s="1" t="s">
        <v>9578</v>
      </c>
      <c r="BF970" s="2" t="str">
        <f>HYPERLINK("http://dx.doi.org/10.1103/PhysRevA.87.032325","http://dx.doi.org/10.1103/PhysRevA.87.032325")</f>
        <v>http://dx.doi.org/10.1103/PhysRevA.87.032325</v>
      </c>
      <c r="BG970" s="1" t="s">
        <v>74</v>
      </c>
      <c r="BH970" s="1" t="s">
        <v>74</v>
      </c>
      <c r="BI970" s="1" t="s">
        <v>74</v>
      </c>
      <c r="BJ970" s="1" t="s">
        <v>74</v>
      </c>
      <c r="BK970" s="1" t="s">
        <v>74</v>
      </c>
      <c r="BL970" s="1" t="s">
        <v>74</v>
      </c>
      <c r="BM970" s="1" t="s">
        <v>74</v>
      </c>
      <c r="BN970" s="1" t="s">
        <v>74</v>
      </c>
      <c r="BO970" s="1" t="s">
        <v>74</v>
      </c>
      <c r="BP970" s="1" t="s">
        <v>74</v>
      </c>
      <c r="BQ970" s="1" t="s">
        <v>74</v>
      </c>
      <c r="BR970" s="1" t="s">
        <v>74</v>
      </c>
      <c r="BS970" s="1" t="s">
        <v>9579</v>
      </c>
      <c r="BT970" s="1" t="str">
        <f>HYPERLINK("https%3A%2F%2Fwww.webofscience.com%2Fwos%2Fwoscc%2Ffull-record%2FWOS:000316659400005","View Full Record in Web of Science")</f>
        <v>View Full Record in Web of Science</v>
      </c>
    </row>
    <row r="971" ht="12.75" customHeight="1">
      <c r="A971" s="1" t="s">
        <v>72</v>
      </c>
      <c r="B971" s="1" t="s">
        <v>9580</v>
      </c>
      <c r="C971" s="1" t="s">
        <v>74</v>
      </c>
      <c r="D971" s="1" t="s">
        <v>74</v>
      </c>
      <c r="E971" s="1" t="s">
        <v>74</v>
      </c>
      <c r="F971" s="1" t="s">
        <v>9581</v>
      </c>
      <c r="G971" s="1" t="s">
        <v>74</v>
      </c>
      <c r="H971" s="1" t="s">
        <v>74</v>
      </c>
      <c r="I971" s="1" t="s">
        <v>9582</v>
      </c>
      <c r="J971" s="1" t="s">
        <v>9583</v>
      </c>
      <c r="K971" s="1" t="s">
        <v>74</v>
      </c>
      <c r="L971" s="1" t="s">
        <v>74</v>
      </c>
      <c r="M971" s="1" t="s">
        <v>74</v>
      </c>
      <c r="N971" s="1" t="s">
        <v>74</v>
      </c>
      <c r="O971" s="1" t="s">
        <v>74</v>
      </c>
      <c r="P971" s="1" t="s">
        <v>74</v>
      </c>
      <c r="Q971" s="1" t="s">
        <v>74</v>
      </c>
      <c r="R971" s="1" t="s">
        <v>74</v>
      </c>
      <c r="S971" s="1" t="s">
        <v>74</v>
      </c>
      <c r="T971" s="1" t="s">
        <v>74</v>
      </c>
      <c r="U971" s="1" t="s">
        <v>74</v>
      </c>
      <c r="V971" s="1" t="s">
        <v>9584</v>
      </c>
      <c r="W971" s="1" t="s">
        <v>74</v>
      </c>
      <c r="X971" s="1" t="s">
        <v>74</v>
      </c>
      <c r="Y971" s="1" t="s">
        <v>74</v>
      </c>
      <c r="Z971" s="1" t="s">
        <v>74</v>
      </c>
      <c r="AA971" s="1" t="s">
        <v>9585</v>
      </c>
      <c r="AB971" s="1" t="s">
        <v>9586</v>
      </c>
      <c r="AC971" s="1" t="s">
        <v>74</v>
      </c>
      <c r="AD971" s="1" t="s">
        <v>74</v>
      </c>
      <c r="AE971" s="1" t="s">
        <v>74</v>
      </c>
      <c r="AF971" s="1" t="s">
        <v>74</v>
      </c>
      <c r="AG971" s="1" t="s">
        <v>74</v>
      </c>
      <c r="AH971" s="1" t="s">
        <v>74</v>
      </c>
      <c r="AI971" s="1" t="s">
        <v>74</v>
      </c>
      <c r="AJ971" s="1" t="s">
        <v>74</v>
      </c>
      <c r="AK971" s="1" t="s">
        <v>74</v>
      </c>
      <c r="AL971" s="1" t="s">
        <v>74</v>
      </c>
      <c r="AM971" s="1" t="s">
        <v>74</v>
      </c>
      <c r="AN971" s="1" t="s">
        <v>74</v>
      </c>
      <c r="AO971" s="1" t="s">
        <v>9587</v>
      </c>
      <c r="AP971" s="1" t="s">
        <v>9588</v>
      </c>
      <c r="AQ971" s="1" t="s">
        <v>74</v>
      </c>
      <c r="AR971" s="1" t="s">
        <v>74</v>
      </c>
      <c r="AS971" s="1" t="s">
        <v>74</v>
      </c>
      <c r="AT971" s="1" t="s">
        <v>155</v>
      </c>
      <c r="AU971" s="1">
        <v>2012.0</v>
      </c>
      <c r="AV971" s="1">
        <v>13.0</v>
      </c>
      <c r="AW971" s="1">
        <v>5.0</v>
      </c>
      <c r="AX971" s="1" t="s">
        <v>74</v>
      </c>
      <c r="AY971" s="1" t="s">
        <v>74</v>
      </c>
      <c r="AZ971" s="1" t="s">
        <v>74</v>
      </c>
      <c r="BA971" s="1" t="s">
        <v>74</v>
      </c>
      <c r="BB971" s="1">
        <v>679.0</v>
      </c>
      <c r="BC971" s="1">
        <v>692.0</v>
      </c>
      <c r="BD971" s="1" t="s">
        <v>74</v>
      </c>
      <c r="BE971" s="1" t="s">
        <v>74</v>
      </c>
      <c r="BF971" s="1" t="s">
        <v>74</v>
      </c>
      <c r="BG971" s="1" t="s">
        <v>74</v>
      </c>
      <c r="BH971" s="1" t="s">
        <v>74</v>
      </c>
      <c r="BI971" s="1" t="s">
        <v>74</v>
      </c>
      <c r="BJ971" s="1" t="s">
        <v>74</v>
      </c>
      <c r="BK971" s="1" t="s">
        <v>74</v>
      </c>
      <c r="BL971" s="1" t="s">
        <v>74</v>
      </c>
      <c r="BM971" s="1" t="s">
        <v>74</v>
      </c>
      <c r="BN971" s="1">
        <v>2.2299824E7</v>
      </c>
      <c r="BO971" s="1" t="s">
        <v>74</v>
      </c>
      <c r="BP971" s="1" t="s">
        <v>74</v>
      </c>
      <c r="BQ971" s="1" t="s">
        <v>74</v>
      </c>
      <c r="BR971" s="1" t="s">
        <v>74</v>
      </c>
      <c r="BS971" s="1" t="s">
        <v>9589</v>
      </c>
      <c r="BT971" s="1" t="str">
        <f>HYPERLINK("https%3A%2F%2Fwww.webofscience.com%2Fwos%2Fwoscc%2Ffull-record%2FWOS:000304041700015","View Full Record in Web of Science")</f>
        <v>View Full Record in Web of Science</v>
      </c>
    </row>
    <row r="972" ht="12.75" customHeight="1">
      <c r="A972" s="1" t="s">
        <v>72</v>
      </c>
      <c r="B972" s="1" t="s">
        <v>9590</v>
      </c>
      <c r="C972" s="1" t="s">
        <v>74</v>
      </c>
      <c r="D972" s="1" t="s">
        <v>74</v>
      </c>
      <c r="E972" s="1" t="s">
        <v>74</v>
      </c>
      <c r="F972" s="1" t="s">
        <v>9591</v>
      </c>
      <c r="G972" s="1" t="s">
        <v>74</v>
      </c>
      <c r="H972" s="1" t="s">
        <v>74</v>
      </c>
      <c r="I972" s="1" t="s">
        <v>9592</v>
      </c>
      <c r="J972" s="1" t="s">
        <v>9593</v>
      </c>
      <c r="K972" s="1" t="s">
        <v>74</v>
      </c>
      <c r="L972" s="1" t="s">
        <v>74</v>
      </c>
      <c r="M972" s="1" t="s">
        <v>74</v>
      </c>
      <c r="N972" s="1" t="s">
        <v>74</v>
      </c>
      <c r="O972" s="1" t="s">
        <v>74</v>
      </c>
      <c r="P972" s="1" t="s">
        <v>74</v>
      </c>
      <c r="Q972" s="1" t="s">
        <v>74</v>
      </c>
      <c r="R972" s="1" t="s">
        <v>74</v>
      </c>
      <c r="S972" s="1" t="s">
        <v>74</v>
      </c>
      <c r="T972" s="1" t="s">
        <v>74</v>
      </c>
      <c r="U972" s="1" t="s">
        <v>74</v>
      </c>
      <c r="V972" s="1" t="s">
        <v>9594</v>
      </c>
      <c r="W972" s="1" t="s">
        <v>74</v>
      </c>
      <c r="X972" s="1" t="s">
        <v>74</v>
      </c>
      <c r="Y972" s="1" t="s">
        <v>74</v>
      </c>
      <c r="Z972" s="1" t="s">
        <v>74</v>
      </c>
      <c r="AA972" s="1" t="s">
        <v>9595</v>
      </c>
      <c r="AB972" s="1" t="s">
        <v>9596</v>
      </c>
      <c r="AC972" s="1" t="s">
        <v>74</v>
      </c>
      <c r="AD972" s="1" t="s">
        <v>74</v>
      </c>
      <c r="AE972" s="1" t="s">
        <v>74</v>
      </c>
      <c r="AF972" s="1" t="s">
        <v>74</v>
      </c>
      <c r="AG972" s="1" t="s">
        <v>74</v>
      </c>
      <c r="AH972" s="1" t="s">
        <v>74</v>
      </c>
      <c r="AI972" s="1" t="s">
        <v>74</v>
      </c>
      <c r="AJ972" s="1" t="s">
        <v>74</v>
      </c>
      <c r="AK972" s="1" t="s">
        <v>74</v>
      </c>
      <c r="AL972" s="1" t="s">
        <v>74</v>
      </c>
      <c r="AM972" s="1" t="s">
        <v>74</v>
      </c>
      <c r="AN972" s="1" t="s">
        <v>74</v>
      </c>
      <c r="AO972" s="1" t="s">
        <v>9597</v>
      </c>
      <c r="AP972" s="1" t="s">
        <v>9598</v>
      </c>
      <c r="AQ972" s="1" t="s">
        <v>74</v>
      </c>
      <c r="AR972" s="1" t="s">
        <v>74</v>
      </c>
      <c r="AS972" s="1" t="s">
        <v>74</v>
      </c>
      <c r="AT972" s="1" t="s">
        <v>438</v>
      </c>
      <c r="AU972" s="1">
        <v>2011.0</v>
      </c>
      <c r="AV972" s="1">
        <v>33.0</v>
      </c>
      <c r="AW972" s="1">
        <v>7.0</v>
      </c>
      <c r="AX972" s="1" t="s">
        <v>74</v>
      </c>
      <c r="AY972" s="1" t="s">
        <v>74</v>
      </c>
      <c r="AZ972" s="1" t="s">
        <v>74</v>
      </c>
      <c r="BA972" s="1" t="s">
        <v>74</v>
      </c>
      <c r="BB972" s="1">
        <v>1175.0</v>
      </c>
      <c r="BC972" s="1">
        <v>1185.0</v>
      </c>
      <c r="BD972" s="1" t="s">
        <v>74</v>
      </c>
      <c r="BE972" s="1" t="s">
        <v>9599</v>
      </c>
      <c r="BF972" s="2" t="str">
        <f>HYPERLINK("http://dx.doi.org/10.1111/j.1460-9568.2010.07589.x","http://dx.doi.org/10.1111/j.1460-9568.2010.07589.x")</f>
        <v>http://dx.doi.org/10.1111/j.1460-9568.2010.07589.x</v>
      </c>
      <c r="BG972" s="1" t="s">
        <v>74</v>
      </c>
      <c r="BH972" s="1" t="s">
        <v>74</v>
      </c>
      <c r="BI972" s="1" t="s">
        <v>74</v>
      </c>
      <c r="BJ972" s="1" t="s">
        <v>74</v>
      </c>
      <c r="BK972" s="1" t="s">
        <v>74</v>
      </c>
      <c r="BL972" s="1" t="s">
        <v>74</v>
      </c>
      <c r="BM972" s="1" t="s">
        <v>74</v>
      </c>
      <c r="BN972" s="1">
        <v>2.1324005E7</v>
      </c>
      <c r="BO972" s="1" t="s">
        <v>74</v>
      </c>
      <c r="BP972" s="1" t="s">
        <v>74</v>
      </c>
      <c r="BQ972" s="1" t="s">
        <v>74</v>
      </c>
      <c r="BR972" s="1" t="s">
        <v>74</v>
      </c>
      <c r="BS972" s="1" t="s">
        <v>9600</v>
      </c>
      <c r="BT972" s="1" t="str">
        <f>HYPERLINK("https%3A%2F%2Fwww.webofscience.com%2Fwos%2Fwoscc%2Ffull-record%2FWOS:000289156200001","View Full Record in Web of Science")</f>
        <v>View Full Record in Web of Science</v>
      </c>
    </row>
    <row r="973" ht="12.75" customHeight="1">
      <c r="A973" s="1" t="s">
        <v>72</v>
      </c>
      <c r="B973" s="1" t="s">
        <v>9601</v>
      </c>
      <c r="C973" s="1" t="s">
        <v>74</v>
      </c>
      <c r="D973" s="1" t="s">
        <v>74</v>
      </c>
      <c r="E973" s="1" t="s">
        <v>74</v>
      </c>
      <c r="F973" s="1" t="s">
        <v>9602</v>
      </c>
      <c r="G973" s="1" t="s">
        <v>74</v>
      </c>
      <c r="H973" s="1" t="s">
        <v>74</v>
      </c>
      <c r="I973" s="1" t="s">
        <v>9603</v>
      </c>
      <c r="J973" s="1" t="s">
        <v>9604</v>
      </c>
      <c r="K973" s="1" t="s">
        <v>74</v>
      </c>
      <c r="L973" s="1" t="s">
        <v>74</v>
      </c>
      <c r="M973" s="1" t="s">
        <v>74</v>
      </c>
      <c r="N973" s="1" t="s">
        <v>74</v>
      </c>
      <c r="O973" s="1" t="s">
        <v>74</v>
      </c>
      <c r="P973" s="1" t="s">
        <v>74</v>
      </c>
      <c r="Q973" s="1" t="s">
        <v>74</v>
      </c>
      <c r="R973" s="1" t="s">
        <v>74</v>
      </c>
      <c r="S973" s="1" t="s">
        <v>74</v>
      </c>
      <c r="T973" s="1" t="s">
        <v>74</v>
      </c>
      <c r="U973" s="1" t="s">
        <v>74</v>
      </c>
      <c r="V973" s="1" t="s">
        <v>9605</v>
      </c>
      <c r="W973" s="1" t="s">
        <v>74</v>
      </c>
      <c r="X973" s="1" t="s">
        <v>74</v>
      </c>
      <c r="Y973" s="1" t="s">
        <v>74</v>
      </c>
      <c r="Z973" s="1" t="s">
        <v>74</v>
      </c>
      <c r="AA973" s="1" t="s">
        <v>9606</v>
      </c>
      <c r="AB973" s="1" t="s">
        <v>9607</v>
      </c>
      <c r="AC973" s="1" t="s">
        <v>74</v>
      </c>
      <c r="AD973" s="1" t="s">
        <v>74</v>
      </c>
      <c r="AE973" s="1" t="s">
        <v>74</v>
      </c>
      <c r="AF973" s="1" t="s">
        <v>74</v>
      </c>
      <c r="AG973" s="1" t="s">
        <v>74</v>
      </c>
      <c r="AH973" s="1" t="s">
        <v>74</v>
      </c>
      <c r="AI973" s="1" t="s">
        <v>74</v>
      </c>
      <c r="AJ973" s="1" t="s">
        <v>74</v>
      </c>
      <c r="AK973" s="1" t="s">
        <v>74</v>
      </c>
      <c r="AL973" s="1" t="s">
        <v>74</v>
      </c>
      <c r="AM973" s="1" t="s">
        <v>74</v>
      </c>
      <c r="AN973" s="1" t="s">
        <v>74</v>
      </c>
      <c r="AO973" s="1" t="s">
        <v>9608</v>
      </c>
      <c r="AP973" s="1" t="s">
        <v>9609</v>
      </c>
      <c r="AQ973" s="1" t="s">
        <v>74</v>
      </c>
      <c r="AR973" s="1" t="s">
        <v>74</v>
      </c>
      <c r="AS973" s="1" t="s">
        <v>74</v>
      </c>
      <c r="AT973" s="1" t="s">
        <v>74</v>
      </c>
      <c r="AU973" s="1">
        <v>2010.0</v>
      </c>
      <c r="AV973" s="1">
        <v>132.0</v>
      </c>
      <c r="AW973" s="1" t="s">
        <v>822</v>
      </c>
      <c r="AX973" s="1" t="s">
        <v>74</v>
      </c>
      <c r="AY973" s="1" t="s">
        <v>74</v>
      </c>
      <c r="AZ973" s="1" t="s">
        <v>74</v>
      </c>
      <c r="BA973" s="1" t="s">
        <v>74</v>
      </c>
      <c r="BB973" s="1">
        <v>173.0</v>
      </c>
      <c r="BC973" s="1">
        <v>181.0</v>
      </c>
      <c r="BD973" s="1" t="s">
        <v>9610</v>
      </c>
      <c r="BE973" s="1" t="s">
        <v>9611</v>
      </c>
      <c r="BF973" s="2" t="str">
        <f>HYPERLINK("http://dx.doi.org/10.1080/11035897.2010.519048","http://dx.doi.org/10.1080/11035897.2010.519048")</f>
        <v>http://dx.doi.org/10.1080/11035897.2010.519048</v>
      </c>
      <c r="BG973" s="1" t="s">
        <v>74</v>
      </c>
      <c r="BH973" s="1" t="s">
        <v>74</v>
      </c>
      <c r="BI973" s="1" t="s">
        <v>74</v>
      </c>
      <c r="BJ973" s="1" t="s">
        <v>74</v>
      </c>
      <c r="BK973" s="1" t="s">
        <v>74</v>
      </c>
      <c r="BL973" s="1" t="s">
        <v>74</v>
      </c>
      <c r="BM973" s="1" t="s">
        <v>74</v>
      </c>
      <c r="BN973" s="1" t="s">
        <v>74</v>
      </c>
      <c r="BO973" s="1" t="s">
        <v>74</v>
      </c>
      <c r="BP973" s="1" t="s">
        <v>74</v>
      </c>
      <c r="BQ973" s="1" t="s">
        <v>74</v>
      </c>
      <c r="BR973" s="1" t="s">
        <v>74</v>
      </c>
      <c r="BS973" s="1" t="s">
        <v>9612</v>
      </c>
      <c r="BT973" s="1" t="str">
        <f>HYPERLINK("https%3A%2F%2Fwww.webofscience.com%2Fwos%2Fwoscc%2Ffull-record%2FWOS:000284638100005","View Full Record in Web of Science")</f>
        <v>View Full Record in Web of Science</v>
      </c>
    </row>
    <row r="974" ht="12.75" customHeight="1">
      <c r="A974" s="1" t="s">
        <v>72</v>
      </c>
      <c r="B974" s="1" t="s">
        <v>9613</v>
      </c>
      <c r="C974" s="1" t="s">
        <v>74</v>
      </c>
      <c r="D974" s="1" t="s">
        <v>74</v>
      </c>
      <c r="E974" s="1" t="s">
        <v>74</v>
      </c>
      <c r="F974" s="1" t="s">
        <v>9614</v>
      </c>
      <c r="G974" s="1" t="s">
        <v>74</v>
      </c>
      <c r="H974" s="1" t="s">
        <v>74</v>
      </c>
      <c r="I974" s="1" t="s">
        <v>9615</v>
      </c>
      <c r="J974" s="1" t="s">
        <v>9616</v>
      </c>
      <c r="K974" s="1" t="s">
        <v>74</v>
      </c>
      <c r="L974" s="1" t="s">
        <v>74</v>
      </c>
      <c r="M974" s="1" t="s">
        <v>74</v>
      </c>
      <c r="N974" s="1" t="s">
        <v>74</v>
      </c>
      <c r="O974" s="1" t="s">
        <v>9617</v>
      </c>
      <c r="P974" s="1" t="s">
        <v>9618</v>
      </c>
      <c r="Q974" s="1" t="s">
        <v>8192</v>
      </c>
      <c r="R974" s="1" t="s">
        <v>9619</v>
      </c>
      <c r="S974" s="1" t="s">
        <v>74</v>
      </c>
      <c r="T974" s="1" t="s">
        <v>74</v>
      </c>
      <c r="U974" s="1" t="s">
        <v>74</v>
      </c>
      <c r="V974" s="1" t="s">
        <v>74</v>
      </c>
      <c r="W974" s="1" t="s">
        <v>74</v>
      </c>
      <c r="X974" s="1" t="s">
        <v>74</v>
      </c>
      <c r="Y974" s="1" t="s">
        <v>74</v>
      </c>
      <c r="Z974" s="1" t="s">
        <v>74</v>
      </c>
      <c r="AA974" s="1" t="s">
        <v>74</v>
      </c>
      <c r="AB974" s="1" t="s">
        <v>74</v>
      </c>
      <c r="AC974" s="1" t="s">
        <v>74</v>
      </c>
      <c r="AD974" s="1" t="s">
        <v>74</v>
      </c>
      <c r="AE974" s="1" t="s">
        <v>74</v>
      </c>
      <c r="AF974" s="1" t="s">
        <v>74</v>
      </c>
      <c r="AG974" s="1" t="s">
        <v>74</v>
      </c>
      <c r="AH974" s="1" t="s">
        <v>74</v>
      </c>
      <c r="AI974" s="1" t="s">
        <v>74</v>
      </c>
      <c r="AJ974" s="1" t="s">
        <v>74</v>
      </c>
      <c r="AK974" s="1" t="s">
        <v>74</v>
      </c>
      <c r="AL974" s="1" t="s">
        <v>74</v>
      </c>
      <c r="AM974" s="1" t="s">
        <v>74</v>
      </c>
      <c r="AN974" s="1" t="s">
        <v>74</v>
      </c>
      <c r="AO974" s="1" t="s">
        <v>9620</v>
      </c>
      <c r="AP974" s="1" t="s">
        <v>9621</v>
      </c>
      <c r="AQ974" s="1" t="s">
        <v>74</v>
      </c>
      <c r="AR974" s="1" t="s">
        <v>74</v>
      </c>
      <c r="AS974" s="1" t="s">
        <v>74</v>
      </c>
      <c r="AT974" s="1" t="s">
        <v>259</v>
      </c>
      <c r="AU974" s="1">
        <v>2007.0</v>
      </c>
      <c r="AV974" s="1">
        <v>42.0</v>
      </c>
      <c r="AW974" s="1">
        <v>5.0</v>
      </c>
      <c r="AX974" s="1" t="s">
        <v>74</v>
      </c>
      <c r="AY974" s="1" t="s">
        <v>74</v>
      </c>
      <c r="AZ974" s="1" t="s">
        <v>74</v>
      </c>
      <c r="BA974" s="1" t="s">
        <v>74</v>
      </c>
      <c r="BB974" s="1">
        <v>1088.0</v>
      </c>
      <c r="BC974" s="1">
        <v>1092.0</v>
      </c>
      <c r="BD974" s="1" t="s">
        <v>74</v>
      </c>
      <c r="BE974" s="1" t="s">
        <v>9622</v>
      </c>
      <c r="BF974" s="2" t="str">
        <f>HYPERLINK("http://dx.doi.org/10.21273/HORTSCI.42.5.1088","http://dx.doi.org/10.21273/HORTSCI.42.5.1088")</f>
        <v>http://dx.doi.org/10.21273/HORTSCI.42.5.1088</v>
      </c>
      <c r="BG974" s="1" t="s">
        <v>74</v>
      </c>
      <c r="BH974" s="1" t="s">
        <v>74</v>
      </c>
      <c r="BI974" s="1" t="s">
        <v>74</v>
      </c>
      <c r="BJ974" s="1" t="s">
        <v>74</v>
      </c>
      <c r="BK974" s="1" t="s">
        <v>74</v>
      </c>
      <c r="BL974" s="1" t="s">
        <v>74</v>
      </c>
      <c r="BM974" s="1" t="s">
        <v>74</v>
      </c>
      <c r="BN974" s="1" t="s">
        <v>74</v>
      </c>
      <c r="BO974" s="1" t="s">
        <v>74</v>
      </c>
      <c r="BP974" s="1" t="s">
        <v>74</v>
      </c>
      <c r="BQ974" s="1" t="s">
        <v>74</v>
      </c>
      <c r="BR974" s="1" t="s">
        <v>74</v>
      </c>
      <c r="BS974" s="1" t="s">
        <v>9623</v>
      </c>
      <c r="BT974" s="1" t="str">
        <f>HYPERLINK("https%3A%2F%2Fwww.webofscience.com%2Fwos%2Fwoscc%2Ffull-record%2FWOS:000248152300008","View Full Record in Web of Science")</f>
        <v>View Full Record in Web of Science</v>
      </c>
    </row>
    <row r="975" ht="12.75" customHeight="1">
      <c r="A975" s="1" t="s">
        <v>72</v>
      </c>
      <c r="B975" s="1" t="s">
        <v>9624</v>
      </c>
      <c r="C975" s="1" t="s">
        <v>74</v>
      </c>
      <c r="D975" s="1" t="s">
        <v>74</v>
      </c>
      <c r="E975" s="1" t="s">
        <v>74</v>
      </c>
      <c r="F975" s="1" t="s">
        <v>9624</v>
      </c>
      <c r="G975" s="1" t="s">
        <v>74</v>
      </c>
      <c r="H975" s="1" t="s">
        <v>74</v>
      </c>
      <c r="I975" s="1" t="s">
        <v>9625</v>
      </c>
      <c r="J975" s="1" t="s">
        <v>9626</v>
      </c>
      <c r="K975" s="1" t="s">
        <v>74</v>
      </c>
      <c r="L975" s="1" t="s">
        <v>74</v>
      </c>
      <c r="M975" s="1" t="s">
        <v>74</v>
      </c>
      <c r="N975" s="1" t="s">
        <v>74</v>
      </c>
      <c r="O975" s="1" t="s">
        <v>74</v>
      </c>
      <c r="P975" s="1" t="s">
        <v>74</v>
      </c>
      <c r="Q975" s="1" t="s">
        <v>74</v>
      </c>
      <c r="R975" s="1" t="s">
        <v>74</v>
      </c>
      <c r="S975" s="1" t="s">
        <v>74</v>
      </c>
      <c r="T975" s="1" t="s">
        <v>74</v>
      </c>
      <c r="U975" s="1" t="s">
        <v>74</v>
      </c>
      <c r="V975" s="1" t="s">
        <v>9627</v>
      </c>
      <c r="W975" s="1" t="s">
        <v>74</v>
      </c>
      <c r="X975" s="1" t="s">
        <v>74</v>
      </c>
      <c r="Y975" s="1" t="s">
        <v>74</v>
      </c>
      <c r="Z975" s="1" t="s">
        <v>74</v>
      </c>
      <c r="AA975" s="1" t="s">
        <v>9628</v>
      </c>
      <c r="AB975" s="1" t="s">
        <v>74</v>
      </c>
      <c r="AC975" s="1" t="s">
        <v>74</v>
      </c>
      <c r="AD975" s="1" t="s">
        <v>74</v>
      </c>
      <c r="AE975" s="1" t="s">
        <v>74</v>
      </c>
      <c r="AF975" s="1" t="s">
        <v>74</v>
      </c>
      <c r="AG975" s="1" t="s">
        <v>74</v>
      </c>
      <c r="AH975" s="1" t="s">
        <v>74</v>
      </c>
      <c r="AI975" s="1" t="s">
        <v>74</v>
      </c>
      <c r="AJ975" s="1" t="s">
        <v>74</v>
      </c>
      <c r="AK975" s="1" t="s">
        <v>74</v>
      </c>
      <c r="AL975" s="1" t="s">
        <v>74</v>
      </c>
      <c r="AM975" s="1" t="s">
        <v>74</v>
      </c>
      <c r="AN975" s="1" t="s">
        <v>74</v>
      </c>
      <c r="AO975" s="1" t="s">
        <v>9629</v>
      </c>
      <c r="AP975" s="1" t="s">
        <v>74</v>
      </c>
      <c r="AQ975" s="1" t="s">
        <v>74</v>
      </c>
      <c r="AR975" s="1" t="s">
        <v>74</v>
      </c>
      <c r="AS975" s="1" t="s">
        <v>74</v>
      </c>
      <c r="AT975" s="1" t="s">
        <v>719</v>
      </c>
      <c r="AU975" s="1">
        <v>1999.0</v>
      </c>
      <c r="AV975" s="1">
        <v>38.0</v>
      </c>
      <c r="AW975" s="1">
        <v>7.0</v>
      </c>
      <c r="AX975" s="1" t="s">
        <v>74</v>
      </c>
      <c r="AY975" s="1" t="s">
        <v>74</v>
      </c>
      <c r="AZ975" s="1" t="s">
        <v>74</v>
      </c>
      <c r="BA975" s="1" t="s">
        <v>74</v>
      </c>
      <c r="BB975" s="1">
        <v>1055.0</v>
      </c>
      <c r="BC975" s="1">
        <v>1061.0</v>
      </c>
      <c r="BD975" s="1" t="s">
        <v>74</v>
      </c>
      <c r="BE975" s="1" t="s">
        <v>9630</v>
      </c>
      <c r="BF975" s="2" t="str">
        <f>HYPERLINK("http://dx.doi.org/10.1016/S0028-3908(99)00023-4","http://dx.doi.org/10.1016/S0028-3908(99)00023-4")</f>
        <v>http://dx.doi.org/10.1016/S0028-3908(99)00023-4</v>
      </c>
      <c r="BG975" s="1" t="s">
        <v>74</v>
      </c>
      <c r="BH975" s="1" t="s">
        <v>74</v>
      </c>
      <c r="BI975" s="1" t="s">
        <v>74</v>
      </c>
      <c r="BJ975" s="1" t="s">
        <v>74</v>
      </c>
      <c r="BK975" s="1" t="s">
        <v>74</v>
      </c>
      <c r="BL975" s="1" t="s">
        <v>74</v>
      </c>
      <c r="BM975" s="1" t="s">
        <v>74</v>
      </c>
      <c r="BN975" s="1">
        <v>1.0428424E7</v>
      </c>
      <c r="BO975" s="1" t="s">
        <v>74</v>
      </c>
      <c r="BP975" s="1" t="s">
        <v>74</v>
      </c>
      <c r="BQ975" s="1" t="s">
        <v>74</v>
      </c>
      <c r="BR975" s="1" t="s">
        <v>74</v>
      </c>
      <c r="BS975" s="1" t="s">
        <v>9631</v>
      </c>
      <c r="BT975" s="1" t="str">
        <f>HYPERLINK("https%3A%2F%2Fwww.webofscience.com%2Fwos%2Fwoscc%2Ffull-record%2FWOS:000081126200015","View Full Record in Web of Science")</f>
        <v>View Full Record in Web of Science</v>
      </c>
    </row>
    <row r="976" ht="12.75" customHeight="1">
      <c r="A976" s="1" t="s">
        <v>72</v>
      </c>
      <c r="B976" s="1" t="s">
        <v>9632</v>
      </c>
      <c r="C976" s="1" t="s">
        <v>74</v>
      </c>
      <c r="D976" s="1" t="s">
        <v>74</v>
      </c>
      <c r="E976" s="1" t="s">
        <v>74</v>
      </c>
      <c r="F976" s="1" t="s">
        <v>9633</v>
      </c>
      <c r="G976" s="1" t="s">
        <v>74</v>
      </c>
      <c r="H976" s="1" t="s">
        <v>74</v>
      </c>
      <c r="I976" s="1" t="s">
        <v>9634</v>
      </c>
      <c r="J976" s="1" t="s">
        <v>9635</v>
      </c>
      <c r="K976" s="1" t="s">
        <v>74</v>
      </c>
      <c r="L976" s="1" t="s">
        <v>74</v>
      </c>
      <c r="M976" s="1" t="s">
        <v>74</v>
      </c>
      <c r="N976" s="1" t="s">
        <v>74</v>
      </c>
      <c r="O976" s="1" t="s">
        <v>74</v>
      </c>
      <c r="P976" s="1" t="s">
        <v>74</v>
      </c>
      <c r="Q976" s="1" t="s">
        <v>74</v>
      </c>
      <c r="R976" s="1" t="s">
        <v>74</v>
      </c>
      <c r="S976" s="1" t="s">
        <v>74</v>
      </c>
      <c r="T976" s="1" t="s">
        <v>74</v>
      </c>
      <c r="U976" s="1" t="s">
        <v>74</v>
      </c>
      <c r="V976" s="1" t="s">
        <v>9636</v>
      </c>
      <c r="W976" s="1" t="s">
        <v>74</v>
      </c>
      <c r="X976" s="1" t="s">
        <v>74</v>
      </c>
      <c r="Y976" s="1" t="s">
        <v>74</v>
      </c>
      <c r="Z976" s="1" t="s">
        <v>74</v>
      </c>
      <c r="AA976" s="1" t="s">
        <v>9637</v>
      </c>
      <c r="AB976" s="1" t="s">
        <v>74</v>
      </c>
      <c r="AC976" s="1" t="s">
        <v>74</v>
      </c>
      <c r="AD976" s="1" t="s">
        <v>74</v>
      </c>
      <c r="AE976" s="1" t="s">
        <v>74</v>
      </c>
      <c r="AF976" s="1" t="s">
        <v>74</v>
      </c>
      <c r="AG976" s="1" t="s">
        <v>74</v>
      </c>
      <c r="AH976" s="1" t="s">
        <v>74</v>
      </c>
      <c r="AI976" s="1" t="s">
        <v>74</v>
      </c>
      <c r="AJ976" s="1" t="s">
        <v>74</v>
      </c>
      <c r="AK976" s="1" t="s">
        <v>74</v>
      </c>
      <c r="AL976" s="1" t="s">
        <v>74</v>
      </c>
      <c r="AM976" s="1" t="s">
        <v>74</v>
      </c>
      <c r="AN976" s="1" t="s">
        <v>74</v>
      </c>
      <c r="AO976" s="1" t="s">
        <v>9638</v>
      </c>
      <c r="AP976" s="1" t="s">
        <v>9639</v>
      </c>
      <c r="AQ976" s="1" t="s">
        <v>74</v>
      </c>
      <c r="AR976" s="1" t="s">
        <v>74</v>
      </c>
      <c r="AS976" s="1" t="s">
        <v>74</v>
      </c>
      <c r="AT976" s="1" t="s">
        <v>9640</v>
      </c>
      <c r="AU976" s="1">
        <v>2025.0</v>
      </c>
      <c r="AV976" s="1" t="s">
        <v>74</v>
      </c>
      <c r="AW976" s="1" t="s">
        <v>74</v>
      </c>
      <c r="AX976" s="1" t="s">
        <v>74</v>
      </c>
      <c r="AY976" s="1" t="s">
        <v>74</v>
      </c>
      <c r="AZ976" s="1" t="s">
        <v>74</v>
      </c>
      <c r="BA976" s="1" t="s">
        <v>74</v>
      </c>
      <c r="BB976" s="1" t="s">
        <v>74</v>
      </c>
      <c r="BC976" s="1" t="s">
        <v>74</v>
      </c>
      <c r="BD976" s="1" t="s">
        <v>74</v>
      </c>
      <c r="BE976" s="1" t="s">
        <v>9641</v>
      </c>
      <c r="BF976" s="2" t="str">
        <f>HYPERLINK("http://dx.doi.org/10.1007/s10811-024-03405-9","http://dx.doi.org/10.1007/s10811-024-03405-9")</f>
        <v>http://dx.doi.org/10.1007/s10811-024-03405-9</v>
      </c>
      <c r="BG976" s="1" t="s">
        <v>74</v>
      </c>
      <c r="BH976" s="1" t="s">
        <v>3011</v>
      </c>
      <c r="BI976" s="1" t="s">
        <v>74</v>
      </c>
      <c r="BJ976" s="1" t="s">
        <v>74</v>
      </c>
      <c r="BK976" s="1" t="s">
        <v>74</v>
      </c>
      <c r="BL976" s="1" t="s">
        <v>74</v>
      </c>
      <c r="BM976" s="1" t="s">
        <v>74</v>
      </c>
      <c r="BN976" s="1" t="s">
        <v>74</v>
      </c>
      <c r="BO976" s="1" t="s">
        <v>74</v>
      </c>
      <c r="BP976" s="1" t="s">
        <v>74</v>
      </c>
      <c r="BQ976" s="1" t="s">
        <v>74</v>
      </c>
      <c r="BR976" s="1" t="s">
        <v>74</v>
      </c>
      <c r="BS976" s="1" t="s">
        <v>9642</v>
      </c>
      <c r="BT976" s="1" t="str">
        <f>HYPERLINK("https%3A%2F%2Fwww.webofscience.com%2Fwos%2Fwoscc%2Ffull-record%2FWOS:001390283500001","View Full Record in Web of Science")</f>
        <v>View Full Record in Web of Science</v>
      </c>
    </row>
    <row r="977" ht="12.75" customHeight="1">
      <c r="A977" s="1" t="s">
        <v>72</v>
      </c>
      <c r="B977" s="1" t="s">
        <v>9643</v>
      </c>
      <c r="C977" s="1" t="s">
        <v>74</v>
      </c>
      <c r="D977" s="1" t="s">
        <v>74</v>
      </c>
      <c r="E977" s="1" t="s">
        <v>74</v>
      </c>
      <c r="F977" s="1" t="s">
        <v>9644</v>
      </c>
      <c r="G977" s="1" t="s">
        <v>74</v>
      </c>
      <c r="H977" s="1" t="s">
        <v>74</v>
      </c>
      <c r="I977" s="1" t="s">
        <v>9645</v>
      </c>
      <c r="J977" s="1" t="s">
        <v>2833</v>
      </c>
      <c r="K977" s="1" t="s">
        <v>74</v>
      </c>
      <c r="L977" s="1" t="s">
        <v>74</v>
      </c>
      <c r="M977" s="1" t="s">
        <v>74</v>
      </c>
      <c r="N977" s="1" t="s">
        <v>74</v>
      </c>
      <c r="O977" s="1" t="s">
        <v>74</v>
      </c>
      <c r="P977" s="1" t="s">
        <v>74</v>
      </c>
      <c r="Q977" s="1" t="s">
        <v>74</v>
      </c>
      <c r="R977" s="1" t="s">
        <v>74</v>
      </c>
      <c r="S977" s="1" t="s">
        <v>74</v>
      </c>
      <c r="T977" s="1" t="s">
        <v>74</v>
      </c>
      <c r="U977" s="1" t="s">
        <v>74</v>
      </c>
      <c r="V977" s="1" t="s">
        <v>9646</v>
      </c>
      <c r="W977" s="1" t="s">
        <v>74</v>
      </c>
      <c r="X977" s="1" t="s">
        <v>74</v>
      </c>
      <c r="Y977" s="1" t="s">
        <v>74</v>
      </c>
      <c r="Z977" s="1" t="s">
        <v>74</v>
      </c>
      <c r="AA977" s="1" t="s">
        <v>9647</v>
      </c>
      <c r="AB977" s="1" t="s">
        <v>9648</v>
      </c>
      <c r="AC977" s="1" t="s">
        <v>74</v>
      </c>
      <c r="AD977" s="1" t="s">
        <v>74</v>
      </c>
      <c r="AE977" s="1" t="s">
        <v>74</v>
      </c>
      <c r="AF977" s="1" t="s">
        <v>74</v>
      </c>
      <c r="AG977" s="1" t="s">
        <v>74</v>
      </c>
      <c r="AH977" s="1" t="s">
        <v>74</v>
      </c>
      <c r="AI977" s="1" t="s">
        <v>74</v>
      </c>
      <c r="AJ977" s="1" t="s">
        <v>74</v>
      </c>
      <c r="AK977" s="1" t="s">
        <v>74</v>
      </c>
      <c r="AL977" s="1" t="s">
        <v>74</v>
      </c>
      <c r="AM977" s="1" t="s">
        <v>74</v>
      </c>
      <c r="AN977" s="1" t="s">
        <v>74</v>
      </c>
      <c r="AO977" s="1" t="s">
        <v>74</v>
      </c>
      <c r="AP977" s="1" t="s">
        <v>2837</v>
      </c>
      <c r="AQ977" s="1" t="s">
        <v>74</v>
      </c>
      <c r="AR977" s="1" t="s">
        <v>74</v>
      </c>
      <c r="AS977" s="1" t="s">
        <v>74</v>
      </c>
      <c r="AT977" s="1" t="s">
        <v>316</v>
      </c>
      <c r="AU977" s="1">
        <v>2023.0</v>
      </c>
      <c r="AV977" s="1">
        <v>11.0</v>
      </c>
      <c r="AW977" s="1">
        <v>10.0</v>
      </c>
      <c r="AX977" s="1" t="s">
        <v>74</v>
      </c>
      <c r="AY977" s="1" t="s">
        <v>74</v>
      </c>
      <c r="AZ977" s="1" t="s">
        <v>74</v>
      </c>
      <c r="BA977" s="1" t="s">
        <v>74</v>
      </c>
      <c r="BB977" s="1" t="s">
        <v>74</v>
      </c>
      <c r="BC977" s="1" t="s">
        <v>74</v>
      </c>
      <c r="BD977" s="1">
        <v>2973.0</v>
      </c>
      <c r="BE977" s="1" t="s">
        <v>9649</v>
      </c>
      <c r="BF977" s="2" t="str">
        <f>HYPERLINK("http://dx.doi.org/10.3390/pr11102973","http://dx.doi.org/10.3390/pr11102973")</f>
        <v>http://dx.doi.org/10.3390/pr11102973</v>
      </c>
      <c r="BG977" s="1" t="s">
        <v>74</v>
      </c>
      <c r="BH977" s="1" t="s">
        <v>74</v>
      </c>
      <c r="BI977" s="1" t="s">
        <v>74</v>
      </c>
      <c r="BJ977" s="1" t="s">
        <v>74</v>
      </c>
      <c r="BK977" s="1" t="s">
        <v>74</v>
      </c>
      <c r="BL977" s="1" t="s">
        <v>74</v>
      </c>
      <c r="BM977" s="1" t="s">
        <v>74</v>
      </c>
      <c r="BN977" s="1" t="s">
        <v>74</v>
      </c>
      <c r="BO977" s="1" t="s">
        <v>74</v>
      </c>
      <c r="BP977" s="1" t="s">
        <v>74</v>
      </c>
      <c r="BQ977" s="1" t="s">
        <v>74</v>
      </c>
      <c r="BR977" s="1" t="s">
        <v>74</v>
      </c>
      <c r="BS977" s="1" t="s">
        <v>9650</v>
      </c>
      <c r="BT977" s="1" t="str">
        <f>HYPERLINK("https%3A%2F%2Fwww.webofscience.com%2Fwos%2Fwoscc%2Ffull-record%2FWOS:001093518400001","View Full Record in Web of Science")</f>
        <v>View Full Record in Web of Science</v>
      </c>
    </row>
    <row r="978" ht="12.75" customHeight="1">
      <c r="A978" s="1" t="s">
        <v>72</v>
      </c>
      <c r="B978" s="1" t="s">
        <v>9651</v>
      </c>
      <c r="C978" s="1" t="s">
        <v>74</v>
      </c>
      <c r="D978" s="1" t="s">
        <v>74</v>
      </c>
      <c r="E978" s="1" t="s">
        <v>74</v>
      </c>
      <c r="F978" s="1" t="s">
        <v>9652</v>
      </c>
      <c r="G978" s="1" t="s">
        <v>74</v>
      </c>
      <c r="H978" s="1" t="s">
        <v>74</v>
      </c>
      <c r="I978" s="1" t="s">
        <v>9653</v>
      </c>
      <c r="J978" s="1" t="s">
        <v>9654</v>
      </c>
      <c r="K978" s="1" t="s">
        <v>74</v>
      </c>
      <c r="L978" s="1" t="s">
        <v>74</v>
      </c>
      <c r="M978" s="1" t="s">
        <v>74</v>
      </c>
      <c r="N978" s="1" t="s">
        <v>74</v>
      </c>
      <c r="O978" s="1" t="s">
        <v>74</v>
      </c>
      <c r="P978" s="1" t="s">
        <v>74</v>
      </c>
      <c r="Q978" s="1" t="s">
        <v>74</v>
      </c>
      <c r="R978" s="1" t="s">
        <v>74</v>
      </c>
      <c r="S978" s="1" t="s">
        <v>74</v>
      </c>
      <c r="T978" s="1" t="s">
        <v>74</v>
      </c>
      <c r="U978" s="1" t="s">
        <v>74</v>
      </c>
      <c r="V978" s="1" t="s">
        <v>9655</v>
      </c>
      <c r="W978" s="1" t="s">
        <v>74</v>
      </c>
      <c r="X978" s="1" t="s">
        <v>74</v>
      </c>
      <c r="Y978" s="1" t="s">
        <v>74</v>
      </c>
      <c r="Z978" s="1" t="s">
        <v>74</v>
      </c>
      <c r="AA978" s="1" t="s">
        <v>9656</v>
      </c>
      <c r="AB978" s="1" t="s">
        <v>9657</v>
      </c>
      <c r="AC978" s="1" t="s">
        <v>74</v>
      </c>
      <c r="AD978" s="1" t="s">
        <v>74</v>
      </c>
      <c r="AE978" s="1" t="s">
        <v>74</v>
      </c>
      <c r="AF978" s="1" t="s">
        <v>74</v>
      </c>
      <c r="AG978" s="1" t="s">
        <v>74</v>
      </c>
      <c r="AH978" s="1" t="s">
        <v>74</v>
      </c>
      <c r="AI978" s="1" t="s">
        <v>74</v>
      </c>
      <c r="AJ978" s="1" t="s">
        <v>74</v>
      </c>
      <c r="AK978" s="1" t="s">
        <v>74</v>
      </c>
      <c r="AL978" s="1" t="s">
        <v>74</v>
      </c>
      <c r="AM978" s="1" t="s">
        <v>74</v>
      </c>
      <c r="AN978" s="1" t="s">
        <v>74</v>
      </c>
      <c r="AO978" s="1" t="s">
        <v>9658</v>
      </c>
      <c r="AP978" s="1" t="s">
        <v>9659</v>
      </c>
      <c r="AQ978" s="1" t="s">
        <v>74</v>
      </c>
      <c r="AR978" s="1" t="s">
        <v>74</v>
      </c>
      <c r="AS978" s="1" t="s">
        <v>74</v>
      </c>
      <c r="AT978" s="1" t="s">
        <v>155</v>
      </c>
      <c r="AU978" s="1">
        <v>2022.0</v>
      </c>
      <c r="AV978" s="1">
        <v>163.0</v>
      </c>
      <c r="AW978" s="1">
        <v>6.0</v>
      </c>
      <c r="AX978" s="1" t="s">
        <v>74</v>
      </c>
      <c r="AY978" s="1" t="s">
        <v>74</v>
      </c>
      <c r="AZ978" s="1" t="s">
        <v>74</v>
      </c>
      <c r="BA978" s="1" t="s">
        <v>74</v>
      </c>
      <c r="BB978" s="1">
        <v>1114.0</v>
      </c>
      <c r="BC978" s="1">
        <v>1129.0</v>
      </c>
      <c r="BD978" s="1" t="s">
        <v>74</v>
      </c>
      <c r="BE978" s="1" t="s">
        <v>9660</v>
      </c>
      <c r="BF978" s="2" t="str">
        <f>HYPERLINK("http://dx.doi.org/10.1097/j.pain.0000000000002476","http://dx.doi.org/10.1097/j.pain.0000000000002476")</f>
        <v>http://dx.doi.org/10.1097/j.pain.0000000000002476</v>
      </c>
      <c r="BG978" s="1" t="s">
        <v>74</v>
      </c>
      <c r="BH978" s="1" t="s">
        <v>74</v>
      </c>
      <c r="BI978" s="1" t="s">
        <v>74</v>
      </c>
      <c r="BJ978" s="1" t="s">
        <v>74</v>
      </c>
      <c r="BK978" s="1" t="s">
        <v>74</v>
      </c>
      <c r="BL978" s="1" t="s">
        <v>74</v>
      </c>
      <c r="BM978" s="1" t="s">
        <v>74</v>
      </c>
      <c r="BN978" s="1">
        <v>3.4711765E7</v>
      </c>
      <c r="BO978" s="1" t="s">
        <v>74</v>
      </c>
      <c r="BP978" s="1" t="s">
        <v>74</v>
      </c>
      <c r="BQ978" s="1" t="s">
        <v>74</v>
      </c>
      <c r="BR978" s="1" t="s">
        <v>74</v>
      </c>
      <c r="BS978" s="1" t="s">
        <v>9661</v>
      </c>
      <c r="BT978" s="1" t="str">
        <f>HYPERLINK("https%3A%2F%2Fwww.webofscience.com%2Fwos%2Fwoscc%2Ffull-record%2FWOS:000794889000022","View Full Record in Web of Science")</f>
        <v>View Full Record in Web of Science</v>
      </c>
    </row>
    <row r="979" ht="12.75" customHeight="1">
      <c r="A979" s="1" t="s">
        <v>72</v>
      </c>
      <c r="B979" s="1" t="s">
        <v>9662</v>
      </c>
      <c r="C979" s="1" t="s">
        <v>74</v>
      </c>
      <c r="D979" s="1" t="s">
        <v>74</v>
      </c>
      <c r="E979" s="1" t="s">
        <v>74</v>
      </c>
      <c r="F979" s="1" t="s">
        <v>9663</v>
      </c>
      <c r="G979" s="1" t="s">
        <v>74</v>
      </c>
      <c r="H979" s="1" t="s">
        <v>74</v>
      </c>
      <c r="I979" s="1" t="s">
        <v>9664</v>
      </c>
      <c r="J979" s="1" t="s">
        <v>1633</v>
      </c>
      <c r="K979" s="1" t="s">
        <v>74</v>
      </c>
      <c r="L979" s="1" t="s">
        <v>74</v>
      </c>
      <c r="M979" s="1" t="s">
        <v>74</v>
      </c>
      <c r="N979" s="1" t="s">
        <v>74</v>
      </c>
      <c r="O979" s="1" t="s">
        <v>74</v>
      </c>
      <c r="P979" s="1" t="s">
        <v>74</v>
      </c>
      <c r="Q979" s="1" t="s">
        <v>74</v>
      </c>
      <c r="R979" s="1" t="s">
        <v>74</v>
      </c>
      <c r="S979" s="1" t="s">
        <v>74</v>
      </c>
      <c r="T979" s="1" t="s">
        <v>74</v>
      </c>
      <c r="U979" s="1" t="s">
        <v>74</v>
      </c>
      <c r="V979" s="1" t="s">
        <v>9665</v>
      </c>
      <c r="W979" s="1" t="s">
        <v>74</v>
      </c>
      <c r="X979" s="1" t="s">
        <v>74</v>
      </c>
      <c r="Y979" s="1" t="s">
        <v>74</v>
      </c>
      <c r="Z979" s="1" t="s">
        <v>74</v>
      </c>
      <c r="AA979" s="1" t="s">
        <v>9666</v>
      </c>
      <c r="AB979" s="1" t="s">
        <v>9667</v>
      </c>
      <c r="AC979" s="1" t="s">
        <v>74</v>
      </c>
      <c r="AD979" s="1" t="s">
        <v>74</v>
      </c>
      <c r="AE979" s="1" t="s">
        <v>74</v>
      </c>
      <c r="AF979" s="1" t="s">
        <v>74</v>
      </c>
      <c r="AG979" s="1" t="s">
        <v>74</v>
      </c>
      <c r="AH979" s="1" t="s">
        <v>74</v>
      </c>
      <c r="AI979" s="1" t="s">
        <v>74</v>
      </c>
      <c r="AJ979" s="1" t="s">
        <v>74</v>
      </c>
      <c r="AK979" s="1" t="s">
        <v>74</v>
      </c>
      <c r="AL979" s="1" t="s">
        <v>74</v>
      </c>
      <c r="AM979" s="1" t="s">
        <v>74</v>
      </c>
      <c r="AN979" s="1" t="s">
        <v>74</v>
      </c>
      <c r="AO979" s="1" t="s">
        <v>1637</v>
      </c>
      <c r="AP979" s="1" t="s">
        <v>1638</v>
      </c>
      <c r="AQ979" s="1" t="s">
        <v>74</v>
      </c>
      <c r="AR979" s="1" t="s">
        <v>74</v>
      </c>
      <c r="AS979" s="1" t="s">
        <v>74</v>
      </c>
      <c r="AT979" s="1" t="s">
        <v>9668</v>
      </c>
      <c r="AU979" s="1">
        <v>2021.0</v>
      </c>
      <c r="AV979" s="1">
        <v>45.0</v>
      </c>
      <c r="AW979" s="1">
        <v>4.0</v>
      </c>
      <c r="AX979" s="1" t="s">
        <v>74</v>
      </c>
      <c r="AY979" s="1" t="s">
        <v>74</v>
      </c>
      <c r="AZ979" s="1" t="s">
        <v>74</v>
      </c>
      <c r="BA979" s="1" t="s">
        <v>74</v>
      </c>
      <c r="BB979" s="1">
        <v>2175.0</v>
      </c>
      <c r="BC979" s="1">
        <v>2183.0</v>
      </c>
      <c r="BD979" s="1" t="s">
        <v>74</v>
      </c>
      <c r="BE979" s="1" t="s">
        <v>9669</v>
      </c>
      <c r="BF979" s="2" t="str">
        <f>HYPERLINK("http://dx.doi.org/10.1039/d0nj04680a","http://dx.doi.org/10.1039/d0nj04680a")</f>
        <v>http://dx.doi.org/10.1039/d0nj04680a</v>
      </c>
      <c r="BG979" s="1" t="s">
        <v>74</v>
      </c>
      <c r="BH979" s="1" t="s">
        <v>74</v>
      </c>
      <c r="BI979" s="1" t="s">
        <v>74</v>
      </c>
      <c r="BJ979" s="1" t="s">
        <v>74</v>
      </c>
      <c r="BK979" s="1" t="s">
        <v>74</v>
      </c>
      <c r="BL979" s="1" t="s">
        <v>74</v>
      </c>
      <c r="BM979" s="1" t="s">
        <v>74</v>
      </c>
      <c r="BN979" s="1" t="s">
        <v>74</v>
      </c>
      <c r="BO979" s="1" t="s">
        <v>74</v>
      </c>
      <c r="BP979" s="1" t="s">
        <v>74</v>
      </c>
      <c r="BQ979" s="1" t="s">
        <v>74</v>
      </c>
      <c r="BR979" s="1" t="s">
        <v>74</v>
      </c>
      <c r="BS979" s="1" t="s">
        <v>9670</v>
      </c>
      <c r="BT979" s="1" t="str">
        <f>HYPERLINK("https%3A%2F%2Fwww.webofscience.com%2Fwos%2Fwoscc%2Ffull-record%2FWOS:000613637800049","View Full Record in Web of Science")</f>
        <v>View Full Record in Web of Science</v>
      </c>
    </row>
    <row r="980" ht="12.75" customHeight="1">
      <c r="A980" s="1" t="s">
        <v>72</v>
      </c>
      <c r="B980" s="1" t="s">
        <v>9671</v>
      </c>
      <c r="C980" s="1" t="s">
        <v>74</v>
      </c>
      <c r="D980" s="1" t="s">
        <v>74</v>
      </c>
      <c r="E980" s="1" t="s">
        <v>74</v>
      </c>
      <c r="F980" s="1" t="s">
        <v>9672</v>
      </c>
      <c r="G980" s="1" t="s">
        <v>74</v>
      </c>
      <c r="H980" s="1" t="s">
        <v>74</v>
      </c>
      <c r="I980" s="1" t="s">
        <v>9673</v>
      </c>
      <c r="J980" s="1" t="s">
        <v>609</v>
      </c>
      <c r="K980" s="1" t="s">
        <v>74</v>
      </c>
      <c r="L980" s="1" t="s">
        <v>74</v>
      </c>
      <c r="M980" s="1" t="s">
        <v>74</v>
      </c>
      <c r="N980" s="1" t="s">
        <v>74</v>
      </c>
      <c r="O980" s="1" t="s">
        <v>74</v>
      </c>
      <c r="P980" s="1" t="s">
        <v>74</v>
      </c>
      <c r="Q980" s="1" t="s">
        <v>74</v>
      </c>
      <c r="R980" s="1" t="s">
        <v>74</v>
      </c>
      <c r="S980" s="1" t="s">
        <v>74</v>
      </c>
      <c r="T980" s="1" t="s">
        <v>74</v>
      </c>
      <c r="U980" s="1" t="s">
        <v>74</v>
      </c>
      <c r="V980" s="1" t="s">
        <v>9674</v>
      </c>
      <c r="W980" s="1" t="s">
        <v>74</v>
      </c>
      <c r="X980" s="1" t="s">
        <v>74</v>
      </c>
      <c r="Y980" s="1" t="s">
        <v>74</v>
      </c>
      <c r="Z980" s="1" t="s">
        <v>74</v>
      </c>
      <c r="AA980" s="1" t="s">
        <v>9675</v>
      </c>
      <c r="AB980" s="1" t="s">
        <v>7825</v>
      </c>
      <c r="AC980" s="1" t="s">
        <v>74</v>
      </c>
      <c r="AD980" s="1" t="s">
        <v>74</v>
      </c>
      <c r="AE980" s="1" t="s">
        <v>74</v>
      </c>
      <c r="AF980" s="1" t="s">
        <v>74</v>
      </c>
      <c r="AG980" s="1" t="s">
        <v>74</v>
      </c>
      <c r="AH980" s="1" t="s">
        <v>74</v>
      </c>
      <c r="AI980" s="1" t="s">
        <v>74</v>
      </c>
      <c r="AJ980" s="1" t="s">
        <v>74</v>
      </c>
      <c r="AK980" s="1" t="s">
        <v>74</v>
      </c>
      <c r="AL980" s="1" t="s">
        <v>74</v>
      </c>
      <c r="AM980" s="1" t="s">
        <v>74</v>
      </c>
      <c r="AN980" s="1" t="s">
        <v>74</v>
      </c>
      <c r="AO980" s="1" t="s">
        <v>613</v>
      </c>
      <c r="AP980" s="1" t="s">
        <v>74</v>
      </c>
      <c r="AQ980" s="1" t="s">
        <v>74</v>
      </c>
      <c r="AR980" s="1" t="s">
        <v>74</v>
      </c>
      <c r="AS980" s="1" t="s">
        <v>74</v>
      </c>
      <c r="AT980" s="1" t="s">
        <v>250</v>
      </c>
      <c r="AU980" s="1">
        <v>2020.0</v>
      </c>
      <c r="AV980" s="1">
        <v>23.0</v>
      </c>
      <c r="AW980" s="1" t="s">
        <v>74</v>
      </c>
      <c r="AX980" s="1" t="s">
        <v>74</v>
      </c>
      <c r="AY980" s="1" t="s">
        <v>74</v>
      </c>
      <c r="AZ980" s="1" t="s">
        <v>74</v>
      </c>
      <c r="BA980" s="1" t="s">
        <v>74</v>
      </c>
      <c r="BB980" s="1" t="s">
        <v>74</v>
      </c>
      <c r="BC980" s="1" t="s">
        <v>74</v>
      </c>
      <c r="BD980" s="1" t="s">
        <v>9676</v>
      </c>
      <c r="BE980" s="1" t="s">
        <v>9677</v>
      </c>
      <c r="BF980" s="2" t="str">
        <f>HYPERLINK("http://dx.doi.org/10.1016/j.gecco.2020.e01108","http://dx.doi.org/10.1016/j.gecco.2020.e01108")</f>
        <v>http://dx.doi.org/10.1016/j.gecco.2020.e01108</v>
      </c>
      <c r="BG980" s="1" t="s">
        <v>74</v>
      </c>
      <c r="BH980" s="1" t="s">
        <v>74</v>
      </c>
      <c r="BI980" s="1" t="s">
        <v>74</v>
      </c>
      <c r="BJ980" s="1" t="s">
        <v>74</v>
      </c>
      <c r="BK980" s="1" t="s">
        <v>74</v>
      </c>
      <c r="BL980" s="1" t="s">
        <v>74</v>
      </c>
      <c r="BM980" s="1" t="s">
        <v>74</v>
      </c>
      <c r="BN980" s="1" t="s">
        <v>74</v>
      </c>
      <c r="BO980" s="1" t="s">
        <v>74</v>
      </c>
      <c r="BP980" s="1" t="s">
        <v>74</v>
      </c>
      <c r="BQ980" s="1" t="s">
        <v>74</v>
      </c>
      <c r="BR980" s="1" t="s">
        <v>74</v>
      </c>
      <c r="BS980" s="1" t="s">
        <v>9678</v>
      </c>
      <c r="BT980" s="1" t="str">
        <f>HYPERLINK("https%3A%2F%2Fwww.webofscience.com%2Fwos%2Fwoscc%2Ffull-record%2FWOS:000568713200014","View Full Record in Web of Science")</f>
        <v>View Full Record in Web of Science</v>
      </c>
    </row>
    <row r="981" ht="12.75" customHeight="1">
      <c r="A981" s="1" t="s">
        <v>72</v>
      </c>
      <c r="B981" s="1" t="s">
        <v>9679</v>
      </c>
      <c r="C981" s="1" t="s">
        <v>74</v>
      </c>
      <c r="D981" s="1" t="s">
        <v>74</v>
      </c>
      <c r="E981" s="1" t="s">
        <v>74</v>
      </c>
      <c r="F981" s="1" t="s">
        <v>9680</v>
      </c>
      <c r="G981" s="1" t="s">
        <v>74</v>
      </c>
      <c r="H981" s="1" t="s">
        <v>74</v>
      </c>
      <c r="I981" s="1" t="s">
        <v>9681</v>
      </c>
      <c r="J981" s="1" t="s">
        <v>9682</v>
      </c>
      <c r="K981" s="1" t="s">
        <v>74</v>
      </c>
      <c r="L981" s="1" t="s">
        <v>74</v>
      </c>
      <c r="M981" s="1" t="s">
        <v>74</v>
      </c>
      <c r="N981" s="1" t="s">
        <v>74</v>
      </c>
      <c r="O981" s="1" t="s">
        <v>74</v>
      </c>
      <c r="P981" s="1" t="s">
        <v>74</v>
      </c>
      <c r="Q981" s="1" t="s">
        <v>74</v>
      </c>
      <c r="R981" s="1" t="s">
        <v>74</v>
      </c>
      <c r="S981" s="1" t="s">
        <v>74</v>
      </c>
      <c r="T981" s="1" t="s">
        <v>74</v>
      </c>
      <c r="U981" s="1" t="s">
        <v>74</v>
      </c>
      <c r="V981" s="1" t="s">
        <v>9683</v>
      </c>
      <c r="W981" s="1" t="s">
        <v>74</v>
      </c>
      <c r="X981" s="1" t="s">
        <v>74</v>
      </c>
      <c r="Y981" s="1" t="s">
        <v>74</v>
      </c>
      <c r="Z981" s="1" t="s">
        <v>74</v>
      </c>
      <c r="AA981" s="1" t="s">
        <v>9684</v>
      </c>
      <c r="AB981" s="1" t="s">
        <v>9685</v>
      </c>
      <c r="AC981" s="1" t="s">
        <v>74</v>
      </c>
      <c r="AD981" s="1" t="s">
        <v>74</v>
      </c>
      <c r="AE981" s="1" t="s">
        <v>74</v>
      </c>
      <c r="AF981" s="1" t="s">
        <v>74</v>
      </c>
      <c r="AG981" s="1" t="s">
        <v>74</v>
      </c>
      <c r="AH981" s="1" t="s">
        <v>74</v>
      </c>
      <c r="AI981" s="1" t="s">
        <v>74</v>
      </c>
      <c r="AJ981" s="1" t="s">
        <v>74</v>
      </c>
      <c r="AK981" s="1" t="s">
        <v>74</v>
      </c>
      <c r="AL981" s="1" t="s">
        <v>74</v>
      </c>
      <c r="AM981" s="1" t="s">
        <v>74</v>
      </c>
      <c r="AN981" s="1" t="s">
        <v>74</v>
      </c>
      <c r="AO981" s="1" t="s">
        <v>9686</v>
      </c>
      <c r="AP981" s="1" t="s">
        <v>9687</v>
      </c>
      <c r="AQ981" s="1" t="s">
        <v>74</v>
      </c>
      <c r="AR981" s="1" t="s">
        <v>74</v>
      </c>
      <c r="AS981" s="1" t="s">
        <v>74</v>
      </c>
      <c r="AT981" s="1" t="s">
        <v>316</v>
      </c>
      <c r="AU981" s="1">
        <v>2019.0</v>
      </c>
      <c r="AV981" s="1">
        <v>168.0</v>
      </c>
      <c r="AW981" s="1" t="s">
        <v>74</v>
      </c>
      <c r="AX981" s="1" t="s">
        <v>74</v>
      </c>
      <c r="AY981" s="1" t="s">
        <v>74</v>
      </c>
      <c r="AZ981" s="1" t="s">
        <v>74</v>
      </c>
      <c r="BA981" s="1" t="s">
        <v>74</v>
      </c>
      <c r="BB981" s="1">
        <v>81.0</v>
      </c>
      <c r="BC981" s="1">
        <v>86.0</v>
      </c>
      <c r="BD981" s="1" t="s">
        <v>74</v>
      </c>
      <c r="BE981" s="1" t="s">
        <v>9688</v>
      </c>
      <c r="BF981" s="2" t="str">
        <f>HYPERLINK("http://dx.doi.org/10.1016/j.commatsci.2019.05.062","http://dx.doi.org/10.1016/j.commatsci.2019.05.062")</f>
        <v>http://dx.doi.org/10.1016/j.commatsci.2019.05.062</v>
      </c>
      <c r="BG981" s="1" t="s">
        <v>74</v>
      </c>
      <c r="BH981" s="1" t="s">
        <v>74</v>
      </c>
      <c r="BI981" s="1" t="s">
        <v>74</v>
      </c>
      <c r="BJ981" s="1" t="s">
        <v>74</v>
      </c>
      <c r="BK981" s="1" t="s">
        <v>74</v>
      </c>
      <c r="BL981" s="1" t="s">
        <v>74</v>
      </c>
      <c r="BM981" s="1" t="s">
        <v>74</v>
      </c>
      <c r="BN981" s="1" t="s">
        <v>74</v>
      </c>
      <c r="BO981" s="1" t="s">
        <v>74</v>
      </c>
      <c r="BP981" s="1" t="s">
        <v>74</v>
      </c>
      <c r="BQ981" s="1" t="s">
        <v>74</v>
      </c>
      <c r="BR981" s="1" t="s">
        <v>74</v>
      </c>
      <c r="BS981" s="1" t="s">
        <v>9689</v>
      </c>
      <c r="BT981" s="1" t="str">
        <f>HYPERLINK("https%3A%2F%2Fwww.webofscience.com%2Fwos%2Fwoscc%2Ffull-record%2FWOS:000475556000011","View Full Record in Web of Science")</f>
        <v>View Full Record in Web of Science</v>
      </c>
    </row>
    <row r="982" ht="12.75" customHeight="1">
      <c r="A982" s="1" t="s">
        <v>72</v>
      </c>
      <c r="B982" s="1" t="s">
        <v>9690</v>
      </c>
      <c r="C982" s="1" t="s">
        <v>74</v>
      </c>
      <c r="D982" s="1" t="s">
        <v>74</v>
      </c>
      <c r="E982" s="1" t="s">
        <v>74</v>
      </c>
      <c r="F982" s="1" t="s">
        <v>9691</v>
      </c>
      <c r="G982" s="1" t="s">
        <v>74</v>
      </c>
      <c r="H982" s="1" t="s">
        <v>74</v>
      </c>
      <c r="I982" s="1" t="s">
        <v>9692</v>
      </c>
      <c r="J982" s="1" t="s">
        <v>9693</v>
      </c>
      <c r="K982" s="1" t="s">
        <v>74</v>
      </c>
      <c r="L982" s="1" t="s">
        <v>74</v>
      </c>
      <c r="M982" s="1" t="s">
        <v>74</v>
      </c>
      <c r="N982" s="1" t="s">
        <v>74</v>
      </c>
      <c r="O982" s="1" t="s">
        <v>74</v>
      </c>
      <c r="P982" s="1" t="s">
        <v>74</v>
      </c>
      <c r="Q982" s="1" t="s">
        <v>74</v>
      </c>
      <c r="R982" s="1" t="s">
        <v>74</v>
      </c>
      <c r="S982" s="1" t="s">
        <v>74</v>
      </c>
      <c r="T982" s="1" t="s">
        <v>74</v>
      </c>
      <c r="U982" s="1" t="s">
        <v>74</v>
      </c>
      <c r="V982" s="1" t="s">
        <v>9694</v>
      </c>
      <c r="W982" s="1" t="s">
        <v>74</v>
      </c>
      <c r="X982" s="1" t="s">
        <v>74</v>
      </c>
      <c r="Y982" s="1" t="s">
        <v>74</v>
      </c>
      <c r="Z982" s="1" t="s">
        <v>74</v>
      </c>
      <c r="AA982" s="1" t="s">
        <v>9695</v>
      </c>
      <c r="AB982" s="1" t="s">
        <v>9696</v>
      </c>
      <c r="AC982" s="1" t="s">
        <v>74</v>
      </c>
      <c r="AD982" s="1" t="s">
        <v>74</v>
      </c>
      <c r="AE982" s="1" t="s">
        <v>74</v>
      </c>
      <c r="AF982" s="1" t="s">
        <v>74</v>
      </c>
      <c r="AG982" s="1" t="s">
        <v>74</v>
      </c>
      <c r="AH982" s="1" t="s">
        <v>74</v>
      </c>
      <c r="AI982" s="1" t="s">
        <v>74</v>
      </c>
      <c r="AJ982" s="1" t="s">
        <v>74</v>
      </c>
      <c r="AK982" s="1" t="s">
        <v>74</v>
      </c>
      <c r="AL982" s="1" t="s">
        <v>74</v>
      </c>
      <c r="AM982" s="1" t="s">
        <v>74</v>
      </c>
      <c r="AN982" s="1" t="s">
        <v>74</v>
      </c>
      <c r="AO982" s="1" t="s">
        <v>9697</v>
      </c>
      <c r="AP982" s="1" t="s">
        <v>9698</v>
      </c>
      <c r="AQ982" s="1" t="s">
        <v>74</v>
      </c>
      <c r="AR982" s="1" t="s">
        <v>74</v>
      </c>
      <c r="AS982" s="1" t="s">
        <v>74</v>
      </c>
      <c r="AT982" s="1" t="s">
        <v>3119</v>
      </c>
      <c r="AU982" s="1">
        <v>2017.0</v>
      </c>
      <c r="AV982" s="1">
        <v>807.0</v>
      </c>
      <c r="AW982" s="1" t="s">
        <v>74</v>
      </c>
      <c r="AX982" s="1" t="s">
        <v>74</v>
      </c>
      <c r="AY982" s="1" t="s">
        <v>74</v>
      </c>
      <c r="AZ982" s="1" t="s">
        <v>74</v>
      </c>
      <c r="BA982" s="1" t="s">
        <v>74</v>
      </c>
      <c r="BB982" s="1">
        <v>181.0</v>
      </c>
      <c r="BC982" s="1">
        <v>186.0</v>
      </c>
      <c r="BD982" s="1" t="s">
        <v>74</v>
      </c>
      <c r="BE982" s="1" t="s">
        <v>9699</v>
      </c>
      <c r="BF982" s="2" t="str">
        <f>HYPERLINK("http://dx.doi.org/10.1016/j.jelechem.2017.11.047","http://dx.doi.org/10.1016/j.jelechem.2017.11.047")</f>
        <v>http://dx.doi.org/10.1016/j.jelechem.2017.11.047</v>
      </c>
      <c r="BG982" s="1" t="s">
        <v>74</v>
      </c>
      <c r="BH982" s="1" t="s">
        <v>74</v>
      </c>
      <c r="BI982" s="1" t="s">
        <v>74</v>
      </c>
      <c r="BJ982" s="1" t="s">
        <v>74</v>
      </c>
      <c r="BK982" s="1" t="s">
        <v>74</v>
      </c>
      <c r="BL982" s="1" t="s">
        <v>74</v>
      </c>
      <c r="BM982" s="1" t="s">
        <v>74</v>
      </c>
      <c r="BN982" s="1" t="s">
        <v>74</v>
      </c>
      <c r="BO982" s="1" t="s">
        <v>74</v>
      </c>
      <c r="BP982" s="1" t="s">
        <v>74</v>
      </c>
      <c r="BQ982" s="1" t="s">
        <v>74</v>
      </c>
      <c r="BR982" s="1" t="s">
        <v>74</v>
      </c>
      <c r="BS982" s="1" t="s">
        <v>9700</v>
      </c>
      <c r="BT982" s="1" t="str">
        <f>HYPERLINK("https%3A%2F%2Fwww.webofscience.com%2Fwos%2Fwoscc%2Ffull-record%2FWOS:000419414800023","View Full Record in Web of Science")</f>
        <v>View Full Record in Web of Science</v>
      </c>
    </row>
    <row r="983" ht="12.75" customHeight="1">
      <c r="A983" s="1" t="s">
        <v>72</v>
      </c>
      <c r="B983" s="1" t="s">
        <v>9701</v>
      </c>
      <c r="C983" s="1" t="s">
        <v>74</v>
      </c>
      <c r="D983" s="1" t="s">
        <v>74</v>
      </c>
      <c r="E983" s="1" t="s">
        <v>74</v>
      </c>
      <c r="F983" s="1" t="s">
        <v>9702</v>
      </c>
      <c r="G983" s="1" t="s">
        <v>74</v>
      </c>
      <c r="H983" s="1" t="s">
        <v>74</v>
      </c>
      <c r="I983" s="1" t="s">
        <v>9703</v>
      </c>
      <c r="J983" s="1" t="s">
        <v>2207</v>
      </c>
      <c r="K983" s="1" t="s">
        <v>74</v>
      </c>
      <c r="L983" s="1" t="s">
        <v>74</v>
      </c>
      <c r="M983" s="1" t="s">
        <v>74</v>
      </c>
      <c r="N983" s="1" t="s">
        <v>74</v>
      </c>
      <c r="O983" s="1" t="s">
        <v>74</v>
      </c>
      <c r="P983" s="1" t="s">
        <v>74</v>
      </c>
      <c r="Q983" s="1" t="s">
        <v>74</v>
      </c>
      <c r="R983" s="1" t="s">
        <v>74</v>
      </c>
      <c r="S983" s="1" t="s">
        <v>74</v>
      </c>
      <c r="T983" s="1" t="s">
        <v>74</v>
      </c>
      <c r="U983" s="1" t="s">
        <v>74</v>
      </c>
      <c r="V983" s="1" t="s">
        <v>9704</v>
      </c>
      <c r="W983" s="1" t="s">
        <v>74</v>
      </c>
      <c r="X983" s="1" t="s">
        <v>74</v>
      </c>
      <c r="Y983" s="1" t="s">
        <v>74</v>
      </c>
      <c r="Z983" s="1" t="s">
        <v>74</v>
      </c>
      <c r="AA983" s="1" t="s">
        <v>9705</v>
      </c>
      <c r="AB983" s="1" t="s">
        <v>9706</v>
      </c>
      <c r="AC983" s="1" t="s">
        <v>74</v>
      </c>
      <c r="AD983" s="1" t="s">
        <v>74</v>
      </c>
      <c r="AE983" s="1" t="s">
        <v>74</v>
      </c>
      <c r="AF983" s="1" t="s">
        <v>74</v>
      </c>
      <c r="AG983" s="1" t="s">
        <v>74</v>
      </c>
      <c r="AH983" s="1" t="s">
        <v>74</v>
      </c>
      <c r="AI983" s="1" t="s">
        <v>74</v>
      </c>
      <c r="AJ983" s="1" t="s">
        <v>74</v>
      </c>
      <c r="AK983" s="1" t="s">
        <v>74</v>
      </c>
      <c r="AL983" s="1" t="s">
        <v>74</v>
      </c>
      <c r="AM983" s="1" t="s">
        <v>74</v>
      </c>
      <c r="AN983" s="1" t="s">
        <v>74</v>
      </c>
      <c r="AO983" s="1" t="s">
        <v>2211</v>
      </c>
      <c r="AP983" s="1" t="s">
        <v>2212</v>
      </c>
      <c r="AQ983" s="1" t="s">
        <v>74</v>
      </c>
      <c r="AR983" s="1" t="s">
        <v>74</v>
      </c>
      <c r="AS983" s="1" t="s">
        <v>74</v>
      </c>
      <c r="AT983" s="1" t="s">
        <v>348</v>
      </c>
      <c r="AU983" s="1">
        <v>2017.0</v>
      </c>
      <c r="AV983" s="1">
        <v>432.0</v>
      </c>
      <c r="AW983" s="1" t="s">
        <v>74</v>
      </c>
      <c r="AX983" s="1" t="s">
        <v>74</v>
      </c>
      <c r="AY983" s="1" t="s">
        <v>74</v>
      </c>
      <c r="AZ983" s="1" t="s">
        <v>74</v>
      </c>
      <c r="BA983" s="1" t="s">
        <v>74</v>
      </c>
      <c r="BB983" s="1">
        <v>304.0</v>
      </c>
      <c r="BC983" s="1">
        <v>308.0</v>
      </c>
      <c r="BD983" s="1" t="s">
        <v>74</v>
      </c>
      <c r="BE983" s="1" t="s">
        <v>9707</v>
      </c>
      <c r="BF983" s="2" t="str">
        <f>HYPERLINK("http://dx.doi.org/10.1016/j.jmmm.2017.01.087","http://dx.doi.org/10.1016/j.jmmm.2017.01.087")</f>
        <v>http://dx.doi.org/10.1016/j.jmmm.2017.01.087</v>
      </c>
      <c r="BG983" s="1" t="s">
        <v>74</v>
      </c>
      <c r="BH983" s="1" t="s">
        <v>74</v>
      </c>
      <c r="BI983" s="1" t="s">
        <v>74</v>
      </c>
      <c r="BJ983" s="1" t="s">
        <v>74</v>
      </c>
      <c r="BK983" s="1" t="s">
        <v>74</v>
      </c>
      <c r="BL983" s="1" t="s">
        <v>74</v>
      </c>
      <c r="BM983" s="1" t="s">
        <v>74</v>
      </c>
      <c r="BN983" s="1" t="s">
        <v>74</v>
      </c>
      <c r="BO983" s="1" t="s">
        <v>74</v>
      </c>
      <c r="BP983" s="1" t="s">
        <v>74</v>
      </c>
      <c r="BQ983" s="1" t="s">
        <v>74</v>
      </c>
      <c r="BR983" s="1" t="s">
        <v>74</v>
      </c>
      <c r="BS983" s="1" t="s">
        <v>9708</v>
      </c>
      <c r="BT983" s="1" t="str">
        <f>HYPERLINK("https%3A%2F%2Fwww.webofscience.com%2Fwos%2Fwoscc%2Ffull-record%2FWOS:000399601600045","View Full Record in Web of Science")</f>
        <v>View Full Record in Web of Science</v>
      </c>
    </row>
    <row r="984" ht="12.75" customHeight="1">
      <c r="A984" s="1" t="s">
        <v>647</v>
      </c>
      <c r="B984" s="1" t="s">
        <v>9709</v>
      </c>
      <c r="C984" s="1" t="s">
        <v>74</v>
      </c>
      <c r="D984" s="1" t="s">
        <v>74</v>
      </c>
      <c r="E984" s="1" t="s">
        <v>649</v>
      </c>
      <c r="F984" s="1" t="s">
        <v>9710</v>
      </c>
      <c r="G984" s="1" t="s">
        <v>74</v>
      </c>
      <c r="H984" s="1" t="s">
        <v>74</v>
      </c>
      <c r="I984" s="1" t="s">
        <v>9711</v>
      </c>
      <c r="J984" s="1" t="s">
        <v>9712</v>
      </c>
      <c r="K984" s="1" t="s">
        <v>74</v>
      </c>
      <c r="L984" s="1" t="s">
        <v>74</v>
      </c>
      <c r="M984" s="1" t="s">
        <v>74</v>
      </c>
      <c r="N984" s="1" t="s">
        <v>74</v>
      </c>
      <c r="O984" s="1" t="s">
        <v>9713</v>
      </c>
      <c r="P984" s="1" t="s">
        <v>9714</v>
      </c>
      <c r="Q984" s="1" t="s">
        <v>9715</v>
      </c>
      <c r="R984" s="1" t="s">
        <v>9716</v>
      </c>
      <c r="S984" s="1" t="s">
        <v>74</v>
      </c>
      <c r="T984" s="1" t="s">
        <v>74</v>
      </c>
      <c r="U984" s="1" t="s">
        <v>74</v>
      </c>
      <c r="V984" s="1" t="s">
        <v>9717</v>
      </c>
      <c r="W984" s="1" t="s">
        <v>74</v>
      </c>
      <c r="X984" s="1" t="s">
        <v>74</v>
      </c>
      <c r="Y984" s="1" t="s">
        <v>74</v>
      </c>
      <c r="Z984" s="1" t="s">
        <v>74</v>
      </c>
      <c r="AA984" s="1" t="s">
        <v>9718</v>
      </c>
      <c r="AB984" s="1" t="s">
        <v>9719</v>
      </c>
      <c r="AC984" s="1" t="s">
        <v>74</v>
      </c>
      <c r="AD984" s="1" t="s">
        <v>74</v>
      </c>
      <c r="AE984" s="1" t="s">
        <v>74</v>
      </c>
      <c r="AF984" s="1" t="s">
        <v>74</v>
      </c>
      <c r="AG984" s="1" t="s">
        <v>74</v>
      </c>
      <c r="AH984" s="1" t="s">
        <v>74</v>
      </c>
      <c r="AI984" s="1" t="s">
        <v>74</v>
      </c>
      <c r="AJ984" s="1" t="s">
        <v>74</v>
      </c>
      <c r="AK984" s="1" t="s">
        <v>74</v>
      </c>
      <c r="AL984" s="1" t="s">
        <v>74</v>
      </c>
      <c r="AM984" s="1" t="s">
        <v>74</v>
      </c>
      <c r="AN984" s="1" t="s">
        <v>74</v>
      </c>
      <c r="AO984" s="1" t="s">
        <v>74</v>
      </c>
      <c r="AP984" s="1" t="s">
        <v>74</v>
      </c>
      <c r="AQ984" s="1" t="s">
        <v>9720</v>
      </c>
      <c r="AR984" s="1" t="s">
        <v>74</v>
      </c>
      <c r="AS984" s="1" t="s">
        <v>74</v>
      </c>
      <c r="AT984" s="1" t="s">
        <v>74</v>
      </c>
      <c r="AU984" s="1">
        <v>2017.0</v>
      </c>
      <c r="AV984" s="1" t="s">
        <v>74</v>
      </c>
      <c r="AW984" s="1" t="s">
        <v>74</v>
      </c>
      <c r="AX984" s="1" t="s">
        <v>74</v>
      </c>
      <c r="AY984" s="1" t="s">
        <v>74</v>
      </c>
      <c r="AZ984" s="1" t="s">
        <v>74</v>
      </c>
      <c r="BA984" s="1" t="s">
        <v>74</v>
      </c>
      <c r="BB984" s="1" t="s">
        <v>74</v>
      </c>
      <c r="BC984" s="1" t="s">
        <v>74</v>
      </c>
      <c r="BD984" s="1" t="s">
        <v>74</v>
      </c>
      <c r="BE984" s="1" t="s">
        <v>74</v>
      </c>
      <c r="BF984" s="1" t="s">
        <v>74</v>
      </c>
      <c r="BG984" s="1" t="s">
        <v>74</v>
      </c>
      <c r="BH984" s="1" t="s">
        <v>74</v>
      </c>
      <c r="BI984" s="1" t="s">
        <v>74</v>
      </c>
      <c r="BJ984" s="1" t="s">
        <v>74</v>
      </c>
      <c r="BK984" s="1" t="s">
        <v>74</v>
      </c>
      <c r="BL984" s="1" t="s">
        <v>74</v>
      </c>
      <c r="BM984" s="1" t="s">
        <v>74</v>
      </c>
      <c r="BN984" s="1" t="s">
        <v>74</v>
      </c>
      <c r="BO984" s="1" t="s">
        <v>74</v>
      </c>
      <c r="BP984" s="1" t="s">
        <v>74</v>
      </c>
      <c r="BQ984" s="1" t="s">
        <v>74</v>
      </c>
      <c r="BR984" s="1" t="s">
        <v>74</v>
      </c>
      <c r="BS984" s="1" t="s">
        <v>9721</v>
      </c>
      <c r="BT984" s="1" t="str">
        <f>HYPERLINK("https%3A%2F%2Fwww.webofscience.com%2Fwos%2Fwoscc%2Ffull-record%2FWOS:000425925000183","View Full Record in Web of Science")</f>
        <v>View Full Record in Web of Science</v>
      </c>
    </row>
    <row r="985" ht="12.75" customHeight="1">
      <c r="A985" s="1" t="s">
        <v>647</v>
      </c>
      <c r="B985" s="1" t="s">
        <v>9722</v>
      </c>
      <c r="C985" s="1" t="s">
        <v>74</v>
      </c>
      <c r="D985" s="1" t="s">
        <v>74</v>
      </c>
      <c r="E985" s="1" t="s">
        <v>649</v>
      </c>
      <c r="F985" s="1" t="s">
        <v>9723</v>
      </c>
      <c r="G985" s="1" t="s">
        <v>74</v>
      </c>
      <c r="H985" s="1" t="s">
        <v>74</v>
      </c>
      <c r="I985" s="1" t="s">
        <v>9724</v>
      </c>
      <c r="J985" s="1" t="s">
        <v>9725</v>
      </c>
      <c r="K985" s="1" t="s">
        <v>74</v>
      </c>
      <c r="L985" s="1" t="s">
        <v>74</v>
      </c>
      <c r="M985" s="1" t="s">
        <v>74</v>
      </c>
      <c r="N985" s="1" t="s">
        <v>74</v>
      </c>
      <c r="O985" s="1" t="s">
        <v>9726</v>
      </c>
      <c r="P985" s="1" t="s">
        <v>9727</v>
      </c>
      <c r="Q985" s="1" t="s">
        <v>655</v>
      </c>
      <c r="R985" s="1" t="s">
        <v>9728</v>
      </c>
      <c r="S985" s="1" t="s">
        <v>74</v>
      </c>
      <c r="T985" s="1" t="s">
        <v>74</v>
      </c>
      <c r="U985" s="1" t="s">
        <v>74</v>
      </c>
      <c r="V985" s="1" t="s">
        <v>9729</v>
      </c>
      <c r="W985" s="1" t="s">
        <v>74</v>
      </c>
      <c r="X985" s="1" t="s">
        <v>74</v>
      </c>
      <c r="Y985" s="1" t="s">
        <v>74</v>
      </c>
      <c r="Z985" s="1" t="s">
        <v>74</v>
      </c>
      <c r="AA985" s="1" t="s">
        <v>9730</v>
      </c>
      <c r="AB985" s="1" t="s">
        <v>9731</v>
      </c>
      <c r="AC985" s="1" t="s">
        <v>74</v>
      </c>
      <c r="AD985" s="1" t="s">
        <v>74</v>
      </c>
      <c r="AE985" s="1" t="s">
        <v>74</v>
      </c>
      <c r="AF985" s="1" t="s">
        <v>74</v>
      </c>
      <c r="AG985" s="1" t="s">
        <v>74</v>
      </c>
      <c r="AH985" s="1" t="s">
        <v>74</v>
      </c>
      <c r="AI985" s="1" t="s">
        <v>74</v>
      </c>
      <c r="AJ985" s="1" t="s">
        <v>74</v>
      </c>
      <c r="AK985" s="1" t="s">
        <v>74</v>
      </c>
      <c r="AL985" s="1" t="s">
        <v>74</v>
      </c>
      <c r="AM985" s="1" t="s">
        <v>74</v>
      </c>
      <c r="AN985" s="1" t="s">
        <v>74</v>
      </c>
      <c r="AO985" s="1" t="s">
        <v>74</v>
      </c>
      <c r="AP985" s="1" t="s">
        <v>74</v>
      </c>
      <c r="AQ985" s="1" t="s">
        <v>9732</v>
      </c>
      <c r="AR985" s="1" t="s">
        <v>74</v>
      </c>
      <c r="AS985" s="1" t="s">
        <v>74</v>
      </c>
      <c r="AT985" s="1" t="s">
        <v>74</v>
      </c>
      <c r="AU985" s="1">
        <v>2017.0</v>
      </c>
      <c r="AV985" s="1" t="s">
        <v>74</v>
      </c>
      <c r="AW985" s="1" t="s">
        <v>74</v>
      </c>
      <c r="AX985" s="1" t="s">
        <v>74</v>
      </c>
      <c r="AY985" s="1" t="s">
        <v>74</v>
      </c>
      <c r="AZ985" s="1" t="s">
        <v>74</v>
      </c>
      <c r="BA985" s="1" t="s">
        <v>74</v>
      </c>
      <c r="BB985" s="1">
        <v>50.0</v>
      </c>
      <c r="BC985" s="1">
        <v>54.0</v>
      </c>
      <c r="BD985" s="1" t="s">
        <v>74</v>
      </c>
      <c r="BE985" s="1" t="s">
        <v>74</v>
      </c>
      <c r="BF985" s="1" t="s">
        <v>74</v>
      </c>
      <c r="BG985" s="1" t="s">
        <v>74</v>
      </c>
      <c r="BH985" s="1" t="s">
        <v>74</v>
      </c>
      <c r="BI985" s="1" t="s">
        <v>74</v>
      </c>
      <c r="BJ985" s="1" t="s">
        <v>74</v>
      </c>
      <c r="BK985" s="1" t="s">
        <v>74</v>
      </c>
      <c r="BL985" s="1" t="s">
        <v>74</v>
      </c>
      <c r="BM985" s="1" t="s">
        <v>74</v>
      </c>
      <c r="BN985" s="1" t="s">
        <v>74</v>
      </c>
      <c r="BO985" s="1" t="s">
        <v>74</v>
      </c>
      <c r="BP985" s="1" t="s">
        <v>74</v>
      </c>
      <c r="BQ985" s="1" t="s">
        <v>74</v>
      </c>
      <c r="BR985" s="1" t="s">
        <v>74</v>
      </c>
      <c r="BS985" s="1" t="s">
        <v>9733</v>
      </c>
      <c r="BT985" s="1" t="str">
        <f>HYPERLINK("https%3A%2F%2Fwww.webofscience.com%2Fwos%2Fwoscc%2Ffull-record%2FWOS:000428142700001","View Full Record in Web of Science")</f>
        <v>View Full Record in Web of Science</v>
      </c>
    </row>
    <row r="986" ht="12.75" customHeight="1">
      <c r="A986" s="1" t="s">
        <v>72</v>
      </c>
      <c r="B986" s="1" t="s">
        <v>9734</v>
      </c>
      <c r="C986" s="1" t="s">
        <v>74</v>
      </c>
      <c r="D986" s="1" t="s">
        <v>74</v>
      </c>
      <c r="E986" s="1" t="s">
        <v>74</v>
      </c>
      <c r="F986" s="1" t="s">
        <v>9735</v>
      </c>
      <c r="G986" s="1" t="s">
        <v>74</v>
      </c>
      <c r="H986" s="1" t="s">
        <v>74</v>
      </c>
      <c r="I986" s="1" t="s">
        <v>9736</v>
      </c>
      <c r="J986" s="1" t="s">
        <v>279</v>
      </c>
      <c r="K986" s="1" t="s">
        <v>74</v>
      </c>
      <c r="L986" s="1" t="s">
        <v>74</v>
      </c>
      <c r="M986" s="1" t="s">
        <v>74</v>
      </c>
      <c r="N986" s="1" t="s">
        <v>74</v>
      </c>
      <c r="O986" s="1" t="s">
        <v>74</v>
      </c>
      <c r="P986" s="1" t="s">
        <v>74</v>
      </c>
      <c r="Q986" s="1" t="s">
        <v>74</v>
      </c>
      <c r="R986" s="1" t="s">
        <v>74</v>
      </c>
      <c r="S986" s="1" t="s">
        <v>74</v>
      </c>
      <c r="T986" s="1" t="s">
        <v>74</v>
      </c>
      <c r="U986" s="1" t="s">
        <v>74</v>
      </c>
      <c r="V986" s="1" t="s">
        <v>9737</v>
      </c>
      <c r="W986" s="1" t="s">
        <v>74</v>
      </c>
      <c r="X986" s="1" t="s">
        <v>74</v>
      </c>
      <c r="Y986" s="1" t="s">
        <v>74</v>
      </c>
      <c r="Z986" s="1" t="s">
        <v>74</v>
      </c>
      <c r="AA986" s="1" t="s">
        <v>74</v>
      </c>
      <c r="AB986" s="1" t="s">
        <v>9738</v>
      </c>
      <c r="AC986" s="1" t="s">
        <v>74</v>
      </c>
      <c r="AD986" s="1" t="s">
        <v>74</v>
      </c>
      <c r="AE986" s="1" t="s">
        <v>74</v>
      </c>
      <c r="AF986" s="1" t="s">
        <v>74</v>
      </c>
      <c r="AG986" s="1" t="s">
        <v>74</v>
      </c>
      <c r="AH986" s="1" t="s">
        <v>74</v>
      </c>
      <c r="AI986" s="1" t="s">
        <v>74</v>
      </c>
      <c r="AJ986" s="1" t="s">
        <v>74</v>
      </c>
      <c r="AK986" s="1" t="s">
        <v>74</v>
      </c>
      <c r="AL986" s="1" t="s">
        <v>74</v>
      </c>
      <c r="AM986" s="1" t="s">
        <v>74</v>
      </c>
      <c r="AN986" s="1" t="s">
        <v>74</v>
      </c>
      <c r="AO986" s="1" t="s">
        <v>283</v>
      </c>
      <c r="AP986" s="1" t="s">
        <v>284</v>
      </c>
      <c r="AQ986" s="1" t="s">
        <v>74</v>
      </c>
      <c r="AR986" s="1" t="s">
        <v>74</v>
      </c>
      <c r="AS986" s="1" t="s">
        <v>74</v>
      </c>
      <c r="AT986" s="1" t="s">
        <v>577</v>
      </c>
      <c r="AU986" s="1">
        <v>2016.0</v>
      </c>
      <c r="AV986" s="1">
        <v>146.0</v>
      </c>
      <c r="AW986" s="1" t="s">
        <v>74</v>
      </c>
      <c r="AX986" s="1" t="s">
        <v>74</v>
      </c>
      <c r="AY986" s="1" t="s">
        <v>74</v>
      </c>
      <c r="AZ986" s="1" t="s">
        <v>74</v>
      </c>
      <c r="BA986" s="1" t="s">
        <v>74</v>
      </c>
      <c r="BB986" s="1">
        <v>90.0</v>
      </c>
      <c r="BC986" s="1">
        <v>101.0</v>
      </c>
      <c r="BD986" s="1" t="s">
        <v>74</v>
      </c>
      <c r="BE986" s="1" t="s">
        <v>9739</v>
      </c>
      <c r="BF986" s="2" t="str">
        <f>HYPERLINK("http://dx.doi.org/10.1016/j.carbpol.2016.03.047","http://dx.doi.org/10.1016/j.carbpol.2016.03.047")</f>
        <v>http://dx.doi.org/10.1016/j.carbpol.2016.03.047</v>
      </c>
      <c r="BG986" s="1" t="s">
        <v>74</v>
      </c>
      <c r="BH986" s="1" t="s">
        <v>74</v>
      </c>
      <c r="BI986" s="1" t="s">
        <v>74</v>
      </c>
      <c r="BJ986" s="1" t="s">
        <v>74</v>
      </c>
      <c r="BK986" s="1" t="s">
        <v>74</v>
      </c>
      <c r="BL986" s="1" t="s">
        <v>74</v>
      </c>
      <c r="BM986" s="1" t="s">
        <v>74</v>
      </c>
      <c r="BN986" s="1">
        <v>2.7112854E7</v>
      </c>
      <c r="BO986" s="1" t="s">
        <v>74</v>
      </c>
      <c r="BP986" s="1" t="s">
        <v>74</v>
      </c>
      <c r="BQ986" s="1" t="s">
        <v>74</v>
      </c>
      <c r="BR986" s="1" t="s">
        <v>74</v>
      </c>
      <c r="BS986" s="1" t="s">
        <v>9740</v>
      </c>
      <c r="BT986" s="1" t="str">
        <f>HYPERLINK("https%3A%2F%2Fwww.webofscience.com%2Fwos%2Fwoscc%2Ffull-record%2FWOS:000375110500011","View Full Record in Web of Science")</f>
        <v>View Full Record in Web of Science</v>
      </c>
    </row>
    <row r="987" ht="12.75" customHeight="1">
      <c r="A987" s="1" t="s">
        <v>72</v>
      </c>
      <c r="B987" s="1" t="s">
        <v>9741</v>
      </c>
      <c r="C987" s="1" t="s">
        <v>74</v>
      </c>
      <c r="D987" s="1" t="s">
        <v>74</v>
      </c>
      <c r="E987" s="1" t="s">
        <v>74</v>
      </c>
      <c r="F987" s="1" t="s">
        <v>9742</v>
      </c>
      <c r="G987" s="1" t="s">
        <v>74</v>
      </c>
      <c r="H987" s="1" t="s">
        <v>74</v>
      </c>
      <c r="I987" s="1" t="s">
        <v>9743</v>
      </c>
      <c r="J987" s="1" t="s">
        <v>9744</v>
      </c>
      <c r="K987" s="1" t="s">
        <v>74</v>
      </c>
      <c r="L987" s="1" t="s">
        <v>74</v>
      </c>
      <c r="M987" s="1" t="s">
        <v>74</v>
      </c>
      <c r="N987" s="1" t="s">
        <v>74</v>
      </c>
      <c r="O987" s="1" t="s">
        <v>74</v>
      </c>
      <c r="P987" s="1" t="s">
        <v>74</v>
      </c>
      <c r="Q987" s="1" t="s">
        <v>74</v>
      </c>
      <c r="R987" s="1" t="s">
        <v>74</v>
      </c>
      <c r="S987" s="1" t="s">
        <v>74</v>
      </c>
      <c r="T987" s="1" t="s">
        <v>74</v>
      </c>
      <c r="U987" s="1" t="s">
        <v>74</v>
      </c>
      <c r="V987" s="1" t="s">
        <v>9745</v>
      </c>
      <c r="W987" s="1" t="s">
        <v>74</v>
      </c>
      <c r="X987" s="1" t="s">
        <v>74</v>
      </c>
      <c r="Y987" s="1" t="s">
        <v>74</v>
      </c>
      <c r="Z987" s="1" t="s">
        <v>74</v>
      </c>
      <c r="AA987" s="1" t="s">
        <v>9746</v>
      </c>
      <c r="AB987" s="1" t="s">
        <v>9747</v>
      </c>
      <c r="AC987" s="1" t="s">
        <v>74</v>
      </c>
      <c r="AD987" s="1" t="s">
        <v>74</v>
      </c>
      <c r="AE987" s="1" t="s">
        <v>74</v>
      </c>
      <c r="AF987" s="1" t="s">
        <v>74</v>
      </c>
      <c r="AG987" s="1" t="s">
        <v>74</v>
      </c>
      <c r="AH987" s="1" t="s">
        <v>74</v>
      </c>
      <c r="AI987" s="1" t="s">
        <v>74</v>
      </c>
      <c r="AJ987" s="1" t="s">
        <v>74</v>
      </c>
      <c r="AK987" s="1" t="s">
        <v>74</v>
      </c>
      <c r="AL987" s="1" t="s">
        <v>74</v>
      </c>
      <c r="AM987" s="1" t="s">
        <v>74</v>
      </c>
      <c r="AN987" s="1" t="s">
        <v>74</v>
      </c>
      <c r="AO987" s="1" t="s">
        <v>9748</v>
      </c>
      <c r="AP987" s="1" t="s">
        <v>9749</v>
      </c>
      <c r="AQ987" s="1" t="s">
        <v>74</v>
      </c>
      <c r="AR987" s="1" t="s">
        <v>74</v>
      </c>
      <c r="AS987" s="1" t="s">
        <v>74</v>
      </c>
      <c r="AT987" s="1" t="s">
        <v>259</v>
      </c>
      <c r="AU987" s="1">
        <v>2016.0</v>
      </c>
      <c r="AV987" s="1">
        <v>76.0</v>
      </c>
      <c r="AW987" s="1" t="s">
        <v>74</v>
      </c>
      <c r="AX987" s="1" t="s">
        <v>74</v>
      </c>
      <c r="AY987" s="1" t="s">
        <v>74</v>
      </c>
      <c r="AZ987" s="1" t="s">
        <v>74</v>
      </c>
      <c r="BA987" s="1" t="s">
        <v>74</v>
      </c>
      <c r="BB987" s="1">
        <v>197.0</v>
      </c>
      <c r="BC987" s="1">
        <v>201.0</v>
      </c>
      <c r="BD987" s="1" t="s">
        <v>74</v>
      </c>
      <c r="BE987" s="1" t="s">
        <v>9750</v>
      </c>
      <c r="BF987" s="2" t="str">
        <f>HYPERLINK("http://dx.doi.org/10.1016/j.icheatmasstransfer.2016.05.031","http://dx.doi.org/10.1016/j.icheatmasstransfer.2016.05.031")</f>
        <v>http://dx.doi.org/10.1016/j.icheatmasstransfer.2016.05.031</v>
      </c>
      <c r="BG987" s="1" t="s">
        <v>74</v>
      </c>
      <c r="BH987" s="1" t="s">
        <v>74</v>
      </c>
      <c r="BI987" s="1" t="s">
        <v>74</v>
      </c>
      <c r="BJ987" s="1" t="s">
        <v>74</v>
      </c>
      <c r="BK987" s="1" t="s">
        <v>74</v>
      </c>
      <c r="BL987" s="1" t="s">
        <v>74</v>
      </c>
      <c r="BM987" s="1" t="s">
        <v>74</v>
      </c>
      <c r="BN987" s="1" t="s">
        <v>74</v>
      </c>
      <c r="BO987" s="1" t="s">
        <v>74</v>
      </c>
      <c r="BP987" s="1" t="s">
        <v>74</v>
      </c>
      <c r="BQ987" s="1" t="s">
        <v>74</v>
      </c>
      <c r="BR987" s="1" t="s">
        <v>74</v>
      </c>
      <c r="BS987" s="1" t="s">
        <v>9751</v>
      </c>
      <c r="BT987" s="1" t="str">
        <f>HYPERLINK("https%3A%2F%2Fwww.webofscience.com%2Fwos%2Fwoscc%2Ffull-record%2FWOS:000381238900026","View Full Record in Web of Science")</f>
        <v>View Full Record in Web of Science</v>
      </c>
    </row>
    <row r="988" ht="12.75" customHeight="1">
      <c r="A988" s="1" t="s">
        <v>72</v>
      </c>
      <c r="B988" s="1" t="s">
        <v>9752</v>
      </c>
      <c r="C988" s="1" t="s">
        <v>74</v>
      </c>
      <c r="D988" s="1" t="s">
        <v>74</v>
      </c>
      <c r="E988" s="1" t="s">
        <v>74</v>
      </c>
      <c r="F988" s="1" t="s">
        <v>9753</v>
      </c>
      <c r="G988" s="1" t="s">
        <v>74</v>
      </c>
      <c r="H988" s="1" t="s">
        <v>74</v>
      </c>
      <c r="I988" s="1" t="s">
        <v>9754</v>
      </c>
      <c r="J988" s="1" t="s">
        <v>9755</v>
      </c>
      <c r="K988" s="1" t="s">
        <v>74</v>
      </c>
      <c r="L988" s="1" t="s">
        <v>74</v>
      </c>
      <c r="M988" s="1" t="s">
        <v>74</v>
      </c>
      <c r="N988" s="1" t="s">
        <v>74</v>
      </c>
      <c r="O988" s="1" t="s">
        <v>74</v>
      </c>
      <c r="P988" s="1" t="s">
        <v>74</v>
      </c>
      <c r="Q988" s="1" t="s">
        <v>74</v>
      </c>
      <c r="R988" s="1" t="s">
        <v>74</v>
      </c>
      <c r="S988" s="1" t="s">
        <v>74</v>
      </c>
      <c r="T988" s="1" t="s">
        <v>74</v>
      </c>
      <c r="U988" s="1" t="s">
        <v>74</v>
      </c>
      <c r="V988" s="1" t="s">
        <v>9756</v>
      </c>
      <c r="W988" s="1" t="s">
        <v>74</v>
      </c>
      <c r="X988" s="1" t="s">
        <v>74</v>
      </c>
      <c r="Y988" s="1" t="s">
        <v>74</v>
      </c>
      <c r="Z988" s="1" t="s">
        <v>74</v>
      </c>
      <c r="AA988" s="1" t="s">
        <v>9757</v>
      </c>
      <c r="AB988" s="1" t="s">
        <v>9758</v>
      </c>
      <c r="AC988" s="1" t="s">
        <v>74</v>
      </c>
      <c r="AD988" s="1" t="s">
        <v>74</v>
      </c>
      <c r="AE988" s="1" t="s">
        <v>74</v>
      </c>
      <c r="AF988" s="1" t="s">
        <v>74</v>
      </c>
      <c r="AG988" s="1" t="s">
        <v>74</v>
      </c>
      <c r="AH988" s="1" t="s">
        <v>74</v>
      </c>
      <c r="AI988" s="1" t="s">
        <v>74</v>
      </c>
      <c r="AJ988" s="1" t="s">
        <v>74</v>
      </c>
      <c r="AK988" s="1" t="s">
        <v>74</v>
      </c>
      <c r="AL988" s="1" t="s">
        <v>74</v>
      </c>
      <c r="AM988" s="1" t="s">
        <v>74</v>
      </c>
      <c r="AN988" s="1" t="s">
        <v>74</v>
      </c>
      <c r="AO988" s="1" t="s">
        <v>9759</v>
      </c>
      <c r="AP988" s="1" t="s">
        <v>9760</v>
      </c>
      <c r="AQ988" s="1" t="s">
        <v>74</v>
      </c>
      <c r="AR988" s="1" t="s">
        <v>74</v>
      </c>
      <c r="AS988" s="1" t="s">
        <v>74</v>
      </c>
      <c r="AT988" s="1" t="s">
        <v>464</v>
      </c>
      <c r="AU988" s="1">
        <v>2015.0</v>
      </c>
      <c r="AV988" s="1">
        <v>27.0</v>
      </c>
      <c r="AW988" s="1">
        <v>1.0</v>
      </c>
      <c r="AX988" s="1" t="s">
        <v>74</v>
      </c>
      <c r="AY988" s="1" t="s">
        <v>74</v>
      </c>
      <c r="AZ988" s="1" t="s">
        <v>74</v>
      </c>
      <c r="BA988" s="1" t="s">
        <v>74</v>
      </c>
      <c r="BB988" s="1">
        <v>177.0</v>
      </c>
      <c r="BC988" s="1">
        <v>188.0</v>
      </c>
      <c r="BD988" s="1" t="s">
        <v>74</v>
      </c>
      <c r="BE988" s="1" t="s">
        <v>9761</v>
      </c>
      <c r="BF988" s="2" t="str">
        <f>HYPERLINK("http://dx.doi.org/10.1105/tpc.114.131862","http://dx.doi.org/10.1105/tpc.114.131862")</f>
        <v>http://dx.doi.org/10.1105/tpc.114.131862</v>
      </c>
      <c r="BG988" s="1" t="s">
        <v>74</v>
      </c>
      <c r="BH988" s="1" t="s">
        <v>74</v>
      </c>
      <c r="BI988" s="1" t="s">
        <v>74</v>
      </c>
      <c r="BJ988" s="1" t="s">
        <v>74</v>
      </c>
      <c r="BK988" s="1" t="s">
        <v>74</v>
      </c>
      <c r="BL988" s="1" t="s">
        <v>74</v>
      </c>
      <c r="BM988" s="1" t="s">
        <v>74</v>
      </c>
      <c r="BN988" s="1">
        <v>2.5595824E7</v>
      </c>
      <c r="BO988" s="1" t="s">
        <v>74</v>
      </c>
      <c r="BP988" s="1" t="s">
        <v>74</v>
      </c>
      <c r="BQ988" s="1" t="s">
        <v>74</v>
      </c>
      <c r="BR988" s="1" t="s">
        <v>74</v>
      </c>
      <c r="BS988" s="1" t="s">
        <v>9762</v>
      </c>
      <c r="BT988" s="1" t="str">
        <f>HYPERLINK("https%3A%2F%2Fwww.webofscience.com%2Fwos%2Fwoscc%2Ffull-record%2FWOS:000350764700018","View Full Record in Web of Science")</f>
        <v>View Full Record in Web of Science</v>
      </c>
    </row>
    <row r="989" ht="12.75" customHeight="1">
      <c r="A989" s="1" t="s">
        <v>72</v>
      </c>
      <c r="B989" s="1" t="s">
        <v>9763</v>
      </c>
      <c r="C989" s="1" t="s">
        <v>74</v>
      </c>
      <c r="D989" s="1" t="s">
        <v>74</v>
      </c>
      <c r="E989" s="1" t="s">
        <v>74</v>
      </c>
      <c r="F989" s="1" t="s">
        <v>9764</v>
      </c>
      <c r="G989" s="1" t="s">
        <v>74</v>
      </c>
      <c r="H989" s="1" t="s">
        <v>74</v>
      </c>
      <c r="I989" s="1" t="s">
        <v>9765</v>
      </c>
      <c r="J989" s="1" t="s">
        <v>874</v>
      </c>
      <c r="K989" s="1" t="s">
        <v>74</v>
      </c>
      <c r="L989" s="1" t="s">
        <v>74</v>
      </c>
      <c r="M989" s="1" t="s">
        <v>74</v>
      </c>
      <c r="N989" s="1" t="s">
        <v>74</v>
      </c>
      <c r="O989" s="1" t="s">
        <v>74</v>
      </c>
      <c r="P989" s="1" t="s">
        <v>74</v>
      </c>
      <c r="Q989" s="1" t="s">
        <v>74</v>
      </c>
      <c r="R989" s="1" t="s">
        <v>74</v>
      </c>
      <c r="S989" s="1" t="s">
        <v>74</v>
      </c>
      <c r="T989" s="1" t="s">
        <v>74</v>
      </c>
      <c r="U989" s="1" t="s">
        <v>74</v>
      </c>
      <c r="V989" s="1" t="s">
        <v>9766</v>
      </c>
      <c r="W989" s="1" t="s">
        <v>74</v>
      </c>
      <c r="X989" s="1" t="s">
        <v>74</v>
      </c>
      <c r="Y989" s="1" t="s">
        <v>74</v>
      </c>
      <c r="Z989" s="1" t="s">
        <v>74</v>
      </c>
      <c r="AA989" s="1" t="s">
        <v>9767</v>
      </c>
      <c r="AB989" s="1" t="s">
        <v>9768</v>
      </c>
      <c r="AC989" s="1" t="s">
        <v>74</v>
      </c>
      <c r="AD989" s="1" t="s">
        <v>74</v>
      </c>
      <c r="AE989" s="1" t="s">
        <v>74</v>
      </c>
      <c r="AF989" s="1" t="s">
        <v>74</v>
      </c>
      <c r="AG989" s="1" t="s">
        <v>74</v>
      </c>
      <c r="AH989" s="1" t="s">
        <v>74</v>
      </c>
      <c r="AI989" s="1" t="s">
        <v>74</v>
      </c>
      <c r="AJ989" s="1" t="s">
        <v>74</v>
      </c>
      <c r="AK989" s="1" t="s">
        <v>74</v>
      </c>
      <c r="AL989" s="1" t="s">
        <v>74</v>
      </c>
      <c r="AM989" s="1" t="s">
        <v>74</v>
      </c>
      <c r="AN989" s="1" t="s">
        <v>74</v>
      </c>
      <c r="AO989" s="1" t="s">
        <v>878</v>
      </c>
      <c r="AP989" s="1" t="s">
        <v>879</v>
      </c>
      <c r="AQ989" s="1" t="s">
        <v>74</v>
      </c>
      <c r="AR989" s="1" t="s">
        <v>74</v>
      </c>
      <c r="AS989" s="1" t="s">
        <v>74</v>
      </c>
      <c r="AT989" s="1" t="s">
        <v>327</v>
      </c>
      <c r="AU989" s="1">
        <v>2014.0</v>
      </c>
      <c r="AV989" s="1">
        <v>765.0</v>
      </c>
      <c r="AW989" s="1" t="s">
        <v>74</v>
      </c>
      <c r="AX989" s="1" t="s">
        <v>74</v>
      </c>
      <c r="AY989" s="1" t="s">
        <v>74</v>
      </c>
      <c r="AZ989" s="1" t="s">
        <v>74</v>
      </c>
      <c r="BA989" s="1" t="s">
        <v>74</v>
      </c>
      <c r="BB989" s="1">
        <v>8.0</v>
      </c>
      <c r="BC989" s="1">
        <v>16.0</v>
      </c>
      <c r="BD989" s="1" t="s">
        <v>74</v>
      </c>
      <c r="BE989" s="1" t="s">
        <v>9769</v>
      </c>
      <c r="BF989" s="2" t="str">
        <f>HYPERLINK("http://dx.doi.org/10.1016/j.jorganchem.2014.04.019","http://dx.doi.org/10.1016/j.jorganchem.2014.04.019")</f>
        <v>http://dx.doi.org/10.1016/j.jorganchem.2014.04.019</v>
      </c>
      <c r="BG989" s="1" t="s">
        <v>74</v>
      </c>
      <c r="BH989" s="1" t="s">
        <v>74</v>
      </c>
      <c r="BI989" s="1" t="s">
        <v>74</v>
      </c>
      <c r="BJ989" s="1" t="s">
        <v>74</v>
      </c>
      <c r="BK989" s="1" t="s">
        <v>74</v>
      </c>
      <c r="BL989" s="1" t="s">
        <v>74</v>
      </c>
      <c r="BM989" s="1" t="s">
        <v>74</v>
      </c>
      <c r="BN989" s="1" t="s">
        <v>74</v>
      </c>
      <c r="BO989" s="1" t="s">
        <v>74</v>
      </c>
      <c r="BP989" s="1" t="s">
        <v>74</v>
      </c>
      <c r="BQ989" s="1" t="s">
        <v>74</v>
      </c>
      <c r="BR989" s="1" t="s">
        <v>74</v>
      </c>
      <c r="BS989" s="1" t="s">
        <v>9770</v>
      </c>
      <c r="BT989" s="1" t="str">
        <f>HYPERLINK("https%3A%2F%2Fwww.webofscience.com%2Fwos%2Fwoscc%2Ffull-record%2FWOS:000337995700002","View Full Record in Web of Science")</f>
        <v>View Full Record in Web of Science</v>
      </c>
    </row>
    <row r="990" ht="12.75" customHeight="1">
      <c r="A990" s="1" t="s">
        <v>72</v>
      </c>
      <c r="B990" s="1" t="s">
        <v>9771</v>
      </c>
      <c r="C990" s="1" t="s">
        <v>74</v>
      </c>
      <c r="D990" s="1" t="s">
        <v>74</v>
      </c>
      <c r="E990" s="1" t="s">
        <v>74</v>
      </c>
      <c r="F990" s="1" t="s">
        <v>9772</v>
      </c>
      <c r="G990" s="1" t="s">
        <v>74</v>
      </c>
      <c r="H990" s="1" t="s">
        <v>74</v>
      </c>
      <c r="I990" s="1" t="s">
        <v>9773</v>
      </c>
      <c r="J990" s="1" t="s">
        <v>9774</v>
      </c>
      <c r="K990" s="1" t="s">
        <v>74</v>
      </c>
      <c r="L990" s="1" t="s">
        <v>74</v>
      </c>
      <c r="M990" s="1" t="s">
        <v>74</v>
      </c>
      <c r="N990" s="1" t="s">
        <v>74</v>
      </c>
      <c r="O990" s="1" t="s">
        <v>74</v>
      </c>
      <c r="P990" s="1" t="s">
        <v>74</v>
      </c>
      <c r="Q990" s="1" t="s">
        <v>74</v>
      </c>
      <c r="R990" s="1" t="s">
        <v>74</v>
      </c>
      <c r="S990" s="1" t="s">
        <v>74</v>
      </c>
      <c r="T990" s="1" t="s">
        <v>74</v>
      </c>
      <c r="U990" s="1" t="s">
        <v>74</v>
      </c>
      <c r="V990" s="1" t="s">
        <v>9775</v>
      </c>
      <c r="W990" s="1" t="s">
        <v>74</v>
      </c>
      <c r="X990" s="1" t="s">
        <v>74</v>
      </c>
      <c r="Y990" s="1" t="s">
        <v>74</v>
      </c>
      <c r="Z990" s="1" t="s">
        <v>74</v>
      </c>
      <c r="AA990" s="1" t="s">
        <v>9776</v>
      </c>
      <c r="AB990" s="1" t="s">
        <v>9777</v>
      </c>
      <c r="AC990" s="1" t="s">
        <v>74</v>
      </c>
      <c r="AD990" s="1" t="s">
        <v>74</v>
      </c>
      <c r="AE990" s="1" t="s">
        <v>74</v>
      </c>
      <c r="AF990" s="1" t="s">
        <v>74</v>
      </c>
      <c r="AG990" s="1" t="s">
        <v>74</v>
      </c>
      <c r="AH990" s="1" t="s">
        <v>74</v>
      </c>
      <c r="AI990" s="1" t="s">
        <v>74</v>
      </c>
      <c r="AJ990" s="1" t="s">
        <v>74</v>
      </c>
      <c r="AK990" s="1" t="s">
        <v>74</v>
      </c>
      <c r="AL990" s="1" t="s">
        <v>74</v>
      </c>
      <c r="AM990" s="1" t="s">
        <v>74</v>
      </c>
      <c r="AN990" s="1" t="s">
        <v>74</v>
      </c>
      <c r="AO990" s="1" t="s">
        <v>9778</v>
      </c>
      <c r="AP990" s="1" t="s">
        <v>9779</v>
      </c>
      <c r="AQ990" s="1" t="s">
        <v>74</v>
      </c>
      <c r="AR990" s="1" t="s">
        <v>74</v>
      </c>
      <c r="AS990" s="1" t="s">
        <v>74</v>
      </c>
      <c r="AT990" s="1" t="s">
        <v>438</v>
      </c>
      <c r="AU990" s="1">
        <v>2014.0</v>
      </c>
      <c r="AV990" s="1">
        <v>16.0</v>
      </c>
      <c r="AW990" s="1">
        <v>4.0</v>
      </c>
      <c r="AX990" s="1" t="s">
        <v>74</v>
      </c>
      <c r="AY990" s="1" t="s">
        <v>74</v>
      </c>
      <c r="AZ990" s="1" t="s">
        <v>74</v>
      </c>
      <c r="BA990" s="1" t="s">
        <v>74</v>
      </c>
      <c r="BB990" s="1">
        <v>961.0</v>
      </c>
      <c r="BC990" s="1">
        <v>966.0</v>
      </c>
      <c r="BD990" s="1" t="s">
        <v>74</v>
      </c>
      <c r="BE990" s="1" t="s">
        <v>9780</v>
      </c>
      <c r="BF990" s="2" t="str">
        <f>HYPERLINK("http://dx.doi.org/10.1007/s10530-013-0549-1","http://dx.doi.org/10.1007/s10530-013-0549-1")</f>
        <v>http://dx.doi.org/10.1007/s10530-013-0549-1</v>
      </c>
      <c r="BG990" s="1" t="s">
        <v>74</v>
      </c>
      <c r="BH990" s="1" t="s">
        <v>74</v>
      </c>
      <c r="BI990" s="1" t="s">
        <v>74</v>
      </c>
      <c r="BJ990" s="1" t="s">
        <v>74</v>
      </c>
      <c r="BK990" s="1" t="s">
        <v>74</v>
      </c>
      <c r="BL990" s="1" t="s">
        <v>74</v>
      </c>
      <c r="BM990" s="1" t="s">
        <v>74</v>
      </c>
      <c r="BN990" s="1" t="s">
        <v>74</v>
      </c>
      <c r="BO990" s="1" t="s">
        <v>74</v>
      </c>
      <c r="BP990" s="1" t="s">
        <v>74</v>
      </c>
      <c r="BQ990" s="1" t="s">
        <v>74</v>
      </c>
      <c r="BR990" s="1" t="s">
        <v>74</v>
      </c>
      <c r="BS990" s="1" t="s">
        <v>9781</v>
      </c>
      <c r="BT990" s="1" t="str">
        <f>HYPERLINK("https%3A%2F%2Fwww.webofscience.com%2Fwos%2Fwoscc%2Ffull-record%2FWOS:000333011700018","View Full Record in Web of Science")</f>
        <v>View Full Record in Web of Science</v>
      </c>
    </row>
    <row r="991" ht="12.75" customHeight="1">
      <c r="A991" s="1" t="s">
        <v>72</v>
      </c>
      <c r="B991" s="1" t="s">
        <v>9782</v>
      </c>
      <c r="C991" s="1" t="s">
        <v>74</v>
      </c>
      <c r="D991" s="1" t="s">
        <v>74</v>
      </c>
      <c r="E991" s="1" t="s">
        <v>74</v>
      </c>
      <c r="F991" s="1" t="s">
        <v>9783</v>
      </c>
      <c r="G991" s="1" t="s">
        <v>74</v>
      </c>
      <c r="H991" s="1" t="s">
        <v>74</v>
      </c>
      <c r="I991" s="1" t="s">
        <v>9784</v>
      </c>
      <c r="J991" s="1" t="s">
        <v>9785</v>
      </c>
      <c r="K991" s="1" t="s">
        <v>74</v>
      </c>
      <c r="L991" s="1" t="s">
        <v>74</v>
      </c>
      <c r="M991" s="1" t="s">
        <v>74</v>
      </c>
      <c r="N991" s="1" t="s">
        <v>74</v>
      </c>
      <c r="O991" s="1" t="s">
        <v>74</v>
      </c>
      <c r="P991" s="1" t="s">
        <v>74</v>
      </c>
      <c r="Q991" s="1" t="s">
        <v>74</v>
      </c>
      <c r="R991" s="1" t="s">
        <v>74</v>
      </c>
      <c r="S991" s="1" t="s">
        <v>74</v>
      </c>
      <c r="T991" s="1" t="s">
        <v>74</v>
      </c>
      <c r="U991" s="1" t="s">
        <v>74</v>
      </c>
      <c r="V991" s="1" t="s">
        <v>9786</v>
      </c>
      <c r="W991" s="1" t="s">
        <v>74</v>
      </c>
      <c r="X991" s="1" t="s">
        <v>74</v>
      </c>
      <c r="Y991" s="1" t="s">
        <v>74</v>
      </c>
      <c r="Z991" s="1" t="s">
        <v>74</v>
      </c>
      <c r="AA991" s="1" t="s">
        <v>74</v>
      </c>
      <c r="AB991" s="1" t="s">
        <v>3701</v>
      </c>
      <c r="AC991" s="1" t="s">
        <v>74</v>
      </c>
      <c r="AD991" s="1" t="s">
        <v>74</v>
      </c>
      <c r="AE991" s="1" t="s">
        <v>74</v>
      </c>
      <c r="AF991" s="1" t="s">
        <v>74</v>
      </c>
      <c r="AG991" s="1" t="s">
        <v>74</v>
      </c>
      <c r="AH991" s="1" t="s">
        <v>74</v>
      </c>
      <c r="AI991" s="1" t="s">
        <v>74</v>
      </c>
      <c r="AJ991" s="1" t="s">
        <v>74</v>
      </c>
      <c r="AK991" s="1" t="s">
        <v>74</v>
      </c>
      <c r="AL991" s="1" t="s">
        <v>74</v>
      </c>
      <c r="AM991" s="1" t="s">
        <v>74</v>
      </c>
      <c r="AN991" s="1" t="s">
        <v>74</v>
      </c>
      <c r="AO991" s="1" t="s">
        <v>9787</v>
      </c>
      <c r="AP991" s="1" t="s">
        <v>9788</v>
      </c>
      <c r="AQ991" s="1" t="s">
        <v>74</v>
      </c>
      <c r="AR991" s="1" t="s">
        <v>74</v>
      </c>
      <c r="AS991" s="1" t="s">
        <v>74</v>
      </c>
      <c r="AT991" s="1" t="s">
        <v>464</v>
      </c>
      <c r="AU991" s="1">
        <v>2014.0</v>
      </c>
      <c r="AV991" s="1">
        <v>30.0</v>
      </c>
      <c r="AW991" s="1">
        <v>1.0</v>
      </c>
      <c r="AX991" s="1" t="s">
        <v>74</v>
      </c>
      <c r="AY991" s="1" t="s">
        <v>74</v>
      </c>
      <c r="AZ991" s="1" t="s">
        <v>74</v>
      </c>
      <c r="BA991" s="1" t="s">
        <v>74</v>
      </c>
      <c r="BB991" s="1">
        <v>107.0</v>
      </c>
      <c r="BC991" s="1">
        <v>118.0</v>
      </c>
      <c r="BD991" s="1" t="s">
        <v>74</v>
      </c>
      <c r="BE991" s="1" t="s">
        <v>9789</v>
      </c>
      <c r="BF991" s="2" t="str">
        <f>HYPERLINK("http://dx.doi.org/10.1590/0102-311X00176912","http://dx.doi.org/10.1590/0102-311X00176912")</f>
        <v>http://dx.doi.org/10.1590/0102-311X00176912</v>
      </c>
      <c r="BG991" s="1" t="s">
        <v>74</v>
      </c>
      <c r="BH991" s="1" t="s">
        <v>74</v>
      </c>
      <c r="BI991" s="1" t="s">
        <v>74</v>
      </c>
      <c r="BJ991" s="1" t="s">
        <v>74</v>
      </c>
      <c r="BK991" s="1" t="s">
        <v>74</v>
      </c>
      <c r="BL991" s="1" t="s">
        <v>74</v>
      </c>
      <c r="BM991" s="1" t="s">
        <v>74</v>
      </c>
      <c r="BN991" s="1">
        <v>2.4627018E7</v>
      </c>
      <c r="BO991" s="1" t="s">
        <v>74</v>
      </c>
      <c r="BP991" s="1" t="s">
        <v>74</v>
      </c>
      <c r="BQ991" s="1" t="s">
        <v>74</v>
      </c>
      <c r="BR991" s="1" t="s">
        <v>74</v>
      </c>
      <c r="BS991" s="1" t="s">
        <v>9790</v>
      </c>
      <c r="BT991" s="1" t="str">
        <f>HYPERLINK("https%3A%2F%2Fwww.webofscience.com%2Fwos%2Fwoscc%2Ffull-record%2FWOS:000333036300012","View Full Record in Web of Science")</f>
        <v>View Full Record in Web of Science</v>
      </c>
    </row>
    <row r="992" ht="12.75" customHeight="1">
      <c r="A992" s="1" t="s">
        <v>72</v>
      </c>
      <c r="B992" s="1" t="s">
        <v>9791</v>
      </c>
      <c r="C992" s="1" t="s">
        <v>74</v>
      </c>
      <c r="D992" s="1" t="s">
        <v>74</v>
      </c>
      <c r="E992" s="1" t="s">
        <v>74</v>
      </c>
      <c r="F992" s="1" t="s">
        <v>9792</v>
      </c>
      <c r="G992" s="1" t="s">
        <v>74</v>
      </c>
      <c r="H992" s="1" t="s">
        <v>74</v>
      </c>
      <c r="I992" s="1" t="s">
        <v>9793</v>
      </c>
      <c r="J992" s="1" t="s">
        <v>797</v>
      </c>
      <c r="K992" s="1" t="s">
        <v>74</v>
      </c>
      <c r="L992" s="1" t="s">
        <v>74</v>
      </c>
      <c r="M992" s="1" t="s">
        <v>74</v>
      </c>
      <c r="N992" s="1" t="s">
        <v>74</v>
      </c>
      <c r="O992" s="1" t="s">
        <v>74</v>
      </c>
      <c r="P992" s="1" t="s">
        <v>74</v>
      </c>
      <c r="Q992" s="1" t="s">
        <v>74</v>
      </c>
      <c r="R992" s="1" t="s">
        <v>74</v>
      </c>
      <c r="S992" s="1" t="s">
        <v>74</v>
      </c>
      <c r="T992" s="1" t="s">
        <v>74</v>
      </c>
      <c r="U992" s="1" t="s">
        <v>74</v>
      </c>
      <c r="V992" s="1" t="s">
        <v>9794</v>
      </c>
      <c r="W992" s="1" t="s">
        <v>74</v>
      </c>
      <c r="X992" s="1" t="s">
        <v>74</v>
      </c>
      <c r="Y992" s="1" t="s">
        <v>74</v>
      </c>
      <c r="Z992" s="1" t="s">
        <v>74</v>
      </c>
      <c r="AA992" s="1" t="s">
        <v>1049</v>
      </c>
      <c r="AB992" s="1" t="s">
        <v>9795</v>
      </c>
      <c r="AC992" s="1" t="s">
        <v>74</v>
      </c>
      <c r="AD992" s="1" t="s">
        <v>74</v>
      </c>
      <c r="AE992" s="1" t="s">
        <v>74</v>
      </c>
      <c r="AF992" s="1" t="s">
        <v>74</v>
      </c>
      <c r="AG992" s="1" t="s">
        <v>74</v>
      </c>
      <c r="AH992" s="1" t="s">
        <v>74</v>
      </c>
      <c r="AI992" s="1" t="s">
        <v>74</v>
      </c>
      <c r="AJ992" s="1" t="s">
        <v>74</v>
      </c>
      <c r="AK992" s="1" t="s">
        <v>74</v>
      </c>
      <c r="AL992" s="1" t="s">
        <v>74</v>
      </c>
      <c r="AM992" s="1" t="s">
        <v>74</v>
      </c>
      <c r="AN992" s="1" t="s">
        <v>74</v>
      </c>
      <c r="AO992" s="1" t="s">
        <v>801</v>
      </c>
      <c r="AP992" s="1" t="s">
        <v>74</v>
      </c>
      <c r="AQ992" s="1" t="s">
        <v>74</v>
      </c>
      <c r="AR992" s="1" t="s">
        <v>74</v>
      </c>
      <c r="AS992" s="1" t="s">
        <v>74</v>
      </c>
      <c r="AT992" s="1" t="s">
        <v>155</v>
      </c>
      <c r="AU992" s="1">
        <v>2007.0</v>
      </c>
      <c r="AV992" s="1">
        <v>321.0</v>
      </c>
      <c r="AW992" s="1">
        <v>3.0</v>
      </c>
      <c r="AX992" s="1" t="s">
        <v>74</v>
      </c>
      <c r="AY992" s="1" t="s">
        <v>74</v>
      </c>
      <c r="AZ992" s="1" t="s">
        <v>74</v>
      </c>
      <c r="BA992" s="1" t="s">
        <v>74</v>
      </c>
      <c r="BB992" s="1">
        <v>1054.0</v>
      </c>
      <c r="BC992" s="1">
        <v>1061.0</v>
      </c>
      <c r="BD992" s="1" t="s">
        <v>74</v>
      </c>
      <c r="BE992" s="1" t="s">
        <v>9796</v>
      </c>
      <c r="BF992" s="2" t="str">
        <f>HYPERLINK("http://dx.doi.org/10.1124/jpet.106.117507","http://dx.doi.org/10.1124/jpet.106.117507")</f>
        <v>http://dx.doi.org/10.1124/jpet.106.117507</v>
      </c>
      <c r="BG992" s="1" t="s">
        <v>74</v>
      </c>
      <c r="BH992" s="1" t="s">
        <v>74</v>
      </c>
      <c r="BI992" s="1" t="s">
        <v>74</v>
      </c>
      <c r="BJ992" s="1" t="s">
        <v>74</v>
      </c>
      <c r="BK992" s="1" t="s">
        <v>74</v>
      </c>
      <c r="BL992" s="1" t="s">
        <v>74</v>
      </c>
      <c r="BM992" s="1" t="s">
        <v>74</v>
      </c>
      <c r="BN992" s="1">
        <v>1.7337633E7</v>
      </c>
      <c r="BO992" s="1" t="s">
        <v>74</v>
      </c>
      <c r="BP992" s="1" t="s">
        <v>74</v>
      </c>
      <c r="BQ992" s="1" t="s">
        <v>74</v>
      </c>
      <c r="BR992" s="1" t="s">
        <v>74</v>
      </c>
      <c r="BS992" s="1" t="s">
        <v>9797</v>
      </c>
      <c r="BT992" s="1" t="str">
        <f>HYPERLINK("https%3A%2F%2Fwww.webofscience.com%2Fwos%2Fwoscc%2Ffull-record%2FWOS:000246452900027","View Full Record in Web of Science")</f>
        <v>View Full Record in Web of Science</v>
      </c>
    </row>
    <row r="993" ht="12.75" customHeight="1">
      <c r="A993" s="1" t="s">
        <v>647</v>
      </c>
      <c r="B993" s="1" t="s">
        <v>9798</v>
      </c>
      <c r="C993" s="1" t="s">
        <v>74</v>
      </c>
      <c r="D993" s="1" t="s">
        <v>74</v>
      </c>
      <c r="E993" s="1" t="s">
        <v>649</v>
      </c>
      <c r="F993" s="1" t="s">
        <v>9799</v>
      </c>
      <c r="G993" s="1" t="s">
        <v>74</v>
      </c>
      <c r="H993" s="1" t="s">
        <v>74</v>
      </c>
      <c r="I993" s="1" t="s">
        <v>9800</v>
      </c>
      <c r="J993" s="1" t="s">
        <v>9801</v>
      </c>
      <c r="K993" s="1" t="s">
        <v>9802</v>
      </c>
      <c r="L993" s="1" t="s">
        <v>74</v>
      </c>
      <c r="M993" s="1" t="s">
        <v>74</v>
      </c>
      <c r="N993" s="1" t="s">
        <v>74</v>
      </c>
      <c r="O993" s="1" t="s">
        <v>9803</v>
      </c>
      <c r="P993" s="1" t="s">
        <v>9804</v>
      </c>
      <c r="Q993" s="1" t="s">
        <v>9805</v>
      </c>
      <c r="R993" s="1" t="s">
        <v>649</v>
      </c>
      <c r="S993" s="1" t="s">
        <v>74</v>
      </c>
      <c r="T993" s="1" t="s">
        <v>74</v>
      </c>
      <c r="U993" s="1" t="s">
        <v>74</v>
      </c>
      <c r="V993" s="1" t="s">
        <v>9806</v>
      </c>
      <c r="W993" s="1" t="s">
        <v>74</v>
      </c>
      <c r="X993" s="1" t="s">
        <v>74</v>
      </c>
      <c r="Y993" s="1" t="s">
        <v>74</v>
      </c>
      <c r="Z993" s="1" t="s">
        <v>74</v>
      </c>
      <c r="AA993" s="1" t="s">
        <v>9807</v>
      </c>
      <c r="AB993" s="1" t="s">
        <v>74</v>
      </c>
      <c r="AC993" s="1" t="s">
        <v>74</v>
      </c>
      <c r="AD993" s="1" t="s">
        <v>74</v>
      </c>
      <c r="AE993" s="1" t="s">
        <v>74</v>
      </c>
      <c r="AF993" s="1" t="s">
        <v>74</v>
      </c>
      <c r="AG993" s="1" t="s">
        <v>74</v>
      </c>
      <c r="AH993" s="1" t="s">
        <v>74</v>
      </c>
      <c r="AI993" s="1" t="s">
        <v>74</v>
      </c>
      <c r="AJ993" s="1" t="s">
        <v>74</v>
      </c>
      <c r="AK993" s="1" t="s">
        <v>74</v>
      </c>
      <c r="AL993" s="1" t="s">
        <v>74</v>
      </c>
      <c r="AM993" s="1" t="s">
        <v>74</v>
      </c>
      <c r="AN993" s="1" t="s">
        <v>74</v>
      </c>
      <c r="AO993" s="1" t="s">
        <v>9808</v>
      </c>
      <c r="AP993" s="1" t="s">
        <v>74</v>
      </c>
      <c r="AQ993" s="1" t="s">
        <v>9809</v>
      </c>
      <c r="AR993" s="1" t="s">
        <v>74</v>
      </c>
      <c r="AS993" s="1" t="s">
        <v>74</v>
      </c>
      <c r="AT993" s="1" t="s">
        <v>74</v>
      </c>
      <c r="AU993" s="1">
        <v>2007.0</v>
      </c>
      <c r="AV993" s="1" t="s">
        <v>74</v>
      </c>
      <c r="AW993" s="1" t="s">
        <v>74</v>
      </c>
      <c r="AX993" s="1" t="s">
        <v>74</v>
      </c>
      <c r="AY993" s="1" t="s">
        <v>74</v>
      </c>
      <c r="AZ993" s="1" t="s">
        <v>74</v>
      </c>
      <c r="BA993" s="1" t="s">
        <v>74</v>
      </c>
      <c r="BB993" s="1">
        <v>2949.0</v>
      </c>
      <c r="BC993" s="1" t="s">
        <v>661</v>
      </c>
      <c r="BD993" s="1" t="s">
        <v>74</v>
      </c>
      <c r="BE993" s="1" t="s">
        <v>9810</v>
      </c>
      <c r="BF993" s="2" t="str">
        <f>HYPERLINK("http://dx.doi.org/10.1109/NSSMIC.2007.4436752","http://dx.doi.org/10.1109/NSSMIC.2007.4436752")</f>
        <v>http://dx.doi.org/10.1109/NSSMIC.2007.4436752</v>
      </c>
      <c r="BG993" s="1" t="s">
        <v>74</v>
      </c>
      <c r="BH993" s="1" t="s">
        <v>74</v>
      </c>
      <c r="BI993" s="1" t="s">
        <v>74</v>
      </c>
      <c r="BJ993" s="1" t="s">
        <v>74</v>
      </c>
      <c r="BK993" s="1" t="s">
        <v>74</v>
      </c>
      <c r="BL993" s="1" t="s">
        <v>74</v>
      </c>
      <c r="BM993" s="1" t="s">
        <v>74</v>
      </c>
      <c r="BN993" s="1" t="s">
        <v>74</v>
      </c>
      <c r="BO993" s="1" t="s">
        <v>74</v>
      </c>
      <c r="BP993" s="1" t="s">
        <v>74</v>
      </c>
      <c r="BQ993" s="1" t="s">
        <v>74</v>
      </c>
      <c r="BR993" s="1" t="s">
        <v>74</v>
      </c>
      <c r="BS993" s="1" t="s">
        <v>9811</v>
      </c>
      <c r="BT993" s="1" t="str">
        <f>HYPERLINK("https%3A%2F%2Fwww.webofscience.com%2Fwos%2Fwoscc%2Ffull-record%2FWOS:000257380402082","View Full Record in Web of Science")</f>
        <v>View Full Record in Web of Science</v>
      </c>
    </row>
    <row r="994" ht="12.75" customHeight="1">
      <c r="A994" s="1" t="s">
        <v>72</v>
      </c>
      <c r="B994" s="1" t="s">
        <v>9812</v>
      </c>
      <c r="C994" s="1" t="s">
        <v>74</v>
      </c>
      <c r="D994" s="1" t="s">
        <v>74</v>
      </c>
      <c r="E994" s="1" t="s">
        <v>74</v>
      </c>
      <c r="F994" s="1" t="s">
        <v>9813</v>
      </c>
      <c r="G994" s="1" t="s">
        <v>74</v>
      </c>
      <c r="H994" s="1" t="s">
        <v>74</v>
      </c>
      <c r="I994" s="1" t="s">
        <v>9814</v>
      </c>
      <c r="J994" s="1" t="s">
        <v>9815</v>
      </c>
      <c r="K994" s="1" t="s">
        <v>74</v>
      </c>
      <c r="L994" s="1" t="s">
        <v>74</v>
      </c>
      <c r="M994" s="1" t="s">
        <v>74</v>
      </c>
      <c r="N994" s="1" t="s">
        <v>74</v>
      </c>
      <c r="O994" s="1" t="s">
        <v>74</v>
      </c>
      <c r="P994" s="1" t="s">
        <v>74</v>
      </c>
      <c r="Q994" s="1" t="s">
        <v>74</v>
      </c>
      <c r="R994" s="1" t="s">
        <v>74</v>
      </c>
      <c r="S994" s="1" t="s">
        <v>74</v>
      </c>
      <c r="T994" s="1" t="s">
        <v>74</v>
      </c>
      <c r="U994" s="1" t="s">
        <v>74</v>
      </c>
      <c r="V994" s="1" t="s">
        <v>9816</v>
      </c>
      <c r="W994" s="1" t="s">
        <v>74</v>
      </c>
      <c r="X994" s="1" t="s">
        <v>74</v>
      </c>
      <c r="Y994" s="1" t="s">
        <v>74</v>
      </c>
      <c r="Z994" s="1" t="s">
        <v>74</v>
      </c>
      <c r="AA994" s="1" t="s">
        <v>9817</v>
      </c>
      <c r="AB994" s="1" t="s">
        <v>9818</v>
      </c>
      <c r="AC994" s="1" t="s">
        <v>74</v>
      </c>
      <c r="AD994" s="1" t="s">
        <v>74</v>
      </c>
      <c r="AE994" s="1" t="s">
        <v>74</v>
      </c>
      <c r="AF994" s="1" t="s">
        <v>74</v>
      </c>
      <c r="AG994" s="1" t="s">
        <v>74</v>
      </c>
      <c r="AH994" s="1" t="s">
        <v>74</v>
      </c>
      <c r="AI994" s="1" t="s">
        <v>74</v>
      </c>
      <c r="AJ994" s="1" t="s">
        <v>74</v>
      </c>
      <c r="AK994" s="1" t="s">
        <v>74</v>
      </c>
      <c r="AL994" s="1" t="s">
        <v>74</v>
      </c>
      <c r="AM994" s="1" t="s">
        <v>74</v>
      </c>
      <c r="AN994" s="1" t="s">
        <v>74</v>
      </c>
      <c r="AO994" s="1" t="s">
        <v>9819</v>
      </c>
      <c r="AP994" s="1" t="s">
        <v>74</v>
      </c>
      <c r="AQ994" s="1" t="s">
        <v>74</v>
      </c>
      <c r="AR994" s="1" t="s">
        <v>74</v>
      </c>
      <c r="AS994" s="1" t="s">
        <v>74</v>
      </c>
      <c r="AT994" s="1" t="s">
        <v>155</v>
      </c>
      <c r="AU994" s="1">
        <v>2024.0</v>
      </c>
      <c r="AV994" s="1">
        <v>14.0</v>
      </c>
      <c r="AW994" s="1">
        <v>12.0</v>
      </c>
      <c r="AX994" s="1" t="s">
        <v>74</v>
      </c>
      <c r="AY994" s="1" t="s">
        <v>74</v>
      </c>
      <c r="AZ994" s="1" t="s">
        <v>74</v>
      </c>
      <c r="BA994" s="1" t="s">
        <v>74</v>
      </c>
      <c r="BB994" s="1" t="s">
        <v>74</v>
      </c>
      <c r="BC994" s="1" t="s">
        <v>74</v>
      </c>
      <c r="BD994" s="1">
        <v>1815.0</v>
      </c>
      <c r="BE994" s="1" t="s">
        <v>9820</v>
      </c>
      <c r="BF994" s="2" t="str">
        <f>HYPERLINK("http://dx.doi.org/10.3390/ani14121815","http://dx.doi.org/10.3390/ani14121815")</f>
        <v>http://dx.doi.org/10.3390/ani14121815</v>
      </c>
      <c r="BG994" s="1" t="s">
        <v>74</v>
      </c>
      <c r="BH994" s="1" t="s">
        <v>74</v>
      </c>
      <c r="BI994" s="1" t="s">
        <v>74</v>
      </c>
      <c r="BJ994" s="1" t="s">
        <v>74</v>
      </c>
      <c r="BK994" s="1" t="s">
        <v>74</v>
      </c>
      <c r="BL994" s="1" t="s">
        <v>74</v>
      </c>
      <c r="BM994" s="1" t="s">
        <v>74</v>
      </c>
      <c r="BN994" s="1">
        <v>3.8929434E7</v>
      </c>
      <c r="BO994" s="1" t="s">
        <v>74</v>
      </c>
      <c r="BP994" s="1" t="s">
        <v>74</v>
      </c>
      <c r="BQ994" s="1" t="s">
        <v>74</v>
      </c>
      <c r="BR994" s="1" t="s">
        <v>74</v>
      </c>
      <c r="BS994" s="1" t="s">
        <v>9821</v>
      </c>
      <c r="BT994" s="1" t="str">
        <f>HYPERLINK("https%3A%2F%2Fwww.webofscience.com%2Fwos%2Fwoscc%2Ffull-record%2FWOS:001254971400001","View Full Record in Web of Science")</f>
        <v>View Full Record in Web of Science</v>
      </c>
    </row>
    <row r="995" ht="12.75" customHeight="1">
      <c r="A995" s="1" t="s">
        <v>72</v>
      </c>
      <c r="B995" s="1" t="s">
        <v>9822</v>
      </c>
      <c r="C995" s="1" t="s">
        <v>74</v>
      </c>
      <c r="D995" s="1" t="s">
        <v>74</v>
      </c>
      <c r="E995" s="1" t="s">
        <v>74</v>
      </c>
      <c r="F995" s="1" t="s">
        <v>9823</v>
      </c>
      <c r="G995" s="1" t="s">
        <v>74</v>
      </c>
      <c r="H995" s="1" t="s">
        <v>74</v>
      </c>
      <c r="I995" s="1" t="s">
        <v>9824</v>
      </c>
      <c r="J995" s="1" t="s">
        <v>4324</v>
      </c>
      <c r="K995" s="1" t="s">
        <v>74</v>
      </c>
      <c r="L995" s="1" t="s">
        <v>74</v>
      </c>
      <c r="M995" s="1" t="s">
        <v>74</v>
      </c>
      <c r="N995" s="1" t="s">
        <v>74</v>
      </c>
      <c r="O995" s="1" t="s">
        <v>74</v>
      </c>
      <c r="P995" s="1" t="s">
        <v>74</v>
      </c>
      <c r="Q995" s="1" t="s">
        <v>74</v>
      </c>
      <c r="R995" s="1" t="s">
        <v>74</v>
      </c>
      <c r="S995" s="1" t="s">
        <v>74</v>
      </c>
      <c r="T995" s="1" t="s">
        <v>74</v>
      </c>
      <c r="U995" s="1" t="s">
        <v>74</v>
      </c>
      <c r="V995" s="1" t="s">
        <v>9825</v>
      </c>
      <c r="W995" s="1" t="s">
        <v>74</v>
      </c>
      <c r="X995" s="1" t="s">
        <v>74</v>
      </c>
      <c r="Y995" s="1" t="s">
        <v>74</v>
      </c>
      <c r="Z995" s="1" t="s">
        <v>74</v>
      </c>
      <c r="AA995" s="1" t="s">
        <v>9826</v>
      </c>
      <c r="AB995" s="1" t="s">
        <v>9827</v>
      </c>
      <c r="AC995" s="1" t="s">
        <v>74</v>
      </c>
      <c r="AD995" s="1" t="s">
        <v>74</v>
      </c>
      <c r="AE995" s="1" t="s">
        <v>74</v>
      </c>
      <c r="AF995" s="1" t="s">
        <v>74</v>
      </c>
      <c r="AG995" s="1" t="s">
        <v>74</v>
      </c>
      <c r="AH995" s="1" t="s">
        <v>74</v>
      </c>
      <c r="AI995" s="1" t="s">
        <v>74</v>
      </c>
      <c r="AJ995" s="1" t="s">
        <v>74</v>
      </c>
      <c r="AK995" s="1" t="s">
        <v>74</v>
      </c>
      <c r="AL995" s="1" t="s">
        <v>74</v>
      </c>
      <c r="AM995" s="1" t="s">
        <v>74</v>
      </c>
      <c r="AN995" s="1" t="s">
        <v>74</v>
      </c>
      <c r="AO995" s="1" t="s">
        <v>74</v>
      </c>
      <c r="AP995" s="1" t="s">
        <v>4328</v>
      </c>
      <c r="AQ995" s="1" t="s">
        <v>74</v>
      </c>
      <c r="AR995" s="1" t="s">
        <v>74</v>
      </c>
      <c r="AS995" s="1" t="s">
        <v>74</v>
      </c>
      <c r="AT995" s="1" t="s">
        <v>9828</v>
      </c>
      <c r="AU995" s="1">
        <v>2022.0</v>
      </c>
      <c r="AV995" s="1">
        <v>10.0</v>
      </c>
      <c r="AW995" s="1" t="s">
        <v>74</v>
      </c>
      <c r="AX995" s="1" t="s">
        <v>74</v>
      </c>
      <c r="AY995" s="1" t="s">
        <v>74</v>
      </c>
      <c r="AZ995" s="1" t="s">
        <v>74</v>
      </c>
      <c r="BA995" s="1" t="s">
        <v>74</v>
      </c>
      <c r="BB995" s="1" t="s">
        <v>74</v>
      </c>
      <c r="BC995" s="1" t="s">
        <v>74</v>
      </c>
      <c r="BD995" s="1">
        <v>960997.0</v>
      </c>
      <c r="BE995" s="1" t="s">
        <v>9829</v>
      </c>
      <c r="BF995" s="2" t="str">
        <f>HYPERLINK("http://dx.doi.org/10.3389/fpubh.2022.960997","http://dx.doi.org/10.3389/fpubh.2022.960997")</f>
        <v>http://dx.doi.org/10.3389/fpubh.2022.960997</v>
      </c>
      <c r="BG995" s="1" t="s">
        <v>74</v>
      </c>
      <c r="BH995" s="1" t="s">
        <v>74</v>
      </c>
      <c r="BI995" s="1" t="s">
        <v>74</v>
      </c>
      <c r="BJ995" s="1" t="s">
        <v>74</v>
      </c>
      <c r="BK995" s="1" t="s">
        <v>74</v>
      </c>
      <c r="BL995" s="1" t="s">
        <v>74</v>
      </c>
      <c r="BM995" s="1" t="s">
        <v>74</v>
      </c>
      <c r="BN995" s="1">
        <v>3.6062116E7</v>
      </c>
      <c r="BO995" s="1" t="s">
        <v>74</v>
      </c>
      <c r="BP995" s="1" t="s">
        <v>74</v>
      </c>
      <c r="BQ995" s="1" t="s">
        <v>74</v>
      </c>
      <c r="BR995" s="1" t="s">
        <v>74</v>
      </c>
      <c r="BS995" s="1" t="s">
        <v>9830</v>
      </c>
      <c r="BT995" s="1" t="str">
        <f>HYPERLINK("https%3A%2F%2Fwww.webofscience.com%2Fwos%2Fwoscc%2Ffull-record%2FWOS:000849119000001","View Full Record in Web of Science")</f>
        <v>View Full Record in Web of Science</v>
      </c>
    </row>
    <row r="996" ht="12.75" customHeight="1">
      <c r="A996" s="1" t="s">
        <v>72</v>
      </c>
      <c r="B996" s="1" t="s">
        <v>9831</v>
      </c>
      <c r="C996" s="1" t="s">
        <v>74</v>
      </c>
      <c r="D996" s="1" t="s">
        <v>74</v>
      </c>
      <c r="E996" s="1" t="s">
        <v>74</v>
      </c>
      <c r="F996" s="1" t="s">
        <v>9832</v>
      </c>
      <c r="G996" s="1" t="s">
        <v>74</v>
      </c>
      <c r="H996" s="1" t="s">
        <v>74</v>
      </c>
      <c r="I996" s="1" t="s">
        <v>9833</v>
      </c>
      <c r="J996" s="1" t="s">
        <v>9834</v>
      </c>
      <c r="K996" s="1" t="s">
        <v>74</v>
      </c>
      <c r="L996" s="1" t="s">
        <v>74</v>
      </c>
      <c r="M996" s="1" t="s">
        <v>74</v>
      </c>
      <c r="N996" s="1" t="s">
        <v>74</v>
      </c>
      <c r="O996" s="1" t="s">
        <v>74</v>
      </c>
      <c r="P996" s="1" t="s">
        <v>74</v>
      </c>
      <c r="Q996" s="1" t="s">
        <v>74</v>
      </c>
      <c r="R996" s="1" t="s">
        <v>74</v>
      </c>
      <c r="S996" s="1" t="s">
        <v>74</v>
      </c>
      <c r="T996" s="1" t="s">
        <v>74</v>
      </c>
      <c r="U996" s="1" t="s">
        <v>74</v>
      </c>
      <c r="V996" s="1" t="s">
        <v>9835</v>
      </c>
      <c r="W996" s="1" t="s">
        <v>74</v>
      </c>
      <c r="X996" s="1" t="s">
        <v>74</v>
      </c>
      <c r="Y996" s="1" t="s">
        <v>74</v>
      </c>
      <c r="Z996" s="1" t="s">
        <v>74</v>
      </c>
      <c r="AA996" s="1" t="s">
        <v>9836</v>
      </c>
      <c r="AB996" s="1" t="s">
        <v>9837</v>
      </c>
      <c r="AC996" s="1" t="s">
        <v>74</v>
      </c>
      <c r="AD996" s="1" t="s">
        <v>74</v>
      </c>
      <c r="AE996" s="1" t="s">
        <v>74</v>
      </c>
      <c r="AF996" s="1" t="s">
        <v>74</v>
      </c>
      <c r="AG996" s="1" t="s">
        <v>74</v>
      </c>
      <c r="AH996" s="1" t="s">
        <v>74</v>
      </c>
      <c r="AI996" s="1" t="s">
        <v>74</v>
      </c>
      <c r="AJ996" s="1" t="s">
        <v>74</v>
      </c>
      <c r="AK996" s="1" t="s">
        <v>74</v>
      </c>
      <c r="AL996" s="1" t="s">
        <v>74</v>
      </c>
      <c r="AM996" s="1" t="s">
        <v>74</v>
      </c>
      <c r="AN996" s="1" t="s">
        <v>74</v>
      </c>
      <c r="AO996" s="1" t="s">
        <v>9838</v>
      </c>
      <c r="AP996" s="1" t="s">
        <v>9839</v>
      </c>
      <c r="AQ996" s="1" t="s">
        <v>74</v>
      </c>
      <c r="AR996" s="1" t="s">
        <v>74</v>
      </c>
      <c r="AS996" s="1" t="s">
        <v>74</v>
      </c>
      <c r="AT996" s="1" t="s">
        <v>464</v>
      </c>
      <c r="AU996" s="1">
        <v>2022.0</v>
      </c>
      <c r="AV996" s="1">
        <v>924.0</v>
      </c>
      <c r="AW996" s="1">
        <v>1.0</v>
      </c>
      <c r="AX996" s="1" t="s">
        <v>74</v>
      </c>
      <c r="AY996" s="1" t="s">
        <v>74</v>
      </c>
      <c r="AZ996" s="1" t="s">
        <v>74</v>
      </c>
      <c r="BA996" s="1" t="s">
        <v>74</v>
      </c>
      <c r="BB996" s="1" t="s">
        <v>74</v>
      </c>
      <c r="BC996" s="1" t="s">
        <v>74</v>
      </c>
      <c r="BD996" s="1">
        <v>8.0</v>
      </c>
      <c r="BE996" s="1" t="s">
        <v>9840</v>
      </c>
      <c r="BF996" s="2" t="str">
        <f>HYPERLINK("http://dx.doi.org/10.3847/1538-4357/ac33a2","http://dx.doi.org/10.3847/1538-4357/ac33a2")</f>
        <v>http://dx.doi.org/10.3847/1538-4357/ac33a2</v>
      </c>
      <c r="BG996" s="1" t="s">
        <v>74</v>
      </c>
      <c r="BH996" s="1" t="s">
        <v>74</v>
      </c>
      <c r="BI996" s="1" t="s">
        <v>74</v>
      </c>
      <c r="BJ996" s="1" t="s">
        <v>74</v>
      </c>
      <c r="BK996" s="1" t="s">
        <v>74</v>
      </c>
      <c r="BL996" s="1" t="s">
        <v>74</v>
      </c>
      <c r="BM996" s="1" t="s">
        <v>74</v>
      </c>
      <c r="BN996" s="1" t="s">
        <v>74</v>
      </c>
      <c r="BO996" s="1" t="s">
        <v>74</v>
      </c>
      <c r="BP996" s="1" t="s">
        <v>74</v>
      </c>
      <c r="BQ996" s="1" t="s">
        <v>74</v>
      </c>
      <c r="BR996" s="1" t="s">
        <v>74</v>
      </c>
      <c r="BS996" s="1" t="s">
        <v>9841</v>
      </c>
      <c r="BT996" s="1" t="str">
        <f>HYPERLINK("https%3A%2F%2Fwww.webofscience.com%2Fwos%2Fwoscc%2Ffull-record%2FWOS:000739044600001","View Full Record in Web of Science")</f>
        <v>View Full Record in Web of Science</v>
      </c>
    </row>
    <row r="997" ht="12.75" customHeight="1">
      <c r="A997" s="1" t="s">
        <v>72</v>
      </c>
      <c r="B997" s="1" t="s">
        <v>9842</v>
      </c>
      <c r="C997" s="1" t="s">
        <v>74</v>
      </c>
      <c r="D997" s="1" t="s">
        <v>74</v>
      </c>
      <c r="E997" s="1" t="s">
        <v>74</v>
      </c>
      <c r="F997" s="1" t="s">
        <v>9843</v>
      </c>
      <c r="G997" s="1" t="s">
        <v>74</v>
      </c>
      <c r="H997" s="1" t="s">
        <v>74</v>
      </c>
      <c r="I997" s="1" t="s">
        <v>9844</v>
      </c>
      <c r="J997" s="1" t="s">
        <v>9845</v>
      </c>
      <c r="K997" s="1" t="s">
        <v>74</v>
      </c>
      <c r="L997" s="1" t="s">
        <v>74</v>
      </c>
      <c r="M997" s="1" t="s">
        <v>74</v>
      </c>
      <c r="N997" s="1" t="s">
        <v>74</v>
      </c>
      <c r="O997" s="1" t="s">
        <v>74</v>
      </c>
      <c r="P997" s="1" t="s">
        <v>74</v>
      </c>
      <c r="Q997" s="1" t="s">
        <v>74</v>
      </c>
      <c r="R997" s="1" t="s">
        <v>74</v>
      </c>
      <c r="S997" s="1" t="s">
        <v>74</v>
      </c>
      <c r="T997" s="1" t="s">
        <v>74</v>
      </c>
      <c r="U997" s="1" t="s">
        <v>74</v>
      </c>
      <c r="V997" s="1" t="s">
        <v>9846</v>
      </c>
      <c r="W997" s="1" t="s">
        <v>74</v>
      </c>
      <c r="X997" s="1" t="s">
        <v>74</v>
      </c>
      <c r="Y997" s="1" t="s">
        <v>74</v>
      </c>
      <c r="Z997" s="1" t="s">
        <v>74</v>
      </c>
      <c r="AA997" s="1" t="s">
        <v>9847</v>
      </c>
      <c r="AB997" s="1" t="s">
        <v>9848</v>
      </c>
      <c r="AC997" s="1" t="s">
        <v>74</v>
      </c>
      <c r="AD997" s="1" t="s">
        <v>74</v>
      </c>
      <c r="AE997" s="1" t="s">
        <v>74</v>
      </c>
      <c r="AF997" s="1" t="s">
        <v>74</v>
      </c>
      <c r="AG997" s="1" t="s">
        <v>74</v>
      </c>
      <c r="AH997" s="1" t="s">
        <v>74</v>
      </c>
      <c r="AI997" s="1" t="s">
        <v>74</v>
      </c>
      <c r="AJ997" s="1" t="s">
        <v>74</v>
      </c>
      <c r="AK997" s="1" t="s">
        <v>74</v>
      </c>
      <c r="AL997" s="1" t="s">
        <v>74</v>
      </c>
      <c r="AM997" s="1" t="s">
        <v>74</v>
      </c>
      <c r="AN997" s="1" t="s">
        <v>74</v>
      </c>
      <c r="AO997" s="1" t="s">
        <v>9849</v>
      </c>
      <c r="AP997" s="1" t="s">
        <v>9850</v>
      </c>
      <c r="AQ997" s="1" t="s">
        <v>74</v>
      </c>
      <c r="AR997" s="1" t="s">
        <v>74</v>
      </c>
      <c r="AS997" s="1" t="s">
        <v>74</v>
      </c>
      <c r="AT997" s="1" t="s">
        <v>74</v>
      </c>
      <c r="AU997" s="1">
        <v>2021.0</v>
      </c>
      <c r="AV997" s="1">
        <v>25.0</v>
      </c>
      <c r="AW997" s="1">
        <v>60.0</v>
      </c>
      <c r="AX997" s="1" t="s">
        <v>74</v>
      </c>
      <c r="AY997" s="1" t="s">
        <v>74</v>
      </c>
      <c r="AZ997" s="1" t="s">
        <v>399</v>
      </c>
      <c r="BA997" s="1" t="s">
        <v>74</v>
      </c>
      <c r="BB997" s="1">
        <v>81.0</v>
      </c>
      <c r="BC997" s="1">
        <v>98.0</v>
      </c>
      <c r="BD997" s="1" t="s">
        <v>74</v>
      </c>
      <c r="BE997" s="1" t="s">
        <v>9851</v>
      </c>
      <c r="BF997" s="2" t="str">
        <f>HYPERLINK("http://dx.doi.org/10.14198/cuid.2021.esp2.07","http://dx.doi.org/10.14198/cuid.2021.esp2.07")</f>
        <v>http://dx.doi.org/10.14198/cuid.2021.esp2.07</v>
      </c>
      <c r="BG997" s="1" t="s">
        <v>74</v>
      </c>
      <c r="BH997" s="1" t="s">
        <v>74</v>
      </c>
      <c r="BI997" s="1" t="s">
        <v>74</v>
      </c>
      <c r="BJ997" s="1" t="s">
        <v>74</v>
      </c>
      <c r="BK997" s="1" t="s">
        <v>74</v>
      </c>
      <c r="BL997" s="1" t="s">
        <v>74</v>
      </c>
      <c r="BM997" s="1" t="s">
        <v>74</v>
      </c>
      <c r="BN997" s="1" t="s">
        <v>74</v>
      </c>
      <c r="BO997" s="1" t="s">
        <v>74</v>
      </c>
      <c r="BP997" s="1" t="s">
        <v>74</v>
      </c>
      <c r="BQ997" s="1" t="s">
        <v>74</v>
      </c>
      <c r="BR997" s="1" t="s">
        <v>74</v>
      </c>
      <c r="BS997" s="1" t="s">
        <v>9852</v>
      </c>
      <c r="BT997" s="1" t="str">
        <f>HYPERLINK("https%3A%2F%2Fwww.webofscience.com%2Fwos%2Fwoscc%2Ffull-record%2FWOS:000677643900007","View Full Record in Web of Science")</f>
        <v>View Full Record in Web of Science</v>
      </c>
    </row>
    <row r="998" ht="12.75" customHeight="1">
      <c r="A998" s="1" t="s">
        <v>72</v>
      </c>
      <c r="B998" s="1" t="s">
        <v>9853</v>
      </c>
      <c r="C998" s="1" t="s">
        <v>74</v>
      </c>
      <c r="D998" s="1" t="s">
        <v>74</v>
      </c>
      <c r="E998" s="1" t="s">
        <v>74</v>
      </c>
      <c r="F998" s="1" t="s">
        <v>9854</v>
      </c>
      <c r="G998" s="1" t="s">
        <v>74</v>
      </c>
      <c r="H998" s="1" t="s">
        <v>74</v>
      </c>
      <c r="I998" s="1" t="s">
        <v>9855</v>
      </c>
      <c r="J998" s="1" t="s">
        <v>1072</v>
      </c>
      <c r="K998" s="1" t="s">
        <v>74</v>
      </c>
      <c r="L998" s="1" t="s">
        <v>74</v>
      </c>
      <c r="M998" s="1" t="s">
        <v>74</v>
      </c>
      <c r="N998" s="1" t="s">
        <v>74</v>
      </c>
      <c r="O998" s="1" t="s">
        <v>74</v>
      </c>
      <c r="P998" s="1" t="s">
        <v>74</v>
      </c>
      <c r="Q998" s="1" t="s">
        <v>74</v>
      </c>
      <c r="R998" s="1" t="s">
        <v>74</v>
      </c>
      <c r="S998" s="1" t="s">
        <v>74</v>
      </c>
      <c r="T998" s="1" t="s">
        <v>74</v>
      </c>
      <c r="U998" s="1" t="s">
        <v>74</v>
      </c>
      <c r="V998" s="1" t="s">
        <v>9856</v>
      </c>
      <c r="W998" s="1" t="s">
        <v>74</v>
      </c>
      <c r="X998" s="1" t="s">
        <v>74</v>
      </c>
      <c r="Y998" s="1" t="s">
        <v>74</v>
      </c>
      <c r="Z998" s="1" t="s">
        <v>74</v>
      </c>
      <c r="AA998" s="1" t="s">
        <v>9857</v>
      </c>
      <c r="AB998" s="1" t="s">
        <v>74</v>
      </c>
      <c r="AC998" s="1" t="s">
        <v>74</v>
      </c>
      <c r="AD998" s="1" t="s">
        <v>74</v>
      </c>
      <c r="AE998" s="1" t="s">
        <v>74</v>
      </c>
      <c r="AF998" s="1" t="s">
        <v>74</v>
      </c>
      <c r="AG998" s="1" t="s">
        <v>74</v>
      </c>
      <c r="AH998" s="1" t="s">
        <v>74</v>
      </c>
      <c r="AI998" s="1" t="s">
        <v>74</v>
      </c>
      <c r="AJ998" s="1" t="s">
        <v>74</v>
      </c>
      <c r="AK998" s="1" t="s">
        <v>74</v>
      </c>
      <c r="AL998" s="1" t="s">
        <v>74</v>
      </c>
      <c r="AM998" s="1" t="s">
        <v>74</v>
      </c>
      <c r="AN998" s="1" t="s">
        <v>74</v>
      </c>
      <c r="AO998" s="1" t="s">
        <v>1075</v>
      </c>
      <c r="AP998" s="1" t="s">
        <v>1076</v>
      </c>
      <c r="AQ998" s="1" t="s">
        <v>74</v>
      </c>
      <c r="AR998" s="1" t="s">
        <v>74</v>
      </c>
      <c r="AS998" s="1" t="s">
        <v>74</v>
      </c>
      <c r="AT998" s="1" t="s">
        <v>74</v>
      </c>
      <c r="AU998" s="1">
        <v>2020.0</v>
      </c>
      <c r="AV998" s="1" t="s">
        <v>74</v>
      </c>
      <c r="AW998" s="1">
        <v>37.0</v>
      </c>
      <c r="AX998" s="1" t="s">
        <v>74</v>
      </c>
      <c r="AY998" s="1" t="s">
        <v>74</v>
      </c>
      <c r="AZ998" s="1" t="s">
        <v>74</v>
      </c>
      <c r="BA998" s="1" t="s">
        <v>74</v>
      </c>
      <c r="BB998" s="1">
        <v>370.0</v>
      </c>
      <c r="BC998" s="1">
        <v>378.0</v>
      </c>
      <c r="BD998" s="1" t="s">
        <v>74</v>
      </c>
      <c r="BE998" s="1" t="s">
        <v>74</v>
      </c>
      <c r="BF998" s="1" t="s">
        <v>74</v>
      </c>
      <c r="BG998" s="1" t="s">
        <v>74</v>
      </c>
      <c r="BH998" s="1" t="s">
        <v>74</v>
      </c>
      <c r="BI998" s="1" t="s">
        <v>74</v>
      </c>
      <c r="BJ998" s="1" t="s">
        <v>74</v>
      </c>
      <c r="BK998" s="1" t="s">
        <v>74</v>
      </c>
      <c r="BL998" s="1" t="s">
        <v>74</v>
      </c>
      <c r="BM998" s="1" t="s">
        <v>74</v>
      </c>
      <c r="BN998" s="1" t="s">
        <v>74</v>
      </c>
      <c r="BO998" s="1" t="s">
        <v>74</v>
      </c>
      <c r="BP998" s="1" t="s">
        <v>74</v>
      </c>
      <c r="BQ998" s="1" t="s">
        <v>74</v>
      </c>
      <c r="BR998" s="1" t="s">
        <v>74</v>
      </c>
      <c r="BS998" s="1" t="s">
        <v>9858</v>
      </c>
      <c r="BT998" s="1" t="str">
        <f>HYPERLINK("https%3A%2F%2Fwww.webofscience.com%2Fwos%2Fwoscc%2Ffull-record%2FWOS:000519562000054","View Full Record in Web of Science")</f>
        <v>View Full Record in Web of Science</v>
      </c>
    </row>
    <row r="999" ht="12.75" customHeight="1">
      <c r="A999" s="1" t="s">
        <v>72</v>
      </c>
      <c r="B999" s="1" t="s">
        <v>9859</v>
      </c>
      <c r="C999" s="1" t="s">
        <v>74</v>
      </c>
      <c r="D999" s="1" t="s">
        <v>74</v>
      </c>
      <c r="E999" s="1" t="s">
        <v>74</v>
      </c>
      <c r="F999" s="1" t="s">
        <v>9860</v>
      </c>
      <c r="G999" s="1" t="s">
        <v>74</v>
      </c>
      <c r="H999" s="1" t="s">
        <v>74</v>
      </c>
      <c r="I999" s="1" t="s">
        <v>9861</v>
      </c>
      <c r="J999" s="1" t="s">
        <v>582</v>
      </c>
      <c r="K999" s="1" t="s">
        <v>74</v>
      </c>
      <c r="L999" s="1" t="s">
        <v>74</v>
      </c>
      <c r="M999" s="1" t="s">
        <v>74</v>
      </c>
      <c r="N999" s="1" t="s">
        <v>74</v>
      </c>
      <c r="O999" s="1" t="s">
        <v>74</v>
      </c>
      <c r="P999" s="1" t="s">
        <v>74</v>
      </c>
      <c r="Q999" s="1" t="s">
        <v>74</v>
      </c>
      <c r="R999" s="1" t="s">
        <v>74</v>
      </c>
      <c r="S999" s="1" t="s">
        <v>74</v>
      </c>
      <c r="T999" s="1" t="s">
        <v>74</v>
      </c>
      <c r="U999" s="1" t="s">
        <v>74</v>
      </c>
      <c r="V999" s="1" t="s">
        <v>9862</v>
      </c>
      <c r="W999" s="1" t="s">
        <v>74</v>
      </c>
      <c r="X999" s="1" t="s">
        <v>74</v>
      </c>
      <c r="Y999" s="1" t="s">
        <v>74</v>
      </c>
      <c r="Z999" s="1" t="s">
        <v>74</v>
      </c>
      <c r="AA999" s="1" t="s">
        <v>9863</v>
      </c>
      <c r="AB999" s="1" t="s">
        <v>9864</v>
      </c>
      <c r="AC999" s="1" t="s">
        <v>74</v>
      </c>
      <c r="AD999" s="1" t="s">
        <v>74</v>
      </c>
      <c r="AE999" s="1" t="s">
        <v>74</v>
      </c>
      <c r="AF999" s="1" t="s">
        <v>74</v>
      </c>
      <c r="AG999" s="1" t="s">
        <v>74</v>
      </c>
      <c r="AH999" s="1" t="s">
        <v>74</v>
      </c>
      <c r="AI999" s="1" t="s">
        <v>74</v>
      </c>
      <c r="AJ999" s="1" t="s">
        <v>74</v>
      </c>
      <c r="AK999" s="1" t="s">
        <v>74</v>
      </c>
      <c r="AL999" s="1" t="s">
        <v>74</v>
      </c>
      <c r="AM999" s="1" t="s">
        <v>74</v>
      </c>
      <c r="AN999" s="1" t="s">
        <v>74</v>
      </c>
      <c r="AO999" s="1" t="s">
        <v>586</v>
      </c>
      <c r="AP999" s="1" t="s">
        <v>587</v>
      </c>
      <c r="AQ999" s="1" t="s">
        <v>74</v>
      </c>
      <c r="AR999" s="1" t="s">
        <v>74</v>
      </c>
      <c r="AS999" s="1" t="s">
        <v>74</v>
      </c>
      <c r="AT999" s="1" t="s">
        <v>1210</v>
      </c>
      <c r="AU999" s="1">
        <v>2019.0</v>
      </c>
      <c r="AV999" s="1">
        <v>100.0</v>
      </c>
      <c r="AW999" s="1">
        <v>1.0</v>
      </c>
      <c r="AX999" s="1" t="s">
        <v>74</v>
      </c>
      <c r="AY999" s="1" t="s">
        <v>74</v>
      </c>
      <c r="AZ999" s="1" t="s">
        <v>74</v>
      </c>
      <c r="BA999" s="1" t="s">
        <v>74</v>
      </c>
      <c r="BB999" s="1" t="s">
        <v>74</v>
      </c>
      <c r="BC999" s="1" t="s">
        <v>74</v>
      </c>
      <c r="BD999" s="1">
        <v>14403.0</v>
      </c>
      <c r="BE999" s="1" t="s">
        <v>9865</v>
      </c>
      <c r="BF999" s="2" t="str">
        <f>HYPERLINK("http://dx.doi.org/10.1103/PhysRevB.100.014403","http://dx.doi.org/10.1103/PhysRevB.100.014403")</f>
        <v>http://dx.doi.org/10.1103/PhysRevB.100.014403</v>
      </c>
      <c r="BG999" s="1" t="s">
        <v>74</v>
      </c>
      <c r="BH999" s="1" t="s">
        <v>74</v>
      </c>
      <c r="BI999" s="1" t="s">
        <v>74</v>
      </c>
      <c r="BJ999" s="1" t="s">
        <v>74</v>
      </c>
      <c r="BK999" s="1" t="s">
        <v>74</v>
      </c>
      <c r="BL999" s="1" t="s">
        <v>74</v>
      </c>
      <c r="BM999" s="1" t="s">
        <v>74</v>
      </c>
      <c r="BN999" s="1" t="s">
        <v>74</v>
      </c>
      <c r="BO999" s="1" t="s">
        <v>74</v>
      </c>
      <c r="BP999" s="1" t="s">
        <v>74</v>
      </c>
      <c r="BQ999" s="1" t="s">
        <v>74</v>
      </c>
      <c r="BR999" s="1" t="s">
        <v>74</v>
      </c>
      <c r="BS999" s="1" t="s">
        <v>9866</v>
      </c>
      <c r="BT999" s="1" t="str">
        <f>HYPERLINK("https%3A%2F%2Fwww.webofscience.com%2Fwos%2Fwoscc%2Ffull-record%2FWOS:000473534600001","View Full Record in Web of Science")</f>
        <v>View Full Record in Web of Science</v>
      </c>
    </row>
    <row r="1000" ht="12.75" customHeight="1">
      <c r="A1000" s="1" t="s">
        <v>72</v>
      </c>
      <c r="B1000" s="1" t="s">
        <v>9867</v>
      </c>
      <c r="C1000" s="1" t="s">
        <v>74</v>
      </c>
      <c r="D1000" s="1" t="s">
        <v>74</v>
      </c>
      <c r="E1000" s="1" t="s">
        <v>74</v>
      </c>
      <c r="F1000" s="1" t="s">
        <v>9868</v>
      </c>
      <c r="G1000" s="1" t="s">
        <v>74</v>
      </c>
      <c r="H1000" s="1" t="s">
        <v>74</v>
      </c>
      <c r="I1000" s="1" t="s">
        <v>9869</v>
      </c>
      <c r="J1000" s="1" t="s">
        <v>9870</v>
      </c>
      <c r="K1000" s="1" t="s">
        <v>74</v>
      </c>
      <c r="L1000" s="1" t="s">
        <v>74</v>
      </c>
      <c r="M1000" s="1" t="s">
        <v>74</v>
      </c>
      <c r="N1000" s="1" t="s">
        <v>74</v>
      </c>
      <c r="O1000" s="1" t="s">
        <v>74</v>
      </c>
      <c r="P1000" s="1" t="s">
        <v>74</v>
      </c>
      <c r="Q1000" s="1" t="s">
        <v>74</v>
      </c>
      <c r="R1000" s="1" t="s">
        <v>74</v>
      </c>
      <c r="S1000" s="1" t="s">
        <v>74</v>
      </c>
      <c r="T1000" s="1" t="s">
        <v>74</v>
      </c>
      <c r="U1000" s="1" t="s">
        <v>74</v>
      </c>
      <c r="V1000" s="1" t="s">
        <v>9871</v>
      </c>
      <c r="W1000" s="1" t="s">
        <v>74</v>
      </c>
      <c r="X1000" s="1" t="s">
        <v>74</v>
      </c>
      <c r="Y1000" s="1" t="s">
        <v>74</v>
      </c>
      <c r="Z1000" s="1" t="s">
        <v>74</v>
      </c>
      <c r="AA1000" s="1" t="s">
        <v>9872</v>
      </c>
      <c r="AB1000" s="1" t="s">
        <v>9873</v>
      </c>
      <c r="AC1000" s="1" t="s">
        <v>74</v>
      </c>
      <c r="AD1000" s="1" t="s">
        <v>74</v>
      </c>
      <c r="AE1000" s="1" t="s">
        <v>74</v>
      </c>
      <c r="AF1000" s="1" t="s">
        <v>74</v>
      </c>
      <c r="AG1000" s="1" t="s">
        <v>74</v>
      </c>
      <c r="AH1000" s="1" t="s">
        <v>74</v>
      </c>
      <c r="AI1000" s="1" t="s">
        <v>74</v>
      </c>
      <c r="AJ1000" s="1" t="s">
        <v>74</v>
      </c>
      <c r="AK1000" s="1" t="s">
        <v>74</v>
      </c>
      <c r="AL1000" s="1" t="s">
        <v>74</v>
      </c>
      <c r="AM1000" s="1" t="s">
        <v>74</v>
      </c>
      <c r="AN1000" s="1" t="s">
        <v>74</v>
      </c>
      <c r="AO1000" s="1" t="s">
        <v>9874</v>
      </c>
      <c r="AP1000" s="1" t="s">
        <v>9875</v>
      </c>
      <c r="AQ1000" s="1" t="s">
        <v>74</v>
      </c>
      <c r="AR1000" s="1" t="s">
        <v>74</v>
      </c>
      <c r="AS1000" s="1" t="s">
        <v>74</v>
      </c>
      <c r="AT1000" s="1" t="s">
        <v>5499</v>
      </c>
      <c r="AU1000" s="1">
        <v>2017.0</v>
      </c>
      <c r="AV1000" s="1">
        <v>116.0</v>
      </c>
      <c r="AW1000" s="1" t="s">
        <v>74</v>
      </c>
      <c r="AX1000" s="1" t="s">
        <v>74</v>
      </c>
      <c r="AY1000" s="1" t="s">
        <v>74</v>
      </c>
      <c r="AZ1000" s="1" t="s">
        <v>74</v>
      </c>
      <c r="BA1000" s="1" t="s">
        <v>74</v>
      </c>
      <c r="BB1000" s="1">
        <v>448.0</v>
      </c>
      <c r="BC1000" s="1">
        <v>460.0</v>
      </c>
      <c r="BD1000" s="1" t="s">
        <v>74</v>
      </c>
      <c r="BE1000" s="1" t="s">
        <v>9876</v>
      </c>
      <c r="BF1000" s="2" t="str">
        <f>HYPERLINK("http://dx.doi.org/10.1016/j.matdes.2016.12.009","http://dx.doi.org/10.1016/j.matdes.2016.12.009")</f>
        <v>http://dx.doi.org/10.1016/j.matdes.2016.12.009</v>
      </c>
      <c r="BG1000" s="1" t="s">
        <v>74</v>
      </c>
      <c r="BH1000" s="1" t="s">
        <v>74</v>
      </c>
      <c r="BI1000" s="1" t="s">
        <v>74</v>
      </c>
      <c r="BJ1000" s="1" t="s">
        <v>74</v>
      </c>
      <c r="BK1000" s="1" t="s">
        <v>74</v>
      </c>
      <c r="BL1000" s="1" t="s">
        <v>74</v>
      </c>
      <c r="BM1000" s="1" t="s">
        <v>74</v>
      </c>
      <c r="BN1000" s="1" t="s">
        <v>74</v>
      </c>
      <c r="BO1000" s="1" t="s">
        <v>74</v>
      </c>
      <c r="BP1000" s="1" t="s">
        <v>74</v>
      </c>
      <c r="BQ1000" s="1" t="s">
        <v>74</v>
      </c>
      <c r="BR1000" s="1" t="s">
        <v>74</v>
      </c>
      <c r="BS1000" s="1" t="s">
        <v>9877</v>
      </c>
      <c r="BT1000" s="1" t="str">
        <f>HYPERLINK("https%3A%2F%2Fwww.webofscience.com%2Fwos%2Fwoscc%2Ffull-record%2FWOS:000393726600050","View Full Record in Web of Science")</f>
        <v>View Full Record in Web of Science</v>
      </c>
    </row>
    <row r="1001" ht="12.75" customHeight="1">
      <c r="A1001" s="1" t="s">
        <v>72</v>
      </c>
      <c r="B1001" s="1" t="s">
        <v>9878</v>
      </c>
      <c r="C1001" s="1" t="s">
        <v>74</v>
      </c>
      <c r="D1001" s="1" t="s">
        <v>74</v>
      </c>
      <c r="E1001" s="1" t="s">
        <v>74</v>
      </c>
      <c r="F1001" s="1" t="s">
        <v>9879</v>
      </c>
      <c r="G1001" s="1" t="s">
        <v>74</v>
      </c>
      <c r="H1001" s="1" t="s">
        <v>74</v>
      </c>
      <c r="I1001" s="1" t="s">
        <v>9880</v>
      </c>
      <c r="J1001" s="1" t="s">
        <v>9881</v>
      </c>
      <c r="K1001" s="1" t="s">
        <v>74</v>
      </c>
      <c r="L1001" s="1" t="s">
        <v>74</v>
      </c>
      <c r="M1001" s="1" t="s">
        <v>74</v>
      </c>
      <c r="N1001" s="1" t="s">
        <v>74</v>
      </c>
      <c r="O1001" s="1" t="s">
        <v>9882</v>
      </c>
      <c r="P1001" s="1" t="s">
        <v>9883</v>
      </c>
      <c r="Q1001" s="1" t="s">
        <v>9884</v>
      </c>
      <c r="R1001" s="1" t="s">
        <v>9885</v>
      </c>
      <c r="S1001" s="1" t="s">
        <v>74</v>
      </c>
      <c r="T1001" s="1" t="s">
        <v>74</v>
      </c>
      <c r="U1001" s="1" t="s">
        <v>74</v>
      </c>
      <c r="V1001" s="1" t="s">
        <v>9886</v>
      </c>
      <c r="W1001" s="1" t="s">
        <v>74</v>
      </c>
      <c r="X1001" s="1" t="s">
        <v>74</v>
      </c>
      <c r="Y1001" s="1" t="s">
        <v>74</v>
      </c>
      <c r="Z1001" s="1" t="s">
        <v>74</v>
      </c>
      <c r="AA1001" s="1" t="s">
        <v>9887</v>
      </c>
      <c r="AB1001" s="1" t="s">
        <v>9888</v>
      </c>
      <c r="AC1001" s="1" t="s">
        <v>74</v>
      </c>
      <c r="AD1001" s="1" t="s">
        <v>74</v>
      </c>
      <c r="AE1001" s="1" t="s">
        <v>74</v>
      </c>
      <c r="AF1001" s="1" t="s">
        <v>74</v>
      </c>
      <c r="AG1001" s="1" t="s">
        <v>74</v>
      </c>
      <c r="AH1001" s="1" t="s">
        <v>74</v>
      </c>
      <c r="AI1001" s="1" t="s">
        <v>74</v>
      </c>
      <c r="AJ1001" s="1" t="s">
        <v>74</v>
      </c>
      <c r="AK1001" s="1" t="s">
        <v>74</v>
      </c>
      <c r="AL1001" s="1" t="s">
        <v>74</v>
      </c>
      <c r="AM1001" s="1" t="s">
        <v>74</v>
      </c>
      <c r="AN1001" s="1" t="s">
        <v>74</v>
      </c>
      <c r="AO1001" s="1" t="s">
        <v>9889</v>
      </c>
      <c r="AP1001" s="1" t="s">
        <v>9890</v>
      </c>
      <c r="AQ1001" s="1" t="s">
        <v>74</v>
      </c>
      <c r="AR1001" s="1" t="s">
        <v>74</v>
      </c>
      <c r="AS1001" s="1" t="s">
        <v>74</v>
      </c>
      <c r="AT1001" s="1" t="s">
        <v>96</v>
      </c>
      <c r="AU1001" s="1">
        <v>2014.0</v>
      </c>
      <c r="AV1001" s="1">
        <v>125.0</v>
      </c>
      <c r="AW1001" s="1">
        <v>3.0</v>
      </c>
      <c r="AX1001" s="1" t="s">
        <v>74</v>
      </c>
      <c r="AY1001" s="1" t="s">
        <v>74</v>
      </c>
      <c r="AZ1001" s="1" t="s">
        <v>74</v>
      </c>
      <c r="BA1001" s="1" t="s">
        <v>74</v>
      </c>
      <c r="BB1001" s="1">
        <v>801.0</v>
      </c>
      <c r="BC1001" s="1">
        <v>805.0</v>
      </c>
      <c r="BD1001" s="1" t="s">
        <v>74</v>
      </c>
      <c r="BE1001" s="1" t="s">
        <v>9891</v>
      </c>
      <c r="BF1001" s="2" t="str">
        <f>HYPERLINK("http://dx.doi.org/10.12693/APhysPolA.125.801","http://dx.doi.org/10.12693/APhysPolA.125.801")</f>
        <v>http://dx.doi.org/10.12693/APhysPolA.125.801</v>
      </c>
      <c r="BG1001" s="1" t="s">
        <v>74</v>
      </c>
      <c r="BH1001" s="1" t="s">
        <v>74</v>
      </c>
      <c r="BI1001" s="1" t="s">
        <v>74</v>
      </c>
      <c r="BJ1001" s="1" t="s">
        <v>74</v>
      </c>
      <c r="BK1001" s="1" t="s">
        <v>74</v>
      </c>
      <c r="BL1001" s="1" t="s">
        <v>74</v>
      </c>
      <c r="BM1001" s="1" t="s">
        <v>74</v>
      </c>
      <c r="BN1001" s="1" t="s">
        <v>74</v>
      </c>
      <c r="BO1001" s="1" t="s">
        <v>74</v>
      </c>
      <c r="BP1001" s="1" t="s">
        <v>74</v>
      </c>
      <c r="BQ1001" s="1" t="s">
        <v>74</v>
      </c>
      <c r="BR1001" s="1" t="s">
        <v>74</v>
      </c>
      <c r="BS1001" s="1" t="s">
        <v>9892</v>
      </c>
      <c r="BT1001" s="1" t="str">
        <f>HYPERLINK("https%3A%2F%2Fwww.webofscience.com%2Fwos%2Fwoscc%2Ffull-record%2FWOS:000339826300033","View Full Record in Web of Science")</f>
        <v>View Full Record in Web of Science</v>
      </c>
    </row>
  </sheetData>
  <printOptions/>
  <pageMargins bottom="0.75" footer="0.0" header="0.0" left="0.7" right="0.7" top="0.75"/>
  <pageSetup orientation="landscape"/>
  <drawing r:id="rId1"/>
</worksheet>
</file>